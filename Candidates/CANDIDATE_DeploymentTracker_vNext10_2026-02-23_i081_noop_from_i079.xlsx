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D:\working\waccache\BL6PEPF00021D1D\EXCELCNV\7a9f85c7-cabe-49a5-b159-04594d9f5091\"/>
    </mc:Choice>
  </mc:AlternateContent>
  <xr:revisionPtr revIDLastSave="0" documentId="8_{02664BA4-3656-4C28-82E0-56A618D48F94}" xr6:coauthVersionLast="47" xr6:coauthVersionMax="47" xr10:uidLastSave="{00000000-0000-0000-0000-000000000000}"/>
  <bookViews>
    <workbookView xWindow="-60" yWindow="-60" windowWidth="15480" windowHeight="11640" firstSheet="9" activeTab="9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H21" i="21"/>
  <c r="F8" i="23" s="1"/>
  <c r="G21" i="21"/>
  <c r="E8" i="23" s="1"/>
  <c r="F21" i="21"/>
  <c r="D8" i="23" s="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K21" i="21" s="1"/>
  <c r="C8" i="23" s="1"/>
  <c r="J3" i="21"/>
  <c r="J21" i="21" s="1"/>
  <c r="B8" i="23" s="1"/>
  <c r="H21" i="20"/>
  <c r="F7" i="23" s="1"/>
  <c r="G21" i="20"/>
  <c r="E7" i="23" s="1"/>
  <c r="F21" i="20"/>
  <c r="D7" i="23" s="1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K21" i="20" s="1"/>
  <c r="C7" i="23" s="1"/>
  <c r="J3" i="20"/>
  <c r="J21" i="20" s="1"/>
  <c r="B7" i="23" s="1"/>
  <c r="H21" i="19"/>
  <c r="F9" i="23" s="1"/>
  <c r="G21" i="19"/>
  <c r="E9" i="23" s="1"/>
  <c r="F21" i="19"/>
  <c r="D9" i="23" s="1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K21" i="19" s="1"/>
  <c r="C9" i="23" s="1"/>
  <c r="J3" i="19"/>
  <c r="J21" i="19" s="1"/>
  <c r="B9" i="23" s="1"/>
  <c r="H21" i="18"/>
  <c r="F6" i="23" s="1"/>
  <c r="G21" i="18"/>
  <c r="E6" i="23" s="1"/>
  <c r="F21" i="18"/>
  <c r="D6" i="23" s="1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K21" i="18" s="1"/>
  <c r="C6" i="23" s="1"/>
  <c r="J3" i="18"/>
  <c r="J21" i="18" s="1"/>
  <c r="B6" i="23" s="1"/>
  <c r="H21" i="17"/>
  <c r="F5" i="23" s="1"/>
  <c r="G21" i="17"/>
  <c r="E5" i="23" s="1"/>
  <c r="F21" i="17"/>
  <c r="D5" i="23" s="1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K21" i="17" s="1"/>
  <c r="C5" i="23" s="1"/>
  <c r="J3" i="17"/>
  <c r="J21" i="17" s="1"/>
  <c r="B5" i="23" s="1"/>
  <c r="P503" i="15"/>
  <c r="M503" i="15"/>
  <c r="L503" i="15"/>
  <c r="K503" i="15"/>
  <c r="J503" i="15"/>
  <c r="I503" i="15"/>
  <c r="R503" i="15" s="1"/>
  <c r="H503" i="15"/>
  <c r="G503" i="15"/>
  <c r="F503" i="15"/>
  <c r="E503" i="15"/>
  <c r="D503" i="15"/>
  <c r="C503" i="15"/>
  <c r="B503" i="15"/>
  <c r="A503" i="15"/>
  <c r="Q503" i="15" s="1"/>
  <c r="P502" i="15"/>
  <c r="M502" i="15"/>
  <c r="L502" i="15"/>
  <c r="K502" i="15"/>
  <c r="J502" i="15"/>
  <c r="I502" i="15"/>
  <c r="R502" i="15" s="1"/>
  <c r="H502" i="15"/>
  <c r="G502" i="15"/>
  <c r="F502" i="15"/>
  <c r="E502" i="15"/>
  <c r="D502" i="15"/>
  <c r="C502" i="15"/>
  <c r="B502" i="15"/>
  <c r="A502" i="15"/>
  <c r="Q502" i="15" s="1"/>
  <c r="P501" i="15"/>
  <c r="M501" i="15"/>
  <c r="L501" i="15"/>
  <c r="K501" i="15"/>
  <c r="J501" i="15"/>
  <c r="I501" i="15"/>
  <c r="R501" i="15" s="1"/>
  <c r="H501" i="15"/>
  <c r="G501" i="15"/>
  <c r="F501" i="15"/>
  <c r="E501" i="15"/>
  <c r="D501" i="15"/>
  <c r="C501" i="15"/>
  <c r="B501" i="15"/>
  <c r="A501" i="15"/>
  <c r="Q501" i="15" s="1"/>
  <c r="P500" i="15"/>
  <c r="M500" i="15"/>
  <c r="L500" i="15"/>
  <c r="K500" i="15"/>
  <c r="J500" i="15"/>
  <c r="I500" i="15"/>
  <c r="R500" i="15" s="1"/>
  <c r="H500" i="15"/>
  <c r="G500" i="15"/>
  <c r="F500" i="15"/>
  <c r="E500" i="15"/>
  <c r="D500" i="15"/>
  <c r="C500" i="15"/>
  <c r="B500" i="15"/>
  <c r="A500" i="15"/>
  <c r="Q500" i="15" s="1"/>
  <c r="P499" i="15"/>
  <c r="M499" i="15"/>
  <c r="L499" i="15"/>
  <c r="K499" i="15"/>
  <c r="J499" i="15"/>
  <c r="I499" i="15"/>
  <c r="R499" i="15" s="1"/>
  <c r="H499" i="15"/>
  <c r="G499" i="15"/>
  <c r="F499" i="15"/>
  <c r="E499" i="15"/>
  <c r="D499" i="15"/>
  <c r="C499" i="15"/>
  <c r="B499" i="15"/>
  <c r="A499" i="15"/>
  <c r="Q499" i="15" s="1"/>
  <c r="P498" i="15"/>
  <c r="M498" i="15"/>
  <c r="L498" i="15"/>
  <c r="K498" i="15"/>
  <c r="J498" i="15"/>
  <c r="I498" i="15"/>
  <c r="R498" i="15" s="1"/>
  <c r="H498" i="15"/>
  <c r="G498" i="15"/>
  <c r="F498" i="15"/>
  <c r="E498" i="15"/>
  <c r="D498" i="15"/>
  <c r="C498" i="15"/>
  <c r="B498" i="15"/>
  <c r="A498" i="15"/>
  <c r="Q498" i="15" s="1"/>
  <c r="P497" i="15"/>
  <c r="M497" i="15"/>
  <c r="L497" i="15"/>
  <c r="K497" i="15"/>
  <c r="J497" i="15"/>
  <c r="I497" i="15"/>
  <c r="R497" i="15" s="1"/>
  <c r="H497" i="15"/>
  <c r="G497" i="15"/>
  <c r="F497" i="15"/>
  <c r="E497" i="15"/>
  <c r="D497" i="15"/>
  <c r="C497" i="15"/>
  <c r="B497" i="15"/>
  <c r="A497" i="15"/>
  <c r="Q497" i="15" s="1"/>
  <c r="P496" i="15"/>
  <c r="M496" i="15"/>
  <c r="L496" i="15"/>
  <c r="K496" i="15"/>
  <c r="J496" i="15"/>
  <c r="I496" i="15"/>
  <c r="R496" i="15" s="1"/>
  <c r="H496" i="15"/>
  <c r="G496" i="15"/>
  <c r="F496" i="15"/>
  <c r="E496" i="15"/>
  <c r="D496" i="15"/>
  <c r="C496" i="15"/>
  <c r="B496" i="15"/>
  <c r="A496" i="15"/>
  <c r="Q496" i="15" s="1"/>
  <c r="P495" i="15"/>
  <c r="M495" i="15"/>
  <c r="L495" i="15"/>
  <c r="K495" i="15"/>
  <c r="J495" i="15"/>
  <c r="I495" i="15"/>
  <c r="R495" i="15" s="1"/>
  <c r="H495" i="15"/>
  <c r="G495" i="15"/>
  <c r="F495" i="15"/>
  <c r="E495" i="15"/>
  <c r="D495" i="15"/>
  <c r="C495" i="15"/>
  <c r="B495" i="15"/>
  <c r="A495" i="15"/>
  <c r="Q495" i="15" s="1"/>
  <c r="P494" i="15"/>
  <c r="M494" i="15"/>
  <c r="L494" i="15"/>
  <c r="K494" i="15"/>
  <c r="J494" i="15"/>
  <c r="I494" i="15"/>
  <c r="R494" i="15" s="1"/>
  <c r="H494" i="15"/>
  <c r="G494" i="15"/>
  <c r="F494" i="15"/>
  <c r="E494" i="15"/>
  <c r="D494" i="15"/>
  <c r="C494" i="15"/>
  <c r="B494" i="15"/>
  <c r="A494" i="15"/>
  <c r="Q494" i="15" s="1"/>
  <c r="P493" i="15"/>
  <c r="M493" i="15"/>
  <c r="L493" i="15"/>
  <c r="K493" i="15"/>
  <c r="J493" i="15"/>
  <c r="I493" i="15"/>
  <c r="R493" i="15" s="1"/>
  <c r="H493" i="15"/>
  <c r="G493" i="15"/>
  <c r="F493" i="15"/>
  <c r="E493" i="15"/>
  <c r="D493" i="15"/>
  <c r="C493" i="15"/>
  <c r="B493" i="15"/>
  <c r="A493" i="15"/>
  <c r="Q493" i="15" s="1"/>
  <c r="P492" i="15"/>
  <c r="M492" i="15"/>
  <c r="L492" i="15"/>
  <c r="K492" i="15"/>
  <c r="J492" i="15"/>
  <c r="I492" i="15"/>
  <c r="R492" i="15" s="1"/>
  <c r="H492" i="15"/>
  <c r="G492" i="15"/>
  <c r="F492" i="15"/>
  <c r="E492" i="15"/>
  <c r="D492" i="15"/>
  <c r="C492" i="15"/>
  <c r="B492" i="15"/>
  <c r="A492" i="15"/>
  <c r="Q492" i="15" s="1"/>
  <c r="P491" i="15"/>
  <c r="M491" i="15"/>
  <c r="L491" i="15"/>
  <c r="K491" i="15"/>
  <c r="J491" i="15"/>
  <c r="I491" i="15"/>
  <c r="R491" i="15" s="1"/>
  <c r="H491" i="15"/>
  <c r="G491" i="15"/>
  <c r="F491" i="15"/>
  <c r="E491" i="15"/>
  <c r="D491" i="15"/>
  <c r="C491" i="15"/>
  <c r="B491" i="15"/>
  <c r="A491" i="15"/>
  <c r="Q491" i="15" s="1"/>
  <c r="P490" i="15"/>
  <c r="M490" i="15"/>
  <c r="L490" i="15"/>
  <c r="K490" i="15"/>
  <c r="J490" i="15"/>
  <c r="I490" i="15"/>
  <c r="R490" i="15" s="1"/>
  <c r="H490" i="15"/>
  <c r="G490" i="15"/>
  <c r="F490" i="15"/>
  <c r="E490" i="15"/>
  <c r="D490" i="15"/>
  <c r="C490" i="15"/>
  <c r="B490" i="15"/>
  <c r="A490" i="15"/>
  <c r="Q490" i="15" s="1"/>
  <c r="P489" i="15"/>
  <c r="M489" i="15"/>
  <c r="L489" i="15"/>
  <c r="K489" i="15"/>
  <c r="J489" i="15"/>
  <c r="I489" i="15"/>
  <c r="R489" i="15" s="1"/>
  <c r="H489" i="15"/>
  <c r="G489" i="15"/>
  <c r="F489" i="15"/>
  <c r="E489" i="15"/>
  <c r="D489" i="15"/>
  <c r="C489" i="15"/>
  <c r="B489" i="15"/>
  <c r="A489" i="15"/>
  <c r="Q489" i="15" s="1"/>
  <c r="P488" i="15"/>
  <c r="M488" i="15"/>
  <c r="L488" i="15"/>
  <c r="K488" i="15"/>
  <c r="J488" i="15"/>
  <c r="I488" i="15"/>
  <c r="R488" i="15" s="1"/>
  <c r="H488" i="15"/>
  <c r="G488" i="15"/>
  <c r="F488" i="15"/>
  <c r="E488" i="15"/>
  <c r="D488" i="15"/>
  <c r="C488" i="15"/>
  <c r="B488" i="15"/>
  <c r="A488" i="15"/>
  <c r="Q488" i="15" s="1"/>
  <c r="P487" i="15"/>
  <c r="M487" i="15"/>
  <c r="L487" i="15"/>
  <c r="K487" i="15"/>
  <c r="J487" i="15"/>
  <c r="I487" i="15"/>
  <c r="R487" i="15" s="1"/>
  <c r="H487" i="15"/>
  <c r="G487" i="15"/>
  <c r="F487" i="15"/>
  <c r="E487" i="15"/>
  <c r="D487" i="15"/>
  <c r="C487" i="15"/>
  <c r="B487" i="15"/>
  <c r="A487" i="15"/>
  <c r="Q487" i="15" s="1"/>
  <c r="P486" i="15"/>
  <c r="M486" i="15"/>
  <c r="L486" i="15"/>
  <c r="K486" i="15"/>
  <c r="J486" i="15"/>
  <c r="I486" i="15"/>
  <c r="R486" i="15" s="1"/>
  <c r="H486" i="15"/>
  <c r="G486" i="15"/>
  <c r="F486" i="15"/>
  <c r="E486" i="15"/>
  <c r="D486" i="15"/>
  <c r="C486" i="15"/>
  <c r="B486" i="15"/>
  <c r="A486" i="15"/>
  <c r="Q486" i="15" s="1"/>
  <c r="P485" i="15"/>
  <c r="M485" i="15"/>
  <c r="L485" i="15"/>
  <c r="K485" i="15"/>
  <c r="J485" i="15"/>
  <c r="I485" i="15"/>
  <c r="R485" i="15" s="1"/>
  <c r="H485" i="15"/>
  <c r="G485" i="15"/>
  <c r="F485" i="15"/>
  <c r="E485" i="15"/>
  <c r="D485" i="15"/>
  <c r="C485" i="15"/>
  <c r="B485" i="15"/>
  <c r="A485" i="15"/>
  <c r="Q485" i="15" s="1"/>
  <c r="P484" i="15"/>
  <c r="M484" i="15"/>
  <c r="L484" i="15"/>
  <c r="K484" i="15"/>
  <c r="J484" i="15"/>
  <c r="I484" i="15"/>
  <c r="R484" i="15" s="1"/>
  <c r="H484" i="15"/>
  <c r="G484" i="15"/>
  <c r="F484" i="15"/>
  <c r="E484" i="15"/>
  <c r="D484" i="15"/>
  <c r="C484" i="15"/>
  <c r="B484" i="15"/>
  <c r="A484" i="15"/>
  <c r="Q484" i="15" s="1"/>
  <c r="P483" i="15"/>
  <c r="M483" i="15"/>
  <c r="L483" i="15"/>
  <c r="K483" i="15"/>
  <c r="J483" i="15"/>
  <c r="I483" i="15"/>
  <c r="R483" i="15" s="1"/>
  <c r="H483" i="15"/>
  <c r="G483" i="15"/>
  <c r="F483" i="15"/>
  <c r="E483" i="15"/>
  <c r="D483" i="15"/>
  <c r="C483" i="15"/>
  <c r="B483" i="15"/>
  <c r="A483" i="15"/>
  <c r="Q483" i="15" s="1"/>
  <c r="P482" i="15"/>
  <c r="M482" i="15"/>
  <c r="L482" i="15"/>
  <c r="K482" i="15"/>
  <c r="J482" i="15"/>
  <c r="I482" i="15"/>
  <c r="R482" i="15" s="1"/>
  <c r="H482" i="15"/>
  <c r="G482" i="15"/>
  <c r="F482" i="15"/>
  <c r="E482" i="15"/>
  <c r="D482" i="15"/>
  <c r="C482" i="15"/>
  <c r="B482" i="15"/>
  <c r="A482" i="15"/>
  <c r="Q482" i="15" s="1"/>
  <c r="P481" i="15"/>
  <c r="M481" i="15"/>
  <c r="L481" i="15"/>
  <c r="K481" i="15"/>
  <c r="J481" i="15"/>
  <c r="I481" i="15"/>
  <c r="R481" i="15" s="1"/>
  <c r="H481" i="15"/>
  <c r="G481" i="15"/>
  <c r="F481" i="15"/>
  <c r="E481" i="15"/>
  <c r="D481" i="15"/>
  <c r="C481" i="15"/>
  <c r="B481" i="15"/>
  <c r="A481" i="15"/>
  <c r="Q481" i="15" s="1"/>
  <c r="P480" i="15"/>
  <c r="M480" i="15"/>
  <c r="L480" i="15"/>
  <c r="K480" i="15"/>
  <c r="J480" i="15"/>
  <c r="I480" i="15"/>
  <c r="R480" i="15" s="1"/>
  <c r="H480" i="15"/>
  <c r="G480" i="15"/>
  <c r="F480" i="15"/>
  <c r="E480" i="15"/>
  <c r="D480" i="15"/>
  <c r="C480" i="15"/>
  <c r="B480" i="15"/>
  <c r="A480" i="15"/>
  <c r="Q480" i="15" s="1"/>
  <c r="P479" i="15"/>
  <c r="M479" i="15"/>
  <c r="L479" i="15"/>
  <c r="K479" i="15"/>
  <c r="J479" i="15"/>
  <c r="I479" i="15"/>
  <c r="R479" i="15" s="1"/>
  <c r="H479" i="15"/>
  <c r="G479" i="15"/>
  <c r="F479" i="15"/>
  <c r="E479" i="15"/>
  <c r="D479" i="15"/>
  <c r="C479" i="15"/>
  <c r="B479" i="15"/>
  <c r="A479" i="15"/>
  <c r="Q479" i="15" s="1"/>
  <c r="P478" i="15"/>
  <c r="M478" i="15"/>
  <c r="L478" i="15"/>
  <c r="K478" i="15"/>
  <c r="J478" i="15"/>
  <c r="I478" i="15"/>
  <c r="R478" i="15" s="1"/>
  <c r="H478" i="15"/>
  <c r="G478" i="15"/>
  <c r="F478" i="15"/>
  <c r="E478" i="15"/>
  <c r="D478" i="15"/>
  <c r="C478" i="15"/>
  <c r="B478" i="15"/>
  <c r="A478" i="15"/>
  <c r="Q478" i="15" s="1"/>
  <c r="P477" i="15"/>
  <c r="M477" i="15"/>
  <c r="L477" i="15"/>
  <c r="K477" i="15"/>
  <c r="J477" i="15"/>
  <c r="I477" i="15"/>
  <c r="R477" i="15" s="1"/>
  <c r="H477" i="15"/>
  <c r="G477" i="15"/>
  <c r="F477" i="15"/>
  <c r="E477" i="15"/>
  <c r="D477" i="15"/>
  <c r="C477" i="15"/>
  <c r="B477" i="15"/>
  <c r="A477" i="15"/>
  <c r="Q477" i="15" s="1"/>
  <c r="P476" i="15"/>
  <c r="M476" i="15"/>
  <c r="L476" i="15"/>
  <c r="K476" i="15"/>
  <c r="J476" i="15"/>
  <c r="I476" i="15"/>
  <c r="R476" i="15" s="1"/>
  <c r="H476" i="15"/>
  <c r="G476" i="15"/>
  <c r="F476" i="15"/>
  <c r="E476" i="15"/>
  <c r="D476" i="15"/>
  <c r="C476" i="15"/>
  <c r="B476" i="15"/>
  <c r="A476" i="15"/>
  <c r="Q476" i="15" s="1"/>
  <c r="P475" i="15"/>
  <c r="M475" i="15"/>
  <c r="L475" i="15"/>
  <c r="K475" i="15"/>
  <c r="J475" i="15"/>
  <c r="I475" i="15"/>
  <c r="R475" i="15" s="1"/>
  <c r="H475" i="15"/>
  <c r="G475" i="15"/>
  <c r="F475" i="15"/>
  <c r="E475" i="15"/>
  <c r="D475" i="15"/>
  <c r="C475" i="15"/>
  <c r="B475" i="15"/>
  <c r="A475" i="15"/>
  <c r="Q475" i="15" s="1"/>
  <c r="P474" i="15"/>
  <c r="M474" i="15"/>
  <c r="L474" i="15"/>
  <c r="K474" i="15"/>
  <c r="J474" i="15"/>
  <c r="I474" i="15"/>
  <c r="R474" i="15" s="1"/>
  <c r="H474" i="15"/>
  <c r="G474" i="15"/>
  <c r="F474" i="15"/>
  <c r="E474" i="15"/>
  <c r="D474" i="15"/>
  <c r="C474" i="15"/>
  <c r="B474" i="15"/>
  <c r="A474" i="15"/>
  <c r="Q474" i="15" s="1"/>
  <c r="P473" i="15"/>
  <c r="M473" i="15"/>
  <c r="L473" i="15"/>
  <c r="K473" i="15"/>
  <c r="J473" i="15"/>
  <c r="I473" i="15"/>
  <c r="R473" i="15" s="1"/>
  <c r="H473" i="15"/>
  <c r="G473" i="15"/>
  <c r="F473" i="15"/>
  <c r="E473" i="15"/>
  <c r="D473" i="15"/>
  <c r="C473" i="15"/>
  <c r="B473" i="15"/>
  <c r="A473" i="15"/>
  <c r="Q473" i="15" s="1"/>
  <c r="P472" i="15"/>
  <c r="M472" i="15"/>
  <c r="L472" i="15"/>
  <c r="K472" i="15"/>
  <c r="J472" i="15"/>
  <c r="I472" i="15"/>
  <c r="R472" i="15" s="1"/>
  <c r="H472" i="15"/>
  <c r="G472" i="15"/>
  <c r="F472" i="15"/>
  <c r="E472" i="15"/>
  <c r="D472" i="15"/>
  <c r="C472" i="15"/>
  <c r="B472" i="15"/>
  <c r="A472" i="15"/>
  <c r="Q472" i="15" s="1"/>
  <c r="P471" i="15"/>
  <c r="M471" i="15"/>
  <c r="L471" i="15"/>
  <c r="K471" i="15"/>
  <c r="J471" i="15"/>
  <c r="I471" i="15"/>
  <c r="R471" i="15" s="1"/>
  <c r="H471" i="15"/>
  <c r="G471" i="15"/>
  <c r="F471" i="15"/>
  <c r="E471" i="15"/>
  <c r="D471" i="15"/>
  <c r="C471" i="15"/>
  <c r="B471" i="15"/>
  <c r="A471" i="15"/>
  <c r="Q471" i="15" s="1"/>
  <c r="P470" i="15"/>
  <c r="M470" i="15"/>
  <c r="L470" i="15"/>
  <c r="K470" i="15"/>
  <c r="J470" i="15"/>
  <c r="I470" i="15"/>
  <c r="R470" i="15" s="1"/>
  <c r="H470" i="15"/>
  <c r="G470" i="15"/>
  <c r="F470" i="15"/>
  <c r="E470" i="15"/>
  <c r="D470" i="15"/>
  <c r="C470" i="15"/>
  <c r="B470" i="15"/>
  <c r="A470" i="15"/>
  <c r="Q470" i="15" s="1"/>
  <c r="P469" i="15"/>
  <c r="M469" i="15"/>
  <c r="L469" i="15"/>
  <c r="K469" i="15"/>
  <c r="J469" i="15"/>
  <c r="I469" i="15"/>
  <c r="R469" i="15" s="1"/>
  <c r="H469" i="15"/>
  <c r="G469" i="15"/>
  <c r="F469" i="15"/>
  <c r="E469" i="15"/>
  <c r="D469" i="15"/>
  <c r="C469" i="15"/>
  <c r="B469" i="15"/>
  <c r="A469" i="15"/>
  <c r="Q469" i="15" s="1"/>
  <c r="P468" i="15"/>
  <c r="M468" i="15"/>
  <c r="L468" i="15"/>
  <c r="K468" i="15"/>
  <c r="J468" i="15"/>
  <c r="I468" i="15"/>
  <c r="R468" i="15" s="1"/>
  <c r="H468" i="15"/>
  <c r="G468" i="15"/>
  <c r="F468" i="15"/>
  <c r="E468" i="15"/>
  <c r="D468" i="15"/>
  <c r="C468" i="15"/>
  <c r="B468" i="15"/>
  <c r="A468" i="15"/>
  <c r="Q468" i="15" s="1"/>
  <c r="P467" i="15"/>
  <c r="M467" i="15"/>
  <c r="L467" i="15"/>
  <c r="K467" i="15"/>
  <c r="J467" i="15"/>
  <c r="I467" i="15"/>
  <c r="R467" i="15" s="1"/>
  <c r="H467" i="15"/>
  <c r="G467" i="15"/>
  <c r="F467" i="15"/>
  <c r="E467" i="15"/>
  <c r="D467" i="15"/>
  <c r="C467" i="15"/>
  <c r="B467" i="15"/>
  <c r="A467" i="15"/>
  <c r="Q467" i="15" s="1"/>
  <c r="P466" i="15"/>
  <c r="M466" i="15"/>
  <c r="L466" i="15"/>
  <c r="K466" i="15"/>
  <c r="J466" i="15"/>
  <c r="I466" i="15"/>
  <c r="R466" i="15" s="1"/>
  <c r="H466" i="15"/>
  <c r="G466" i="15"/>
  <c r="F466" i="15"/>
  <c r="E466" i="15"/>
  <c r="D466" i="15"/>
  <c r="C466" i="15"/>
  <c r="B466" i="15"/>
  <c r="A466" i="15"/>
  <c r="Q466" i="15" s="1"/>
  <c r="P465" i="15"/>
  <c r="M465" i="15"/>
  <c r="L465" i="15"/>
  <c r="K465" i="15"/>
  <c r="J465" i="15"/>
  <c r="I465" i="15"/>
  <c r="R465" i="15" s="1"/>
  <c r="H465" i="15"/>
  <c r="G465" i="15"/>
  <c r="F465" i="15"/>
  <c r="E465" i="15"/>
  <c r="D465" i="15"/>
  <c r="C465" i="15"/>
  <c r="B465" i="15"/>
  <c r="A465" i="15"/>
  <c r="Q465" i="15" s="1"/>
  <c r="P464" i="15"/>
  <c r="M464" i="15"/>
  <c r="L464" i="15"/>
  <c r="K464" i="15"/>
  <c r="J464" i="15"/>
  <c r="I464" i="15"/>
  <c r="R464" i="15" s="1"/>
  <c r="H464" i="15"/>
  <c r="G464" i="15"/>
  <c r="F464" i="15"/>
  <c r="E464" i="15"/>
  <c r="D464" i="15"/>
  <c r="C464" i="15"/>
  <c r="B464" i="15"/>
  <c r="A464" i="15"/>
  <c r="Q464" i="15" s="1"/>
  <c r="P463" i="15"/>
  <c r="M463" i="15"/>
  <c r="L463" i="15"/>
  <c r="K463" i="15"/>
  <c r="J463" i="15"/>
  <c r="I463" i="15"/>
  <c r="R463" i="15" s="1"/>
  <c r="H463" i="15"/>
  <c r="G463" i="15"/>
  <c r="F463" i="15"/>
  <c r="E463" i="15"/>
  <c r="D463" i="15"/>
  <c r="C463" i="15"/>
  <c r="B463" i="15"/>
  <c r="A463" i="15"/>
  <c r="Q463" i="15" s="1"/>
  <c r="P462" i="15"/>
  <c r="M462" i="15"/>
  <c r="L462" i="15"/>
  <c r="K462" i="15"/>
  <c r="J462" i="15"/>
  <c r="I462" i="15"/>
  <c r="R462" i="15" s="1"/>
  <c r="H462" i="15"/>
  <c r="G462" i="15"/>
  <c r="F462" i="15"/>
  <c r="E462" i="15"/>
  <c r="D462" i="15"/>
  <c r="C462" i="15"/>
  <c r="B462" i="15"/>
  <c r="A462" i="15"/>
  <c r="Q462" i="15" s="1"/>
  <c r="P461" i="15"/>
  <c r="M461" i="15"/>
  <c r="L461" i="15"/>
  <c r="K461" i="15"/>
  <c r="J461" i="15"/>
  <c r="I461" i="15"/>
  <c r="R461" i="15" s="1"/>
  <c r="H461" i="15"/>
  <c r="G461" i="15"/>
  <c r="F461" i="15"/>
  <c r="E461" i="15"/>
  <c r="D461" i="15"/>
  <c r="C461" i="15"/>
  <c r="B461" i="15"/>
  <c r="A461" i="15"/>
  <c r="Q461" i="15" s="1"/>
  <c r="P460" i="15"/>
  <c r="M460" i="15"/>
  <c r="L460" i="15"/>
  <c r="K460" i="15"/>
  <c r="J460" i="15"/>
  <c r="I460" i="15"/>
  <c r="R460" i="15" s="1"/>
  <c r="H460" i="15"/>
  <c r="G460" i="15"/>
  <c r="F460" i="15"/>
  <c r="E460" i="15"/>
  <c r="D460" i="15"/>
  <c r="C460" i="15"/>
  <c r="B460" i="15"/>
  <c r="A460" i="15"/>
  <c r="Q460" i="15" s="1"/>
  <c r="P459" i="15"/>
  <c r="M459" i="15"/>
  <c r="L459" i="15"/>
  <c r="K459" i="15"/>
  <c r="J459" i="15"/>
  <c r="I459" i="15"/>
  <c r="R459" i="15" s="1"/>
  <c r="H459" i="15"/>
  <c r="G459" i="15"/>
  <c r="F459" i="15"/>
  <c r="E459" i="15"/>
  <c r="D459" i="15"/>
  <c r="C459" i="15"/>
  <c r="B459" i="15"/>
  <c r="A459" i="15"/>
  <c r="Q459" i="15" s="1"/>
  <c r="P458" i="15"/>
  <c r="M458" i="15"/>
  <c r="L458" i="15"/>
  <c r="K458" i="15"/>
  <c r="J458" i="15"/>
  <c r="I458" i="15"/>
  <c r="R458" i="15" s="1"/>
  <c r="H458" i="15"/>
  <c r="G458" i="15"/>
  <c r="F458" i="15"/>
  <c r="E458" i="15"/>
  <c r="D458" i="15"/>
  <c r="C458" i="15"/>
  <c r="B458" i="15"/>
  <c r="A458" i="15"/>
  <c r="Q458" i="15" s="1"/>
  <c r="P457" i="15"/>
  <c r="M457" i="15"/>
  <c r="L457" i="15"/>
  <c r="K457" i="15"/>
  <c r="J457" i="15"/>
  <c r="I457" i="15"/>
  <c r="R457" i="15" s="1"/>
  <c r="H457" i="15"/>
  <c r="G457" i="15"/>
  <c r="F457" i="15"/>
  <c r="E457" i="15"/>
  <c r="D457" i="15"/>
  <c r="C457" i="15"/>
  <c r="B457" i="15"/>
  <c r="A457" i="15"/>
  <c r="Q457" i="15" s="1"/>
  <c r="P456" i="15"/>
  <c r="M456" i="15"/>
  <c r="L456" i="15"/>
  <c r="K456" i="15"/>
  <c r="J456" i="15"/>
  <c r="I456" i="15"/>
  <c r="R456" i="15" s="1"/>
  <c r="H456" i="15"/>
  <c r="G456" i="15"/>
  <c r="F456" i="15"/>
  <c r="E456" i="15"/>
  <c r="D456" i="15"/>
  <c r="C456" i="15"/>
  <c r="B456" i="15"/>
  <c r="A456" i="15"/>
  <c r="Q456" i="15" s="1"/>
  <c r="P455" i="15"/>
  <c r="M455" i="15"/>
  <c r="L455" i="15"/>
  <c r="K455" i="15"/>
  <c r="J455" i="15"/>
  <c r="I455" i="15"/>
  <c r="R455" i="15" s="1"/>
  <c r="H455" i="15"/>
  <c r="G455" i="15"/>
  <c r="F455" i="15"/>
  <c r="E455" i="15"/>
  <c r="D455" i="15"/>
  <c r="C455" i="15"/>
  <c r="B455" i="15"/>
  <c r="A455" i="15"/>
  <c r="Q455" i="15" s="1"/>
  <c r="P454" i="15"/>
  <c r="M454" i="15"/>
  <c r="L454" i="15"/>
  <c r="K454" i="15"/>
  <c r="J454" i="15"/>
  <c r="I454" i="15"/>
  <c r="R454" i="15" s="1"/>
  <c r="H454" i="15"/>
  <c r="G454" i="15"/>
  <c r="F454" i="15"/>
  <c r="E454" i="15"/>
  <c r="D454" i="15"/>
  <c r="C454" i="15"/>
  <c r="B454" i="15"/>
  <c r="A454" i="15"/>
  <c r="Q454" i="15" s="1"/>
  <c r="P453" i="15"/>
  <c r="M453" i="15"/>
  <c r="L453" i="15"/>
  <c r="K453" i="15"/>
  <c r="J453" i="15"/>
  <c r="I453" i="15"/>
  <c r="R453" i="15" s="1"/>
  <c r="H453" i="15"/>
  <c r="G453" i="15"/>
  <c r="F453" i="15"/>
  <c r="E453" i="15"/>
  <c r="D453" i="15"/>
  <c r="C453" i="15"/>
  <c r="B453" i="15"/>
  <c r="A453" i="15"/>
  <c r="Q453" i="15" s="1"/>
  <c r="P452" i="15"/>
  <c r="M452" i="15"/>
  <c r="L452" i="15"/>
  <c r="K452" i="15"/>
  <c r="J452" i="15"/>
  <c r="I452" i="15"/>
  <c r="R452" i="15" s="1"/>
  <c r="H452" i="15"/>
  <c r="G452" i="15"/>
  <c r="F452" i="15"/>
  <c r="E452" i="15"/>
  <c r="D452" i="15"/>
  <c r="C452" i="15"/>
  <c r="B452" i="15"/>
  <c r="A452" i="15"/>
  <c r="Q452" i="15" s="1"/>
  <c r="P451" i="15"/>
  <c r="M451" i="15"/>
  <c r="L451" i="15"/>
  <c r="K451" i="15"/>
  <c r="J451" i="15"/>
  <c r="I451" i="15"/>
  <c r="R451" i="15" s="1"/>
  <c r="H451" i="15"/>
  <c r="G451" i="15"/>
  <c r="F451" i="15"/>
  <c r="E451" i="15"/>
  <c r="D451" i="15"/>
  <c r="C451" i="15"/>
  <c r="B451" i="15"/>
  <c r="A451" i="15"/>
  <c r="Q451" i="15" s="1"/>
  <c r="P450" i="15"/>
  <c r="M450" i="15"/>
  <c r="L450" i="15"/>
  <c r="K450" i="15"/>
  <c r="J450" i="15"/>
  <c r="I450" i="15"/>
  <c r="R450" i="15" s="1"/>
  <c r="H450" i="15"/>
  <c r="G450" i="15"/>
  <c r="F450" i="15"/>
  <c r="E450" i="15"/>
  <c r="D450" i="15"/>
  <c r="C450" i="15"/>
  <c r="B450" i="15"/>
  <c r="A450" i="15"/>
  <c r="Q450" i="15" s="1"/>
  <c r="P449" i="15"/>
  <c r="M449" i="15"/>
  <c r="L449" i="15"/>
  <c r="K449" i="15"/>
  <c r="J449" i="15"/>
  <c r="I449" i="15"/>
  <c r="R449" i="15" s="1"/>
  <c r="H449" i="15"/>
  <c r="G449" i="15"/>
  <c r="F449" i="15"/>
  <c r="E449" i="15"/>
  <c r="D449" i="15"/>
  <c r="C449" i="15"/>
  <c r="B449" i="15"/>
  <c r="A449" i="15"/>
  <c r="Q449" i="15" s="1"/>
  <c r="P448" i="15"/>
  <c r="M448" i="15"/>
  <c r="L448" i="15"/>
  <c r="K448" i="15"/>
  <c r="J448" i="15"/>
  <c r="I448" i="15"/>
  <c r="R448" i="15" s="1"/>
  <c r="H448" i="15"/>
  <c r="G448" i="15"/>
  <c r="F448" i="15"/>
  <c r="E448" i="15"/>
  <c r="D448" i="15"/>
  <c r="C448" i="15"/>
  <c r="B448" i="15"/>
  <c r="A448" i="15"/>
  <c r="Q448" i="15" s="1"/>
  <c r="P447" i="15"/>
  <c r="M447" i="15"/>
  <c r="L447" i="15"/>
  <c r="K447" i="15"/>
  <c r="J447" i="15"/>
  <c r="I447" i="15"/>
  <c r="R447" i="15" s="1"/>
  <c r="H447" i="15"/>
  <c r="G447" i="15"/>
  <c r="F447" i="15"/>
  <c r="E447" i="15"/>
  <c r="D447" i="15"/>
  <c r="C447" i="15"/>
  <c r="B447" i="15"/>
  <c r="A447" i="15"/>
  <c r="Q447" i="15" s="1"/>
  <c r="P446" i="15"/>
  <c r="M446" i="15"/>
  <c r="L446" i="15"/>
  <c r="K446" i="15"/>
  <c r="J446" i="15"/>
  <c r="I446" i="15"/>
  <c r="R446" i="15" s="1"/>
  <c r="H446" i="15"/>
  <c r="G446" i="15"/>
  <c r="F446" i="15"/>
  <c r="E446" i="15"/>
  <c r="D446" i="15"/>
  <c r="C446" i="15"/>
  <c r="B446" i="15"/>
  <c r="A446" i="15"/>
  <c r="Q446" i="15" s="1"/>
  <c r="P445" i="15"/>
  <c r="M445" i="15"/>
  <c r="L445" i="15"/>
  <c r="K445" i="15"/>
  <c r="J445" i="15"/>
  <c r="I445" i="15"/>
  <c r="R445" i="15" s="1"/>
  <c r="H445" i="15"/>
  <c r="G445" i="15"/>
  <c r="F445" i="15"/>
  <c r="E445" i="15"/>
  <c r="D445" i="15"/>
  <c r="C445" i="15"/>
  <c r="B445" i="15"/>
  <c r="A445" i="15"/>
  <c r="Q445" i="15" s="1"/>
  <c r="P444" i="15"/>
  <c r="M444" i="15"/>
  <c r="L444" i="15"/>
  <c r="K444" i="15"/>
  <c r="J444" i="15"/>
  <c r="I444" i="15"/>
  <c r="R444" i="15" s="1"/>
  <c r="H444" i="15"/>
  <c r="G444" i="15"/>
  <c r="F444" i="15"/>
  <c r="E444" i="15"/>
  <c r="D444" i="15"/>
  <c r="C444" i="15"/>
  <c r="B444" i="15"/>
  <c r="A444" i="15"/>
  <c r="Q444" i="15" s="1"/>
  <c r="P443" i="15"/>
  <c r="M443" i="15"/>
  <c r="L443" i="15"/>
  <c r="K443" i="15"/>
  <c r="J443" i="15"/>
  <c r="I443" i="15"/>
  <c r="R443" i="15" s="1"/>
  <c r="H443" i="15"/>
  <c r="G443" i="15"/>
  <c r="F443" i="15"/>
  <c r="E443" i="15"/>
  <c r="D443" i="15"/>
  <c r="C443" i="15"/>
  <c r="B443" i="15"/>
  <c r="A443" i="15"/>
  <c r="Q443" i="15" s="1"/>
  <c r="P442" i="15"/>
  <c r="M442" i="15"/>
  <c r="L442" i="15"/>
  <c r="K442" i="15"/>
  <c r="J442" i="15"/>
  <c r="I442" i="15"/>
  <c r="R442" i="15" s="1"/>
  <c r="H442" i="15"/>
  <c r="G442" i="15"/>
  <c r="F442" i="15"/>
  <c r="E442" i="15"/>
  <c r="D442" i="15"/>
  <c r="C442" i="15"/>
  <c r="B442" i="15"/>
  <c r="A442" i="15"/>
  <c r="Q442" i="15" s="1"/>
  <c r="P441" i="15"/>
  <c r="M441" i="15"/>
  <c r="L441" i="15"/>
  <c r="K441" i="15"/>
  <c r="J441" i="15"/>
  <c r="I441" i="15"/>
  <c r="R441" i="15" s="1"/>
  <c r="H441" i="15"/>
  <c r="G441" i="15"/>
  <c r="F441" i="15"/>
  <c r="E441" i="15"/>
  <c r="D441" i="15"/>
  <c r="C441" i="15"/>
  <c r="B441" i="15"/>
  <c r="A441" i="15"/>
  <c r="Q441" i="15" s="1"/>
  <c r="P440" i="15"/>
  <c r="M440" i="15"/>
  <c r="L440" i="15"/>
  <c r="K440" i="15"/>
  <c r="J440" i="15"/>
  <c r="I440" i="15"/>
  <c r="R440" i="15" s="1"/>
  <c r="H440" i="15"/>
  <c r="G440" i="15"/>
  <c r="F440" i="15"/>
  <c r="E440" i="15"/>
  <c r="D440" i="15"/>
  <c r="C440" i="15"/>
  <c r="B440" i="15"/>
  <c r="A440" i="15"/>
  <c r="Q440" i="15" s="1"/>
  <c r="P439" i="15"/>
  <c r="M439" i="15"/>
  <c r="L439" i="15"/>
  <c r="K439" i="15"/>
  <c r="J439" i="15"/>
  <c r="I439" i="15"/>
  <c r="R439" i="15" s="1"/>
  <c r="H439" i="15"/>
  <c r="G439" i="15"/>
  <c r="F439" i="15"/>
  <c r="E439" i="15"/>
  <c r="D439" i="15"/>
  <c r="C439" i="15"/>
  <c r="B439" i="15"/>
  <c r="A439" i="15"/>
  <c r="Q439" i="15" s="1"/>
  <c r="P438" i="15"/>
  <c r="M438" i="15"/>
  <c r="L438" i="15"/>
  <c r="K438" i="15"/>
  <c r="J438" i="15"/>
  <c r="I438" i="15"/>
  <c r="R438" i="15" s="1"/>
  <c r="H438" i="15"/>
  <c r="G438" i="15"/>
  <c r="F438" i="15"/>
  <c r="E438" i="15"/>
  <c r="D438" i="15"/>
  <c r="C438" i="15"/>
  <c r="B438" i="15"/>
  <c r="A438" i="15"/>
  <c r="Q438" i="15" s="1"/>
  <c r="P437" i="15"/>
  <c r="M437" i="15"/>
  <c r="L437" i="15"/>
  <c r="K437" i="15"/>
  <c r="J437" i="15"/>
  <c r="I437" i="15"/>
  <c r="R437" i="15" s="1"/>
  <c r="H437" i="15"/>
  <c r="G437" i="15"/>
  <c r="F437" i="15"/>
  <c r="E437" i="15"/>
  <c r="D437" i="15"/>
  <c r="C437" i="15"/>
  <c r="B437" i="15"/>
  <c r="A437" i="15"/>
  <c r="Q437" i="15" s="1"/>
  <c r="P436" i="15"/>
  <c r="M436" i="15"/>
  <c r="L436" i="15"/>
  <c r="K436" i="15"/>
  <c r="J436" i="15"/>
  <c r="I436" i="15"/>
  <c r="R436" i="15" s="1"/>
  <c r="H436" i="15"/>
  <c r="G436" i="15"/>
  <c r="F436" i="15"/>
  <c r="E436" i="15"/>
  <c r="D436" i="15"/>
  <c r="C436" i="15"/>
  <c r="B436" i="15"/>
  <c r="A436" i="15"/>
  <c r="Q436" i="15" s="1"/>
  <c r="P435" i="15"/>
  <c r="M435" i="15"/>
  <c r="L435" i="15"/>
  <c r="K435" i="15"/>
  <c r="J435" i="15"/>
  <c r="I435" i="15"/>
  <c r="R435" i="15" s="1"/>
  <c r="H435" i="15"/>
  <c r="G435" i="15"/>
  <c r="F435" i="15"/>
  <c r="E435" i="15"/>
  <c r="D435" i="15"/>
  <c r="C435" i="15"/>
  <c r="B435" i="15"/>
  <c r="A435" i="15"/>
  <c r="Q435" i="15" s="1"/>
  <c r="P434" i="15"/>
  <c r="M434" i="15"/>
  <c r="L434" i="15"/>
  <c r="K434" i="15"/>
  <c r="J434" i="15"/>
  <c r="I434" i="15"/>
  <c r="R434" i="15" s="1"/>
  <c r="H434" i="15"/>
  <c r="G434" i="15"/>
  <c r="F434" i="15"/>
  <c r="E434" i="15"/>
  <c r="D434" i="15"/>
  <c r="C434" i="15"/>
  <c r="B434" i="15"/>
  <c r="A434" i="15"/>
  <c r="Q434" i="15" s="1"/>
  <c r="P433" i="15"/>
  <c r="M433" i="15"/>
  <c r="L433" i="15"/>
  <c r="K433" i="15"/>
  <c r="J433" i="15"/>
  <c r="I433" i="15"/>
  <c r="R433" i="15" s="1"/>
  <c r="H433" i="15"/>
  <c r="G433" i="15"/>
  <c r="F433" i="15"/>
  <c r="E433" i="15"/>
  <c r="D433" i="15"/>
  <c r="C433" i="15"/>
  <c r="B433" i="15"/>
  <c r="A433" i="15"/>
  <c r="Q433" i="15" s="1"/>
  <c r="P432" i="15"/>
  <c r="M432" i="15"/>
  <c r="L432" i="15"/>
  <c r="K432" i="15"/>
  <c r="J432" i="15"/>
  <c r="I432" i="15"/>
  <c r="R432" i="15" s="1"/>
  <c r="H432" i="15"/>
  <c r="G432" i="15"/>
  <c r="F432" i="15"/>
  <c r="E432" i="15"/>
  <c r="D432" i="15"/>
  <c r="C432" i="15"/>
  <c r="B432" i="15"/>
  <c r="A432" i="15"/>
  <c r="Q432" i="15" s="1"/>
  <c r="P431" i="15"/>
  <c r="M431" i="15"/>
  <c r="L431" i="15"/>
  <c r="K431" i="15"/>
  <c r="J431" i="15"/>
  <c r="I431" i="15"/>
  <c r="R431" i="15" s="1"/>
  <c r="H431" i="15"/>
  <c r="G431" i="15"/>
  <c r="F431" i="15"/>
  <c r="E431" i="15"/>
  <c r="D431" i="15"/>
  <c r="C431" i="15"/>
  <c r="B431" i="15"/>
  <c r="A431" i="15"/>
  <c r="Q431" i="15" s="1"/>
  <c r="P430" i="15"/>
  <c r="M430" i="15"/>
  <c r="L430" i="15"/>
  <c r="K430" i="15"/>
  <c r="J430" i="15"/>
  <c r="I430" i="15"/>
  <c r="R430" i="15" s="1"/>
  <c r="H430" i="15"/>
  <c r="G430" i="15"/>
  <c r="F430" i="15"/>
  <c r="E430" i="15"/>
  <c r="D430" i="15"/>
  <c r="C430" i="15"/>
  <c r="B430" i="15"/>
  <c r="A430" i="15"/>
  <c r="Q430" i="15" s="1"/>
  <c r="P429" i="15"/>
  <c r="M429" i="15"/>
  <c r="L429" i="15"/>
  <c r="K429" i="15"/>
  <c r="J429" i="15"/>
  <c r="I429" i="15"/>
  <c r="R429" i="15" s="1"/>
  <c r="H429" i="15"/>
  <c r="G429" i="15"/>
  <c r="F429" i="15"/>
  <c r="E429" i="15"/>
  <c r="D429" i="15"/>
  <c r="C429" i="15"/>
  <c r="B429" i="15"/>
  <c r="A429" i="15"/>
  <c r="Q429" i="15" s="1"/>
  <c r="P428" i="15"/>
  <c r="M428" i="15"/>
  <c r="L428" i="15"/>
  <c r="K428" i="15"/>
  <c r="J428" i="15"/>
  <c r="I428" i="15"/>
  <c r="R428" i="15" s="1"/>
  <c r="H428" i="15"/>
  <c r="G428" i="15"/>
  <c r="F428" i="15"/>
  <c r="E428" i="15"/>
  <c r="D428" i="15"/>
  <c r="C428" i="15"/>
  <c r="B428" i="15"/>
  <c r="A428" i="15"/>
  <c r="Q428" i="15" s="1"/>
  <c r="P427" i="15"/>
  <c r="M427" i="15"/>
  <c r="L427" i="15"/>
  <c r="K427" i="15"/>
  <c r="J427" i="15"/>
  <c r="I427" i="15"/>
  <c r="R427" i="15" s="1"/>
  <c r="H427" i="15"/>
  <c r="G427" i="15"/>
  <c r="F427" i="15"/>
  <c r="E427" i="15"/>
  <c r="D427" i="15"/>
  <c r="C427" i="15"/>
  <c r="B427" i="15"/>
  <c r="A427" i="15"/>
  <c r="Q427" i="15" s="1"/>
  <c r="P426" i="15"/>
  <c r="M426" i="15"/>
  <c r="L426" i="15"/>
  <c r="K426" i="15"/>
  <c r="J426" i="15"/>
  <c r="I426" i="15"/>
  <c r="R426" i="15" s="1"/>
  <c r="H426" i="15"/>
  <c r="G426" i="15"/>
  <c r="F426" i="15"/>
  <c r="E426" i="15"/>
  <c r="D426" i="15"/>
  <c r="C426" i="15"/>
  <c r="B426" i="15"/>
  <c r="A426" i="15"/>
  <c r="Q426" i="15" s="1"/>
  <c r="P425" i="15"/>
  <c r="M425" i="15"/>
  <c r="L425" i="15"/>
  <c r="K425" i="15"/>
  <c r="J425" i="15"/>
  <c r="I425" i="15"/>
  <c r="R425" i="15" s="1"/>
  <c r="H425" i="15"/>
  <c r="G425" i="15"/>
  <c r="F425" i="15"/>
  <c r="E425" i="15"/>
  <c r="D425" i="15"/>
  <c r="C425" i="15"/>
  <c r="B425" i="15"/>
  <c r="A425" i="15"/>
  <c r="Q425" i="15" s="1"/>
  <c r="P424" i="15"/>
  <c r="M424" i="15"/>
  <c r="L424" i="15"/>
  <c r="K424" i="15"/>
  <c r="J424" i="15"/>
  <c r="I424" i="15"/>
  <c r="R424" i="15" s="1"/>
  <c r="H424" i="15"/>
  <c r="G424" i="15"/>
  <c r="F424" i="15"/>
  <c r="E424" i="15"/>
  <c r="D424" i="15"/>
  <c r="C424" i="15"/>
  <c r="B424" i="15"/>
  <c r="A424" i="15"/>
  <c r="Q424" i="15" s="1"/>
  <c r="P423" i="15"/>
  <c r="M423" i="15"/>
  <c r="L423" i="15"/>
  <c r="K423" i="15"/>
  <c r="J423" i="15"/>
  <c r="I423" i="15"/>
  <c r="R423" i="15" s="1"/>
  <c r="H423" i="15"/>
  <c r="G423" i="15"/>
  <c r="F423" i="15"/>
  <c r="E423" i="15"/>
  <c r="D423" i="15"/>
  <c r="C423" i="15"/>
  <c r="B423" i="15"/>
  <c r="A423" i="15"/>
  <c r="Q423" i="15" s="1"/>
  <c r="P422" i="15"/>
  <c r="M422" i="15"/>
  <c r="L422" i="15"/>
  <c r="K422" i="15"/>
  <c r="J422" i="15"/>
  <c r="I422" i="15"/>
  <c r="R422" i="15" s="1"/>
  <c r="H422" i="15"/>
  <c r="G422" i="15"/>
  <c r="F422" i="15"/>
  <c r="E422" i="15"/>
  <c r="D422" i="15"/>
  <c r="C422" i="15"/>
  <c r="B422" i="15"/>
  <c r="A422" i="15"/>
  <c r="Q422" i="15" s="1"/>
  <c r="P421" i="15"/>
  <c r="M421" i="15"/>
  <c r="L421" i="15"/>
  <c r="K421" i="15"/>
  <c r="J421" i="15"/>
  <c r="I421" i="15"/>
  <c r="R421" i="15" s="1"/>
  <c r="H421" i="15"/>
  <c r="G421" i="15"/>
  <c r="F421" i="15"/>
  <c r="E421" i="15"/>
  <c r="D421" i="15"/>
  <c r="C421" i="15"/>
  <c r="B421" i="15"/>
  <c r="A421" i="15"/>
  <c r="Q421" i="15" s="1"/>
  <c r="P420" i="15"/>
  <c r="M420" i="15"/>
  <c r="L420" i="15"/>
  <c r="K420" i="15"/>
  <c r="J420" i="15"/>
  <c r="I420" i="15"/>
  <c r="R420" i="15" s="1"/>
  <c r="H420" i="15"/>
  <c r="G420" i="15"/>
  <c r="F420" i="15"/>
  <c r="E420" i="15"/>
  <c r="D420" i="15"/>
  <c r="C420" i="15"/>
  <c r="B420" i="15"/>
  <c r="A420" i="15"/>
  <c r="Q420" i="15" s="1"/>
  <c r="P419" i="15"/>
  <c r="M419" i="15"/>
  <c r="L419" i="15"/>
  <c r="K419" i="15"/>
  <c r="J419" i="15"/>
  <c r="I419" i="15"/>
  <c r="R419" i="15" s="1"/>
  <c r="H419" i="15"/>
  <c r="G419" i="15"/>
  <c r="F419" i="15"/>
  <c r="E419" i="15"/>
  <c r="D419" i="15"/>
  <c r="C419" i="15"/>
  <c r="B419" i="15"/>
  <c r="A419" i="15"/>
  <c r="Q419" i="15" s="1"/>
  <c r="P418" i="15"/>
  <c r="M418" i="15"/>
  <c r="L418" i="15"/>
  <c r="K418" i="15"/>
  <c r="J418" i="15"/>
  <c r="I418" i="15"/>
  <c r="R418" i="15" s="1"/>
  <c r="H418" i="15"/>
  <c r="G418" i="15"/>
  <c r="F418" i="15"/>
  <c r="E418" i="15"/>
  <c r="D418" i="15"/>
  <c r="C418" i="15"/>
  <c r="B418" i="15"/>
  <c r="A418" i="15"/>
  <c r="Q418" i="15" s="1"/>
  <c r="P417" i="15"/>
  <c r="M417" i="15"/>
  <c r="L417" i="15"/>
  <c r="K417" i="15"/>
  <c r="J417" i="15"/>
  <c r="I417" i="15"/>
  <c r="R417" i="15" s="1"/>
  <c r="H417" i="15"/>
  <c r="G417" i="15"/>
  <c r="F417" i="15"/>
  <c r="E417" i="15"/>
  <c r="D417" i="15"/>
  <c r="C417" i="15"/>
  <c r="B417" i="15"/>
  <c r="A417" i="15"/>
  <c r="Q417" i="15" s="1"/>
  <c r="P416" i="15"/>
  <c r="M416" i="15"/>
  <c r="L416" i="15"/>
  <c r="K416" i="15"/>
  <c r="J416" i="15"/>
  <c r="I416" i="15"/>
  <c r="R416" i="15" s="1"/>
  <c r="H416" i="15"/>
  <c r="G416" i="15"/>
  <c r="F416" i="15"/>
  <c r="E416" i="15"/>
  <c r="D416" i="15"/>
  <c r="C416" i="15"/>
  <c r="B416" i="15"/>
  <c r="A416" i="15"/>
  <c r="Q416" i="15" s="1"/>
  <c r="P415" i="15"/>
  <c r="M415" i="15"/>
  <c r="L415" i="15"/>
  <c r="K415" i="15"/>
  <c r="J415" i="15"/>
  <c r="I415" i="15"/>
  <c r="R415" i="15" s="1"/>
  <c r="H415" i="15"/>
  <c r="G415" i="15"/>
  <c r="F415" i="15"/>
  <c r="E415" i="15"/>
  <c r="D415" i="15"/>
  <c r="C415" i="15"/>
  <c r="B415" i="15"/>
  <c r="A415" i="15"/>
  <c r="Q415" i="15" s="1"/>
  <c r="P414" i="15"/>
  <c r="M414" i="15"/>
  <c r="L414" i="15"/>
  <c r="K414" i="15"/>
  <c r="J414" i="15"/>
  <c r="I414" i="15"/>
  <c r="R414" i="15" s="1"/>
  <c r="H414" i="15"/>
  <c r="G414" i="15"/>
  <c r="F414" i="15"/>
  <c r="E414" i="15"/>
  <c r="D414" i="15"/>
  <c r="C414" i="15"/>
  <c r="B414" i="15"/>
  <c r="A414" i="15"/>
  <c r="Q414" i="15" s="1"/>
  <c r="P413" i="15"/>
  <c r="M413" i="15"/>
  <c r="L413" i="15"/>
  <c r="K413" i="15"/>
  <c r="J413" i="15"/>
  <c r="I413" i="15"/>
  <c r="R413" i="15" s="1"/>
  <c r="H413" i="15"/>
  <c r="G413" i="15"/>
  <c r="F413" i="15"/>
  <c r="E413" i="15"/>
  <c r="D413" i="15"/>
  <c r="C413" i="15"/>
  <c r="B413" i="15"/>
  <c r="A413" i="15"/>
  <c r="Q413" i="15" s="1"/>
  <c r="P412" i="15"/>
  <c r="M412" i="15"/>
  <c r="L412" i="15"/>
  <c r="K412" i="15"/>
  <c r="J412" i="15"/>
  <c r="I412" i="15"/>
  <c r="R412" i="15" s="1"/>
  <c r="H412" i="15"/>
  <c r="G412" i="15"/>
  <c r="F412" i="15"/>
  <c r="E412" i="15"/>
  <c r="D412" i="15"/>
  <c r="C412" i="15"/>
  <c r="B412" i="15"/>
  <c r="A412" i="15"/>
  <c r="Q412" i="15" s="1"/>
  <c r="P411" i="15"/>
  <c r="M411" i="15"/>
  <c r="L411" i="15"/>
  <c r="K411" i="15"/>
  <c r="J411" i="15"/>
  <c r="I411" i="15"/>
  <c r="R411" i="15" s="1"/>
  <c r="H411" i="15"/>
  <c r="G411" i="15"/>
  <c r="F411" i="15"/>
  <c r="E411" i="15"/>
  <c r="D411" i="15"/>
  <c r="C411" i="15"/>
  <c r="B411" i="15"/>
  <c r="A411" i="15"/>
  <c r="Q411" i="15" s="1"/>
  <c r="P410" i="15"/>
  <c r="M410" i="15"/>
  <c r="L410" i="15"/>
  <c r="K410" i="15"/>
  <c r="J410" i="15"/>
  <c r="I410" i="15"/>
  <c r="R410" i="15" s="1"/>
  <c r="H410" i="15"/>
  <c r="G410" i="15"/>
  <c r="F410" i="15"/>
  <c r="E410" i="15"/>
  <c r="D410" i="15"/>
  <c r="C410" i="15"/>
  <c r="B410" i="15"/>
  <c r="A410" i="15"/>
  <c r="Q410" i="15" s="1"/>
  <c r="P409" i="15"/>
  <c r="M409" i="15"/>
  <c r="L409" i="15"/>
  <c r="K409" i="15"/>
  <c r="J409" i="15"/>
  <c r="I409" i="15"/>
  <c r="R409" i="15" s="1"/>
  <c r="H409" i="15"/>
  <c r="G409" i="15"/>
  <c r="F409" i="15"/>
  <c r="E409" i="15"/>
  <c r="D409" i="15"/>
  <c r="C409" i="15"/>
  <c r="B409" i="15"/>
  <c r="A409" i="15"/>
  <c r="Q409" i="15" s="1"/>
  <c r="P408" i="15"/>
  <c r="M408" i="15"/>
  <c r="L408" i="15"/>
  <c r="K408" i="15"/>
  <c r="J408" i="15"/>
  <c r="I408" i="15"/>
  <c r="R408" i="15" s="1"/>
  <c r="H408" i="15"/>
  <c r="G408" i="15"/>
  <c r="F408" i="15"/>
  <c r="E408" i="15"/>
  <c r="D408" i="15"/>
  <c r="C408" i="15"/>
  <c r="B408" i="15"/>
  <c r="A408" i="15"/>
  <c r="Q408" i="15" s="1"/>
  <c r="P407" i="15"/>
  <c r="M407" i="15"/>
  <c r="L407" i="15"/>
  <c r="K407" i="15"/>
  <c r="J407" i="15"/>
  <c r="I407" i="15"/>
  <c r="R407" i="15" s="1"/>
  <c r="H407" i="15"/>
  <c r="G407" i="15"/>
  <c r="F407" i="15"/>
  <c r="E407" i="15"/>
  <c r="D407" i="15"/>
  <c r="C407" i="15"/>
  <c r="B407" i="15"/>
  <c r="A407" i="15"/>
  <c r="Q407" i="15" s="1"/>
  <c r="P406" i="15"/>
  <c r="M406" i="15"/>
  <c r="L406" i="15"/>
  <c r="K406" i="15"/>
  <c r="J406" i="15"/>
  <c r="I406" i="15"/>
  <c r="R406" i="15" s="1"/>
  <c r="H406" i="15"/>
  <c r="G406" i="15"/>
  <c r="F406" i="15"/>
  <c r="E406" i="15"/>
  <c r="D406" i="15"/>
  <c r="C406" i="15"/>
  <c r="B406" i="15"/>
  <c r="A406" i="15"/>
  <c r="Q406" i="15" s="1"/>
  <c r="P405" i="15"/>
  <c r="M405" i="15"/>
  <c r="L405" i="15"/>
  <c r="K405" i="15"/>
  <c r="J405" i="15"/>
  <c r="I405" i="15"/>
  <c r="R405" i="15" s="1"/>
  <c r="H405" i="15"/>
  <c r="G405" i="15"/>
  <c r="F405" i="15"/>
  <c r="E405" i="15"/>
  <c r="D405" i="15"/>
  <c r="C405" i="15"/>
  <c r="B405" i="15"/>
  <c r="A405" i="15"/>
  <c r="Q405" i="15" s="1"/>
  <c r="P404" i="15"/>
  <c r="M404" i="15"/>
  <c r="L404" i="15"/>
  <c r="K404" i="15"/>
  <c r="J404" i="15"/>
  <c r="I404" i="15"/>
  <c r="R404" i="15" s="1"/>
  <c r="H404" i="15"/>
  <c r="G404" i="15"/>
  <c r="F404" i="15"/>
  <c r="E404" i="15"/>
  <c r="D404" i="15"/>
  <c r="C404" i="15"/>
  <c r="B404" i="15"/>
  <c r="A404" i="15"/>
  <c r="Q404" i="15" s="1"/>
  <c r="P403" i="15"/>
  <c r="M403" i="15"/>
  <c r="L403" i="15"/>
  <c r="K403" i="15"/>
  <c r="J403" i="15"/>
  <c r="I403" i="15"/>
  <c r="R403" i="15" s="1"/>
  <c r="H403" i="15"/>
  <c r="G403" i="15"/>
  <c r="F403" i="15"/>
  <c r="E403" i="15"/>
  <c r="D403" i="15"/>
  <c r="C403" i="15"/>
  <c r="B403" i="15"/>
  <c r="A403" i="15"/>
  <c r="Q403" i="15" s="1"/>
  <c r="P402" i="15"/>
  <c r="M402" i="15"/>
  <c r="L402" i="15"/>
  <c r="K402" i="15"/>
  <c r="J402" i="15"/>
  <c r="I402" i="15"/>
  <c r="R402" i="15" s="1"/>
  <c r="H402" i="15"/>
  <c r="G402" i="15"/>
  <c r="F402" i="15"/>
  <c r="E402" i="15"/>
  <c r="D402" i="15"/>
  <c r="C402" i="15"/>
  <c r="B402" i="15"/>
  <c r="A402" i="15"/>
  <c r="Q402" i="15" s="1"/>
  <c r="P401" i="15"/>
  <c r="M401" i="15"/>
  <c r="L401" i="15"/>
  <c r="K401" i="15"/>
  <c r="J401" i="15"/>
  <c r="I401" i="15"/>
  <c r="R401" i="15" s="1"/>
  <c r="H401" i="15"/>
  <c r="G401" i="15"/>
  <c r="F401" i="15"/>
  <c r="E401" i="15"/>
  <c r="D401" i="15"/>
  <c r="C401" i="15"/>
  <c r="B401" i="15"/>
  <c r="A401" i="15"/>
  <c r="Q401" i="15" s="1"/>
  <c r="P400" i="15"/>
  <c r="M400" i="15"/>
  <c r="L400" i="15"/>
  <c r="K400" i="15"/>
  <c r="J400" i="15"/>
  <c r="I400" i="15"/>
  <c r="R400" i="15" s="1"/>
  <c r="H400" i="15"/>
  <c r="G400" i="15"/>
  <c r="F400" i="15"/>
  <c r="E400" i="15"/>
  <c r="D400" i="15"/>
  <c r="C400" i="15"/>
  <c r="B400" i="15"/>
  <c r="A400" i="15"/>
  <c r="Q400" i="15" s="1"/>
  <c r="P399" i="15"/>
  <c r="M399" i="15"/>
  <c r="L399" i="15"/>
  <c r="K399" i="15"/>
  <c r="J399" i="15"/>
  <c r="I399" i="15"/>
  <c r="R399" i="15" s="1"/>
  <c r="H399" i="15"/>
  <c r="G399" i="15"/>
  <c r="F399" i="15"/>
  <c r="E399" i="15"/>
  <c r="D399" i="15"/>
  <c r="C399" i="15"/>
  <c r="B399" i="15"/>
  <c r="A399" i="15"/>
  <c r="Q399" i="15" s="1"/>
  <c r="P398" i="15"/>
  <c r="M398" i="15"/>
  <c r="L398" i="15"/>
  <c r="K398" i="15"/>
  <c r="J398" i="15"/>
  <c r="I398" i="15"/>
  <c r="R398" i="15" s="1"/>
  <c r="H398" i="15"/>
  <c r="G398" i="15"/>
  <c r="F398" i="15"/>
  <c r="E398" i="15"/>
  <c r="D398" i="15"/>
  <c r="C398" i="15"/>
  <c r="B398" i="15"/>
  <c r="A398" i="15"/>
  <c r="Q398" i="15" s="1"/>
  <c r="P397" i="15"/>
  <c r="M397" i="15"/>
  <c r="L397" i="15"/>
  <c r="K397" i="15"/>
  <c r="J397" i="15"/>
  <c r="I397" i="15"/>
  <c r="R397" i="15" s="1"/>
  <c r="H397" i="15"/>
  <c r="G397" i="15"/>
  <c r="F397" i="15"/>
  <c r="E397" i="15"/>
  <c r="D397" i="15"/>
  <c r="C397" i="15"/>
  <c r="B397" i="15"/>
  <c r="A397" i="15"/>
  <c r="Q397" i="15" s="1"/>
  <c r="P396" i="15"/>
  <c r="M396" i="15"/>
  <c r="L396" i="15"/>
  <c r="K396" i="15"/>
  <c r="J396" i="15"/>
  <c r="I396" i="15"/>
  <c r="R396" i="15" s="1"/>
  <c r="H396" i="15"/>
  <c r="G396" i="15"/>
  <c r="F396" i="15"/>
  <c r="E396" i="15"/>
  <c r="D396" i="15"/>
  <c r="C396" i="15"/>
  <c r="B396" i="15"/>
  <c r="A396" i="15"/>
  <c r="Q396" i="15" s="1"/>
  <c r="P395" i="15"/>
  <c r="M395" i="15"/>
  <c r="L395" i="15"/>
  <c r="K395" i="15"/>
  <c r="J395" i="15"/>
  <c r="I395" i="15"/>
  <c r="R395" i="15" s="1"/>
  <c r="H395" i="15"/>
  <c r="G395" i="15"/>
  <c r="F395" i="15"/>
  <c r="E395" i="15"/>
  <c r="D395" i="15"/>
  <c r="C395" i="15"/>
  <c r="B395" i="15"/>
  <c r="A395" i="15"/>
  <c r="Q395" i="15" s="1"/>
  <c r="P394" i="15"/>
  <c r="M394" i="15"/>
  <c r="L394" i="15"/>
  <c r="K394" i="15"/>
  <c r="J394" i="15"/>
  <c r="I394" i="15"/>
  <c r="R394" i="15" s="1"/>
  <c r="H394" i="15"/>
  <c r="G394" i="15"/>
  <c r="F394" i="15"/>
  <c r="E394" i="15"/>
  <c r="D394" i="15"/>
  <c r="C394" i="15"/>
  <c r="B394" i="15"/>
  <c r="A394" i="15"/>
  <c r="Q394" i="15" s="1"/>
  <c r="P393" i="15"/>
  <c r="M393" i="15"/>
  <c r="L393" i="15"/>
  <c r="K393" i="15"/>
  <c r="J393" i="15"/>
  <c r="I393" i="15"/>
  <c r="R393" i="15" s="1"/>
  <c r="H393" i="15"/>
  <c r="G393" i="15"/>
  <c r="F393" i="15"/>
  <c r="E393" i="15"/>
  <c r="D393" i="15"/>
  <c r="C393" i="15"/>
  <c r="B393" i="15"/>
  <c r="A393" i="15"/>
  <c r="Q393" i="15" s="1"/>
  <c r="P392" i="15"/>
  <c r="M392" i="15"/>
  <c r="L392" i="15"/>
  <c r="K392" i="15"/>
  <c r="J392" i="15"/>
  <c r="I392" i="15"/>
  <c r="R392" i="15" s="1"/>
  <c r="H392" i="15"/>
  <c r="G392" i="15"/>
  <c r="F392" i="15"/>
  <c r="E392" i="15"/>
  <c r="D392" i="15"/>
  <c r="C392" i="15"/>
  <c r="B392" i="15"/>
  <c r="A392" i="15"/>
  <c r="Q392" i="15" s="1"/>
  <c r="P391" i="15"/>
  <c r="M391" i="15"/>
  <c r="L391" i="15"/>
  <c r="K391" i="15"/>
  <c r="J391" i="15"/>
  <c r="I391" i="15"/>
  <c r="R391" i="15" s="1"/>
  <c r="H391" i="15"/>
  <c r="G391" i="15"/>
  <c r="F391" i="15"/>
  <c r="E391" i="15"/>
  <c r="D391" i="15"/>
  <c r="C391" i="15"/>
  <c r="B391" i="15"/>
  <c r="A391" i="15"/>
  <c r="Q391" i="15" s="1"/>
  <c r="P390" i="15"/>
  <c r="M390" i="15"/>
  <c r="L390" i="15"/>
  <c r="K390" i="15"/>
  <c r="J390" i="15"/>
  <c r="I390" i="15"/>
  <c r="R390" i="15" s="1"/>
  <c r="H390" i="15"/>
  <c r="G390" i="15"/>
  <c r="F390" i="15"/>
  <c r="E390" i="15"/>
  <c r="D390" i="15"/>
  <c r="C390" i="15"/>
  <c r="B390" i="15"/>
  <c r="A390" i="15"/>
  <c r="Q390" i="15" s="1"/>
  <c r="P389" i="15"/>
  <c r="M389" i="15"/>
  <c r="L389" i="15"/>
  <c r="K389" i="15"/>
  <c r="J389" i="15"/>
  <c r="I389" i="15"/>
  <c r="R389" i="15" s="1"/>
  <c r="H389" i="15"/>
  <c r="G389" i="15"/>
  <c r="F389" i="15"/>
  <c r="E389" i="15"/>
  <c r="D389" i="15"/>
  <c r="C389" i="15"/>
  <c r="B389" i="15"/>
  <c r="A389" i="15"/>
  <c r="Q389" i="15" s="1"/>
  <c r="P388" i="15"/>
  <c r="M388" i="15"/>
  <c r="L388" i="15"/>
  <c r="K388" i="15"/>
  <c r="J388" i="15"/>
  <c r="I388" i="15"/>
  <c r="R388" i="15" s="1"/>
  <c r="H388" i="15"/>
  <c r="G388" i="15"/>
  <c r="F388" i="15"/>
  <c r="E388" i="15"/>
  <c r="D388" i="15"/>
  <c r="C388" i="15"/>
  <c r="B388" i="15"/>
  <c r="A388" i="15"/>
  <c r="Q388" i="15" s="1"/>
  <c r="P387" i="15"/>
  <c r="M387" i="15"/>
  <c r="L387" i="15"/>
  <c r="K387" i="15"/>
  <c r="J387" i="15"/>
  <c r="I387" i="15"/>
  <c r="R387" i="15" s="1"/>
  <c r="H387" i="15"/>
  <c r="G387" i="15"/>
  <c r="F387" i="15"/>
  <c r="E387" i="15"/>
  <c r="D387" i="15"/>
  <c r="C387" i="15"/>
  <c r="B387" i="15"/>
  <c r="A387" i="15"/>
  <c r="Q387" i="15" s="1"/>
  <c r="P386" i="15"/>
  <c r="M386" i="15"/>
  <c r="L386" i="15"/>
  <c r="K386" i="15"/>
  <c r="J386" i="15"/>
  <c r="I386" i="15"/>
  <c r="R386" i="15" s="1"/>
  <c r="H386" i="15"/>
  <c r="G386" i="15"/>
  <c r="F386" i="15"/>
  <c r="E386" i="15"/>
  <c r="D386" i="15"/>
  <c r="C386" i="15"/>
  <c r="B386" i="15"/>
  <c r="A386" i="15"/>
  <c r="Q386" i="15" s="1"/>
  <c r="P385" i="15"/>
  <c r="M385" i="15"/>
  <c r="L385" i="15"/>
  <c r="K385" i="15"/>
  <c r="J385" i="15"/>
  <c r="I385" i="15"/>
  <c r="R385" i="15" s="1"/>
  <c r="H385" i="15"/>
  <c r="G385" i="15"/>
  <c r="F385" i="15"/>
  <c r="E385" i="15"/>
  <c r="D385" i="15"/>
  <c r="C385" i="15"/>
  <c r="B385" i="15"/>
  <c r="A385" i="15"/>
  <c r="Q385" i="15" s="1"/>
  <c r="P384" i="15"/>
  <c r="M384" i="15"/>
  <c r="L384" i="15"/>
  <c r="K384" i="15"/>
  <c r="J384" i="15"/>
  <c r="I384" i="15"/>
  <c r="R384" i="15" s="1"/>
  <c r="H384" i="15"/>
  <c r="G384" i="15"/>
  <c r="F384" i="15"/>
  <c r="E384" i="15"/>
  <c r="D384" i="15"/>
  <c r="C384" i="15"/>
  <c r="B384" i="15"/>
  <c r="A384" i="15"/>
  <c r="Q384" i="15" s="1"/>
  <c r="P383" i="15"/>
  <c r="M383" i="15"/>
  <c r="L383" i="15"/>
  <c r="K383" i="15"/>
  <c r="J383" i="15"/>
  <c r="I383" i="15"/>
  <c r="R383" i="15" s="1"/>
  <c r="H383" i="15"/>
  <c r="G383" i="15"/>
  <c r="F383" i="15"/>
  <c r="E383" i="15"/>
  <c r="D383" i="15"/>
  <c r="C383" i="15"/>
  <c r="B383" i="15"/>
  <c r="A383" i="15"/>
  <c r="Q383" i="15" s="1"/>
  <c r="P382" i="15"/>
  <c r="M382" i="15"/>
  <c r="L382" i="15"/>
  <c r="K382" i="15"/>
  <c r="J382" i="15"/>
  <c r="I382" i="15"/>
  <c r="R382" i="15" s="1"/>
  <c r="H382" i="15"/>
  <c r="G382" i="15"/>
  <c r="F382" i="15"/>
  <c r="E382" i="15"/>
  <c r="D382" i="15"/>
  <c r="C382" i="15"/>
  <c r="B382" i="15"/>
  <c r="A382" i="15"/>
  <c r="Q382" i="15" s="1"/>
  <c r="P381" i="15"/>
  <c r="M381" i="15"/>
  <c r="L381" i="15"/>
  <c r="K381" i="15"/>
  <c r="J381" i="15"/>
  <c r="I381" i="15"/>
  <c r="R381" i="15" s="1"/>
  <c r="H381" i="15"/>
  <c r="G381" i="15"/>
  <c r="F381" i="15"/>
  <c r="E381" i="15"/>
  <c r="D381" i="15"/>
  <c r="C381" i="15"/>
  <c r="B381" i="15"/>
  <c r="A381" i="15"/>
  <c r="Q381" i="15" s="1"/>
  <c r="P380" i="15"/>
  <c r="M380" i="15"/>
  <c r="L380" i="15"/>
  <c r="K380" i="15"/>
  <c r="J380" i="15"/>
  <c r="I380" i="15"/>
  <c r="R380" i="15" s="1"/>
  <c r="H380" i="15"/>
  <c r="G380" i="15"/>
  <c r="F380" i="15"/>
  <c r="E380" i="15"/>
  <c r="D380" i="15"/>
  <c r="C380" i="15"/>
  <c r="B380" i="15"/>
  <c r="A380" i="15"/>
  <c r="Q380" i="15" s="1"/>
  <c r="P379" i="15"/>
  <c r="M379" i="15"/>
  <c r="L379" i="15"/>
  <c r="K379" i="15"/>
  <c r="J379" i="15"/>
  <c r="I379" i="15"/>
  <c r="R379" i="15" s="1"/>
  <c r="H379" i="15"/>
  <c r="G379" i="15"/>
  <c r="F379" i="15"/>
  <c r="E379" i="15"/>
  <c r="D379" i="15"/>
  <c r="C379" i="15"/>
  <c r="B379" i="15"/>
  <c r="A379" i="15"/>
  <c r="Q379" i="15" s="1"/>
  <c r="P378" i="15"/>
  <c r="M378" i="15"/>
  <c r="L378" i="15"/>
  <c r="K378" i="15"/>
  <c r="J378" i="15"/>
  <c r="I378" i="15"/>
  <c r="R378" i="15" s="1"/>
  <c r="H378" i="15"/>
  <c r="G378" i="15"/>
  <c r="F378" i="15"/>
  <c r="E378" i="15"/>
  <c r="D378" i="15"/>
  <c r="C378" i="15"/>
  <c r="B378" i="15"/>
  <c r="A378" i="15"/>
  <c r="Q378" i="15" s="1"/>
  <c r="P377" i="15"/>
  <c r="M377" i="15"/>
  <c r="L377" i="15"/>
  <c r="K377" i="15"/>
  <c r="J377" i="15"/>
  <c r="I377" i="15"/>
  <c r="R377" i="15" s="1"/>
  <c r="H377" i="15"/>
  <c r="G377" i="15"/>
  <c r="F377" i="15"/>
  <c r="E377" i="15"/>
  <c r="D377" i="15"/>
  <c r="C377" i="15"/>
  <c r="B377" i="15"/>
  <c r="A377" i="15"/>
  <c r="Q377" i="15" s="1"/>
  <c r="P376" i="15"/>
  <c r="M376" i="15"/>
  <c r="L376" i="15"/>
  <c r="K376" i="15"/>
  <c r="J376" i="15"/>
  <c r="I376" i="15"/>
  <c r="R376" i="15" s="1"/>
  <c r="H376" i="15"/>
  <c r="G376" i="15"/>
  <c r="F376" i="15"/>
  <c r="E376" i="15"/>
  <c r="D376" i="15"/>
  <c r="C376" i="15"/>
  <c r="B376" i="15"/>
  <c r="A376" i="15"/>
  <c r="Q376" i="15" s="1"/>
  <c r="P375" i="15"/>
  <c r="M375" i="15"/>
  <c r="L375" i="15"/>
  <c r="K375" i="15"/>
  <c r="J375" i="15"/>
  <c r="I375" i="15"/>
  <c r="R375" i="15" s="1"/>
  <c r="H375" i="15"/>
  <c r="G375" i="15"/>
  <c r="F375" i="15"/>
  <c r="E375" i="15"/>
  <c r="D375" i="15"/>
  <c r="C375" i="15"/>
  <c r="B375" i="15"/>
  <c r="A375" i="15"/>
  <c r="Q375" i="15" s="1"/>
  <c r="P374" i="15"/>
  <c r="M374" i="15"/>
  <c r="L374" i="15"/>
  <c r="K374" i="15"/>
  <c r="J374" i="15"/>
  <c r="I374" i="15"/>
  <c r="R374" i="15" s="1"/>
  <c r="H374" i="15"/>
  <c r="G374" i="15"/>
  <c r="F374" i="15"/>
  <c r="E374" i="15"/>
  <c r="D374" i="15"/>
  <c r="C374" i="15"/>
  <c r="B374" i="15"/>
  <c r="A374" i="15"/>
  <c r="Q374" i="15" s="1"/>
  <c r="P373" i="15"/>
  <c r="M373" i="15"/>
  <c r="L373" i="15"/>
  <c r="K373" i="15"/>
  <c r="J373" i="15"/>
  <c r="I373" i="15"/>
  <c r="R373" i="15" s="1"/>
  <c r="H373" i="15"/>
  <c r="G373" i="15"/>
  <c r="F373" i="15"/>
  <c r="E373" i="15"/>
  <c r="D373" i="15"/>
  <c r="C373" i="15"/>
  <c r="B373" i="15"/>
  <c r="A373" i="15"/>
  <c r="Q373" i="15" s="1"/>
  <c r="P372" i="15"/>
  <c r="M372" i="15"/>
  <c r="L372" i="15"/>
  <c r="K372" i="15"/>
  <c r="J372" i="15"/>
  <c r="I372" i="15"/>
  <c r="R372" i="15" s="1"/>
  <c r="H372" i="15"/>
  <c r="G372" i="15"/>
  <c r="F372" i="15"/>
  <c r="E372" i="15"/>
  <c r="D372" i="15"/>
  <c r="C372" i="15"/>
  <c r="B372" i="15"/>
  <c r="A372" i="15"/>
  <c r="Q372" i="15" s="1"/>
  <c r="P371" i="15"/>
  <c r="M371" i="15"/>
  <c r="L371" i="15"/>
  <c r="K371" i="15"/>
  <c r="J371" i="15"/>
  <c r="I371" i="15"/>
  <c r="R371" i="15" s="1"/>
  <c r="H371" i="15"/>
  <c r="G371" i="15"/>
  <c r="F371" i="15"/>
  <c r="E371" i="15"/>
  <c r="D371" i="15"/>
  <c r="C371" i="15"/>
  <c r="B371" i="15"/>
  <c r="A371" i="15"/>
  <c r="Q371" i="15" s="1"/>
  <c r="P370" i="15"/>
  <c r="M370" i="15"/>
  <c r="L370" i="15"/>
  <c r="K370" i="15"/>
  <c r="J370" i="15"/>
  <c r="I370" i="15"/>
  <c r="R370" i="15" s="1"/>
  <c r="H370" i="15"/>
  <c r="G370" i="15"/>
  <c r="F370" i="15"/>
  <c r="E370" i="15"/>
  <c r="D370" i="15"/>
  <c r="C370" i="15"/>
  <c r="B370" i="15"/>
  <c r="A370" i="15"/>
  <c r="Q370" i="15" s="1"/>
  <c r="P369" i="15"/>
  <c r="M369" i="15"/>
  <c r="L369" i="15"/>
  <c r="K369" i="15"/>
  <c r="J369" i="15"/>
  <c r="I369" i="15"/>
  <c r="R369" i="15" s="1"/>
  <c r="H369" i="15"/>
  <c r="G369" i="15"/>
  <c r="F369" i="15"/>
  <c r="E369" i="15"/>
  <c r="D369" i="15"/>
  <c r="C369" i="15"/>
  <c r="B369" i="15"/>
  <c r="A369" i="15"/>
  <c r="Q369" i="15" s="1"/>
  <c r="P368" i="15"/>
  <c r="M368" i="15"/>
  <c r="L368" i="15"/>
  <c r="K368" i="15"/>
  <c r="J368" i="15"/>
  <c r="I368" i="15"/>
  <c r="R368" i="15" s="1"/>
  <c r="H368" i="15"/>
  <c r="G368" i="15"/>
  <c r="F368" i="15"/>
  <c r="E368" i="15"/>
  <c r="D368" i="15"/>
  <c r="C368" i="15"/>
  <c r="B368" i="15"/>
  <c r="A368" i="15"/>
  <c r="Q368" i="15" s="1"/>
  <c r="P367" i="15"/>
  <c r="M367" i="15"/>
  <c r="L367" i="15"/>
  <c r="K367" i="15"/>
  <c r="J367" i="15"/>
  <c r="I367" i="15"/>
  <c r="R367" i="15" s="1"/>
  <c r="H367" i="15"/>
  <c r="G367" i="15"/>
  <c r="F367" i="15"/>
  <c r="E367" i="15"/>
  <c r="D367" i="15"/>
  <c r="C367" i="15"/>
  <c r="B367" i="15"/>
  <c r="A367" i="15"/>
  <c r="Q367" i="15" s="1"/>
  <c r="P366" i="15"/>
  <c r="M366" i="15"/>
  <c r="L366" i="15"/>
  <c r="K366" i="15"/>
  <c r="J366" i="15"/>
  <c r="I366" i="15"/>
  <c r="R366" i="15" s="1"/>
  <c r="H366" i="15"/>
  <c r="G366" i="15"/>
  <c r="F366" i="15"/>
  <c r="E366" i="15"/>
  <c r="D366" i="15"/>
  <c r="C366" i="15"/>
  <c r="B366" i="15"/>
  <c r="A366" i="15"/>
  <c r="Q366" i="15" s="1"/>
  <c r="P365" i="15"/>
  <c r="M365" i="15"/>
  <c r="L365" i="15"/>
  <c r="K365" i="15"/>
  <c r="J365" i="15"/>
  <c r="I365" i="15"/>
  <c r="R365" i="15" s="1"/>
  <c r="H365" i="15"/>
  <c r="G365" i="15"/>
  <c r="F365" i="15"/>
  <c r="E365" i="15"/>
  <c r="D365" i="15"/>
  <c r="C365" i="15"/>
  <c r="B365" i="15"/>
  <c r="A365" i="15"/>
  <c r="Q365" i="15" s="1"/>
  <c r="P364" i="15"/>
  <c r="M364" i="15"/>
  <c r="L364" i="15"/>
  <c r="K364" i="15"/>
  <c r="J364" i="15"/>
  <c r="I364" i="15"/>
  <c r="R364" i="15" s="1"/>
  <c r="H364" i="15"/>
  <c r="G364" i="15"/>
  <c r="F364" i="15"/>
  <c r="E364" i="15"/>
  <c r="D364" i="15"/>
  <c r="C364" i="15"/>
  <c r="B364" i="15"/>
  <c r="A364" i="15"/>
  <c r="Q364" i="15" s="1"/>
  <c r="P363" i="15"/>
  <c r="M363" i="15"/>
  <c r="L363" i="15"/>
  <c r="K363" i="15"/>
  <c r="J363" i="15"/>
  <c r="I363" i="15"/>
  <c r="R363" i="15" s="1"/>
  <c r="H363" i="15"/>
  <c r="G363" i="15"/>
  <c r="F363" i="15"/>
  <c r="E363" i="15"/>
  <c r="D363" i="15"/>
  <c r="C363" i="15"/>
  <c r="B363" i="15"/>
  <c r="A363" i="15"/>
  <c r="Q363" i="15" s="1"/>
  <c r="P362" i="15"/>
  <c r="M362" i="15"/>
  <c r="L362" i="15"/>
  <c r="K362" i="15"/>
  <c r="J362" i="15"/>
  <c r="I362" i="15"/>
  <c r="R362" i="15" s="1"/>
  <c r="H362" i="15"/>
  <c r="G362" i="15"/>
  <c r="F362" i="15"/>
  <c r="E362" i="15"/>
  <c r="D362" i="15"/>
  <c r="C362" i="15"/>
  <c r="B362" i="15"/>
  <c r="A362" i="15"/>
  <c r="Q362" i="15" s="1"/>
  <c r="P361" i="15"/>
  <c r="M361" i="15"/>
  <c r="L361" i="15"/>
  <c r="K361" i="15"/>
  <c r="J361" i="15"/>
  <c r="I361" i="15"/>
  <c r="R361" i="15" s="1"/>
  <c r="H361" i="15"/>
  <c r="G361" i="15"/>
  <c r="F361" i="15"/>
  <c r="E361" i="15"/>
  <c r="D361" i="15"/>
  <c r="C361" i="15"/>
  <c r="B361" i="15"/>
  <c r="A361" i="15"/>
  <c r="Q361" i="15" s="1"/>
  <c r="P360" i="15"/>
  <c r="M360" i="15"/>
  <c r="L360" i="15"/>
  <c r="K360" i="15"/>
  <c r="J360" i="15"/>
  <c r="I360" i="15"/>
  <c r="R360" i="15" s="1"/>
  <c r="H360" i="15"/>
  <c r="G360" i="15"/>
  <c r="F360" i="15"/>
  <c r="E360" i="15"/>
  <c r="D360" i="15"/>
  <c r="C360" i="15"/>
  <c r="B360" i="15"/>
  <c r="A360" i="15"/>
  <c r="Q360" i="15" s="1"/>
  <c r="P359" i="15"/>
  <c r="M359" i="15"/>
  <c r="L359" i="15"/>
  <c r="K359" i="15"/>
  <c r="J359" i="15"/>
  <c r="I359" i="15"/>
  <c r="R359" i="15" s="1"/>
  <c r="H359" i="15"/>
  <c r="G359" i="15"/>
  <c r="F359" i="15"/>
  <c r="E359" i="15"/>
  <c r="D359" i="15"/>
  <c r="C359" i="15"/>
  <c r="B359" i="15"/>
  <c r="A359" i="15"/>
  <c r="Q359" i="15" s="1"/>
  <c r="P358" i="15"/>
  <c r="M358" i="15"/>
  <c r="L358" i="15"/>
  <c r="K358" i="15"/>
  <c r="J358" i="15"/>
  <c r="I358" i="15"/>
  <c r="R358" i="15" s="1"/>
  <c r="H358" i="15"/>
  <c r="G358" i="15"/>
  <c r="F358" i="15"/>
  <c r="E358" i="15"/>
  <c r="D358" i="15"/>
  <c r="C358" i="15"/>
  <c r="B358" i="15"/>
  <c r="A358" i="15"/>
  <c r="Q358" i="15" s="1"/>
  <c r="P357" i="15"/>
  <c r="M357" i="15"/>
  <c r="L357" i="15"/>
  <c r="K357" i="15"/>
  <c r="J357" i="15"/>
  <c r="I357" i="15"/>
  <c r="R357" i="15" s="1"/>
  <c r="H357" i="15"/>
  <c r="G357" i="15"/>
  <c r="F357" i="15"/>
  <c r="E357" i="15"/>
  <c r="D357" i="15"/>
  <c r="C357" i="15"/>
  <c r="B357" i="15"/>
  <c r="A357" i="15"/>
  <c r="Q357" i="15" s="1"/>
  <c r="P356" i="15"/>
  <c r="M356" i="15"/>
  <c r="L356" i="15"/>
  <c r="K356" i="15"/>
  <c r="J356" i="15"/>
  <c r="I356" i="15"/>
  <c r="R356" i="15" s="1"/>
  <c r="H356" i="15"/>
  <c r="G356" i="15"/>
  <c r="F356" i="15"/>
  <c r="E356" i="15"/>
  <c r="D356" i="15"/>
  <c r="C356" i="15"/>
  <c r="B356" i="15"/>
  <c r="A356" i="15"/>
  <c r="Q356" i="15" s="1"/>
  <c r="P355" i="15"/>
  <c r="M355" i="15"/>
  <c r="L355" i="15"/>
  <c r="K355" i="15"/>
  <c r="J355" i="15"/>
  <c r="I355" i="15"/>
  <c r="R355" i="15" s="1"/>
  <c r="H355" i="15"/>
  <c r="G355" i="15"/>
  <c r="F355" i="15"/>
  <c r="E355" i="15"/>
  <c r="D355" i="15"/>
  <c r="C355" i="15"/>
  <c r="B355" i="15"/>
  <c r="A355" i="15"/>
  <c r="Q355" i="15" s="1"/>
  <c r="P354" i="15"/>
  <c r="M354" i="15"/>
  <c r="L354" i="15"/>
  <c r="K354" i="15"/>
  <c r="J354" i="15"/>
  <c r="I354" i="15"/>
  <c r="R354" i="15" s="1"/>
  <c r="H354" i="15"/>
  <c r="G354" i="15"/>
  <c r="F354" i="15"/>
  <c r="E354" i="15"/>
  <c r="D354" i="15"/>
  <c r="C354" i="15"/>
  <c r="B354" i="15"/>
  <c r="A354" i="15"/>
  <c r="Q354" i="15" s="1"/>
  <c r="P353" i="15"/>
  <c r="M353" i="15"/>
  <c r="L353" i="15"/>
  <c r="K353" i="15"/>
  <c r="J353" i="15"/>
  <c r="I353" i="15"/>
  <c r="R353" i="15" s="1"/>
  <c r="H353" i="15"/>
  <c r="G353" i="15"/>
  <c r="F353" i="15"/>
  <c r="E353" i="15"/>
  <c r="D353" i="15"/>
  <c r="C353" i="15"/>
  <c r="B353" i="15"/>
  <c r="A353" i="15"/>
  <c r="Q353" i="15" s="1"/>
  <c r="P352" i="15"/>
  <c r="M352" i="15"/>
  <c r="L352" i="15"/>
  <c r="K352" i="15"/>
  <c r="J352" i="15"/>
  <c r="I352" i="15"/>
  <c r="R352" i="15" s="1"/>
  <c r="H352" i="15"/>
  <c r="G352" i="15"/>
  <c r="F352" i="15"/>
  <c r="E352" i="15"/>
  <c r="D352" i="15"/>
  <c r="C352" i="15"/>
  <c r="B352" i="15"/>
  <c r="A352" i="15"/>
  <c r="Q352" i="15" s="1"/>
  <c r="P351" i="15"/>
  <c r="M351" i="15"/>
  <c r="L351" i="15"/>
  <c r="K351" i="15"/>
  <c r="J351" i="15"/>
  <c r="I351" i="15"/>
  <c r="R351" i="15" s="1"/>
  <c r="H351" i="15"/>
  <c r="G351" i="15"/>
  <c r="F351" i="15"/>
  <c r="E351" i="15"/>
  <c r="D351" i="15"/>
  <c r="C351" i="15"/>
  <c r="B351" i="15"/>
  <c r="A351" i="15"/>
  <c r="Q351" i="15" s="1"/>
  <c r="P350" i="15"/>
  <c r="M350" i="15"/>
  <c r="L350" i="15"/>
  <c r="K350" i="15"/>
  <c r="J350" i="15"/>
  <c r="I350" i="15"/>
  <c r="R350" i="15" s="1"/>
  <c r="H350" i="15"/>
  <c r="G350" i="15"/>
  <c r="F350" i="15"/>
  <c r="E350" i="15"/>
  <c r="D350" i="15"/>
  <c r="C350" i="15"/>
  <c r="B350" i="15"/>
  <c r="A350" i="15"/>
  <c r="Q350" i="15" s="1"/>
  <c r="P349" i="15"/>
  <c r="M349" i="15"/>
  <c r="L349" i="15"/>
  <c r="K349" i="15"/>
  <c r="J349" i="15"/>
  <c r="I349" i="15"/>
  <c r="R349" i="15" s="1"/>
  <c r="H349" i="15"/>
  <c r="G349" i="15"/>
  <c r="F349" i="15"/>
  <c r="E349" i="15"/>
  <c r="D349" i="15"/>
  <c r="C349" i="15"/>
  <c r="B349" i="15"/>
  <c r="A349" i="15"/>
  <c r="Q349" i="15" s="1"/>
  <c r="P348" i="15"/>
  <c r="M348" i="15"/>
  <c r="L348" i="15"/>
  <c r="K348" i="15"/>
  <c r="J348" i="15"/>
  <c r="I348" i="15"/>
  <c r="R348" i="15" s="1"/>
  <c r="H348" i="15"/>
  <c r="G348" i="15"/>
  <c r="F348" i="15"/>
  <c r="E348" i="15"/>
  <c r="D348" i="15"/>
  <c r="C348" i="15"/>
  <c r="B348" i="15"/>
  <c r="A348" i="15"/>
  <c r="Q348" i="15" s="1"/>
  <c r="P347" i="15"/>
  <c r="M347" i="15"/>
  <c r="L347" i="15"/>
  <c r="K347" i="15"/>
  <c r="J347" i="15"/>
  <c r="I347" i="15"/>
  <c r="R347" i="15" s="1"/>
  <c r="H347" i="15"/>
  <c r="G347" i="15"/>
  <c r="F347" i="15"/>
  <c r="E347" i="15"/>
  <c r="D347" i="15"/>
  <c r="C347" i="15"/>
  <c r="B347" i="15"/>
  <c r="A347" i="15"/>
  <c r="Q347" i="15" s="1"/>
  <c r="P346" i="15"/>
  <c r="M346" i="15"/>
  <c r="L346" i="15"/>
  <c r="K346" i="15"/>
  <c r="J346" i="15"/>
  <c r="I346" i="15"/>
  <c r="R346" i="15" s="1"/>
  <c r="H346" i="15"/>
  <c r="G346" i="15"/>
  <c r="F346" i="15"/>
  <c r="E346" i="15"/>
  <c r="D346" i="15"/>
  <c r="C346" i="15"/>
  <c r="B346" i="15"/>
  <c r="A346" i="15"/>
  <c r="Q346" i="15" s="1"/>
  <c r="P345" i="15"/>
  <c r="M345" i="15"/>
  <c r="L345" i="15"/>
  <c r="K345" i="15"/>
  <c r="J345" i="15"/>
  <c r="I345" i="15"/>
  <c r="R345" i="15" s="1"/>
  <c r="H345" i="15"/>
  <c r="G345" i="15"/>
  <c r="F345" i="15"/>
  <c r="E345" i="15"/>
  <c r="D345" i="15"/>
  <c r="C345" i="15"/>
  <c r="B345" i="15"/>
  <c r="A345" i="15"/>
  <c r="Q345" i="15" s="1"/>
  <c r="P344" i="15"/>
  <c r="M344" i="15"/>
  <c r="L344" i="15"/>
  <c r="K344" i="15"/>
  <c r="J344" i="15"/>
  <c r="I344" i="15"/>
  <c r="R344" i="15" s="1"/>
  <c r="H344" i="15"/>
  <c r="G344" i="15"/>
  <c r="F344" i="15"/>
  <c r="E344" i="15"/>
  <c r="D344" i="15"/>
  <c r="C344" i="15"/>
  <c r="B344" i="15"/>
  <c r="A344" i="15"/>
  <c r="Q344" i="15" s="1"/>
  <c r="P343" i="15"/>
  <c r="M343" i="15"/>
  <c r="L343" i="15"/>
  <c r="K343" i="15"/>
  <c r="J343" i="15"/>
  <c r="I343" i="15"/>
  <c r="R343" i="15" s="1"/>
  <c r="H343" i="15"/>
  <c r="G343" i="15"/>
  <c r="F343" i="15"/>
  <c r="E343" i="15"/>
  <c r="D343" i="15"/>
  <c r="C343" i="15"/>
  <c r="B343" i="15"/>
  <c r="A343" i="15"/>
  <c r="Q343" i="15" s="1"/>
  <c r="P342" i="15"/>
  <c r="M342" i="15"/>
  <c r="L342" i="15"/>
  <c r="K342" i="15"/>
  <c r="J342" i="15"/>
  <c r="I342" i="15"/>
  <c r="R342" i="15" s="1"/>
  <c r="H342" i="15"/>
  <c r="G342" i="15"/>
  <c r="F342" i="15"/>
  <c r="E342" i="15"/>
  <c r="D342" i="15"/>
  <c r="C342" i="15"/>
  <c r="B342" i="15"/>
  <c r="A342" i="15"/>
  <c r="Q342" i="15" s="1"/>
  <c r="P341" i="15"/>
  <c r="M341" i="15"/>
  <c r="L341" i="15"/>
  <c r="K341" i="15"/>
  <c r="J341" i="15"/>
  <c r="I341" i="15"/>
  <c r="R341" i="15" s="1"/>
  <c r="H341" i="15"/>
  <c r="G341" i="15"/>
  <c r="F341" i="15"/>
  <c r="E341" i="15"/>
  <c r="D341" i="15"/>
  <c r="C341" i="15"/>
  <c r="B341" i="15"/>
  <c r="A341" i="15"/>
  <c r="Q341" i="15" s="1"/>
  <c r="P340" i="15"/>
  <c r="M340" i="15"/>
  <c r="L340" i="15"/>
  <c r="K340" i="15"/>
  <c r="J340" i="15"/>
  <c r="I340" i="15"/>
  <c r="R340" i="15" s="1"/>
  <c r="H340" i="15"/>
  <c r="G340" i="15"/>
  <c r="F340" i="15"/>
  <c r="E340" i="15"/>
  <c r="D340" i="15"/>
  <c r="C340" i="15"/>
  <c r="B340" i="15"/>
  <c r="A340" i="15"/>
  <c r="Q340" i="15" s="1"/>
  <c r="P339" i="15"/>
  <c r="M339" i="15"/>
  <c r="L339" i="15"/>
  <c r="K339" i="15"/>
  <c r="J339" i="15"/>
  <c r="I339" i="15"/>
  <c r="R339" i="15" s="1"/>
  <c r="H339" i="15"/>
  <c r="G339" i="15"/>
  <c r="F339" i="15"/>
  <c r="E339" i="15"/>
  <c r="D339" i="15"/>
  <c r="C339" i="15"/>
  <c r="B339" i="15"/>
  <c r="A339" i="15"/>
  <c r="Q339" i="15" s="1"/>
  <c r="P338" i="15"/>
  <c r="M338" i="15"/>
  <c r="L338" i="15"/>
  <c r="K338" i="15"/>
  <c r="J338" i="15"/>
  <c r="I338" i="15"/>
  <c r="R338" i="15" s="1"/>
  <c r="H338" i="15"/>
  <c r="G338" i="15"/>
  <c r="F338" i="15"/>
  <c r="E338" i="15"/>
  <c r="D338" i="15"/>
  <c r="C338" i="15"/>
  <c r="B338" i="15"/>
  <c r="A338" i="15"/>
  <c r="Q338" i="15" s="1"/>
  <c r="P337" i="15"/>
  <c r="M337" i="15"/>
  <c r="L337" i="15"/>
  <c r="K337" i="15"/>
  <c r="J337" i="15"/>
  <c r="I337" i="15"/>
  <c r="R337" i="15" s="1"/>
  <c r="H337" i="15"/>
  <c r="G337" i="15"/>
  <c r="F337" i="15"/>
  <c r="E337" i="15"/>
  <c r="D337" i="15"/>
  <c r="C337" i="15"/>
  <c r="B337" i="15"/>
  <c r="A337" i="15"/>
  <c r="Q337" i="15" s="1"/>
  <c r="P336" i="15"/>
  <c r="M336" i="15"/>
  <c r="L336" i="15"/>
  <c r="K336" i="15"/>
  <c r="J336" i="15"/>
  <c r="I336" i="15"/>
  <c r="R336" i="15" s="1"/>
  <c r="H336" i="15"/>
  <c r="G336" i="15"/>
  <c r="F336" i="15"/>
  <c r="E336" i="15"/>
  <c r="D336" i="15"/>
  <c r="C336" i="15"/>
  <c r="B336" i="15"/>
  <c r="A336" i="15"/>
  <c r="Q336" i="15" s="1"/>
  <c r="P335" i="15"/>
  <c r="M335" i="15"/>
  <c r="L335" i="15"/>
  <c r="K335" i="15"/>
  <c r="J335" i="15"/>
  <c r="I335" i="15"/>
  <c r="R335" i="15" s="1"/>
  <c r="H335" i="15"/>
  <c r="G335" i="15"/>
  <c r="F335" i="15"/>
  <c r="E335" i="15"/>
  <c r="D335" i="15"/>
  <c r="C335" i="15"/>
  <c r="B335" i="15"/>
  <c r="A335" i="15"/>
  <c r="Q335" i="15" s="1"/>
  <c r="P334" i="15"/>
  <c r="M334" i="15"/>
  <c r="L334" i="15"/>
  <c r="K334" i="15"/>
  <c r="J334" i="15"/>
  <c r="I334" i="15"/>
  <c r="R334" i="15" s="1"/>
  <c r="H334" i="15"/>
  <c r="G334" i="15"/>
  <c r="F334" i="15"/>
  <c r="E334" i="15"/>
  <c r="D334" i="15"/>
  <c r="C334" i="15"/>
  <c r="B334" i="15"/>
  <c r="A334" i="15"/>
  <c r="Q334" i="15" s="1"/>
  <c r="P333" i="15"/>
  <c r="M333" i="15"/>
  <c r="L333" i="15"/>
  <c r="K333" i="15"/>
  <c r="J333" i="15"/>
  <c r="I333" i="15"/>
  <c r="R333" i="15" s="1"/>
  <c r="H333" i="15"/>
  <c r="G333" i="15"/>
  <c r="F333" i="15"/>
  <c r="E333" i="15"/>
  <c r="D333" i="15"/>
  <c r="C333" i="15"/>
  <c r="B333" i="15"/>
  <c r="A333" i="15"/>
  <c r="Q333" i="15" s="1"/>
  <c r="P332" i="15"/>
  <c r="M332" i="15"/>
  <c r="L332" i="15"/>
  <c r="K332" i="15"/>
  <c r="J332" i="15"/>
  <c r="I332" i="15"/>
  <c r="R332" i="15" s="1"/>
  <c r="H332" i="15"/>
  <c r="G332" i="15"/>
  <c r="F332" i="15"/>
  <c r="E332" i="15"/>
  <c r="D332" i="15"/>
  <c r="C332" i="15"/>
  <c r="B332" i="15"/>
  <c r="A332" i="15"/>
  <c r="Q332" i="15" s="1"/>
  <c r="P331" i="15"/>
  <c r="M331" i="15"/>
  <c r="L331" i="15"/>
  <c r="K331" i="15"/>
  <c r="J331" i="15"/>
  <c r="I331" i="15"/>
  <c r="R331" i="15" s="1"/>
  <c r="H331" i="15"/>
  <c r="G331" i="15"/>
  <c r="F331" i="15"/>
  <c r="E331" i="15"/>
  <c r="D331" i="15"/>
  <c r="C331" i="15"/>
  <c r="B331" i="15"/>
  <c r="A331" i="15"/>
  <c r="Q331" i="15" s="1"/>
  <c r="P330" i="15"/>
  <c r="M330" i="15"/>
  <c r="L330" i="15"/>
  <c r="K330" i="15"/>
  <c r="J330" i="15"/>
  <c r="I330" i="15"/>
  <c r="R330" i="15" s="1"/>
  <c r="H330" i="15"/>
  <c r="G330" i="15"/>
  <c r="F330" i="15"/>
  <c r="E330" i="15"/>
  <c r="D330" i="15"/>
  <c r="C330" i="15"/>
  <c r="B330" i="15"/>
  <c r="A330" i="15"/>
  <c r="Q330" i="15" s="1"/>
  <c r="P329" i="15"/>
  <c r="M329" i="15"/>
  <c r="L329" i="15"/>
  <c r="K329" i="15"/>
  <c r="J329" i="15"/>
  <c r="I329" i="15"/>
  <c r="R329" i="15" s="1"/>
  <c r="H329" i="15"/>
  <c r="G329" i="15"/>
  <c r="F329" i="15"/>
  <c r="E329" i="15"/>
  <c r="D329" i="15"/>
  <c r="C329" i="15"/>
  <c r="B329" i="15"/>
  <c r="A329" i="15"/>
  <c r="Q329" i="15" s="1"/>
  <c r="P328" i="15"/>
  <c r="M328" i="15"/>
  <c r="L328" i="15"/>
  <c r="K328" i="15"/>
  <c r="J328" i="15"/>
  <c r="I328" i="15"/>
  <c r="R328" i="15" s="1"/>
  <c r="H328" i="15"/>
  <c r="G328" i="15"/>
  <c r="F328" i="15"/>
  <c r="E328" i="15"/>
  <c r="D328" i="15"/>
  <c r="C328" i="15"/>
  <c r="B328" i="15"/>
  <c r="A328" i="15"/>
  <c r="Q328" i="15" s="1"/>
  <c r="P327" i="15"/>
  <c r="M327" i="15"/>
  <c r="L327" i="15"/>
  <c r="K327" i="15"/>
  <c r="J327" i="15"/>
  <c r="I327" i="15"/>
  <c r="R327" i="15" s="1"/>
  <c r="H327" i="15"/>
  <c r="G327" i="15"/>
  <c r="F327" i="15"/>
  <c r="E327" i="15"/>
  <c r="D327" i="15"/>
  <c r="C327" i="15"/>
  <c r="B327" i="15"/>
  <c r="A327" i="15"/>
  <c r="Q327" i="15" s="1"/>
  <c r="P326" i="15"/>
  <c r="M326" i="15"/>
  <c r="L326" i="15"/>
  <c r="K326" i="15"/>
  <c r="J326" i="15"/>
  <c r="I326" i="15"/>
  <c r="R326" i="15" s="1"/>
  <c r="H326" i="15"/>
  <c r="G326" i="15"/>
  <c r="F326" i="15"/>
  <c r="E326" i="15"/>
  <c r="D326" i="15"/>
  <c r="C326" i="15"/>
  <c r="B326" i="15"/>
  <c r="A326" i="15"/>
  <c r="Q326" i="15" s="1"/>
  <c r="P325" i="15"/>
  <c r="M325" i="15"/>
  <c r="L325" i="15"/>
  <c r="K325" i="15"/>
  <c r="J325" i="15"/>
  <c r="I325" i="15"/>
  <c r="R325" i="15" s="1"/>
  <c r="H325" i="15"/>
  <c r="G325" i="15"/>
  <c r="F325" i="15"/>
  <c r="E325" i="15"/>
  <c r="D325" i="15"/>
  <c r="C325" i="15"/>
  <c r="B325" i="15"/>
  <c r="A325" i="15"/>
  <c r="Q325" i="15" s="1"/>
  <c r="P324" i="15"/>
  <c r="M324" i="15"/>
  <c r="L324" i="15"/>
  <c r="K324" i="15"/>
  <c r="J324" i="15"/>
  <c r="I324" i="15"/>
  <c r="R324" i="15" s="1"/>
  <c r="H324" i="15"/>
  <c r="G324" i="15"/>
  <c r="F324" i="15"/>
  <c r="E324" i="15"/>
  <c r="D324" i="15"/>
  <c r="C324" i="15"/>
  <c r="B324" i="15"/>
  <c r="A324" i="15"/>
  <c r="Q324" i="15" s="1"/>
  <c r="P323" i="15"/>
  <c r="M323" i="15"/>
  <c r="L323" i="15"/>
  <c r="K323" i="15"/>
  <c r="J323" i="15"/>
  <c r="I323" i="15"/>
  <c r="R323" i="15" s="1"/>
  <c r="H323" i="15"/>
  <c r="G323" i="15"/>
  <c r="F323" i="15"/>
  <c r="E323" i="15"/>
  <c r="D323" i="15"/>
  <c r="C323" i="15"/>
  <c r="B323" i="15"/>
  <c r="A323" i="15"/>
  <c r="Q323" i="15" s="1"/>
  <c r="P322" i="15"/>
  <c r="M322" i="15"/>
  <c r="L322" i="15"/>
  <c r="K322" i="15"/>
  <c r="J322" i="15"/>
  <c r="I322" i="15"/>
  <c r="R322" i="15" s="1"/>
  <c r="H322" i="15"/>
  <c r="G322" i="15"/>
  <c r="F322" i="15"/>
  <c r="E322" i="15"/>
  <c r="D322" i="15"/>
  <c r="C322" i="15"/>
  <c r="B322" i="15"/>
  <c r="A322" i="15"/>
  <c r="Q322" i="15" s="1"/>
  <c r="P321" i="15"/>
  <c r="M321" i="15"/>
  <c r="L321" i="15"/>
  <c r="K321" i="15"/>
  <c r="J321" i="15"/>
  <c r="I321" i="15"/>
  <c r="R321" i="15" s="1"/>
  <c r="H321" i="15"/>
  <c r="G321" i="15"/>
  <c r="F321" i="15"/>
  <c r="E321" i="15"/>
  <c r="D321" i="15"/>
  <c r="C321" i="15"/>
  <c r="B321" i="15"/>
  <c r="A321" i="15"/>
  <c r="Q321" i="15" s="1"/>
  <c r="P320" i="15"/>
  <c r="M320" i="15"/>
  <c r="L320" i="15"/>
  <c r="K320" i="15"/>
  <c r="J320" i="15"/>
  <c r="I320" i="15"/>
  <c r="R320" i="15" s="1"/>
  <c r="H320" i="15"/>
  <c r="G320" i="15"/>
  <c r="F320" i="15"/>
  <c r="E320" i="15"/>
  <c r="D320" i="15"/>
  <c r="C320" i="15"/>
  <c r="B320" i="15"/>
  <c r="A320" i="15"/>
  <c r="Q320" i="15" s="1"/>
  <c r="P319" i="15"/>
  <c r="M319" i="15"/>
  <c r="L319" i="15"/>
  <c r="K319" i="15"/>
  <c r="J319" i="15"/>
  <c r="I319" i="15"/>
  <c r="R319" i="15" s="1"/>
  <c r="H319" i="15"/>
  <c r="G319" i="15"/>
  <c r="F319" i="15"/>
  <c r="E319" i="15"/>
  <c r="D319" i="15"/>
  <c r="C319" i="15"/>
  <c r="B319" i="15"/>
  <c r="A319" i="15"/>
  <c r="Q319" i="15" s="1"/>
  <c r="P318" i="15"/>
  <c r="M318" i="15"/>
  <c r="L318" i="15"/>
  <c r="K318" i="15"/>
  <c r="J318" i="15"/>
  <c r="I318" i="15"/>
  <c r="R318" i="15" s="1"/>
  <c r="H318" i="15"/>
  <c r="G318" i="15"/>
  <c r="F318" i="15"/>
  <c r="E318" i="15"/>
  <c r="D318" i="15"/>
  <c r="C318" i="15"/>
  <c r="B318" i="15"/>
  <c r="A318" i="15"/>
  <c r="Q318" i="15" s="1"/>
  <c r="P317" i="15"/>
  <c r="M317" i="15"/>
  <c r="L317" i="15"/>
  <c r="K317" i="15"/>
  <c r="J317" i="15"/>
  <c r="I317" i="15"/>
  <c r="R317" i="15" s="1"/>
  <c r="H317" i="15"/>
  <c r="G317" i="15"/>
  <c r="F317" i="15"/>
  <c r="E317" i="15"/>
  <c r="D317" i="15"/>
  <c r="C317" i="15"/>
  <c r="B317" i="15"/>
  <c r="A317" i="15"/>
  <c r="Q317" i="15" s="1"/>
  <c r="P316" i="15"/>
  <c r="M316" i="15"/>
  <c r="L316" i="15"/>
  <c r="K316" i="15"/>
  <c r="J316" i="15"/>
  <c r="I316" i="15"/>
  <c r="R316" i="15" s="1"/>
  <c r="H316" i="15"/>
  <c r="G316" i="15"/>
  <c r="F316" i="15"/>
  <c r="E316" i="15"/>
  <c r="D316" i="15"/>
  <c r="C316" i="15"/>
  <c r="B316" i="15"/>
  <c r="A316" i="15"/>
  <c r="Q316" i="15" s="1"/>
  <c r="P315" i="15"/>
  <c r="M315" i="15"/>
  <c r="L315" i="15"/>
  <c r="K315" i="15"/>
  <c r="J315" i="15"/>
  <c r="I315" i="15"/>
  <c r="R315" i="15" s="1"/>
  <c r="H315" i="15"/>
  <c r="G315" i="15"/>
  <c r="F315" i="15"/>
  <c r="E315" i="15"/>
  <c r="D315" i="15"/>
  <c r="C315" i="15"/>
  <c r="B315" i="15"/>
  <c r="A315" i="15"/>
  <c r="Q315" i="15" s="1"/>
  <c r="P314" i="15"/>
  <c r="M314" i="15"/>
  <c r="L314" i="15"/>
  <c r="K314" i="15"/>
  <c r="J314" i="15"/>
  <c r="I314" i="15"/>
  <c r="R314" i="15" s="1"/>
  <c r="H314" i="15"/>
  <c r="G314" i="15"/>
  <c r="F314" i="15"/>
  <c r="E314" i="15"/>
  <c r="D314" i="15"/>
  <c r="C314" i="15"/>
  <c r="B314" i="15"/>
  <c r="A314" i="15"/>
  <c r="Q314" i="15" s="1"/>
  <c r="P313" i="15"/>
  <c r="M313" i="15"/>
  <c r="L313" i="15"/>
  <c r="K313" i="15"/>
  <c r="J313" i="15"/>
  <c r="I313" i="15"/>
  <c r="R313" i="15" s="1"/>
  <c r="H313" i="15"/>
  <c r="G313" i="15"/>
  <c r="F313" i="15"/>
  <c r="E313" i="15"/>
  <c r="D313" i="15"/>
  <c r="C313" i="15"/>
  <c r="B313" i="15"/>
  <c r="A313" i="15"/>
  <c r="Q313" i="15" s="1"/>
  <c r="P312" i="15"/>
  <c r="M312" i="15"/>
  <c r="L312" i="15"/>
  <c r="K312" i="15"/>
  <c r="J312" i="15"/>
  <c r="I312" i="15"/>
  <c r="R312" i="15" s="1"/>
  <c r="H312" i="15"/>
  <c r="G312" i="15"/>
  <c r="F312" i="15"/>
  <c r="E312" i="15"/>
  <c r="D312" i="15"/>
  <c r="C312" i="15"/>
  <c r="B312" i="15"/>
  <c r="A312" i="15"/>
  <c r="Q312" i="15" s="1"/>
  <c r="P311" i="15"/>
  <c r="M311" i="15"/>
  <c r="L311" i="15"/>
  <c r="K311" i="15"/>
  <c r="J311" i="15"/>
  <c r="I311" i="15"/>
  <c r="R311" i="15" s="1"/>
  <c r="H311" i="15"/>
  <c r="G311" i="15"/>
  <c r="F311" i="15"/>
  <c r="E311" i="15"/>
  <c r="D311" i="15"/>
  <c r="C311" i="15"/>
  <c r="B311" i="15"/>
  <c r="A311" i="15"/>
  <c r="Q311" i="15" s="1"/>
  <c r="P310" i="15"/>
  <c r="M310" i="15"/>
  <c r="L310" i="15"/>
  <c r="K310" i="15"/>
  <c r="J310" i="15"/>
  <c r="I310" i="15"/>
  <c r="R310" i="15" s="1"/>
  <c r="H310" i="15"/>
  <c r="G310" i="15"/>
  <c r="F310" i="15"/>
  <c r="E310" i="15"/>
  <c r="D310" i="15"/>
  <c r="C310" i="15"/>
  <c r="B310" i="15"/>
  <c r="A310" i="15"/>
  <c r="Q310" i="15" s="1"/>
  <c r="P309" i="15"/>
  <c r="M309" i="15"/>
  <c r="L309" i="15"/>
  <c r="K309" i="15"/>
  <c r="J309" i="15"/>
  <c r="I309" i="15"/>
  <c r="R309" i="15" s="1"/>
  <c r="H309" i="15"/>
  <c r="G309" i="15"/>
  <c r="F309" i="15"/>
  <c r="E309" i="15"/>
  <c r="D309" i="15"/>
  <c r="C309" i="15"/>
  <c r="B309" i="15"/>
  <c r="A309" i="15"/>
  <c r="Q309" i="15" s="1"/>
  <c r="P308" i="15"/>
  <c r="M308" i="15"/>
  <c r="L308" i="15"/>
  <c r="K308" i="15"/>
  <c r="J308" i="15"/>
  <c r="I308" i="15"/>
  <c r="R308" i="15" s="1"/>
  <c r="H308" i="15"/>
  <c r="G308" i="15"/>
  <c r="F308" i="15"/>
  <c r="E308" i="15"/>
  <c r="D308" i="15"/>
  <c r="C308" i="15"/>
  <c r="B308" i="15"/>
  <c r="A308" i="15"/>
  <c r="Q308" i="15" s="1"/>
  <c r="P307" i="15"/>
  <c r="M307" i="15"/>
  <c r="L307" i="15"/>
  <c r="K307" i="15"/>
  <c r="J307" i="15"/>
  <c r="I307" i="15"/>
  <c r="R307" i="15" s="1"/>
  <c r="H307" i="15"/>
  <c r="G307" i="15"/>
  <c r="F307" i="15"/>
  <c r="E307" i="15"/>
  <c r="D307" i="15"/>
  <c r="C307" i="15"/>
  <c r="B307" i="15"/>
  <c r="A307" i="15"/>
  <c r="Q307" i="15" s="1"/>
  <c r="P306" i="15"/>
  <c r="M306" i="15"/>
  <c r="L306" i="15"/>
  <c r="K306" i="15"/>
  <c r="J306" i="15"/>
  <c r="I306" i="15"/>
  <c r="R306" i="15" s="1"/>
  <c r="H306" i="15"/>
  <c r="G306" i="15"/>
  <c r="F306" i="15"/>
  <c r="E306" i="15"/>
  <c r="D306" i="15"/>
  <c r="C306" i="15"/>
  <c r="B306" i="15"/>
  <c r="A306" i="15"/>
  <c r="Q306" i="15" s="1"/>
  <c r="P305" i="15"/>
  <c r="M305" i="15"/>
  <c r="L305" i="15"/>
  <c r="K305" i="15"/>
  <c r="J305" i="15"/>
  <c r="I305" i="15"/>
  <c r="R305" i="15" s="1"/>
  <c r="H305" i="15"/>
  <c r="G305" i="15"/>
  <c r="F305" i="15"/>
  <c r="E305" i="15"/>
  <c r="D305" i="15"/>
  <c r="C305" i="15"/>
  <c r="B305" i="15"/>
  <c r="A305" i="15"/>
  <c r="Q305" i="15" s="1"/>
  <c r="P304" i="15"/>
  <c r="M304" i="15"/>
  <c r="L304" i="15"/>
  <c r="K304" i="15"/>
  <c r="J304" i="15"/>
  <c r="I304" i="15"/>
  <c r="R304" i="15" s="1"/>
  <c r="H304" i="15"/>
  <c r="G304" i="15"/>
  <c r="F304" i="15"/>
  <c r="E304" i="15"/>
  <c r="D304" i="15"/>
  <c r="C304" i="15"/>
  <c r="B304" i="15"/>
  <c r="A304" i="15"/>
  <c r="Q304" i="15" s="1"/>
  <c r="P303" i="15"/>
  <c r="M303" i="15"/>
  <c r="L303" i="15"/>
  <c r="K303" i="15"/>
  <c r="J303" i="15"/>
  <c r="I303" i="15"/>
  <c r="R303" i="15" s="1"/>
  <c r="H303" i="15"/>
  <c r="G303" i="15"/>
  <c r="F303" i="15"/>
  <c r="E303" i="15"/>
  <c r="D303" i="15"/>
  <c r="C303" i="15"/>
  <c r="B303" i="15"/>
  <c r="A303" i="15"/>
  <c r="Q303" i="15" s="1"/>
  <c r="P302" i="15"/>
  <c r="M302" i="15"/>
  <c r="L302" i="15"/>
  <c r="K302" i="15"/>
  <c r="J302" i="15"/>
  <c r="I302" i="15"/>
  <c r="R302" i="15" s="1"/>
  <c r="H302" i="15"/>
  <c r="G302" i="15"/>
  <c r="F302" i="15"/>
  <c r="E302" i="15"/>
  <c r="D302" i="15"/>
  <c r="C302" i="15"/>
  <c r="B302" i="15"/>
  <c r="A302" i="15"/>
  <c r="Q302" i="15" s="1"/>
  <c r="P301" i="15"/>
  <c r="M301" i="15"/>
  <c r="L301" i="15"/>
  <c r="K301" i="15"/>
  <c r="J301" i="15"/>
  <c r="I301" i="15"/>
  <c r="R301" i="15" s="1"/>
  <c r="H301" i="15"/>
  <c r="G301" i="15"/>
  <c r="F301" i="15"/>
  <c r="E301" i="15"/>
  <c r="D301" i="15"/>
  <c r="C301" i="15"/>
  <c r="B301" i="15"/>
  <c r="A301" i="15"/>
  <c r="Q301" i="15" s="1"/>
  <c r="P300" i="15"/>
  <c r="M300" i="15"/>
  <c r="L300" i="15"/>
  <c r="K300" i="15"/>
  <c r="J300" i="15"/>
  <c r="I300" i="15"/>
  <c r="R300" i="15" s="1"/>
  <c r="H300" i="15"/>
  <c r="G300" i="15"/>
  <c r="F300" i="15"/>
  <c r="E300" i="15"/>
  <c r="D300" i="15"/>
  <c r="C300" i="15"/>
  <c r="B300" i="15"/>
  <c r="A300" i="15"/>
  <c r="Q300" i="15" s="1"/>
  <c r="P299" i="15"/>
  <c r="M299" i="15"/>
  <c r="L299" i="15"/>
  <c r="K299" i="15"/>
  <c r="J299" i="15"/>
  <c r="I299" i="15"/>
  <c r="R299" i="15" s="1"/>
  <c r="H299" i="15"/>
  <c r="G299" i="15"/>
  <c r="F299" i="15"/>
  <c r="E299" i="15"/>
  <c r="D299" i="15"/>
  <c r="C299" i="15"/>
  <c r="B299" i="15"/>
  <c r="A299" i="15"/>
  <c r="Q299" i="15" s="1"/>
  <c r="P298" i="15"/>
  <c r="M298" i="15"/>
  <c r="L298" i="15"/>
  <c r="K298" i="15"/>
  <c r="J298" i="15"/>
  <c r="I298" i="15"/>
  <c r="R298" i="15" s="1"/>
  <c r="H298" i="15"/>
  <c r="G298" i="15"/>
  <c r="F298" i="15"/>
  <c r="E298" i="15"/>
  <c r="D298" i="15"/>
  <c r="C298" i="15"/>
  <c r="B298" i="15"/>
  <c r="A298" i="15"/>
  <c r="Q298" i="15" s="1"/>
  <c r="P297" i="15"/>
  <c r="M297" i="15"/>
  <c r="L297" i="15"/>
  <c r="K297" i="15"/>
  <c r="J297" i="15"/>
  <c r="I297" i="15"/>
  <c r="R297" i="15" s="1"/>
  <c r="H297" i="15"/>
  <c r="G297" i="15"/>
  <c r="F297" i="15"/>
  <c r="E297" i="15"/>
  <c r="D297" i="15"/>
  <c r="C297" i="15"/>
  <c r="B297" i="15"/>
  <c r="A297" i="15"/>
  <c r="Q297" i="15" s="1"/>
  <c r="P296" i="15"/>
  <c r="M296" i="15"/>
  <c r="L296" i="15"/>
  <c r="K296" i="15"/>
  <c r="J296" i="15"/>
  <c r="I296" i="15"/>
  <c r="R296" i="15" s="1"/>
  <c r="H296" i="15"/>
  <c r="G296" i="15"/>
  <c r="F296" i="15"/>
  <c r="E296" i="15"/>
  <c r="D296" i="15"/>
  <c r="C296" i="15"/>
  <c r="B296" i="15"/>
  <c r="A296" i="15"/>
  <c r="Q296" i="15" s="1"/>
  <c r="P295" i="15"/>
  <c r="M295" i="15"/>
  <c r="L295" i="15"/>
  <c r="K295" i="15"/>
  <c r="J295" i="15"/>
  <c r="I295" i="15"/>
  <c r="R295" i="15" s="1"/>
  <c r="H295" i="15"/>
  <c r="G295" i="15"/>
  <c r="F295" i="15"/>
  <c r="E295" i="15"/>
  <c r="D295" i="15"/>
  <c r="C295" i="15"/>
  <c r="B295" i="15"/>
  <c r="A295" i="15"/>
  <c r="Q295" i="15" s="1"/>
  <c r="P294" i="15"/>
  <c r="M294" i="15"/>
  <c r="L294" i="15"/>
  <c r="K294" i="15"/>
  <c r="J294" i="15"/>
  <c r="I294" i="15"/>
  <c r="R294" i="15" s="1"/>
  <c r="H294" i="15"/>
  <c r="G294" i="15"/>
  <c r="F294" i="15"/>
  <c r="E294" i="15"/>
  <c r="D294" i="15"/>
  <c r="C294" i="15"/>
  <c r="B294" i="15"/>
  <c r="A294" i="15"/>
  <c r="Q294" i="15" s="1"/>
  <c r="P293" i="15"/>
  <c r="M293" i="15"/>
  <c r="L293" i="15"/>
  <c r="K293" i="15"/>
  <c r="J293" i="15"/>
  <c r="I293" i="15"/>
  <c r="R293" i="15" s="1"/>
  <c r="H293" i="15"/>
  <c r="G293" i="15"/>
  <c r="F293" i="15"/>
  <c r="E293" i="15"/>
  <c r="D293" i="15"/>
  <c r="C293" i="15"/>
  <c r="B293" i="15"/>
  <c r="A293" i="15"/>
  <c r="Q293" i="15" s="1"/>
  <c r="P292" i="15"/>
  <c r="M292" i="15"/>
  <c r="L292" i="15"/>
  <c r="K292" i="15"/>
  <c r="J292" i="15"/>
  <c r="I292" i="15"/>
  <c r="R292" i="15" s="1"/>
  <c r="H292" i="15"/>
  <c r="G292" i="15"/>
  <c r="F292" i="15"/>
  <c r="E292" i="15"/>
  <c r="D292" i="15"/>
  <c r="C292" i="15"/>
  <c r="B292" i="15"/>
  <c r="A292" i="15"/>
  <c r="Q292" i="15" s="1"/>
  <c r="P291" i="15"/>
  <c r="M291" i="15"/>
  <c r="L291" i="15"/>
  <c r="K291" i="15"/>
  <c r="J291" i="15"/>
  <c r="I291" i="15"/>
  <c r="R291" i="15" s="1"/>
  <c r="H291" i="15"/>
  <c r="G291" i="15"/>
  <c r="F291" i="15"/>
  <c r="E291" i="15"/>
  <c r="D291" i="15"/>
  <c r="C291" i="15"/>
  <c r="B291" i="15"/>
  <c r="A291" i="15"/>
  <c r="Q291" i="15" s="1"/>
  <c r="P290" i="15"/>
  <c r="M290" i="15"/>
  <c r="L290" i="15"/>
  <c r="K290" i="15"/>
  <c r="J290" i="15"/>
  <c r="I290" i="15"/>
  <c r="R290" i="15" s="1"/>
  <c r="H290" i="15"/>
  <c r="G290" i="15"/>
  <c r="F290" i="15"/>
  <c r="E290" i="15"/>
  <c r="D290" i="15"/>
  <c r="C290" i="15"/>
  <c r="B290" i="15"/>
  <c r="A290" i="15"/>
  <c r="Q290" i="15" s="1"/>
  <c r="P289" i="15"/>
  <c r="M289" i="15"/>
  <c r="L289" i="15"/>
  <c r="K289" i="15"/>
  <c r="J289" i="15"/>
  <c r="I289" i="15"/>
  <c r="R289" i="15" s="1"/>
  <c r="H289" i="15"/>
  <c r="G289" i="15"/>
  <c r="F289" i="15"/>
  <c r="E289" i="15"/>
  <c r="D289" i="15"/>
  <c r="C289" i="15"/>
  <c r="B289" i="15"/>
  <c r="A289" i="15"/>
  <c r="Q289" i="15" s="1"/>
  <c r="P288" i="15"/>
  <c r="M288" i="15"/>
  <c r="L288" i="15"/>
  <c r="K288" i="15"/>
  <c r="J288" i="15"/>
  <c r="I288" i="15"/>
  <c r="R288" i="15" s="1"/>
  <c r="H288" i="15"/>
  <c r="G288" i="15"/>
  <c r="F288" i="15"/>
  <c r="E288" i="15"/>
  <c r="D288" i="15"/>
  <c r="C288" i="15"/>
  <c r="B288" i="15"/>
  <c r="A288" i="15"/>
  <c r="Q288" i="15" s="1"/>
  <c r="P287" i="15"/>
  <c r="M287" i="15"/>
  <c r="L287" i="15"/>
  <c r="K287" i="15"/>
  <c r="J287" i="15"/>
  <c r="I287" i="15"/>
  <c r="R287" i="15" s="1"/>
  <c r="H287" i="15"/>
  <c r="G287" i="15"/>
  <c r="F287" i="15"/>
  <c r="E287" i="15"/>
  <c r="D287" i="15"/>
  <c r="C287" i="15"/>
  <c r="B287" i="15"/>
  <c r="A287" i="15"/>
  <c r="Q287" i="15" s="1"/>
  <c r="P286" i="15"/>
  <c r="M286" i="15"/>
  <c r="L286" i="15"/>
  <c r="K286" i="15"/>
  <c r="J286" i="15"/>
  <c r="I286" i="15"/>
  <c r="R286" i="15" s="1"/>
  <c r="H286" i="15"/>
  <c r="G286" i="15"/>
  <c r="F286" i="15"/>
  <c r="E286" i="15"/>
  <c r="D286" i="15"/>
  <c r="C286" i="15"/>
  <c r="B286" i="15"/>
  <c r="A286" i="15"/>
  <c r="Q286" i="15" s="1"/>
  <c r="P285" i="15"/>
  <c r="M285" i="15"/>
  <c r="L285" i="15"/>
  <c r="K285" i="15"/>
  <c r="J285" i="15"/>
  <c r="I285" i="15"/>
  <c r="R285" i="15" s="1"/>
  <c r="H285" i="15"/>
  <c r="G285" i="15"/>
  <c r="F285" i="15"/>
  <c r="E285" i="15"/>
  <c r="D285" i="15"/>
  <c r="C285" i="15"/>
  <c r="B285" i="15"/>
  <c r="A285" i="15"/>
  <c r="Q285" i="15" s="1"/>
  <c r="P284" i="15"/>
  <c r="M284" i="15"/>
  <c r="L284" i="15"/>
  <c r="K284" i="15"/>
  <c r="J284" i="15"/>
  <c r="I284" i="15"/>
  <c r="R284" i="15" s="1"/>
  <c r="H284" i="15"/>
  <c r="G284" i="15"/>
  <c r="F284" i="15"/>
  <c r="E284" i="15"/>
  <c r="D284" i="15"/>
  <c r="C284" i="15"/>
  <c r="B284" i="15"/>
  <c r="A284" i="15"/>
  <c r="Q284" i="15" s="1"/>
  <c r="P283" i="15"/>
  <c r="M283" i="15"/>
  <c r="L283" i="15"/>
  <c r="K283" i="15"/>
  <c r="J283" i="15"/>
  <c r="I283" i="15"/>
  <c r="R283" i="15" s="1"/>
  <c r="H283" i="15"/>
  <c r="G283" i="15"/>
  <c r="F283" i="15"/>
  <c r="E283" i="15"/>
  <c r="D283" i="15"/>
  <c r="C283" i="15"/>
  <c r="B283" i="15"/>
  <c r="A283" i="15"/>
  <c r="Q283" i="15" s="1"/>
  <c r="P282" i="15"/>
  <c r="M282" i="15"/>
  <c r="L282" i="15"/>
  <c r="K282" i="15"/>
  <c r="J282" i="15"/>
  <c r="I282" i="15"/>
  <c r="R282" i="15" s="1"/>
  <c r="H282" i="15"/>
  <c r="G282" i="15"/>
  <c r="F282" i="15"/>
  <c r="E282" i="15"/>
  <c r="D282" i="15"/>
  <c r="C282" i="15"/>
  <c r="B282" i="15"/>
  <c r="A282" i="15"/>
  <c r="Q282" i="15" s="1"/>
  <c r="P281" i="15"/>
  <c r="M281" i="15"/>
  <c r="L281" i="15"/>
  <c r="K281" i="15"/>
  <c r="J281" i="15"/>
  <c r="I281" i="15"/>
  <c r="R281" i="15" s="1"/>
  <c r="H281" i="15"/>
  <c r="G281" i="15"/>
  <c r="F281" i="15"/>
  <c r="E281" i="15"/>
  <c r="D281" i="15"/>
  <c r="C281" i="15"/>
  <c r="B281" i="15"/>
  <c r="A281" i="15"/>
  <c r="Q281" i="15" s="1"/>
  <c r="P280" i="15"/>
  <c r="M280" i="15"/>
  <c r="L280" i="15"/>
  <c r="K280" i="15"/>
  <c r="J280" i="15"/>
  <c r="I280" i="15"/>
  <c r="R280" i="15" s="1"/>
  <c r="H280" i="15"/>
  <c r="G280" i="15"/>
  <c r="F280" i="15"/>
  <c r="E280" i="15"/>
  <c r="D280" i="15"/>
  <c r="C280" i="15"/>
  <c r="B280" i="15"/>
  <c r="A280" i="15"/>
  <c r="Q280" i="15" s="1"/>
  <c r="P279" i="15"/>
  <c r="M279" i="15"/>
  <c r="L279" i="15"/>
  <c r="K279" i="15"/>
  <c r="J279" i="15"/>
  <c r="I279" i="15"/>
  <c r="R279" i="15" s="1"/>
  <c r="H279" i="15"/>
  <c r="G279" i="15"/>
  <c r="F279" i="15"/>
  <c r="E279" i="15"/>
  <c r="D279" i="15"/>
  <c r="C279" i="15"/>
  <c r="B279" i="15"/>
  <c r="A279" i="15"/>
  <c r="Q279" i="15" s="1"/>
  <c r="P278" i="15"/>
  <c r="M278" i="15"/>
  <c r="L278" i="15"/>
  <c r="K278" i="15"/>
  <c r="J278" i="15"/>
  <c r="I278" i="15"/>
  <c r="R278" i="15" s="1"/>
  <c r="H278" i="15"/>
  <c r="G278" i="15"/>
  <c r="F278" i="15"/>
  <c r="E278" i="15"/>
  <c r="D278" i="15"/>
  <c r="C278" i="15"/>
  <c r="B278" i="15"/>
  <c r="A278" i="15"/>
  <c r="Q278" i="15" s="1"/>
  <c r="P277" i="15"/>
  <c r="M277" i="15"/>
  <c r="L277" i="15"/>
  <c r="K277" i="15"/>
  <c r="J277" i="15"/>
  <c r="I277" i="15"/>
  <c r="R277" i="15" s="1"/>
  <c r="H277" i="15"/>
  <c r="G277" i="15"/>
  <c r="F277" i="15"/>
  <c r="E277" i="15"/>
  <c r="D277" i="15"/>
  <c r="C277" i="15"/>
  <c r="B277" i="15"/>
  <c r="A277" i="15"/>
  <c r="Q277" i="15" s="1"/>
  <c r="P276" i="15"/>
  <c r="M276" i="15"/>
  <c r="L276" i="15"/>
  <c r="K276" i="15"/>
  <c r="J276" i="15"/>
  <c r="I276" i="15"/>
  <c r="R276" i="15" s="1"/>
  <c r="H276" i="15"/>
  <c r="G276" i="15"/>
  <c r="F276" i="15"/>
  <c r="E276" i="15"/>
  <c r="D276" i="15"/>
  <c r="C276" i="15"/>
  <c r="B276" i="15"/>
  <c r="A276" i="15"/>
  <c r="Q276" i="15" s="1"/>
  <c r="P275" i="15"/>
  <c r="M275" i="15"/>
  <c r="L275" i="15"/>
  <c r="K275" i="15"/>
  <c r="J275" i="15"/>
  <c r="I275" i="15"/>
  <c r="R275" i="15" s="1"/>
  <c r="H275" i="15"/>
  <c r="G275" i="15"/>
  <c r="F275" i="15"/>
  <c r="E275" i="15"/>
  <c r="D275" i="15"/>
  <c r="C275" i="15"/>
  <c r="B275" i="15"/>
  <c r="A275" i="15"/>
  <c r="Q275" i="15" s="1"/>
  <c r="P274" i="15"/>
  <c r="M274" i="15"/>
  <c r="L274" i="15"/>
  <c r="K274" i="15"/>
  <c r="J274" i="15"/>
  <c r="I274" i="15"/>
  <c r="R274" i="15" s="1"/>
  <c r="H274" i="15"/>
  <c r="G274" i="15"/>
  <c r="F274" i="15"/>
  <c r="E274" i="15"/>
  <c r="D274" i="15"/>
  <c r="C274" i="15"/>
  <c r="B274" i="15"/>
  <c r="A274" i="15"/>
  <c r="Q274" i="15" s="1"/>
  <c r="P273" i="15"/>
  <c r="M273" i="15"/>
  <c r="L273" i="15"/>
  <c r="K273" i="15"/>
  <c r="J273" i="15"/>
  <c r="I273" i="15"/>
  <c r="R273" i="15" s="1"/>
  <c r="H273" i="15"/>
  <c r="G273" i="15"/>
  <c r="F273" i="15"/>
  <c r="E273" i="15"/>
  <c r="D273" i="15"/>
  <c r="C273" i="15"/>
  <c r="B273" i="15"/>
  <c r="A273" i="15"/>
  <c r="Q273" i="15" s="1"/>
  <c r="P272" i="15"/>
  <c r="M272" i="15"/>
  <c r="L272" i="15"/>
  <c r="K272" i="15"/>
  <c r="J272" i="15"/>
  <c r="I272" i="15"/>
  <c r="R272" i="15" s="1"/>
  <c r="H272" i="15"/>
  <c r="G272" i="15"/>
  <c r="F272" i="15"/>
  <c r="E272" i="15"/>
  <c r="D272" i="15"/>
  <c r="C272" i="15"/>
  <c r="B272" i="15"/>
  <c r="A272" i="15"/>
  <c r="Q272" i="15" s="1"/>
  <c r="P271" i="15"/>
  <c r="M271" i="15"/>
  <c r="L271" i="15"/>
  <c r="K271" i="15"/>
  <c r="J271" i="15"/>
  <c r="I271" i="15"/>
  <c r="R271" i="15" s="1"/>
  <c r="H271" i="15"/>
  <c r="G271" i="15"/>
  <c r="F271" i="15"/>
  <c r="E271" i="15"/>
  <c r="D271" i="15"/>
  <c r="C271" i="15"/>
  <c r="B271" i="15"/>
  <c r="A271" i="15"/>
  <c r="Q271" i="15" s="1"/>
  <c r="P270" i="15"/>
  <c r="M270" i="15"/>
  <c r="L270" i="15"/>
  <c r="K270" i="15"/>
  <c r="J270" i="15"/>
  <c r="I270" i="15"/>
  <c r="R270" i="15" s="1"/>
  <c r="H270" i="15"/>
  <c r="G270" i="15"/>
  <c r="F270" i="15"/>
  <c r="E270" i="15"/>
  <c r="D270" i="15"/>
  <c r="C270" i="15"/>
  <c r="B270" i="15"/>
  <c r="A270" i="15"/>
  <c r="Q270" i="15" s="1"/>
  <c r="P269" i="15"/>
  <c r="M269" i="15"/>
  <c r="L269" i="15"/>
  <c r="K269" i="15"/>
  <c r="J269" i="15"/>
  <c r="I269" i="15"/>
  <c r="R269" i="15" s="1"/>
  <c r="H269" i="15"/>
  <c r="G269" i="15"/>
  <c r="F269" i="15"/>
  <c r="E269" i="15"/>
  <c r="D269" i="15"/>
  <c r="C269" i="15"/>
  <c r="B269" i="15"/>
  <c r="A269" i="15"/>
  <c r="Q269" i="15" s="1"/>
  <c r="P268" i="15"/>
  <c r="M268" i="15"/>
  <c r="L268" i="15"/>
  <c r="K268" i="15"/>
  <c r="J268" i="15"/>
  <c r="I268" i="15"/>
  <c r="R268" i="15" s="1"/>
  <c r="H268" i="15"/>
  <c r="G268" i="15"/>
  <c r="F268" i="15"/>
  <c r="E268" i="15"/>
  <c r="D268" i="15"/>
  <c r="C268" i="15"/>
  <c r="B268" i="15"/>
  <c r="A268" i="15"/>
  <c r="Q268" i="15" s="1"/>
  <c r="P267" i="15"/>
  <c r="M267" i="15"/>
  <c r="L267" i="15"/>
  <c r="K267" i="15"/>
  <c r="J267" i="15"/>
  <c r="I267" i="15"/>
  <c r="R267" i="15" s="1"/>
  <c r="H267" i="15"/>
  <c r="G267" i="15"/>
  <c r="F267" i="15"/>
  <c r="E267" i="15"/>
  <c r="D267" i="15"/>
  <c r="C267" i="15"/>
  <c r="B267" i="15"/>
  <c r="A267" i="15"/>
  <c r="Q267" i="15" s="1"/>
  <c r="P266" i="15"/>
  <c r="M266" i="15"/>
  <c r="L266" i="15"/>
  <c r="K266" i="15"/>
  <c r="J266" i="15"/>
  <c r="I266" i="15"/>
  <c r="R266" i="15" s="1"/>
  <c r="H266" i="15"/>
  <c r="G266" i="15"/>
  <c r="F266" i="15"/>
  <c r="E266" i="15"/>
  <c r="D266" i="15"/>
  <c r="C266" i="15"/>
  <c r="B266" i="15"/>
  <c r="A266" i="15"/>
  <c r="Q266" i="15" s="1"/>
  <c r="P265" i="15"/>
  <c r="M265" i="15"/>
  <c r="L265" i="15"/>
  <c r="K265" i="15"/>
  <c r="J265" i="15"/>
  <c r="I265" i="15"/>
  <c r="R265" i="15" s="1"/>
  <c r="H265" i="15"/>
  <c r="G265" i="15"/>
  <c r="F265" i="15"/>
  <c r="E265" i="15"/>
  <c r="D265" i="15"/>
  <c r="C265" i="15"/>
  <c r="B265" i="15"/>
  <c r="A265" i="15"/>
  <c r="Q265" i="15" s="1"/>
  <c r="P264" i="15"/>
  <c r="M264" i="15"/>
  <c r="L264" i="15"/>
  <c r="K264" i="15"/>
  <c r="J264" i="15"/>
  <c r="I264" i="15"/>
  <c r="R264" i="15" s="1"/>
  <c r="H264" i="15"/>
  <c r="G264" i="15"/>
  <c r="F264" i="15"/>
  <c r="E264" i="15"/>
  <c r="D264" i="15"/>
  <c r="C264" i="15"/>
  <c r="B264" i="15"/>
  <c r="A264" i="15"/>
  <c r="Q264" i="15" s="1"/>
  <c r="P263" i="15"/>
  <c r="M263" i="15"/>
  <c r="L263" i="15"/>
  <c r="K263" i="15"/>
  <c r="J263" i="15"/>
  <c r="I263" i="15"/>
  <c r="R263" i="15" s="1"/>
  <c r="H263" i="15"/>
  <c r="G263" i="15"/>
  <c r="F263" i="15"/>
  <c r="E263" i="15"/>
  <c r="D263" i="15"/>
  <c r="C263" i="15"/>
  <c r="B263" i="15"/>
  <c r="A263" i="15"/>
  <c r="Q263" i="15" s="1"/>
  <c r="P262" i="15"/>
  <c r="M262" i="15"/>
  <c r="L262" i="15"/>
  <c r="K262" i="15"/>
  <c r="J262" i="15"/>
  <c r="I262" i="15"/>
  <c r="R262" i="15" s="1"/>
  <c r="H262" i="15"/>
  <c r="G262" i="15"/>
  <c r="F262" i="15"/>
  <c r="E262" i="15"/>
  <c r="D262" i="15"/>
  <c r="C262" i="15"/>
  <c r="B262" i="15"/>
  <c r="A262" i="15"/>
  <c r="Q262" i="15" s="1"/>
  <c r="P261" i="15"/>
  <c r="M261" i="15"/>
  <c r="L261" i="15"/>
  <c r="K261" i="15"/>
  <c r="J261" i="15"/>
  <c r="I261" i="15"/>
  <c r="R261" i="15" s="1"/>
  <c r="H261" i="15"/>
  <c r="G261" i="15"/>
  <c r="F261" i="15"/>
  <c r="E261" i="15"/>
  <c r="D261" i="15"/>
  <c r="C261" i="15"/>
  <c r="B261" i="15"/>
  <c r="A261" i="15"/>
  <c r="Q261" i="15" s="1"/>
  <c r="P260" i="15"/>
  <c r="M260" i="15"/>
  <c r="L260" i="15"/>
  <c r="K260" i="15"/>
  <c r="J260" i="15"/>
  <c r="I260" i="15"/>
  <c r="R260" i="15" s="1"/>
  <c r="H260" i="15"/>
  <c r="G260" i="15"/>
  <c r="F260" i="15"/>
  <c r="E260" i="15"/>
  <c r="D260" i="15"/>
  <c r="C260" i="15"/>
  <c r="B260" i="15"/>
  <c r="A260" i="15"/>
  <c r="Q260" i="15" s="1"/>
  <c r="P259" i="15"/>
  <c r="M259" i="15"/>
  <c r="L259" i="15"/>
  <c r="K259" i="15"/>
  <c r="J259" i="15"/>
  <c r="I259" i="15"/>
  <c r="R259" i="15" s="1"/>
  <c r="H259" i="15"/>
  <c r="G259" i="15"/>
  <c r="F259" i="15"/>
  <c r="E259" i="15"/>
  <c r="D259" i="15"/>
  <c r="C259" i="15"/>
  <c r="B259" i="15"/>
  <c r="A259" i="15"/>
  <c r="Q259" i="15" s="1"/>
  <c r="P258" i="15"/>
  <c r="M258" i="15"/>
  <c r="L258" i="15"/>
  <c r="K258" i="15"/>
  <c r="J258" i="15"/>
  <c r="I258" i="15"/>
  <c r="R258" i="15" s="1"/>
  <c r="H258" i="15"/>
  <c r="G258" i="15"/>
  <c r="F258" i="15"/>
  <c r="E258" i="15"/>
  <c r="D258" i="15"/>
  <c r="C258" i="15"/>
  <c r="B258" i="15"/>
  <c r="A258" i="15"/>
  <c r="Q258" i="15" s="1"/>
  <c r="P257" i="15"/>
  <c r="M257" i="15"/>
  <c r="L257" i="15"/>
  <c r="K257" i="15"/>
  <c r="J257" i="15"/>
  <c r="I257" i="15"/>
  <c r="R257" i="15" s="1"/>
  <c r="H257" i="15"/>
  <c r="G257" i="15"/>
  <c r="F257" i="15"/>
  <c r="E257" i="15"/>
  <c r="D257" i="15"/>
  <c r="C257" i="15"/>
  <c r="B257" i="15"/>
  <c r="A257" i="15"/>
  <c r="Q257" i="15" s="1"/>
  <c r="P256" i="15"/>
  <c r="M256" i="15"/>
  <c r="L256" i="15"/>
  <c r="K256" i="15"/>
  <c r="J256" i="15"/>
  <c r="I256" i="15"/>
  <c r="R256" i="15" s="1"/>
  <c r="H256" i="15"/>
  <c r="G256" i="15"/>
  <c r="F256" i="15"/>
  <c r="E256" i="15"/>
  <c r="D256" i="15"/>
  <c r="C256" i="15"/>
  <c r="B256" i="15"/>
  <c r="A256" i="15"/>
  <c r="Q256" i="15" s="1"/>
  <c r="P255" i="15"/>
  <c r="M255" i="15"/>
  <c r="L255" i="15"/>
  <c r="K255" i="15"/>
  <c r="J255" i="15"/>
  <c r="I255" i="15"/>
  <c r="R255" i="15" s="1"/>
  <c r="H255" i="15"/>
  <c r="G255" i="15"/>
  <c r="F255" i="15"/>
  <c r="E255" i="15"/>
  <c r="D255" i="15"/>
  <c r="C255" i="15"/>
  <c r="B255" i="15"/>
  <c r="A255" i="15"/>
  <c r="Q255" i="15" s="1"/>
  <c r="P254" i="15"/>
  <c r="M254" i="15"/>
  <c r="L254" i="15"/>
  <c r="K254" i="15"/>
  <c r="J254" i="15"/>
  <c r="I254" i="15"/>
  <c r="R254" i="15" s="1"/>
  <c r="H254" i="15"/>
  <c r="G254" i="15"/>
  <c r="F254" i="15"/>
  <c r="E254" i="15"/>
  <c r="D254" i="15"/>
  <c r="C254" i="15"/>
  <c r="B254" i="15"/>
  <c r="A254" i="15"/>
  <c r="Q254" i="15" s="1"/>
  <c r="P253" i="15"/>
  <c r="M253" i="15"/>
  <c r="L253" i="15"/>
  <c r="K253" i="15"/>
  <c r="J253" i="15"/>
  <c r="I253" i="15"/>
  <c r="R253" i="15" s="1"/>
  <c r="H253" i="15"/>
  <c r="G253" i="15"/>
  <c r="F253" i="15"/>
  <c r="E253" i="15"/>
  <c r="D253" i="15"/>
  <c r="C253" i="15"/>
  <c r="B253" i="15"/>
  <c r="A253" i="15"/>
  <c r="Q253" i="15" s="1"/>
  <c r="P252" i="15"/>
  <c r="M252" i="15"/>
  <c r="L252" i="15"/>
  <c r="K252" i="15"/>
  <c r="J252" i="15"/>
  <c r="I252" i="15"/>
  <c r="R252" i="15" s="1"/>
  <c r="H252" i="15"/>
  <c r="G252" i="15"/>
  <c r="F252" i="15"/>
  <c r="E252" i="15"/>
  <c r="D252" i="15"/>
  <c r="C252" i="15"/>
  <c r="B252" i="15"/>
  <c r="A252" i="15"/>
  <c r="Q252" i="15" s="1"/>
  <c r="P251" i="15"/>
  <c r="M251" i="15"/>
  <c r="L251" i="15"/>
  <c r="K251" i="15"/>
  <c r="J251" i="15"/>
  <c r="I251" i="15"/>
  <c r="R251" i="15" s="1"/>
  <c r="H251" i="15"/>
  <c r="G251" i="15"/>
  <c r="F251" i="15"/>
  <c r="E251" i="15"/>
  <c r="D251" i="15"/>
  <c r="C251" i="15"/>
  <c r="B251" i="15"/>
  <c r="A251" i="15"/>
  <c r="Q251" i="15" s="1"/>
  <c r="P250" i="15"/>
  <c r="M250" i="15"/>
  <c r="L250" i="15"/>
  <c r="K250" i="15"/>
  <c r="J250" i="15"/>
  <c r="I250" i="15"/>
  <c r="R250" i="15" s="1"/>
  <c r="H250" i="15"/>
  <c r="G250" i="15"/>
  <c r="F250" i="15"/>
  <c r="E250" i="15"/>
  <c r="D250" i="15"/>
  <c r="C250" i="15"/>
  <c r="B250" i="15"/>
  <c r="A250" i="15"/>
  <c r="Q250" i="15" s="1"/>
  <c r="P249" i="15"/>
  <c r="M249" i="15"/>
  <c r="L249" i="15"/>
  <c r="K249" i="15"/>
  <c r="J249" i="15"/>
  <c r="I249" i="15"/>
  <c r="R249" i="15" s="1"/>
  <c r="H249" i="15"/>
  <c r="G249" i="15"/>
  <c r="F249" i="15"/>
  <c r="E249" i="15"/>
  <c r="D249" i="15"/>
  <c r="C249" i="15"/>
  <c r="B249" i="15"/>
  <c r="A249" i="15"/>
  <c r="Q249" i="15" s="1"/>
  <c r="P248" i="15"/>
  <c r="M248" i="15"/>
  <c r="L248" i="15"/>
  <c r="K248" i="15"/>
  <c r="J248" i="15"/>
  <c r="I248" i="15"/>
  <c r="R248" i="15" s="1"/>
  <c r="H248" i="15"/>
  <c r="G248" i="15"/>
  <c r="F248" i="15"/>
  <c r="E248" i="15"/>
  <c r="D248" i="15"/>
  <c r="C248" i="15"/>
  <c r="B248" i="15"/>
  <c r="A248" i="15"/>
  <c r="Q248" i="15" s="1"/>
  <c r="P247" i="15"/>
  <c r="M247" i="15"/>
  <c r="L247" i="15"/>
  <c r="K247" i="15"/>
  <c r="J247" i="15"/>
  <c r="I247" i="15"/>
  <c r="R247" i="15" s="1"/>
  <c r="H247" i="15"/>
  <c r="G247" i="15"/>
  <c r="F247" i="15"/>
  <c r="E247" i="15"/>
  <c r="D247" i="15"/>
  <c r="C247" i="15"/>
  <c r="B247" i="15"/>
  <c r="A247" i="15"/>
  <c r="Q247" i="15" s="1"/>
  <c r="P246" i="15"/>
  <c r="M246" i="15"/>
  <c r="L246" i="15"/>
  <c r="K246" i="15"/>
  <c r="J246" i="15"/>
  <c r="I246" i="15"/>
  <c r="R246" i="15" s="1"/>
  <c r="H246" i="15"/>
  <c r="G246" i="15"/>
  <c r="F246" i="15"/>
  <c r="E246" i="15"/>
  <c r="D246" i="15"/>
  <c r="C246" i="15"/>
  <c r="B246" i="15"/>
  <c r="A246" i="15"/>
  <c r="Q246" i="15" s="1"/>
  <c r="P245" i="15"/>
  <c r="M245" i="15"/>
  <c r="L245" i="15"/>
  <c r="K245" i="15"/>
  <c r="J245" i="15"/>
  <c r="I245" i="15"/>
  <c r="R245" i="15" s="1"/>
  <c r="H245" i="15"/>
  <c r="G245" i="15"/>
  <c r="F245" i="15"/>
  <c r="E245" i="15"/>
  <c r="D245" i="15"/>
  <c r="C245" i="15"/>
  <c r="B245" i="15"/>
  <c r="A245" i="15"/>
  <c r="Q245" i="15" s="1"/>
  <c r="P244" i="15"/>
  <c r="M244" i="15"/>
  <c r="L244" i="15"/>
  <c r="K244" i="15"/>
  <c r="J244" i="15"/>
  <c r="I244" i="15"/>
  <c r="R244" i="15" s="1"/>
  <c r="H244" i="15"/>
  <c r="G244" i="15"/>
  <c r="F244" i="15"/>
  <c r="E244" i="15"/>
  <c r="D244" i="15"/>
  <c r="C244" i="15"/>
  <c r="B244" i="15"/>
  <c r="A244" i="15"/>
  <c r="Q244" i="15" s="1"/>
  <c r="P243" i="15"/>
  <c r="M243" i="15"/>
  <c r="L243" i="15"/>
  <c r="K243" i="15"/>
  <c r="J243" i="15"/>
  <c r="I243" i="15"/>
  <c r="R243" i="15" s="1"/>
  <c r="H243" i="15"/>
  <c r="G243" i="15"/>
  <c r="F243" i="15"/>
  <c r="E243" i="15"/>
  <c r="D243" i="15"/>
  <c r="C243" i="15"/>
  <c r="B243" i="15"/>
  <c r="A243" i="15"/>
  <c r="Q243" i="15" s="1"/>
  <c r="P242" i="15"/>
  <c r="M242" i="15"/>
  <c r="L242" i="15"/>
  <c r="K242" i="15"/>
  <c r="J242" i="15"/>
  <c r="I242" i="15"/>
  <c r="R242" i="15" s="1"/>
  <c r="H242" i="15"/>
  <c r="G242" i="15"/>
  <c r="F242" i="15"/>
  <c r="E242" i="15"/>
  <c r="D242" i="15"/>
  <c r="C242" i="15"/>
  <c r="B242" i="15"/>
  <c r="A242" i="15"/>
  <c r="Q242" i="15" s="1"/>
  <c r="P241" i="15"/>
  <c r="M241" i="15"/>
  <c r="L241" i="15"/>
  <c r="K241" i="15"/>
  <c r="J241" i="15"/>
  <c r="I241" i="15"/>
  <c r="R241" i="15" s="1"/>
  <c r="H241" i="15"/>
  <c r="G241" i="15"/>
  <c r="F241" i="15"/>
  <c r="E241" i="15"/>
  <c r="D241" i="15"/>
  <c r="C241" i="15"/>
  <c r="B241" i="15"/>
  <c r="A241" i="15"/>
  <c r="Q241" i="15" s="1"/>
  <c r="P240" i="15"/>
  <c r="M240" i="15"/>
  <c r="L240" i="15"/>
  <c r="K240" i="15"/>
  <c r="J240" i="15"/>
  <c r="I240" i="15"/>
  <c r="R240" i="15" s="1"/>
  <c r="H240" i="15"/>
  <c r="G240" i="15"/>
  <c r="F240" i="15"/>
  <c r="E240" i="15"/>
  <c r="D240" i="15"/>
  <c r="C240" i="15"/>
  <c r="B240" i="15"/>
  <c r="A240" i="15"/>
  <c r="Q240" i="15" s="1"/>
  <c r="P239" i="15"/>
  <c r="M239" i="15"/>
  <c r="L239" i="15"/>
  <c r="K239" i="15"/>
  <c r="J239" i="15"/>
  <c r="I239" i="15"/>
  <c r="R239" i="15" s="1"/>
  <c r="H239" i="15"/>
  <c r="G239" i="15"/>
  <c r="F239" i="15"/>
  <c r="E239" i="15"/>
  <c r="D239" i="15"/>
  <c r="C239" i="15"/>
  <c r="B239" i="15"/>
  <c r="A239" i="15"/>
  <c r="Q239" i="15" s="1"/>
  <c r="P238" i="15"/>
  <c r="M238" i="15"/>
  <c r="L238" i="15"/>
  <c r="K238" i="15"/>
  <c r="J238" i="15"/>
  <c r="I238" i="15"/>
  <c r="R238" i="15" s="1"/>
  <c r="H238" i="15"/>
  <c r="G238" i="15"/>
  <c r="F238" i="15"/>
  <c r="E238" i="15"/>
  <c r="D238" i="15"/>
  <c r="C238" i="15"/>
  <c r="B238" i="15"/>
  <c r="A238" i="15"/>
  <c r="Q238" i="15" s="1"/>
  <c r="P237" i="15"/>
  <c r="M237" i="15"/>
  <c r="L237" i="15"/>
  <c r="K237" i="15"/>
  <c r="J237" i="15"/>
  <c r="I237" i="15"/>
  <c r="R237" i="15" s="1"/>
  <c r="H237" i="15"/>
  <c r="G237" i="15"/>
  <c r="F237" i="15"/>
  <c r="E237" i="15"/>
  <c r="D237" i="15"/>
  <c r="C237" i="15"/>
  <c r="B237" i="15"/>
  <c r="A237" i="15"/>
  <c r="Q237" i="15" s="1"/>
  <c r="P236" i="15"/>
  <c r="M236" i="15"/>
  <c r="L236" i="15"/>
  <c r="K236" i="15"/>
  <c r="J236" i="15"/>
  <c r="I236" i="15"/>
  <c r="R236" i="15" s="1"/>
  <c r="H236" i="15"/>
  <c r="G236" i="15"/>
  <c r="F236" i="15"/>
  <c r="E236" i="15"/>
  <c r="D236" i="15"/>
  <c r="C236" i="15"/>
  <c r="B236" i="15"/>
  <c r="A236" i="15"/>
  <c r="Q236" i="15" s="1"/>
  <c r="P235" i="15"/>
  <c r="M235" i="15"/>
  <c r="L235" i="15"/>
  <c r="K235" i="15"/>
  <c r="J235" i="15"/>
  <c r="I235" i="15"/>
  <c r="R235" i="15" s="1"/>
  <c r="H235" i="15"/>
  <c r="G235" i="15"/>
  <c r="F235" i="15"/>
  <c r="E235" i="15"/>
  <c r="D235" i="15"/>
  <c r="C235" i="15"/>
  <c r="B235" i="15"/>
  <c r="A235" i="15"/>
  <c r="Q235" i="15" s="1"/>
  <c r="P234" i="15"/>
  <c r="M234" i="15"/>
  <c r="L234" i="15"/>
  <c r="K234" i="15"/>
  <c r="J234" i="15"/>
  <c r="I234" i="15"/>
  <c r="R234" i="15" s="1"/>
  <c r="H234" i="15"/>
  <c r="G234" i="15"/>
  <c r="F234" i="15"/>
  <c r="E234" i="15"/>
  <c r="D234" i="15"/>
  <c r="C234" i="15"/>
  <c r="B234" i="15"/>
  <c r="A234" i="15"/>
  <c r="Q234" i="15" s="1"/>
  <c r="P233" i="15"/>
  <c r="M233" i="15"/>
  <c r="L233" i="15"/>
  <c r="K233" i="15"/>
  <c r="J233" i="15"/>
  <c r="I233" i="15"/>
  <c r="R233" i="15" s="1"/>
  <c r="H233" i="15"/>
  <c r="G233" i="15"/>
  <c r="F233" i="15"/>
  <c r="E233" i="15"/>
  <c r="D233" i="15"/>
  <c r="C233" i="15"/>
  <c r="B233" i="15"/>
  <c r="A233" i="15"/>
  <c r="Q233" i="15" s="1"/>
  <c r="P232" i="15"/>
  <c r="M232" i="15"/>
  <c r="L232" i="15"/>
  <c r="K232" i="15"/>
  <c r="J232" i="15"/>
  <c r="I232" i="15"/>
  <c r="R232" i="15" s="1"/>
  <c r="H232" i="15"/>
  <c r="G232" i="15"/>
  <c r="F232" i="15"/>
  <c r="E232" i="15"/>
  <c r="D232" i="15"/>
  <c r="C232" i="15"/>
  <c r="B232" i="15"/>
  <c r="A232" i="15"/>
  <c r="Q232" i="15" s="1"/>
  <c r="P231" i="15"/>
  <c r="M231" i="15"/>
  <c r="L231" i="15"/>
  <c r="K231" i="15"/>
  <c r="J231" i="15"/>
  <c r="I231" i="15"/>
  <c r="R231" i="15" s="1"/>
  <c r="H231" i="15"/>
  <c r="G231" i="15"/>
  <c r="F231" i="15"/>
  <c r="E231" i="15"/>
  <c r="D231" i="15"/>
  <c r="C231" i="15"/>
  <c r="B231" i="15"/>
  <c r="A231" i="15"/>
  <c r="Q231" i="15" s="1"/>
  <c r="P230" i="15"/>
  <c r="M230" i="15"/>
  <c r="L230" i="15"/>
  <c r="K230" i="15"/>
  <c r="J230" i="15"/>
  <c r="I230" i="15"/>
  <c r="R230" i="15" s="1"/>
  <c r="H230" i="15"/>
  <c r="G230" i="15"/>
  <c r="F230" i="15"/>
  <c r="E230" i="15"/>
  <c r="D230" i="15"/>
  <c r="C230" i="15"/>
  <c r="B230" i="15"/>
  <c r="A230" i="15"/>
  <c r="Q230" i="15" s="1"/>
  <c r="P229" i="15"/>
  <c r="M229" i="15"/>
  <c r="L229" i="15"/>
  <c r="K229" i="15"/>
  <c r="J229" i="15"/>
  <c r="I229" i="15"/>
  <c r="R229" i="15" s="1"/>
  <c r="H229" i="15"/>
  <c r="G229" i="15"/>
  <c r="F229" i="15"/>
  <c r="E229" i="15"/>
  <c r="D229" i="15"/>
  <c r="C229" i="15"/>
  <c r="B229" i="15"/>
  <c r="A229" i="15"/>
  <c r="Q229" i="15" s="1"/>
  <c r="P228" i="15"/>
  <c r="M228" i="15"/>
  <c r="L228" i="15"/>
  <c r="K228" i="15"/>
  <c r="J228" i="15"/>
  <c r="I228" i="15"/>
  <c r="R228" i="15" s="1"/>
  <c r="H228" i="15"/>
  <c r="G228" i="15"/>
  <c r="F228" i="15"/>
  <c r="E228" i="15"/>
  <c r="D228" i="15"/>
  <c r="C228" i="15"/>
  <c r="B228" i="15"/>
  <c r="A228" i="15"/>
  <c r="Q228" i="15" s="1"/>
  <c r="P227" i="15"/>
  <c r="M227" i="15"/>
  <c r="L227" i="15"/>
  <c r="K227" i="15"/>
  <c r="J227" i="15"/>
  <c r="I227" i="15"/>
  <c r="R227" i="15" s="1"/>
  <c r="H227" i="15"/>
  <c r="G227" i="15"/>
  <c r="F227" i="15"/>
  <c r="E227" i="15"/>
  <c r="D227" i="15"/>
  <c r="C227" i="15"/>
  <c r="B227" i="15"/>
  <c r="A227" i="15"/>
  <c r="Q227" i="15" s="1"/>
  <c r="P226" i="15"/>
  <c r="M226" i="15"/>
  <c r="L226" i="15"/>
  <c r="K226" i="15"/>
  <c r="J226" i="15"/>
  <c r="I226" i="15"/>
  <c r="R226" i="15" s="1"/>
  <c r="H226" i="15"/>
  <c r="G226" i="15"/>
  <c r="F226" i="15"/>
  <c r="E226" i="15"/>
  <c r="D226" i="15"/>
  <c r="C226" i="15"/>
  <c r="B226" i="15"/>
  <c r="A226" i="15"/>
  <c r="Q226" i="15" s="1"/>
  <c r="P225" i="15"/>
  <c r="M225" i="15"/>
  <c r="L225" i="15"/>
  <c r="K225" i="15"/>
  <c r="J225" i="15"/>
  <c r="I225" i="15"/>
  <c r="R225" i="15" s="1"/>
  <c r="H225" i="15"/>
  <c r="G225" i="15"/>
  <c r="F225" i="15"/>
  <c r="E225" i="15"/>
  <c r="D225" i="15"/>
  <c r="C225" i="15"/>
  <c r="B225" i="15"/>
  <c r="A225" i="15"/>
  <c r="Q225" i="15" s="1"/>
  <c r="P224" i="15"/>
  <c r="M224" i="15"/>
  <c r="L224" i="15"/>
  <c r="K224" i="15"/>
  <c r="J224" i="15"/>
  <c r="I224" i="15"/>
  <c r="R224" i="15" s="1"/>
  <c r="H224" i="15"/>
  <c r="G224" i="15"/>
  <c r="F224" i="15"/>
  <c r="E224" i="15"/>
  <c r="D224" i="15"/>
  <c r="C224" i="15"/>
  <c r="B224" i="15"/>
  <c r="A224" i="15"/>
  <c r="Q224" i="15" s="1"/>
  <c r="P223" i="15"/>
  <c r="M223" i="15"/>
  <c r="L223" i="15"/>
  <c r="K223" i="15"/>
  <c r="J223" i="15"/>
  <c r="I223" i="15"/>
  <c r="R223" i="15" s="1"/>
  <c r="H223" i="15"/>
  <c r="G223" i="15"/>
  <c r="F223" i="15"/>
  <c r="E223" i="15"/>
  <c r="D223" i="15"/>
  <c r="C223" i="15"/>
  <c r="B223" i="15"/>
  <c r="A223" i="15"/>
  <c r="Q223" i="15" s="1"/>
  <c r="P222" i="15"/>
  <c r="M222" i="15"/>
  <c r="L222" i="15"/>
  <c r="K222" i="15"/>
  <c r="J222" i="15"/>
  <c r="I222" i="15"/>
  <c r="R222" i="15" s="1"/>
  <c r="H222" i="15"/>
  <c r="G222" i="15"/>
  <c r="F222" i="15"/>
  <c r="E222" i="15"/>
  <c r="D222" i="15"/>
  <c r="C222" i="15"/>
  <c r="B222" i="15"/>
  <c r="A222" i="15"/>
  <c r="Q222" i="15" s="1"/>
  <c r="P221" i="15"/>
  <c r="M221" i="15"/>
  <c r="L221" i="15"/>
  <c r="K221" i="15"/>
  <c r="J221" i="15"/>
  <c r="I221" i="15"/>
  <c r="R221" i="15" s="1"/>
  <c r="H221" i="15"/>
  <c r="G221" i="15"/>
  <c r="F221" i="15"/>
  <c r="E221" i="15"/>
  <c r="D221" i="15"/>
  <c r="C221" i="15"/>
  <c r="B221" i="15"/>
  <c r="A221" i="15"/>
  <c r="Q221" i="15" s="1"/>
  <c r="P220" i="15"/>
  <c r="M220" i="15"/>
  <c r="L220" i="15"/>
  <c r="K220" i="15"/>
  <c r="J220" i="15"/>
  <c r="I220" i="15"/>
  <c r="R220" i="15" s="1"/>
  <c r="H220" i="15"/>
  <c r="G220" i="15"/>
  <c r="F220" i="15"/>
  <c r="E220" i="15"/>
  <c r="D220" i="15"/>
  <c r="C220" i="15"/>
  <c r="B220" i="15"/>
  <c r="A220" i="15"/>
  <c r="Q220" i="15" s="1"/>
  <c r="P219" i="15"/>
  <c r="M219" i="15"/>
  <c r="L219" i="15"/>
  <c r="K219" i="15"/>
  <c r="J219" i="15"/>
  <c r="I219" i="15"/>
  <c r="R219" i="15" s="1"/>
  <c r="H219" i="15"/>
  <c r="G219" i="15"/>
  <c r="F219" i="15"/>
  <c r="E219" i="15"/>
  <c r="D219" i="15"/>
  <c r="C219" i="15"/>
  <c r="B219" i="15"/>
  <c r="A219" i="15"/>
  <c r="Q219" i="15" s="1"/>
  <c r="P218" i="15"/>
  <c r="M218" i="15"/>
  <c r="L218" i="15"/>
  <c r="K218" i="15"/>
  <c r="J218" i="15"/>
  <c r="I218" i="15"/>
  <c r="R218" i="15" s="1"/>
  <c r="H218" i="15"/>
  <c r="G218" i="15"/>
  <c r="F218" i="15"/>
  <c r="E218" i="15"/>
  <c r="D218" i="15"/>
  <c r="C218" i="15"/>
  <c r="B218" i="15"/>
  <c r="A218" i="15"/>
  <c r="Q218" i="15" s="1"/>
  <c r="P217" i="15"/>
  <c r="M217" i="15"/>
  <c r="L217" i="15"/>
  <c r="K217" i="15"/>
  <c r="J217" i="15"/>
  <c r="I217" i="15"/>
  <c r="R217" i="15" s="1"/>
  <c r="H217" i="15"/>
  <c r="G217" i="15"/>
  <c r="F217" i="15"/>
  <c r="E217" i="15"/>
  <c r="D217" i="15"/>
  <c r="C217" i="15"/>
  <c r="B217" i="15"/>
  <c r="A217" i="15"/>
  <c r="Q217" i="15" s="1"/>
  <c r="P216" i="15"/>
  <c r="M216" i="15"/>
  <c r="L216" i="15"/>
  <c r="K216" i="15"/>
  <c r="J216" i="15"/>
  <c r="I216" i="15"/>
  <c r="R216" i="15" s="1"/>
  <c r="H216" i="15"/>
  <c r="G216" i="15"/>
  <c r="F216" i="15"/>
  <c r="E216" i="15"/>
  <c r="D216" i="15"/>
  <c r="C216" i="15"/>
  <c r="B216" i="15"/>
  <c r="A216" i="15"/>
  <c r="Q216" i="15" s="1"/>
  <c r="P215" i="15"/>
  <c r="M215" i="15"/>
  <c r="L215" i="15"/>
  <c r="K215" i="15"/>
  <c r="J215" i="15"/>
  <c r="I215" i="15"/>
  <c r="R215" i="15" s="1"/>
  <c r="H215" i="15"/>
  <c r="G215" i="15"/>
  <c r="F215" i="15"/>
  <c r="E215" i="15"/>
  <c r="D215" i="15"/>
  <c r="C215" i="15"/>
  <c r="B215" i="15"/>
  <c r="A215" i="15"/>
  <c r="Q215" i="15" s="1"/>
  <c r="P214" i="15"/>
  <c r="M214" i="15"/>
  <c r="L214" i="15"/>
  <c r="K214" i="15"/>
  <c r="J214" i="15"/>
  <c r="I214" i="15"/>
  <c r="R214" i="15" s="1"/>
  <c r="H214" i="15"/>
  <c r="G214" i="15"/>
  <c r="F214" i="15"/>
  <c r="E214" i="15"/>
  <c r="D214" i="15"/>
  <c r="C214" i="15"/>
  <c r="B214" i="15"/>
  <c r="A214" i="15"/>
  <c r="Q214" i="15" s="1"/>
  <c r="P213" i="15"/>
  <c r="M213" i="15"/>
  <c r="L213" i="15"/>
  <c r="K213" i="15"/>
  <c r="J213" i="15"/>
  <c r="I213" i="15"/>
  <c r="R213" i="15" s="1"/>
  <c r="H213" i="15"/>
  <c r="G213" i="15"/>
  <c r="F213" i="15"/>
  <c r="E213" i="15"/>
  <c r="D213" i="15"/>
  <c r="C213" i="15"/>
  <c r="B213" i="15"/>
  <c r="A213" i="15"/>
  <c r="Q213" i="15" s="1"/>
  <c r="P212" i="15"/>
  <c r="M212" i="15"/>
  <c r="L212" i="15"/>
  <c r="K212" i="15"/>
  <c r="J212" i="15"/>
  <c r="I212" i="15"/>
  <c r="R212" i="15" s="1"/>
  <c r="H212" i="15"/>
  <c r="G212" i="15"/>
  <c r="F212" i="15"/>
  <c r="E212" i="15"/>
  <c r="D212" i="15"/>
  <c r="C212" i="15"/>
  <c r="B212" i="15"/>
  <c r="A212" i="15"/>
  <c r="Q212" i="15" s="1"/>
  <c r="P211" i="15"/>
  <c r="M211" i="15"/>
  <c r="L211" i="15"/>
  <c r="K211" i="15"/>
  <c r="J211" i="15"/>
  <c r="I211" i="15"/>
  <c r="R211" i="15" s="1"/>
  <c r="H211" i="15"/>
  <c r="G211" i="15"/>
  <c r="F211" i="15"/>
  <c r="E211" i="15"/>
  <c r="D211" i="15"/>
  <c r="C211" i="15"/>
  <c r="B211" i="15"/>
  <c r="A211" i="15"/>
  <c r="Q211" i="15" s="1"/>
  <c r="P210" i="15"/>
  <c r="M210" i="15"/>
  <c r="L210" i="15"/>
  <c r="K210" i="15"/>
  <c r="J210" i="15"/>
  <c r="I210" i="15"/>
  <c r="R210" i="15" s="1"/>
  <c r="H210" i="15"/>
  <c r="G210" i="15"/>
  <c r="F210" i="15"/>
  <c r="E210" i="15"/>
  <c r="D210" i="15"/>
  <c r="C210" i="15"/>
  <c r="B210" i="15"/>
  <c r="A210" i="15"/>
  <c r="Q210" i="15" s="1"/>
  <c r="P209" i="15"/>
  <c r="M209" i="15"/>
  <c r="L209" i="15"/>
  <c r="K209" i="15"/>
  <c r="J209" i="15"/>
  <c r="I209" i="15"/>
  <c r="R209" i="15" s="1"/>
  <c r="H209" i="15"/>
  <c r="G209" i="15"/>
  <c r="F209" i="15"/>
  <c r="E209" i="15"/>
  <c r="D209" i="15"/>
  <c r="C209" i="15"/>
  <c r="B209" i="15"/>
  <c r="A209" i="15"/>
  <c r="Q209" i="15" s="1"/>
  <c r="P208" i="15"/>
  <c r="M208" i="15"/>
  <c r="L208" i="15"/>
  <c r="K208" i="15"/>
  <c r="J208" i="15"/>
  <c r="I208" i="15"/>
  <c r="R208" i="15" s="1"/>
  <c r="H208" i="15"/>
  <c r="G208" i="15"/>
  <c r="F208" i="15"/>
  <c r="E208" i="15"/>
  <c r="D208" i="15"/>
  <c r="C208" i="15"/>
  <c r="B208" i="15"/>
  <c r="A208" i="15"/>
  <c r="Q208" i="15" s="1"/>
  <c r="P207" i="15"/>
  <c r="M207" i="15"/>
  <c r="L207" i="15"/>
  <c r="K207" i="15"/>
  <c r="J207" i="15"/>
  <c r="I207" i="15"/>
  <c r="R207" i="15" s="1"/>
  <c r="H207" i="15"/>
  <c r="G207" i="15"/>
  <c r="F207" i="15"/>
  <c r="E207" i="15"/>
  <c r="D207" i="15"/>
  <c r="C207" i="15"/>
  <c r="B207" i="15"/>
  <c r="A207" i="15"/>
  <c r="Q207" i="15" s="1"/>
  <c r="P206" i="15"/>
  <c r="M206" i="15"/>
  <c r="L206" i="15"/>
  <c r="K206" i="15"/>
  <c r="J206" i="15"/>
  <c r="I206" i="15"/>
  <c r="R206" i="15" s="1"/>
  <c r="H206" i="15"/>
  <c r="G206" i="15"/>
  <c r="F206" i="15"/>
  <c r="E206" i="15"/>
  <c r="D206" i="15"/>
  <c r="C206" i="15"/>
  <c r="B206" i="15"/>
  <c r="A206" i="15"/>
  <c r="Q206" i="15" s="1"/>
  <c r="P205" i="15"/>
  <c r="M205" i="15"/>
  <c r="L205" i="15"/>
  <c r="K205" i="15"/>
  <c r="J205" i="15"/>
  <c r="I205" i="15"/>
  <c r="R205" i="15" s="1"/>
  <c r="H205" i="15"/>
  <c r="G205" i="15"/>
  <c r="F205" i="15"/>
  <c r="E205" i="15"/>
  <c r="D205" i="15"/>
  <c r="C205" i="15"/>
  <c r="B205" i="15"/>
  <c r="A205" i="15"/>
  <c r="Q205" i="15" s="1"/>
  <c r="P204" i="15"/>
  <c r="M204" i="15"/>
  <c r="L204" i="15"/>
  <c r="K204" i="15"/>
  <c r="J204" i="15"/>
  <c r="I204" i="15"/>
  <c r="R204" i="15" s="1"/>
  <c r="H204" i="15"/>
  <c r="G204" i="15"/>
  <c r="F204" i="15"/>
  <c r="E204" i="15"/>
  <c r="D204" i="15"/>
  <c r="C204" i="15"/>
  <c r="B204" i="15"/>
  <c r="A204" i="15"/>
  <c r="Q204" i="15" s="1"/>
  <c r="P203" i="15"/>
  <c r="M203" i="15"/>
  <c r="L203" i="15"/>
  <c r="K203" i="15"/>
  <c r="J203" i="15"/>
  <c r="I203" i="15"/>
  <c r="R203" i="15" s="1"/>
  <c r="H203" i="15"/>
  <c r="G203" i="15"/>
  <c r="F203" i="15"/>
  <c r="E203" i="15"/>
  <c r="D203" i="15"/>
  <c r="C203" i="15"/>
  <c r="B203" i="15"/>
  <c r="A203" i="15"/>
  <c r="Q203" i="15" s="1"/>
  <c r="P202" i="15"/>
  <c r="M202" i="15"/>
  <c r="L202" i="15"/>
  <c r="K202" i="15"/>
  <c r="J202" i="15"/>
  <c r="I202" i="15"/>
  <c r="R202" i="15" s="1"/>
  <c r="H202" i="15"/>
  <c r="G202" i="15"/>
  <c r="F202" i="15"/>
  <c r="E202" i="15"/>
  <c r="D202" i="15"/>
  <c r="C202" i="15"/>
  <c r="B202" i="15"/>
  <c r="A202" i="15"/>
  <c r="Q202" i="15" s="1"/>
  <c r="P201" i="15"/>
  <c r="M201" i="15"/>
  <c r="L201" i="15"/>
  <c r="K201" i="15"/>
  <c r="J201" i="15"/>
  <c r="I201" i="15"/>
  <c r="R201" i="15" s="1"/>
  <c r="H201" i="15"/>
  <c r="G201" i="15"/>
  <c r="F201" i="15"/>
  <c r="E201" i="15"/>
  <c r="D201" i="15"/>
  <c r="C201" i="15"/>
  <c r="B201" i="15"/>
  <c r="A201" i="15"/>
  <c r="Q201" i="15" s="1"/>
  <c r="P200" i="15"/>
  <c r="M200" i="15"/>
  <c r="L200" i="15"/>
  <c r="K200" i="15"/>
  <c r="J200" i="15"/>
  <c r="I200" i="15"/>
  <c r="R200" i="15" s="1"/>
  <c r="H200" i="15"/>
  <c r="G200" i="15"/>
  <c r="F200" i="15"/>
  <c r="E200" i="15"/>
  <c r="D200" i="15"/>
  <c r="C200" i="15"/>
  <c r="B200" i="15"/>
  <c r="A200" i="15"/>
  <c r="Q200" i="15" s="1"/>
  <c r="P199" i="15"/>
  <c r="M199" i="15"/>
  <c r="L199" i="15"/>
  <c r="K199" i="15"/>
  <c r="J199" i="15"/>
  <c r="I199" i="15"/>
  <c r="R199" i="15" s="1"/>
  <c r="H199" i="15"/>
  <c r="G199" i="15"/>
  <c r="F199" i="15"/>
  <c r="E199" i="15"/>
  <c r="D199" i="15"/>
  <c r="C199" i="15"/>
  <c r="B199" i="15"/>
  <c r="A199" i="15"/>
  <c r="Q199" i="15" s="1"/>
  <c r="P198" i="15"/>
  <c r="M198" i="15"/>
  <c r="L198" i="15"/>
  <c r="K198" i="15"/>
  <c r="J198" i="15"/>
  <c r="I198" i="15"/>
  <c r="R198" i="15" s="1"/>
  <c r="H198" i="15"/>
  <c r="G198" i="15"/>
  <c r="F198" i="15"/>
  <c r="E198" i="15"/>
  <c r="D198" i="15"/>
  <c r="C198" i="15"/>
  <c r="B198" i="15"/>
  <c r="A198" i="15"/>
  <c r="Q198" i="15" s="1"/>
  <c r="P197" i="15"/>
  <c r="M197" i="15"/>
  <c r="L197" i="15"/>
  <c r="K197" i="15"/>
  <c r="J197" i="15"/>
  <c r="I197" i="15"/>
  <c r="R197" i="15" s="1"/>
  <c r="H197" i="15"/>
  <c r="G197" i="15"/>
  <c r="F197" i="15"/>
  <c r="E197" i="15"/>
  <c r="D197" i="15"/>
  <c r="C197" i="15"/>
  <c r="B197" i="15"/>
  <c r="A197" i="15"/>
  <c r="Q197" i="15" s="1"/>
  <c r="P196" i="15"/>
  <c r="M196" i="15"/>
  <c r="L196" i="15"/>
  <c r="K196" i="15"/>
  <c r="J196" i="15"/>
  <c r="I196" i="15"/>
  <c r="R196" i="15" s="1"/>
  <c r="H196" i="15"/>
  <c r="G196" i="15"/>
  <c r="F196" i="15"/>
  <c r="E196" i="15"/>
  <c r="D196" i="15"/>
  <c r="C196" i="15"/>
  <c r="B196" i="15"/>
  <c r="A196" i="15"/>
  <c r="Q196" i="15" s="1"/>
  <c r="P195" i="15"/>
  <c r="M195" i="15"/>
  <c r="L195" i="15"/>
  <c r="K195" i="15"/>
  <c r="J195" i="15"/>
  <c r="I195" i="15"/>
  <c r="R195" i="15" s="1"/>
  <c r="H195" i="15"/>
  <c r="G195" i="15"/>
  <c r="F195" i="15"/>
  <c r="E195" i="15"/>
  <c r="D195" i="15"/>
  <c r="C195" i="15"/>
  <c r="B195" i="15"/>
  <c r="A195" i="15"/>
  <c r="Q195" i="15" s="1"/>
  <c r="P194" i="15"/>
  <c r="M194" i="15"/>
  <c r="L194" i="15"/>
  <c r="K194" i="15"/>
  <c r="J194" i="15"/>
  <c r="I194" i="15"/>
  <c r="R194" i="15" s="1"/>
  <c r="H194" i="15"/>
  <c r="G194" i="15"/>
  <c r="F194" i="15"/>
  <c r="E194" i="15"/>
  <c r="D194" i="15"/>
  <c r="C194" i="15"/>
  <c r="B194" i="15"/>
  <c r="A194" i="15"/>
  <c r="Q194" i="15" s="1"/>
  <c r="P193" i="15"/>
  <c r="M193" i="15"/>
  <c r="L193" i="15"/>
  <c r="K193" i="15"/>
  <c r="J193" i="15"/>
  <c r="I193" i="15"/>
  <c r="R193" i="15" s="1"/>
  <c r="H193" i="15"/>
  <c r="G193" i="15"/>
  <c r="F193" i="15"/>
  <c r="E193" i="15"/>
  <c r="D193" i="15"/>
  <c r="C193" i="15"/>
  <c r="B193" i="15"/>
  <c r="A193" i="15"/>
  <c r="Q193" i="15" s="1"/>
  <c r="P192" i="15"/>
  <c r="M192" i="15"/>
  <c r="L192" i="15"/>
  <c r="K192" i="15"/>
  <c r="J192" i="15"/>
  <c r="I192" i="15"/>
  <c r="R192" i="15" s="1"/>
  <c r="H192" i="15"/>
  <c r="G192" i="15"/>
  <c r="F192" i="15"/>
  <c r="E192" i="15"/>
  <c r="D192" i="15"/>
  <c r="C192" i="15"/>
  <c r="B192" i="15"/>
  <c r="A192" i="15"/>
  <c r="Q192" i="15" s="1"/>
  <c r="P191" i="15"/>
  <c r="M191" i="15"/>
  <c r="L191" i="15"/>
  <c r="K191" i="15"/>
  <c r="J191" i="15"/>
  <c r="I191" i="15"/>
  <c r="R191" i="15" s="1"/>
  <c r="H191" i="15"/>
  <c r="G191" i="15"/>
  <c r="F191" i="15"/>
  <c r="E191" i="15"/>
  <c r="D191" i="15"/>
  <c r="C191" i="15"/>
  <c r="B191" i="15"/>
  <c r="A191" i="15"/>
  <c r="Q191" i="15" s="1"/>
  <c r="P190" i="15"/>
  <c r="M190" i="15"/>
  <c r="L190" i="15"/>
  <c r="K190" i="15"/>
  <c r="J190" i="15"/>
  <c r="I190" i="15"/>
  <c r="R190" i="15" s="1"/>
  <c r="H190" i="15"/>
  <c r="G190" i="15"/>
  <c r="F190" i="15"/>
  <c r="E190" i="15"/>
  <c r="D190" i="15"/>
  <c r="C190" i="15"/>
  <c r="B190" i="15"/>
  <c r="A190" i="15"/>
  <c r="Q190" i="15" s="1"/>
  <c r="P189" i="15"/>
  <c r="M189" i="15"/>
  <c r="L189" i="15"/>
  <c r="K189" i="15"/>
  <c r="J189" i="15"/>
  <c r="I189" i="15"/>
  <c r="R189" i="15" s="1"/>
  <c r="H189" i="15"/>
  <c r="G189" i="15"/>
  <c r="F189" i="15"/>
  <c r="E189" i="15"/>
  <c r="D189" i="15"/>
  <c r="C189" i="15"/>
  <c r="B189" i="15"/>
  <c r="A189" i="15"/>
  <c r="Q189" i="15" s="1"/>
  <c r="P188" i="15"/>
  <c r="M188" i="15"/>
  <c r="L188" i="15"/>
  <c r="K188" i="15"/>
  <c r="J188" i="15"/>
  <c r="I188" i="15"/>
  <c r="R188" i="15" s="1"/>
  <c r="H188" i="15"/>
  <c r="G188" i="15"/>
  <c r="F188" i="15"/>
  <c r="E188" i="15"/>
  <c r="D188" i="15"/>
  <c r="C188" i="15"/>
  <c r="B188" i="15"/>
  <c r="A188" i="15"/>
  <c r="Q188" i="15" s="1"/>
  <c r="P187" i="15"/>
  <c r="M187" i="15"/>
  <c r="L187" i="15"/>
  <c r="K187" i="15"/>
  <c r="J187" i="15"/>
  <c r="I187" i="15"/>
  <c r="R187" i="15" s="1"/>
  <c r="H187" i="15"/>
  <c r="G187" i="15"/>
  <c r="F187" i="15"/>
  <c r="E187" i="15"/>
  <c r="D187" i="15"/>
  <c r="C187" i="15"/>
  <c r="B187" i="15"/>
  <c r="A187" i="15"/>
  <c r="Q187" i="15" s="1"/>
  <c r="P186" i="15"/>
  <c r="M186" i="15"/>
  <c r="L186" i="15"/>
  <c r="K186" i="15"/>
  <c r="J186" i="15"/>
  <c r="I186" i="15"/>
  <c r="R186" i="15" s="1"/>
  <c r="H186" i="15"/>
  <c r="G186" i="15"/>
  <c r="F186" i="15"/>
  <c r="E186" i="15"/>
  <c r="D186" i="15"/>
  <c r="C186" i="15"/>
  <c r="B186" i="15"/>
  <c r="A186" i="15"/>
  <c r="Q186" i="15" s="1"/>
  <c r="P185" i="15"/>
  <c r="M185" i="15"/>
  <c r="L185" i="15"/>
  <c r="K185" i="15"/>
  <c r="J185" i="15"/>
  <c r="I185" i="15"/>
  <c r="R185" i="15" s="1"/>
  <c r="H185" i="15"/>
  <c r="G185" i="15"/>
  <c r="F185" i="15"/>
  <c r="E185" i="15"/>
  <c r="D185" i="15"/>
  <c r="C185" i="15"/>
  <c r="B185" i="15"/>
  <c r="A185" i="15"/>
  <c r="Q185" i="15" s="1"/>
  <c r="P184" i="15"/>
  <c r="M184" i="15"/>
  <c r="L184" i="15"/>
  <c r="K184" i="15"/>
  <c r="J184" i="15"/>
  <c r="I184" i="15"/>
  <c r="R184" i="15" s="1"/>
  <c r="H184" i="15"/>
  <c r="G184" i="15"/>
  <c r="F184" i="15"/>
  <c r="E184" i="15"/>
  <c r="D184" i="15"/>
  <c r="C184" i="15"/>
  <c r="B184" i="15"/>
  <c r="A184" i="15"/>
  <c r="Q184" i="15" s="1"/>
  <c r="P183" i="15"/>
  <c r="M183" i="15"/>
  <c r="L183" i="15"/>
  <c r="K183" i="15"/>
  <c r="J183" i="15"/>
  <c r="I183" i="15"/>
  <c r="R183" i="15" s="1"/>
  <c r="H183" i="15"/>
  <c r="G183" i="15"/>
  <c r="F183" i="15"/>
  <c r="E183" i="15"/>
  <c r="D183" i="15"/>
  <c r="C183" i="15"/>
  <c r="B183" i="15"/>
  <c r="A183" i="15"/>
  <c r="Q183" i="15" s="1"/>
  <c r="P182" i="15"/>
  <c r="M182" i="15"/>
  <c r="L182" i="15"/>
  <c r="K182" i="15"/>
  <c r="J182" i="15"/>
  <c r="I182" i="15"/>
  <c r="R182" i="15" s="1"/>
  <c r="H182" i="15"/>
  <c r="G182" i="15"/>
  <c r="F182" i="15"/>
  <c r="E182" i="15"/>
  <c r="D182" i="15"/>
  <c r="C182" i="15"/>
  <c r="B182" i="15"/>
  <c r="A182" i="15"/>
  <c r="Q182" i="15" s="1"/>
  <c r="P181" i="15"/>
  <c r="M181" i="15"/>
  <c r="L181" i="15"/>
  <c r="K181" i="15"/>
  <c r="J181" i="15"/>
  <c r="I181" i="15"/>
  <c r="R181" i="15" s="1"/>
  <c r="H181" i="15"/>
  <c r="G181" i="15"/>
  <c r="F181" i="15"/>
  <c r="E181" i="15"/>
  <c r="D181" i="15"/>
  <c r="C181" i="15"/>
  <c r="B181" i="15"/>
  <c r="A181" i="15"/>
  <c r="Q181" i="15" s="1"/>
  <c r="P180" i="15"/>
  <c r="M180" i="15"/>
  <c r="L180" i="15"/>
  <c r="K180" i="15"/>
  <c r="J180" i="15"/>
  <c r="I180" i="15"/>
  <c r="R180" i="15" s="1"/>
  <c r="H180" i="15"/>
  <c r="G180" i="15"/>
  <c r="F180" i="15"/>
  <c r="E180" i="15"/>
  <c r="D180" i="15"/>
  <c r="C180" i="15"/>
  <c r="B180" i="15"/>
  <c r="A180" i="15"/>
  <c r="Q180" i="15" s="1"/>
  <c r="P179" i="15"/>
  <c r="M179" i="15"/>
  <c r="L179" i="15"/>
  <c r="K179" i="15"/>
  <c r="J179" i="15"/>
  <c r="I179" i="15"/>
  <c r="R179" i="15" s="1"/>
  <c r="H179" i="15"/>
  <c r="G179" i="15"/>
  <c r="F179" i="15"/>
  <c r="E179" i="15"/>
  <c r="D179" i="15"/>
  <c r="C179" i="15"/>
  <c r="B179" i="15"/>
  <c r="A179" i="15"/>
  <c r="Q179" i="15" s="1"/>
  <c r="P178" i="15"/>
  <c r="M178" i="15"/>
  <c r="L178" i="15"/>
  <c r="K178" i="15"/>
  <c r="J178" i="15"/>
  <c r="I178" i="15"/>
  <c r="R178" i="15" s="1"/>
  <c r="H178" i="15"/>
  <c r="G178" i="15"/>
  <c r="F178" i="15"/>
  <c r="E178" i="15"/>
  <c r="D178" i="15"/>
  <c r="C178" i="15"/>
  <c r="B178" i="15"/>
  <c r="A178" i="15"/>
  <c r="Q178" i="15" s="1"/>
  <c r="P177" i="15"/>
  <c r="M177" i="15"/>
  <c r="L177" i="15"/>
  <c r="K177" i="15"/>
  <c r="J177" i="15"/>
  <c r="I177" i="15"/>
  <c r="R177" i="15" s="1"/>
  <c r="H177" i="15"/>
  <c r="G177" i="15"/>
  <c r="F177" i="15"/>
  <c r="E177" i="15"/>
  <c r="D177" i="15"/>
  <c r="C177" i="15"/>
  <c r="B177" i="15"/>
  <c r="A177" i="15"/>
  <c r="Q177" i="15" s="1"/>
  <c r="P176" i="15"/>
  <c r="M176" i="15"/>
  <c r="L176" i="15"/>
  <c r="K176" i="15"/>
  <c r="J176" i="15"/>
  <c r="I176" i="15"/>
  <c r="R176" i="15" s="1"/>
  <c r="H176" i="15"/>
  <c r="G176" i="15"/>
  <c r="F176" i="15"/>
  <c r="E176" i="15"/>
  <c r="D176" i="15"/>
  <c r="C176" i="15"/>
  <c r="B176" i="15"/>
  <c r="A176" i="15"/>
  <c r="Q176" i="15" s="1"/>
  <c r="P175" i="15"/>
  <c r="M175" i="15"/>
  <c r="L175" i="15"/>
  <c r="K175" i="15"/>
  <c r="J175" i="15"/>
  <c r="I175" i="15"/>
  <c r="R175" i="15" s="1"/>
  <c r="H175" i="15"/>
  <c r="G175" i="15"/>
  <c r="F175" i="15"/>
  <c r="E175" i="15"/>
  <c r="D175" i="15"/>
  <c r="C175" i="15"/>
  <c r="B175" i="15"/>
  <c r="A175" i="15"/>
  <c r="Q175" i="15" s="1"/>
  <c r="P174" i="15"/>
  <c r="M174" i="15"/>
  <c r="L174" i="15"/>
  <c r="K174" i="15"/>
  <c r="J174" i="15"/>
  <c r="I174" i="15"/>
  <c r="R174" i="15" s="1"/>
  <c r="H174" i="15"/>
  <c r="G174" i="15"/>
  <c r="F174" i="15"/>
  <c r="E174" i="15"/>
  <c r="D174" i="15"/>
  <c r="C174" i="15"/>
  <c r="B174" i="15"/>
  <c r="A174" i="15"/>
  <c r="Q174" i="15" s="1"/>
  <c r="P173" i="15"/>
  <c r="M173" i="15"/>
  <c r="L173" i="15"/>
  <c r="K173" i="15"/>
  <c r="J173" i="15"/>
  <c r="I173" i="15"/>
  <c r="R173" i="15" s="1"/>
  <c r="H173" i="15"/>
  <c r="G173" i="15"/>
  <c r="F173" i="15"/>
  <c r="E173" i="15"/>
  <c r="D173" i="15"/>
  <c r="C173" i="15"/>
  <c r="B173" i="15"/>
  <c r="A173" i="15"/>
  <c r="Q173" i="15" s="1"/>
  <c r="P172" i="15"/>
  <c r="M172" i="15"/>
  <c r="L172" i="15"/>
  <c r="K172" i="15"/>
  <c r="J172" i="15"/>
  <c r="I172" i="15"/>
  <c r="R172" i="15" s="1"/>
  <c r="H172" i="15"/>
  <c r="G172" i="15"/>
  <c r="F172" i="15"/>
  <c r="E172" i="15"/>
  <c r="D172" i="15"/>
  <c r="C172" i="15"/>
  <c r="B172" i="15"/>
  <c r="A172" i="15"/>
  <c r="Q172" i="15" s="1"/>
  <c r="P171" i="15"/>
  <c r="M171" i="15"/>
  <c r="L171" i="15"/>
  <c r="K171" i="15"/>
  <c r="J171" i="15"/>
  <c r="I171" i="15"/>
  <c r="R171" i="15" s="1"/>
  <c r="H171" i="15"/>
  <c r="G171" i="15"/>
  <c r="F171" i="15"/>
  <c r="E171" i="15"/>
  <c r="D171" i="15"/>
  <c r="C171" i="15"/>
  <c r="B171" i="15"/>
  <c r="A171" i="15"/>
  <c r="Q171" i="15" s="1"/>
  <c r="P170" i="15"/>
  <c r="M170" i="15"/>
  <c r="L170" i="15"/>
  <c r="K170" i="15"/>
  <c r="J170" i="15"/>
  <c r="I170" i="15"/>
  <c r="R170" i="15" s="1"/>
  <c r="H170" i="15"/>
  <c r="G170" i="15"/>
  <c r="F170" i="15"/>
  <c r="E170" i="15"/>
  <c r="D170" i="15"/>
  <c r="C170" i="15"/>
  <c r="B170" i="15"/>
  <c r="A170" i="15"/>
  <c r="Q170" i="15" s="1"/>
  <c r="P169" i="15"/>
  <c r="M169" i="15"/>
  <c r="L169" i="15"/>
  <c r="K169" i="15"/>
  <c r="J169" i="15"/>
  <c r="I169" i="15"/>
  <c r="R169" i="15" s="1"/>
  <c r="H169" i="15"/>
  <c r="G169" i="15"/>
  <c r="F169" i="15"/>
  <c r="E169" i="15"/>
  <c r="D169" i="15"/>
  <c r="C169" i="15"/>
  <c r="B169" i="15"/>
  <c r="A169" i="15"/>
  <c r="Q169" i="15" s="1"/>
  <c r="P168" i="15"/>
  <c r="M168" i="15"/>
  <c r="L168" i="15"/>
  <c r="K168" i="15"/>
  <c r="J168" i="15"/>
  <c r="I168" i="15"/>
  <c r="R168" i="15" s="1"/>
  <c r="H168" i="15"/>
  <c r="G168" i="15"/>
  <c r="F168" i="15"/>
  <c r="E168" i="15"/>
  <c r="D168" i="15"/>
  <c r="C168" i="15"/>
  <c r="B168" i="15"/>
  <c r="A168" i="15"/>
  <c r="Q168" i="15" s="1"/>
  <c r="P167" i="15"/>
  <c r="M167" i="15"/>
  <c r="L167" i="15"/>
  <c r="K167" i="15"/>
  <c r="J167" i="15"/>
  <c r="I167" i="15"/>
  <c r="R167" i="15" s="1"/>
  <c r="H167" i="15"/>
  <c r="G167" i="15"/>
  <c r="F167" i="15"/>
  <c r="E167" i="15"/>
  <c r="D167" i="15"/>
  <c r="C167" i="15"/>
  <c r="B167" i="15"/>
  <c r="A167" i="15"/>
  <c r="Q167" i="15" s="1"/>
  <c r="P166" i="15"/>
  <c r="M166" i="15"/>
  <c r="L166" i="15"/>
  <c r="K166" i="15"/>
  <c r="J166" i="15"/>
  <c r="I166" i="15"/>
  <c r="R166" i="15" s="1"/>
  <c r="H166" i="15"/>
  <c r="G166" i="15"/>
  <c r="F166" i="15"/>
  <c r="E166" i="15"/>
  <c r="D166" i="15"/>
  <c r="C166" i="15"/>
  <c r="B166" i="15"/>
  <c r="A166" i="15"/>
  <c r="Q166" i="15" s="1"/>
  <c r="P165" i="15"/>
  <c r="M165" i="15"/>
  <c r="L165" i="15"/>
  <c r="K165" i="15"/>
  <c r="J165" i="15"/>
  <c r="I165" i="15"/>
  <c r="R165" i="15" s="1"/>
  <c r="H165" i="15"/>
  <c r="G165" i="15"/>
  <c r="F165" i="15"/>
  <c r="E165" i="15"/>
  <c r="D165" i="15"/>
  <c r="C165" i="15"/>
  <c r="B165" i="15"/>
  <c r="A165" i="15"/>
  <c r="Q165" i="15" s="1"/>
  <c r="P164" i="15"/>
  <c r="M164" i="15"/>
  <c r="L164" i="15"/>
  <c r="K164" i="15"/>
  <c r="J164" i="15"/>
  <c r="I164" i="15"/>
  <c r="R164" i="15" s="1"/>
  <c r="H164" i="15"/>
  <c r="G164" i="15"/>
  <c r="F164" i="15"/>
  <c r="E164" i="15"/>
  <c r="D164" i="15"/>
  <c r="C164" i="15"/>
  <c r="B164" i="15"/>
  <c r="A164" i="15"/>
  <c r="Q164" i="15" s="1"/>
  <c r="P163" i="15"/>
  <c r="M163" i="15"/>
  <c r="L163" i="15"/>
  <c r="K163" i="15"/>
  <c r="J163" i="15"/>
  <c r="I163" i="15"/>
  <c r="R163" i="15" s="1"/>
  <c r="H163" i="15"/>
  <c r="G163" i="15"/>
  <c r="F163" i="15"/>
  <c r="E163" i="15"/>
  <c r="D163" i="15"/>
  <c r="C163" i="15"/>
  <c r="B163" i="15"/>
  <c r="A163" i="15"/>
  <c r="Q163" i="15" s="1"/>
  <c r="P162" i="15"/>
  <c r="M162" i="15"/>
  <c r="L162" i="15"/>
  <c r="K162" i="15"/>
  <c r="J162" i="15"/>
  <c r="I162" i="15"/>
  <c r="R162" i="15" s="1"/>
  <c r="H162" i="15"/>
  <c r="G162" i="15"/>
  <c r="F162" i="15"/>
  <c r="E162" i="15"/>
  <c r="D162" i="15"/>
  <c r="C162" i="15"/>
  <c r="B162" i="15"/>
  <c r="A162" i="15"/>
  <c r="Q162" i="15" s="1"/>
  <c r="P161" i="15"/>
  <c r="M161" i="15"/>
  <c r="L161" i="15"/>
  <c r="K161" i="15"/>
  <c r="J161" i="15"/>
  <c r="I161" i="15"/>
  <c r="R161" i="15" s="1"/>
  <c r="H161" i="15"/>
  <c r="G161" i="15"/>
  <c r="F161" i="15"/>
  <c r="E161" i="15"/>
  <c r="D161" i="15"/>
  <c r="C161" i="15"/>
  <c r="B161" i="15"/>
  <c r="A161" i="15"/>
  <c r="Q161" i="15" s="1"/>
  <c r="P160" i="15"/>
  <c r="M160" i="15"/>
  <c r="L160" i="15"/>
  <c r="K160" i="15"/>
  <c r="J160" i="15"/>
  <c r="I160" i="15"/>
  <c r="R160" i="15" s="1"/>
  <c r="H160" i="15"/>
  <c r="G160" i="15"/>
  <c r="F160" i="15"/>
  <c r="E160" i="15"/>
  <c r="D160" i="15"/>
  <c r="C160" i="15"/>
  <c r="B160" i="15"/>
  <c r="A160" i="15"/>
  <c r="Q160" i="15" s="1"/>
  <c r="P159" i="15"/>
  <c r="M159" i="15"/>
  <c r="L159" i="15"/>
  <c r="K159" i="15"/>
  <c r="J159" i="15"/>
  <c r="I159" i="15"/>
  <c r="R159" i="15" s="1"/>
  <c r="H159" i="15"/>
  <c r="G159" i="15"/>
  <c r="F159" i="15"/>
  <c r="E159" i="15"/>
  <c r="D159" i="15"/>
  <c r="C159" i="15"/>
  <c r="B159" i="15"/>
  <c r="A159" i="15"/>
  <c r="Q159" i="15" s="1"/>
  <c r="P158" i="15"/>
  <c r="M158" i="15"/>
  <c r="L158" i="15"/>
  <c r="K158" i="15"/>
  <c r="J158" i="15"/>
  <c r="I158" i="15"/>
  <c r="R158" i="15" s="1"/>
  <c r="H158" i="15"/>
  <c r="G158" i="15"/>
  <c r="F158" i="15"/>
  <c r="E158" i="15"/>
  <c r="D158" i="15"/>
  <c r="C158" i="15"/>
  <c r="B158" i="15"/>
  <c r="A158" i="15"/>
  <c r="Q158" i="15" s="1"/>
  <c r="P157" i="15"/>
  <c r="M157" i="15"/>
  <c r="L157" i="15"/>
  <c r="K157" i="15"/>
  <c r="J157" i="15"/>
  <c r="I157" i="15"/>
  <c r="R157" i="15" s="1"/>
  <c r="H157" i="15"/>
  <c r="G157" i="15"/>
  <c r="F157" i="15"/>
  <c r="E157" i="15"/>
  <c r="D157" i="15"/>
  <c r="C157" i="15"/>
  <c r="B157" i="15"/>
  <c r="A157" i="15"/>
  <c r="Q157" i="15" s="1"/>
  <c r="P156" i="15"/>
  <c r="M156" i="15"/>
  <c r="L156" i="15"/>
  <c r="K156" i="15"/>
  <c r="J156" i="15"/>
  <c r="I156" i="15"/>
  <c r="R156" i="15" s="1"/>
  <c r="H156" i="15"/>
  <c r="G156" i="15"/>
  <c r="F156" i="15"/>
  <c r="E156" i="15"/>
  <c r="D156" i="15"/>
  <c r="C156" i="15"/>
  <c r="B156" i="15"/>
  <c r="A156" i="15"/>
  <c r="Q156" i="15" s="1"/>
  <c r="P155" i="15"/>
  <c r="M155" i="15"/>
  <c r="L155" i="15"/>
  <c r="K155" i="15"/>
  <c r="J155" i="15"/>
  <c r="I155" i="15"/>
  <c r="R155" i="15" s="1"/>
  <c r="H155" i="15"/>
  <c r="G155" i="15"/>
  <c r="F155" i="15"/>
  <c r="E155" i="15"/>
  <c r="D155" i="15"/>
  <c r="C155" i="15"/>
  <c r="B155" i="15"/>
  <c r="A155" i="15"/>
  <c r="Q155" i="15" s="1"/>
  <c r="P154" i="15"/>
  <c r="M154" i="15"/>
  <c r="L154" i="15"/>
  <c r="K154" i="15"/>
  <c r="J154" i="15"/>
  <c r="I154" i="15"/>
  <c r="R154" i="15" s="1"/>
  <c r="H154" i="15"/>
  <c r="G154" i="15"/>
  <c r="F154" i="15"/>
  <c r="E154" i="15"/>
  <c r="D154" i="15"/>
  <c r="C154" i="15"/>
  <c r="B154" i="15"/>
  <c r="A154" i="15"/>
  <c r="Q154" i="15" s="1"/>
  <c r="P153" i="15"/>
  <c r="M153" i="15"/>
  <c r="L153" i="15"/>
  <c r="K153" i="15"/>
  <c r="J153" i="15"/>
  <c r="I153" i="15"/>
  <c r="R153" i="15" s="1"/>
  <c r="H153" i="15"/>
  <c r="G153" i="15"/>
  <c r="F153" i="15"/>
  <c r="E153" i="15"/>
  <c r="D153" i="15"/>
  <c r="C153" i="15"/>
  <c r="B153" i="15"/>
  <c r="A153" i="15"/>
  <c r="Q153" i="15" s="1"/>
  <c r="P152" i="15"/>
  <c r="M152" i="15"/>
  <c r="L152" i="15"/>
  <c r="K152" i="15"/>
  <c r="J152" i="15"/>
  <c r="I152" i="15"/>
  <c r="R152" i="15" s="1"/>
  <c r="H152" i="15"/>
  <c r="G152" i="15"/>
  <c r="F152" i="15"/>
  <c r="E152" i="15"/>
  <c r="D152" i="15"/>
  <c r="C152" i="15"/>
  <c r="B152" i="15"/>
  <c r="A152" i="15"/>
  <c r="Q152" i="15" s="1"/>
  <c r="P151" i="15"/>
  <c r="M151" i="15"/>
  <c r="L151" i="15"/>
  <c r="K151" i="15"/>
  <c r="J151" i="15"/>
  <c r="I151" i="15"/>
  <c r="R151" i="15" s="1"/>
  <c r="H151" i="15"/>
  <c r="G151" i="15"/>
  <c r="F151" i="15"/>
  <c r="E151" i="15"/>
  <c r="D151" i="15"/>
  <c r="C151" i="15"/>
  <c r="B151" i="15"/>
  <c r="A151" i="15"/>
  <c r="Q151" i="15" s="1"/>
  <c r="P150" i="15"/>
  <c r="M150" i="15"/>
  <c r="L150" i="15"/>
  <c r="K150" i="15"/>
  <c r="J150" i="15"/>
  <c r="I150" i="15"/>
  <c r="R150" i="15" s="1"/>
  <c r="H150" i="15"/>
  <c r="G150" i="15"/>
  <c r="F150" i="15"/>
  <c r="E150" i="15"/>
  <c r="D150" i="15"/>
  <c r="C150" i="15"/>
  <c r="B150" i="15"/>
  <c r="A150" i="15"/>
  <c r="Q150" i="15" s="1"/>
  <c r="P149" i="15"/>
  <c r="M149" i="15"/>
  <c r="L149" i="15"/>
  <c r="K149" i="15"/>
  <c r="J149" i="15"/>
  <c r="I149" i="15"/>
  <c r="R149" i="15" s="1"/>
  <c r="H149" i="15"/>
  <c r="G149" i="15"/>
  <c r="F149" i="15"/>
  <c r="E149" i="15"/>
  <c r="D149" i="15"/>
  <c r="C149" i="15"/>
  <c r="B149" i="15"/>
  <c r="A149" i="15"/>
  <c r="Q149" i="15" s="1"/>
  <c r="P148" i="15"/>
  <c r="M148" i="15"/>
  <c r="L148" i="15"/>
  <c r="K148" i="15"/>
  <c r="J148" i="15"/>
  <c r="I148" i="15"/>
  <c r="R148" i="15" s="1"/>
  <c r="H148" i="15"/>
  <c r="G148" i="15"/>
  <c r="F148" i="15"/>
  <c r="E148" i="15"/>
  <c r="D148" i="15"/>
  <c r="C148" i="15"/>
  <c r="B148" i="15"/>
  <c r="A148" i="15"/>
  <c r="Q148" i="15" s="1"/>
  <c r="P147" i="15"/>
  <c r="M147" i="15"/>
  <c r="L147" i="15"/>
  <c r="K147" i="15"/>
  <c r="J147" i="15"/>
  <c r="I147" i="15"/>
  <c r="R147" i="15" s="1"/>
  <c r="H147" i="15"/>
  <c r="G147" i="15"/>
  <c r="F147" i="15"/>
  <c r="E147" i="15"/>
  <c r="D147" i="15"/>
  <c r="C147" i="15"/>
  <c r="B147" i="15"/>
  <c r="A147" i="15"/>
  <c r="Q147" i="15" s="1"/>
  <c r="P146" i="15"/>
  <c r="M146" i="15"/>
  <c r="L146" i="15"/>
  <c r="K146" i="15"/>
  <c r="J146" i="15"/>
  <c r="I146" i="15"/>
  <c r="R146" i="15" s="1"/>
  <c r="H146" i="15"/>
  <c r="G146" i="15"/>
  <c r="F146" i="15"/>
  <c r="E146" i="15"/>
  <c r="D146" i="15"/>
  <c r="C146" i="15"/>
  <c r="B146" i="15"/>
  <c r="A146" i="15"/>
  <c r="Q146" i="15" s="1"/>
  <c r="P145" i="15"/>
  <c r="M145" i="15"/>
  <c r="L145" i="15"/>
  <c r="K145" i="15"/>
  <c r="J145" i="15"/>
  <c r="I145" i="15"/>
  <c r="R145" i="15" s="1"/>
  <c r="H145" i="15"/>
  <c r="G145" i="15"/>
  <c r="F145" i="15"/>
  <c r="E145" i="15"/>
  <c r="D145" i="15"/>
  <c r="C145" i="15"/>
  <c r="B145" i="15"/>
  <c r="A145" i="15"/>
  <c r="Q145" i="15" s="1"/>
  <c r="P144" i="15"/>
  <c r="M144" i="15"/>
  <c r="L144" i="15"/>
  <c r="K144" i="15"/>
  <c r="J144" i="15"/>
  <c r="I144" i="15"/>
  <c r="R144" i="15" s="1"/>
  <c r="H144" i="15"/>
  <c r="G144" i="15"/>
  <c r="F144" i="15"/>
  <c r="E144" i="15"/>
  <c r="D144" i="15"/>
  <c r="C144" i="15"/>
  <c r="B144" i="15"/>
  <c r="A144" i="15"/>
  <c r="Q144" i="15" s="1"/>
  <c r="P143" i="15"/>
  <c r="M143" i="15"/>
  <c r="L143" i="15"/>
  <c r="K143" i="15"/>
  <c r="J143" i="15"/>
  <c r="I143" i="15"/>
  <c r="R143" i="15" s="1"/>
  <c r="H143" i="15"/>
  <c r="G143" i="15"/>
  <c r="F143" i="15"/>
  <c r="E143" i="15"/>
  <c r="D143" i="15"/>
  <c r="C143" i="15"/>
  <c r="B143" i="15"/>
  <c r="A143" i="15"/>
  <c r="Q143" i="15" s="1"/>
  <c r="P142" i="15"/>
  <c r="M142" i="15"/>
  <c r="L142" i="15"/>
  <c r="K142" i="15"/>
  <c r="J142" i="15"/>
  <c r="I142" i="15"/>
  <c r="R142" i="15" s="1"/>
  <c r="H142" i="15"/>
  <c r="G142" i="15"/>
  <c r="F142" i="15"/>
  <c r="E142" i="15"/>
  <c r="D142" i="15"/>
  <c r="C142" i="15"/>
  <c r="B142" i="15"/>
  <c r="A142" i="15"/>
  <c r="Q142" i="15" s="1"/>
  <c r="P141" i="15"/>
  <c r="M141" i="15"/>
  <c r="L141" i="15"/>
  <c r="K141" i="15"/>
  <c r="J141" i="15"/>
  <c r="I141" i="15"/>
  <c r="R141" i="15" s="1"/>
  <c r="H141" i="15"/>
  <c r="G141" i="15"/>
  <c r="F141" i="15"/>
  <c r="E141" i="15"/>
  <c r="D141" i="15"/>
  <c r="C141" i="15"/>
  <c r="B141" i="15"/>
  <c r="A141" i="15"/>
  <c r="Q141" i="15" s="1"/>
  <c r="P140" i="15"/>
  <c r="M140" i="15"/>
  <c r="L140" i="15"/>
  <c r="K140" i="15"/>
  <c r="J140" i="15"/>
  <c r="I140" i="15"/>
  <c r="R140" i="15" s="1"/>
  <c r="H140" i="15"/>
  <c r="G140" i="15"/>
  <c r="F140" i="15"/>
  <c r="E140" i="15"/>
  <c r="D140" i="15"/>
  <c r="C140" i="15"/>
  <c r="B140" i="15"/>
  <c r="A140" i="15"/>
  <c r="Q140" i="15" s="1"/>
  <c r="P139" i="15"/>
  <c r="M139" i="15"/>
  <c r="L139" i="15"/>
  <c r="K139" i="15"/>
  <c r="J139" i="15"/>
  <c r="I139" i="15"/>
  <c r="R139" i="15" s="1"/>
  <c r="H139" i="15"/>
  <c r="G139" i="15"/>
  <c r="F139" i="15"/>
  <c r="E139" i="15"/>
  <c r="D139" i="15"/>
  <c r="C139" i="15"/>
  <c r="B139" i="15"/>
  <c r="A139" i="15"/>
  <c r="Q139" i="15" s="1"/>
  <c r="P138" i="15"/>
  <c r="M138" i="15"/>
  <c r="L138" i="15"/>
  <c r="K138" i="15"/>
  <c r="J138" i="15"/>
  <c r="I138" i="15"/>
  <c r="R138" i="15" s="1"/>
  <c r="H138" i="15"/>
  <c r="G138" i="15"/>
  <c r="F138" i="15"/>
  <c r="E138" i="15"/>
  <c r="D138" i="15"/>
  <c r="C138" i="15"/>
  <c r="B138" i="15"/>
  <c r="A138" i="15"/>
  <c r="Q138" i="15" s="1"/>
  <c r="P137" i="15"/>
  <c r="M137" i="15"/>
  <c r="L137" i="15"/>
  <c r="K137" i="15"/>
  <c r="J137" i="15"/>
  <c r="I137" i="15"/>
  <c r="R137" i="15" s="1"/>
  <c r="H137" i="15"/>
  <c r="G137" i="15"/>
  <c r="F137" i="15"/>
  <c r="E137" i="15"/>
  <c r="D137" i="15"/>
  <c r="C137" i="15"/>
  <c r="B137" i="15"/>
  <c r="A137" i="15"/>
  <c r="Q137" i="15" s="1"/>
  <c r="P136" i="15"/>
  <c r="M136" i="15"/>
  <c r="L136" i="15"/>
  <c r="K136" i="15"/>
  <c r="J136" i="15"/>
  <c r="I136" i="15"/>
  <c r="R136" i="15" s="1"/>
  <c r="H136" i="15"/>
  <c r="G136" i="15"/>
  <c r="F136" i="15"/>
  <c r="E136" i="15"/>
  <c r="D136" i="15"/>
  <c r="C136" i="15"/>
  <c r="B136" i="15"/>
  <c r="A136" i="15"/>
  <c r="Q136" i="15" s="1"/>
  <c r="P135" i="15"/>
  <c r="M135" i="15"/>
  <c r="L135" i="15"/>
  <c r="K135" i="15"/>
  <c r="J135" i="15"/>
  <c r="I135" i="15"/>
  <c r="R135" i="15" s="1"/>
  <c r="H135" i="15"/>
  <c r="G135" i="15"/>
  <c r="F135" i="15"/>
  <c r="E135" i="15"/>
  <c r="D135" i="15"/>
  <c r="C135" i="15"/>
  <c r="B135" i="15"/>
  <c r="A135" i="15"/>
  <c r="Q135" i="15" s="1"/>
  <c r="P134" i="15"/>
  <c r="M134" i="15"/>
  <c r="L134" i="15"/>
  <c r="K134" i="15"/>
  <c r="J134" i="15"/>
  <c r="I134" i="15"/>
  <c r="R134" i="15" s="1"/>
  <c r="H134" i="15"/>
  <c r="G134" i="15"/>
  <c r="F134" i="15"/>
  <c r="E134" i="15"/>
  <c r="D134" i="15"/>
  <c r="C134" i="15"/>
  <c r="B134" i="15"/>
  <c r="A134" i="15"/>
  <c r="Q134" i="15" s="1"/>
  <c r="P133" i="15"/>
  <c r="M133" i="15"/>
  <c r="L133" i="15"/>
  <c r="K133" i="15"/>
  <c r="J133" i="15"/>
  <c r="I133" i="15"/>
  <c r="R133" i="15" s="1"/>
  <c r="H133" i="15"/>
  <c r="G133" i="15"/>
  <c r="F133" i="15"/>
  <c r="E133" i="15"/>
  <c r="D133" i="15"/>
  <c r="C133" i="15"/>
  <c r="B133" i="15"/>
  <c r="A133" i="15"/>
  <c r="Q133" i="15" s="1"/>
  <c r="P132" i="15"/>
  <c r="M132" i="15"/>
  <c r="L132" i="15"/>
  <c r="K132" i="15"/>
  <c r="J132" i="15"/>
  <c r="I132" i="15"/>
  <c r="R132" i="15" s="1"/>
  <c r="H132" i="15"/>
  <c r="G132" i="15"/>
  <c r="F132" i="15"/>
  <c r="E132" i="15"/>
  <c r="D132" i="15"/>
  <c r="C132" i="15"/>
  <c r="B132" i="15"/>
  <c r="A132" i="15"/>
  <c r="Q132" i="15" s="1"/>
  <c r="P131" i="15"/>
  <c r="M131" i="15"/>
  <c r="L131" i="15"/>
  <c r="K131" i="15"/>
  <c r="J131" i="15"/>
  <c r="I131" i="15"/>
  <c r="R131" i="15" s="1"/>
  <c r="H131" i="15"/>
  <c r="G131" i="15"/>
  <c r="F131" i="15"/>
  <c r="E131" i="15"/>
  <c r="D131" i="15"/>
  <c r="C131" i="15"/>
  <c r="B131" i="15"/>
  <c r="A131" i="15"/>
  <c r="Q131" i="15" s="1"/>
  <c r="P130" i="15"/>
  <c r="M130" i="15"/>
  <c r="L130" i="15"/>
  <c r="K130" i="15"/>
  <c r="J130" i="15"/>
  <c r="I130" i="15"/>
  <c r="R130" i="15" s="1"/>
  <c r="H130" i="15"/>
  <c r="G130" i="15"/>
  <c r="F130" i="15"/>
  <c r="E130" i="15"/>
  <c r="D130" i="15"/>
  <c r="C130" i="15"/>
  <c r="B130" i="15"/>
  <c r="A130" i="15"/>
  <c r="Q130" i="15" s="1"/>
  <c r="P129" i="15"/>
  <c r="M129" i="15"/>
  <c r="L129" i="15"/>
  <c r="K129" i="15"/>
  <c r="J129" i="15"/>
  <c r="I129" i="15"/>
  <c r="R129" i="15" s="1"/>
  <c r="H129" i="15"/>
  <c r="G129" i="15"/>
  <c r="F129" i="15"/>
  <c r="E129" i="15"/>
  <c r="D129" i="15"/>
  <c r="C129" i="15"/>
  <c r="B129" i="15"/>
  <c r="A129" i="15"/>
  <c r="Q129" i="15" s="1"/>
  <c r="P128" i="15"/>
  <c r="M128" i="15"/>
  <c r="L128" i="15"/>
  <c r="K128" i="15"/>
  <c r="J128" i="15"/>
  <c r="I128" i="15"/>
  <c r="R128" i="15" s="1"/>
  <c r="H128" i="15"/>
  <c r="G128" i="15"/>
  <c r="F128" i="15"/>
  <c r="E128" i="15"/>
  <c r="D128" i="15"/>
  <c r="C128" i="15"/>
  <c r="B128" i="15"/>
  <c r="A128" i="15"/>
  <c r="Q128" i="15" s="1"/>
  <c r="P127" i="15"/>
  <c r="M127" i="15"/>
  <c r="L127" i="15"/>
  <c r="K127" i="15"/>
  <c r="J127" i="15"/>
  <c r="I127" i="15"/>
  <c r="R127" i="15" s="1"/>
  <c r="H127" i="15"/>
  <c r="G127" i="15"/>
  <c r="F127" i="15"/>
  <c r="E127" i="15"/>
  <c r="D127" i="15"/>
  <c r="C127" i="15"/>
  <c r="B127" i="15"/>
  <c r="A127" i="15"/>
  <c r="Q127" i="15" s="1"/>
  <c r="P126" i="15"/>
  <c r="M126" i="15"/>
  <c r="L126" i="15"/>
  <c r="K126" i="15"/>
  <c r="J126" i="15"/>
  <c r="I126" i="15"/>
  <c r="R126" i="15" s="1"/>
  <c r="H126" i="15"/>
  <c r="G126" i="15"/>
  <c r="F126" i="15"/>
  <c r="E126" i="15"/>
  <c r="D126" i="15"/>
  <c r="C126" i="15"/>
  <c r="B126" i="15"/>
  <c r="A126" i="15"/>
  <c r="Q126" i="15" s="1"/>
  <c r="P125" i="15"/>
  <c r="M125" i="15"/>
  <c r="L125" i="15"/>
  <c r="K125" i="15"/>
  <c r="J125" i="15"/>
  <c r="I125" i="15"/>
  <c r="R125" i="15" s="1"/>
  <c r="H125" i="15"/>
  <c r="G125" i="15"/>
  <c r="F125" i="15"/>
  <c r="E125" i="15"/>
  <c r="D125" i="15"/>
  <c r="C125" i="15"/>
  <c r="B125" i="15"/>
  <c r="A125" i="15"/>
  <c r="Q125" i="15" s="1"/>
  <c r="P124" i="15"/>
  <c r="M124" i="15"/>
  <c r="L124" i="15"/>
  <c r="K124" i="15"/>
  <c r="J124" i="15"/>
  <c r="I124" i="15"/>
  <c r="R124" i="15" s="1"/>
  <c r="H124" i="15"/>
  <c r="G124" i="15"/>
  <c r="F124" i="15"/>
  <c r="E124" i="15"/>
  <c r="D124" i="15"/>
  <c r="C124" i="15"/>
  <c r="B124" i="15"/>
  <c r="A124" i="15"/>
  <c r="Q124" i="15" s="1"/>
  <c r="P123" i="15"/>
  <c r="M123" i="15"/>
  <c r="L123" i="15"/>
  <c r="K123" i="15"/>
  <c r="J123" i="15"/>
  <c r="I123" i="15"/>
  <c r="R123" i="15" s="1"/>
  <c r="H123" i="15"/>
  <c r="G123" i="15"/>
  <c r="F123" i="15"/>
  <c r="E123" i="15"/>
  <c r="D123" i="15"/>
  <c r="C123" i="15"/>
  <c r="B123" i="15"/>
  <c r="A123" i="15"/>
  <c r="Q123" i="15" s="1"/>
  <c r="P122" i="15"/>
  <c r="M122" i="15"/>
  <c r="L122" i="15"/>
  <c r="K122" i="15"/>
  <c r="J122" i="15"/>
  <c r="I122" i="15"/>
  <c r="R122" i="15" s="1"/>
  <c r="H122" i="15"/>
  <c r="G122" i="15"/>
  <c r="F122" i="15"/>
  <c r="E122" i="15"/>
  <c r="D122" i="15"/>
  <c r="C122" i="15"/>
  <c r="B122" i="15"/>
  <c r="A122" i="15"/>
  <c r="Q122" i="15" s="1"/>
  <c r="P121" i="15"/>
  <c r="M121" i="15"/>
  <c r="L121" i="15"/>
  <c r="K121" i="15"/>
  <c r="J121" i="15"/>
  <c r="I121" i="15"/>
  <c r="R121" i="15" s="1"/>
  <c r="H121" i="15"/>
  <c r="G121" i="15"/>
  <c r="F121" i="15"/>
  <c r="E121" i="15"/>
  <c r="D121" i="15"/>
  <c r="C121" i="15"/>
  <c r="B121" i="15"/>
  <c r="A121" i="15"/>
  <c r="Q121" i="15" s="1"/>
  <c r="P120" i="15"/>
  <c r="M120" i="15"/>
  <c r="L120" i="15"/>
  <c r="K120" i="15"/>
  <c r="J120" i="15"/>
  <c r="I120" i="15"/>
  <c r="R120" i="15" s="1"/>
  <c r="H120" i="15"/>
  <c r="G120" i="15"/>
  <c r="F120" i="15"/>
  <c r="E120" i="15"/>
  <c r="D120" i="15"/>
  <c r="C120" i="15"/>
  <c r="B120" i="15"/>
  <c r="A120" i="15"/>
  <c r="Q120" i="15" s="1"/>
  <c r="P119" i="15"/>
  <c r="M119" i="15"/>
  <c r="L119" i="15"/>
  <c r="K119" i="15"/>
  <c r="J119" i="15"/>
  <c r="I119" i="15"/>
  <c r="R119" i="15" s="1"/>
  <c r="H119" i="15"/>
  <c r="G119" i="15"/>
  <c r="F119" i="15"/>
  <c r="E119" i="15"/>
  <c r="D119" i="15"/>
  <c r="C119" i="15"/>
  <c r="B119" i="15"/>
  <c r="A119" i="15"/>
  <c r="Q119" i="15" s="1"/>
  <c r="P118" i="15"/>
  <c r="M118" i="15"/>
  <c r="L118" i="15"/>
  <c r="K118" i="15"/>
  <c r="J118" i="15"/>
  <c r="I118" i="15"/>
  <c r="R118" i="15" s="1"/>
  <c r="H118" i="15"/>
  <c r="G118" i="15"/>
  <c r="F118" i="15"/>
  <c r="E118" i="15"/>
  <c r="D118" i="15"/>
  <c r="C118" i="15"/>
  <c r="B118" i="15"/>
  <c r="A118" i="15"/>
  <c r="Q118" i="15" s="1"/>
  <c r="P117" i="15"/>
  <c r="M117" i="15"/>
  <c r="L117" i="15"/>
  <c r="K117" i="15"/>
  <c r="J117" i="15"/>
  <c r="I117" i="15"/>
  <c r="R117" i="15" s="1"/>
  <c r="H117" i="15"/>
  <c r="G117" i="15"/>
  <c r="F117" i="15"/>
  <c r="E117" i="15"/>
  <c r="D117" i="15"/>
  <c r="C117" i="15"/>
  <c r="B117" i="15"/>
  <c r="A117" i="15"/>
  <c r="Q117" i="15" s="1"/>
  <c r="P116" i="15"/>
  <c r="M116" i="15"/>
  <c r="L116" i="15"/>
  <c r="K116" i="15"/>
  <c r="J116" i="15"/>
  <c r="I116" i="15"/>
  <c r="R116" i="15" s="1"/>
  <c r="H116" i="15"/>
  <c r="G116" i="15"/>
  <c r="F116" i="15"/>
  <c r="E116" i="15"/>
  <c r="D116" i="15"/>
  <c r="C116" i="15"/>
  <c r="B116" i="15"/>
  <c r="A116" i="15"/>
  <c r="Q116" i="15" s="1"/>
  <c r="P115" i="15"/>
  <c r="M115" i="15"/>
  <c r="L115" i="15"/>
  <c r="K115" i="15"/>
  <c r="J115" i="15"/>
  <c r="I115" i="15"/>
  <c r="R115" i="15" s="1"/>
  <c r="H115" i="15"/>
  <c r="G115" i="15"/>
  <c r="F115" i="15"/>
  <c r="E115" i="15"/>
  <c r="D115" i="15"/>
  <c r="C115" i="15"/>
  <c r="B115" i="15"/>
  <c r="A115" i="15"/>
  <c r="Q115" i="15" s="1"/>
  <c r="P114" i="15"/>
  <c r="M114" i="15"/>
  <c r="L114" i="15"/>
  <c r="K114" i="15"/>
  <c r="J114" i="15"/>
  <c r="I114" i="15"/>
  <c r="R114" i="15" s="1"/>
  <c r="H114" i="15"/>
  <c r="G114" i="15"/>
  <c r="F114" i="15"/>
  <c r="E114" i="15"/>
  <c r="D114" i="15"/>
  <c r="C114" i="15"/>
  <c r="B114" i="15"/>
  <c r="A114" i="15"/>
  <c r="Q114" i="15" s="1"/>
  <c r="P113" i="15"/>
  <c r="M113" i="15"/>
  <c r="L113" i="15"/>
  <c r="K113" i="15"/>
  <c r="J113" i="15"/>
  <c r="I113" i="15"/>
  <c r="R113" i="15" s="1"/>
  <c r="H113" i="15"/>
  <c r="G113" i="15"/>
  <c r="F113" i="15"/>
  <c r="E113" i="15"/>
  <c r="D113" i="15"/>
  <c r="C113" i="15"/>
  <c r="B113" i="15"/>
  <c r="A113" i="15"/>
  <c r="Q113" i="15" s="1"/>
  <c r="P112" i="15"/>
  <c r="M112" i="15"/>
  <c r="L112" i="15"/>
  <c r="K112" i="15"/>
  <c r="J112" i="15"/>
  <c r="I112" i="15"/>
  <c r="R112" i="15" s="1"/>
  <c r="H112" i="15"/>
  <c r="G112" i="15"/>
  <c r="F112" i="15"/>
  <c r="E112" i="15"/>
  <c r="D112" i="15"/>
  <c r="C112" i="15"/>
  <c r="B112" i="15"/>
  <c r="A112" i="15"/>
  <c r="Q112" i="15" s="1"/>
  <c r="P111" i="15"/>
  <c r="M111" i="15"/>
  <c r="L111" i="15"/>
  <c r="K111" i="15"/>
  <c r="J111" i="15"/>
  <c r="I111" i="15"/>
  <c r="R111" i="15" s="1"/>
  <c r="H111" i="15"/>
  <c r="G111" i="15"/>
  <c r="F111" i="15"/>
  <c r="E111" i="15"/>
  <c r="D111" i="15"/>
  <c r="C111" i="15"/>
  <c r="B111" i="15"/>
  <c r="A111" i="15"/>
  <c r="Q111" i="15" s="1"/>
  <c r="P110" i="15"/>
  <c r="M110" i="15"/>
  <c r="L110" i="15"/>
  <c r="K110" i="15"/>
  <c r="J110" i="15"/>
  <c r="I110" i="15"/>
  <c r="R110" i="15" s="1"/>
  <c r="H110" i="15"/>
  <c r="G110" i="15"/>
  <c r="F110" i="15"/>
  <c r="E110" i="15"/>
  <c r="D110" i="15"/>
  <c r="C110" i="15"/>
  <c r="B110" i="15"/>
  <c r="A110" i="15"/>
  <c r="Q110" i="15" s="1"/>
  <c r="P109" i="15"/>
  <c r="M109" i="15"/>
  <c r="L109" i="15"/>
  <c r="K109" i="15"/>
  <c r="J109" i="15"/>
  <c r="I109" i="15"/>
  <c r="R109" i="15" s="1"/>
  <c r="H109" i="15"/>
  <c r="G109" i="15"/>
  <c r="F109" i="15"/>
  <c r="E109" i="15"/>
  <c r="D109" i="15"/>
  <c r="C109" i="15"/>
  <c r="B109" i="15"/>
  <c r="A109" i="15"/>
  <c r="Q109" i="15" s="1"/>
  <c r="P108" i="15"/>
  <c r="M108" i="15"/>
  <c r="L108" i="15"/>
  <c r="K108" i="15"/>
  <c r="J108" i="15"/>
  <c r="I108" i="15"/>
  <c r="R108" i="15" s="1"/>
  <c r="H108" i="15"/>
  <c r="G108" i="15"/>
  <c r="F108" i="15"/>
  <c r="E108" i="15"/>
  <c r="D108" i="15"/>
  <c r="C108" i="15"/>
  <c r="B108" i="15"/>
  <c r="A108" i="15"/>
  <c r="Q108" i="15" s="1"/>
  <c r="P107" i="15"/>
  <c r="M107" i="15"/>
  <c r="L107" i="15"/>
  <c r="K107" i="15"/>
  <c r="J107" i="15"/>
  <c r="I107" i="15"/>
  <c r="R107" i="15" s="1"/>
  <c r="H107" i="15"/>
  <c r="G107" i="15"/>
  <c r="F107" i="15"/>
  <c r="E107" i="15"/>
  <c r="D107" i="15"/>
  <c r="C107" i="15"/>
  <c r="B107" i="15"/>
  <c r="A107" i="15"/>
  <c r="Q107" i="15" s="1"/>
  <c r="P106" i="15"/>
  <c r="M106" i="15"/>
  <c r="L106" i="15"/>
  <c r="K106" i="15"/>
  <c r="J106" i="15"/>
  <c r="I106" i="15"/>
  <c r="R106" i="15" s="1"/>
  <c r="H106" i="15"/>
  <c r="G106" i="15"/>
  <c r="F106" i="15"/>
  <c r="E106" i="15"/>
  <c r="D106" i="15"/>
  <c r="C106" i="15"/>
  <c r="B106" i="15"/>
  <c r="A106" i="15"/>
  <c r="Q106" i="15" s="1"/>
  <c r="P105" i="15"/>
  <c r="M105" i="15"/>
  <c r="L105" i="15"/>
  <c r="K105" i="15"/>
  <c r="J105" i="15"/>
  <c r="I105" i="15"/>
  <c r="R105" i="15" s="1"/>
  <c r="H105" i="15"/>
  <c r="G105" i="15"/>
  <c r="F105" i="15"/>
  <c r="E105" i="15"/>
  <c r="D105" i="15"/>
  <c r="C105" i="15"/>
  <c r="B105" i="15"/>
  <c r="A105" i="15"/>
  <c r="Q105" i="15" s="1"/>
  <c r="P104" i="15"/>
  <c r="M104" i="15"/>
  <c r="L104" i="15"/>
  <c r="K104" i="15"/>
  <c r="J104" i="15"/>
  <c r="I104" i="15"/>
  <c r="R104" i="15" s="1"/>
  <c r="H104" i="15"/>
  <c r="G104" i="15"/>
  <c r="F104" i="15"/>
  <c r="E104" i="15"/>
  <c r="D104" i="15"/>
  <c r="C104" i="15"/>
  <c r="B104" i="15"/>
  <c r="A104" i="15"/>
  <c r="Q104" i="15" s="1"/>
  <c r="P103" i="15"/>
  <c r="M103" i="15"/>
  <c r="L103" i="15"/>
  <c r="K103" i="15"/>
  <c r="J103" i="15"/>
  <c r="I103" i="15"/>
  <c r="R103" i="15" s="1"/>
  <c r="H103" i="15"/>
  <c r="G103" i="15"/>
  <c r="F103" i="15"/>
  <c r="E103" i="15"/>
  <c r="D103" i="15"/>
  <c r="C103" i="15"/>
  <c r="B103" i="15"/>
  <c r="A103" i="15"/>
  <c r="Q103" i="15" s="1"/>
  <c r="P102" i="15"/>
  <c r="M102" i="15"/>
  <c r="L102" i="15"/>
  <c r="K102" i="15"/>
  <c r="J102" i="15"/>
  <c r="I102" i="15"/>
  <c r="R102" i="15" s="1"/>
  <c r="H102" i="15"/>
  <c r="G102" i="15"/>
  <c r="F102" i="15"/>
  <c r="E102" i="15"/>
  <c r="D102" i="15"/>
  <c r="C102" i="15"/>
  <c r="B102" i="15"/>
  <c r="A102" i="15"/>
  <c r="Q102" i="15" s="1"/>
  <c r="P101" i="15"/>
  <c r="M101" i="15"/>
  <c r="L101" i="15"/>
  <c r="K101" i="15"/>
  <c r="J101" i="15"/>
  <c r="I101" i="15"/>
  <c r="R101" i="15" s="1"/>
  <c r="H101" i="15"/>
  <c r="G101" i="15"/>
  <c r="F101" i="15"/>
  <c r="E101" i="15"/>
  <c r="D101" i="15"/>
  <c r="C101" i="15"/>
  <c r="B101" i="15"/>
  <c r="A101" i="15"/>
  <c r="Q101" i="15" s="1"/>
  <c r="P100" i="15"/>
  <c r="M100" i="15"/>
  <c r="L100" i="15"/>
  <c r="K100" i="15"/>
  <c r="J100" i="15"/>
  <c r="I100" i="15"/>
  <c r="R100" i="15" s="1"/>
  <c r="H100" i="15"/>
  <c r="G100" i="15"/>
  <c r="F100" i="15"/>
  <c r="E100" i="15"/>
  <c r="D100" i="15"/>
  <c r="C100" i="15"/>
  <c r="B100" i="15"/>
  <c r="A100" i="15"/>
  <c r="Q100" i="15" s="1"/>
  <c r="P99" i="15"/>
  <c r="M99" i="15"/>
  <c r="L99" i="15"/>
  <c r="K99" i="15"/>
  <c r="J99" i="15"/>
  <c r="I99" i="15"/>
  <c r="R99" i="15" s="1"/>
  <c r="H99" i="15"/>
  <c r="G99" i="15"/>
  <c r="F99" i="15"/>
  <c r="E99" i="15"/>
  <c r="D99" i="15"/>
  <c r="C99" i="15"/>
  <c r="B99" i="15"/>
  <c r="A99" i="15"/>
  <c r="Q99" i="15" s="1"/>
  <c r="P98" i="15"/>
  <c r="M98" i="15"/>
  <c r="L98" i="15"/>
  <c r="K98" i="15"/>
  <c r="J98" i="15"/>
  <c r="I98" i="15"/>
  <c r="R98" i="15" s="1"/>
  <c r="H98" i="15"/>
  <c r="G98" i="15"/>
  <c r="F98" i="15"/>
  <c r="E98" i="15"/>
  <c r="D98" i="15"/>
  <c r="C98" i="15"/>
  <c r="B98" i="15"/>
  <c r="A98" i="15"/>
  <c r="Q98" i="15" s="1"/>
  <c r="P97" i="15"/>
  <c r="M97" i="15"/>
  <c r="L97" i="15"/>
  <c r="K97" i="15"/>
  <c r="J97" i="15"/>
  <c r="I97" i="15"/>
  <c r="R97" i="15" s="1"/>
  <c r="H97" i="15"/>
  <c r="G97" i="15"/>
  <c r="F97" i="15"/>
  <c r="E97" i="15"/>
  <c r="D97" i="15"/>
  <c r="C97" i="15"/>
  <c r="B97" i="15"/>
  <c r="A97" i="15"/>
  <c r="Q97" i="15" s="1"/>
  <c r="P96" i="15"/>
  <c r="M96" i="15"/>
  <c r="L96" i="15"/>
  <c r="K96" i="15"/>
  <c r="J96" i="15"/>
  <c r="I96" i="15"/>
  <c r="R96" i="15" s="1"/>
  <c r="H96" i="15"/>
  <c r="G96" i="15"/>
  <c r="F96" i="15"/>
  <c r="E96" i="15"/>
  <c r="D96" i="15"/>
  <c r="C96" i="15"/>
  <c r="B96" i="15"/>
  <c r="A96" i="15"/>
  <c r="Q96" i="15" s="1"/>
  <c r="P95" i="15"/>
  <c r="M95" i="15"/>
  <c r="L95" i="15"/>
  <c r="K95" i="15"/>
  <c r="J95" i="15"/>
  <c r="I95" i="15"/>
  <c r="R95" i="15" s="1"/>
  <c r="H95" i="15"/>
  <c r="G95" i="15"/>
  <c r="F95" i="15"/>
  <c r="E95" i="15"/>
  <c r="D95" i="15"/>
  <c r="C95" i="15"/>
  <c r="B95" i="15"/>
  <c r="A95" i="15"/>
  <c r="Q95" i="15" s="1"/>
  <c r="P94" i="15"/>
  <c r="M94" i="15"/>
  <c r="L94" i="15"/>
  <c r="K94" i="15"/>
  <c r="J94" i="15"/>
  <c r="I94" i="15"/>
  <c r="R94" i="15" s="1"/>
  <c r="H94" i="15"/>
  <c r="G94" i="15"/>
  <c r="F94" i="15"/>
  <c r="E94" i="15"/>
  <c r="D94" i="15"/>
  <c r="C94" i="15"/>
  <c r="B94" i="15"/>
  <c r="A94" i="15"/>
  <c r="Q94" i="15" s="1"/>
  <c r="P93" i="15"/>
  <c r="M93" i="15"/>
  <c r="L93" i="15"/>
  <c r="K93" i="15"/>
  <c r="J93" i="15"/>
  <c r="I93" i="15"/>
  <c r="R93" i="15" s="1"/>
  <c r="H93" i="15"/>
  <c r="G93" i="15"/>
  <c r="F93" i="15"/>
  <c r="E93" i="15"/>
  <c r="D93" i="15"/>
  <c r="C93" i="15"/>
  <c r="B93" i="15"/>
  <c r="A93" i="15"/>
  <c r="Q93" i="15" s="1"/>
  <c r="P92" i="15"/>
  <c r="M92" i="15"/>
  <c r="L92" i="15"/>
  <c r="K92" i="15"/>
  <c r="J92" i="15"/>
  <c r="I92" i="15"/>
  <c r="R92" i="15" s="1"/>
  <c r="H92" i="15"/>
  <c r="G92" i="15"/>
  <c r="F92" i="15"/>
  <c r="E92" i="15"/>
  <c r="D92" i="15"/>
  <c r="C92" i="15"/>
  <c r="B92" i="15"/>
  <c r="A92" i="15"/>
  <c r="Q92" i="15" s="1"/>
  <c r="P91" i="15"/>
  <c r="M91" i="15"/>
  <c r="L91" i="15"/>
  <c r="K91" i="15"/>
  <c r="J91" i="15"/>
  <c r="I91" i="15"/>
  <c r="R91" i="15" s="1"/>
  <c r="H91" i="15"/>
  <c r="G91" i="15"/>
  <c r="F91" i="15"/>
  <c r="E91" i="15"/>
  <c r="D91" i="15"/>
  <c r="C91" i="15"/>
  <c r="B91" i="15"/>
  <c r="A91" i="15"/>
  <c r="Q91" i="15" s="1"/>
  <c r="P90" i="15"/>
  <c r="M90" i="15"/>
  <c r="L90" i="15"/>
  <c r="K90" i="15"/>
  <c r="J90" i="15"/>
  <c r="I90" i="15"/>
  <c r="R90" i="15" s="1"/>
  <c r="H90" i="15"/>
  <c r="G90" i="15"/>
  <c r="F90" i="15"/>
  <c r="E90" i="15"/>
  <c r="D90" i="15"/>
  <c r="C90" i="15"/>
  <c r="B90" i="15"/>
  <c r="A90" i="15"/>
  <c r="Q90" i="15" s="1"/>
  <c r="P89" i="15"/>
  <c r="M89" i="15"/>
  <c r="L89" i="15"/>
  <c r="K89" i="15"/>
  <c r="J89" i="15"/>
  <c r="I89" i="15"/>
  <c r="R89" i="15" s="1"/>
  <c r="H89" i="15"/>
  <c r="G89" i="15"/>
  <c r="F89" i="15"/>
  <c r="E89" i="15"/>
  <c r="D89" i="15"/>
  <c r="C89" i="15"/>
  <c r="B89" i="15"/>
  <c r="A89" i="15"/>
  <c r="Q89" i="15" s="1"/>
  <c r="P88" i="15"/>
  <c r="M88" i="15"/>
  <c r="L88" i="15"/>
  <c r="K88" i="15"/>
  <c r="J88" i="15"/>
  <c r="I88" i="15"/>
  <c r="R88" i="15" s="1"/>
  <c r="H88" i="15"/>
  <c r="G88" i="15"/>
  <c r="F88" i="15"/>
  <c r="E88" i="15"/>
  <c r="D88" i="15"/>
  <c r="C88" i="15"/>
  <c r="B88" i="15"/>
  <c r="A88" i="15"/>
  <c r="Q88" i="15" s="1"/>
  <c r="P87" i="15"/>
  <c r="M87" i="15"/>
  <c r="L87" i="15"/>
  <c r="K87" i="15"/>
  <c r="J87" i="15"/>
  <c r="I87" i="15"/>
  <c r="R87" i="15" s="1"/>
  <c r="H87" i="15"/>
  <c r="G87" i="15"/>
  <c r="F87" i="15"/>
  <c r="E87" i="15"/>
  <c r="D87" i="15"/>
  <c r="C87" i="15"/>
  <c r="B87" i="15"/>
  <c r="A87" i="15"/>
  <c r="Q87" i="15" s="1"/>
  <c r="P86" i="15"/>
  <c r="M86" i="15"/>
  <c r="L86" i="15"/>
  <c r="K86" i="15"/>
  <c r="J86" i="15"/>
  <c r="I86" i="15"/>
  <c r="R86" i="15" s="1"/>
  <c r="H86" i="15"/>
  <c r="G86" i="15"/>
  <c r="F86" i="15"/>
  <c r="E86" i="15"/>
  <c r="D86" i="15"/>
  <c r="C86" i="15"/>
  <c r="B86" i="15"/>
  <c r="A86" i="15"/>
  <c r="Q86" i="15" s="1"/>
  <c r="P85" i="15"/>
  <c r="M85" i="15"/>
  <c r="L85" i="15"/>
  <c r="K85" i="15"/>
  <c r="J85" i="15"/>
  <c r="I85" i="15"/>
  <c r="R85" i="15" s="1"/>
  <c r="H85" i="15"/>
  <c r="G85" i="15"/>
  <c r="F85" i="15"/>
  <c r="E85" i="15"/>
  <c r="D85" i="15"/>
  <c r="C85" i="15"/>
  <c r="B85" i="15"/>
  <c r="A85" i="15"/>
  <c r="Q85" i="15" s="1"/>
  <c r="P84" i="15"/>
  <c r="M84" i="15"/>
  <c r="L84" i="15"/>
  <c r="K84" i="15"/>
  <c r="J84" i="15"/>
  <c r="I84" i="15"/>
  <c r="R84" i="15" s="1"/>
  <c r="H84" i="15"/>
  <c r="G84" i="15"/>
  <c r="F84" i="15"/>
  <c r="E84" i="15"/>
  <c r="D84" i="15"/>
  <c r="C84" i="15"/>
  <c r="B84" i="15"/>
  <c r="A84" i="15"/>
  <c r="Q84" i="15" s="1"/>
  <c r="P83" i="15"/>
  <c r="M83" i="15"/>
  <c r="L83" i="15"/>
  <c r="K83" i="15"/>
  <c r="J83" i="15"/>
  <c r="I83" i="15"/>
  <c r="R83" i="15" s="1"/>
  <c r="H83" i="15"/>
  <c r="G83" i="15"/>
  <c r="F83" i="15"/>
  <c r="E83" i="15"/>
  <c r="D83" i="15"/>
  <c r="C83" i="15"/>
  <c r="B83" i="15"/>
  <c r="A83" i="15"/>
  <c r="Q83" i="15" s="1"/>
  <c r="P82" i="15"/>
  <c r="M82" i="15"/>
  <c r="L82" i="15"/>
  <c r="K82" i="15"/>
  <c r="J82" i="15"/>
  <c r="I82" i="15"/>
  <c r="R82" i="15" s="1"/>
  <c r="H82" i="15"/>
  <c r="G82" i="15"/>
  <c r="F82" i="15"/>
  <c r="E82" i="15"/>
  <c r="D82" i="15"/>
  <c r="C82" i="15"/>
  <c r="B82" i="15"/>
  <c r="A82" i="15"/>
  <c r="Q82" i="15" s="1"/>
  <c r="P81" i="15"/>
  <c r="M81" i="15"/>
  <c r="L81" i="15"/>
  <c r="K81" i="15"/>
  <c r="J81" i="15"/>
  <c r="I81" i="15"/>
  <c r="R81" i="15" s="1"/>
  <c r="H81" i="15"/>
  <c r="G81" i="15"/>
  <c r="F81" i="15"/>
  <c r="E81" i="15"/>
  <c r="D81" i="15"/>
  <c r="C81" i="15"/>
  <c r="B81" i="15"/>
  <c r="A81" i="15"/>
  <c r="Q81" i="15" s="1"/>
  <c r="P80" i="15"/>
  <c r="M80" i="15"/>
  <c r="L80" i="15"/>
  <c r="K80" i="15"/>
  <c r="J80" i="15"/>
  <c r="I80" i="15"/>
  <c r="R80" i="15" s="1"/>
  <c r="H80" i="15"/>
  <c r="G80" i="15"/>
  <c r="F80" i="15"/>
  <c r="E80" i="15"/>
  <c r="D80" i="15"/>
  <c r="C80" i="15"/>
  <c r="B80" i="15"/>
  <c r="A80" i="15"/>
  <c r="Q80" i="15" s="1"/>
  <c r="P79" i="15"/>
  <c r="M79" i="15"/>
  <c r="L79" i="15"/>
  <c r="K79" i="15"/>
  <c r="J79" i="15"/>
  <c r="I79" i="15"/>
  <c r="R79" i="15" s="1"/>
  <c r="H79" i="15"/>
  <c r="G79" i="15"/>
  <c r="F79" i="15"/>
  <c r="E79" i="15"/>
  <c r="D79" i="15"/>
  <c r="C79" i="15"/>
  <c r="B79" i="15"/>
  <c r="A79" i="15"/>
  <c r="Q79" i="15" s="1"/>
  <c r="P78" i="15"/>
  <c r="M78" i="15"/>
  <c r="L78" i="15"/>
  <c r="K78" i="15"/>
  <c r="J78" i="15"/>
  <c r="I78" i="15"/>
  <c r="R78" i="15" s="1"/>
  <c r="H78" i="15"/>
  <c r="G78" i="15"/>
  <c r="F78" i="15"/>
  <c r="E78" i="15"/>
  <c r="D78" i="15"/>
  <c r="C78" i="15"/>
  <c r="B78" i="15"/>
  <c r="A78" i="15"/>
  <c r="Q78" i="15" s="1"/>
  <c r="P77" i="15"/>
  <c r="M77" i="15"/>
  <c r="L77" i="15"/>
  <c r="K77" i="15"/>
  <c r="J77" i="15"/>
  <c r="I77" i="15"/>
  <c r="R77" i="15" s="1"/>
  <c r="H77" i="15"/>
  <c r="G77" i="15"/>
  <c r="F77" i="15"/>
  <c r="E77" i="15"/>
  <c r="D77" i="15"/>
  <c r="C77" i="15"/>
  <c r="B77" i="15"/>
  <c r="A77" i="15"/>
  <c r="Q77" i="15" s="1"/>
  <c r="P76" i="15"/>
  <c r="M76" i="15"/>
  <c r="L76" i="15"/>
  <c r="K76" i="15"/>
  <c r="J76" i="15"/>
  <c r="I76" i="15"/>
  <c r="R76" i="15" s="1"/>
  <c r="H76" i="15"/>
  <c r="G76" i="15"/>
  <c r="F76" i="15"/>
  <c r="E76" i="15"/>
  <c r="D76" i="15"/>
  <c r="C76" i="15"/>
  <c r="B76" i="15"/>
  <c r="A76" i="15"/>
  <c r="Q76" i="15" s="1"/>
  <c r="P75" i="15"/>
  <c r="M75" i="15"/>
  <c r="L75" i="15"/>
  <c r="K75" i="15"/>
  <c r="J75" i="15"/>
  <c r="I75" i="15"/>
  <c r="R75" i="15" s="1"/>
  <c r="H75" i="15"/>
  <c r="G75" i="15"/>
  <c r="F75" i="15"/>
  <c r="E75" i="15"/>
  <c r="D75" i="15"/>
  <c r="C75" i="15"/>
  <c r="B75" i="15"/>
  <c r="A75" i="15"/>
  <c r="Q75" i="15" s="1"/>
  <c r="P74" i="15"/>
  <c r="M74" i="15"/>
  <c r="L74" i="15"/>
  <c r="K74" i="15"/>
  <c r="J74" i="15"/>
  <c r="I74" i="15"/>
  <c r="R74" i="15" s="1"/>
  <c r="H74" i="15"/>
  <c r="G74" i="15"/>
  <c r="F74" i="15"/>
  <c r="E74" i="15"/>
  <c r="D74" i="15"/>
  <c r="C74" i="15"/>
  <c r="B74" i="15"/>
  <c r="A74" i="15"/>
  <c r="Q74" i="15" s="1"/>
  <c r="P73" i="15"/>
  <c r="M73" i="15"/>
  <c r="L73" i="15"/>
  <c r="K73" i="15"/>
  <c r="J73" i="15"/>
  <c r="I73" i="15"/>
  <c r="R73" i="15" s="1"/>
  <c r="H73" i="15"/>
  <c r="G73" i="15"/>
  <c r="F73" i="15"/>
  <c r="E73" i="15"/>
  <c r="D73" i="15"/>
  <c r="C73" i="15"/>
  <c r="B73" i="15"/>
  <c r="A73" i="15"/>
  <c r="Q73" i="15" s="1"/>
  <c r="P72" i="15"/>
  <c r="M72" i="15"/>
  <c r="L72" i="15"/>
  <c r="K72" i="15"/>
  <c r="J72" i="15"/>
  <c r="I72" i="15"/>
  <c r="R72" i="15" s="1"/>
  <c r="H72" i="15"/>
  <c r="G72" i="15"/>
  <c r="F72" i="15"/>
  <c r="E72" i="15"/>
  <c r="D72" i="15"/>
  <c r="C72" i="15"/>
  <c r="B72" i="15"/>
  <c r="A72" i="15"/>
  <c r="Q72" i="15" s="1"/>
  <c r="P71" i="15"/>
  <c r="M71" i="15"/>
  <c r="L71" i="15"/>
  <c r="K71" i="15"/>
  <c r="J71" i="15"/>
  <c r="I71" i="15"/>
  <c r="R71" i="15" s="1"/>
  <c r="H71" i="15"/>
  <c r="G71" i="15"/>
  <c r="F71" i="15"/>
  <c r="E71" i="15"/>
  <c r="D71" i="15"/>
  <c r="C71" i="15"/>
  <c r="B71" i="15"/>
  <c r="A71" i="15"/>
  <c r="Q71" i="15" s="1"/>
  <c r="P70" i="15"/>
  <c r="M70" i="15"/>
  <c r="L70" i="15"/>
  <c r="K70" i="15"/>
  <c r="J70" i="15"/>
  <c r="I70" i="15"/>
  <c r="R70" i="15" s="1"/>
  <c r="H70" i="15"/>
  <c r="G70" i="15"/>
  <c r="F70" i="15"/>
  <c r="E70" i="15"/>
  <c r="D70" i="15"/>
  <c r="C70" i="15"/>
  <c r="B70" i="15"/>
  <c r="A70" i="15"/>
  <c r="Q70" i="15" s="1"/>
  <c r="P69" i="15"/>
  <c r="M69" i="15"/>
  <c r="L69" i="15"/>
  <c r="K69" i="15"/>
  <c r="J69" i="15"/>
  <c r="I69" i="15"/>
  <c r="R69" i="15" s="1"/>
  <c r="H69" i="15"/>
  <c r="G69" i="15"/>
  <c r="F69" i="15"/>
  <c r="E69" i="15"/>
  <c r="D69" i="15"/>
  <c r="C69" i="15"/>
  <c r="B69" i="15"/>
  <c r="A69" i="15"/>
  <c r="Q69" i="15" s="1"/>
  <c r="P68" i="15"/>
  <c r="M68" i="15"/>
  <c r="L68" i="15"/>
  <c r="K68" i="15"/>
  <c r="J68" i="15"/>
  <c r="I68" i="15"/>
  <c r="R68" i="15" s="1"/>
  <c r="H68" i="15"/>
  <c r="G68" i="15"/>
  <c r="F68" i="15"/>
  <c r="E68" i="15"/>
  <c r="D68" i="15"/>
  <c r="C68" i="15"/>
  <c r="B68" i="15"/>
  <c r="A68" i="15"/>
  <c r="Q68" i="15" s="1"/>
  <c r="P67" i="15"/>
  <c r="M67" i="15"/>
  <c r="L67" i="15"/>
  <c r="K67" i="15"/>
  <c r="J67" i="15"/>
  <c r="I67" i="15"/>
  <c r="R67" i="15" s="1"/>
  <c r="H67" i="15"/>
  <c r="G67" i="15"/>
  <c r="F67" i="15"/>
  <c r="E67" i="15"/>
  <c r="D67" i="15"/>
  <c r="C67" i="15"/>
  <c r="B67" i="15"/>
  <c r="A67" i="15"/>
  <c r="Q67" i="15" s="1"/>
  <c r="P66" i="15"/>
  <c r="M66" i="15"/>
  <c r="L66" i="15"/>
  <c r="K66" i="15"/>
  <c r="J66" i="15"/>
  <c r="I66" i="15"/>
  <c r="R66" i="15" s="1"/>
  <c r="H66" i="15"/>
  <c r="G66" i="15"/>
  <c r="F66" i="15"/>
  <c r="E66" i="15"/>
  <c r="D66" i="15"/>
  <c r="C66" i="15"/>
  <c r="B66" i="15"/>
  <c r="A66" i="15"/>
  <c r="Q66" i="15" s="1"/>
  <c r="P65" i="15"/>
  <c r="M65" i="15"/>
  <c r="L65" i="15"/>
  <c r="K65" i="15"/>
  <c r="J65" i="15"/>
  <c r="I65" i="15"/>
  <c r="R65" i="15" s="1"/>
  <c r="H65" i="15"/>
  <c r="G65" i="15"/>
  <c r="F65" i="15"/>
  <c r="E65" i="15"/>
  <c r="D65" i="15"/>
  <c r="C65" i="15"/>
  <c r="B65" i="15"/>
  <c r="A65" i="15"/>
  <c r="Q65" i="15" s="1"/>
  <c r="P64" i="15"/>
  <c r="M64" i="15"/>
  <c r="L64" i="15"/>
  <c r="K64" i="15"/>
  <c r="J64" i="15"/>
  <c r="I64" i="15"/>
  <c r="R64" i="15" s="1"/>
  <c r="H64" i="15"/>
  <c r="G64" i="15"/>
  <c r="F64" i="15"/>
  <c r="E64" i="15"/>
  <c r="D64" i="15"/>
  <c r="C64" i="15"/>
  <c r="B64" i="15"/>
  <c r="A64" i="15"/>
  <c r="Q64" i="15" s="1"/>
  <c r="P63" i="15"/>
  <c r="M63" i="15"/>
  <c r="L63" i="15"/>
  <c r="K63" i="15"/>
  <c r="J63" i="15"/>
  <c r="I63" i="15"/>
  <c r="R63" i="15" s="1"/>
  <c r="H63" i="15"/>
  <c r="G63" i="15"/>
  <c r="F63" i="15"/>
  <c r="E63" i="15"/>
  <c r="D63" i="15"/>
  <c r="C63" i="15"/>
  <c r="B63" i="15"/>
  <c r="A63" i="15"/>
  <c r="Q63" i="15" s="1"/>
  <c r="P62" i="15"/>
  <c r="M62" i="15"/>
  <c r="L62" i="15"/>
  <c r="K62" i="15"/>
  <c r="J62" i="15"/>
  <c r="I62" i="15"/>
  <c r="R62" i="15" s="1"/>
  <c r="H62" i="15"/>
  <c r="G62" i="15"/>
  <c r="F62" i="15"/>
  <c r="E62" i="15"/>
  <c r="D62" i="15"/>
  <c r="C62" i="15"/>
  <c r="B62" i="15"/>
  <c r="A62" i="15"/>
  <c r="Q62" i="15" s="1"/>
  <c r="P61" i="15"/>
  <c r="M61" i="15"/>
  <c r="L61" i="15"/>
  <c r="K61" i="15"/>
  <c r="J61" i="15"/>
  <c r="I61" i="15"/>
  <c r="R61" i="15" s="1"/>
  <c r="H61" i="15"/>
  <c r="G61" i="15"/>
  <c r="F61" i="15"/>
  <c r="E61" i="15"/>
  <c r="D61" i="15"/>
  <c r="C61" i="15"/>
  <c r="B61" i="15"/>
  <c r="A61" i="15"/>
  <c r="Q61" i="15" s="1"/>
  <c r="P60" i="15"/>
  <c r="M60" i="15"/>
  <c r="L60" i="15"/>
  <c r="K60" i="15"/>
  <c r="J60" i="15"/>
  <c r="I60" i="15"/>
  <c r="R60" i="15" s="1"/>
  <c r="H60" i="15"/>
  <c r="G60" i="15"/>
  <c r="F60" i="15"/>
  <c r="E60" i="15"/>
  <c r="D60" i="15"/>
  <c r="C60" i="15"/>
  <c r="B60" i="15"/>
  <c r="A60" i="15"/>
  <c r="Q60" i="15" s="1"/>
  <c r="P59" i="15"/>
  <c r="M59" i="15"/>
  <c r="L59" i="15"/>
  <c r="K59" i="15"/>
  <c r="J59" i="15"/>
  <c r="I59" i="15"/>
  <c r="R59" i="15" s="1"/>
  <c r="H59" i="15"/>
  <c r="G59" i="15"/>
  <c r="F59" i="15"/>
  <c r="E59" i="15"/>
  <c r="D59" i="15"/>
  <c r="C59" i="15"/>
  <c r="B59" i="15"/>
  <c r="A59" i="15"/>
  <c r="Q59" i="15" s="1"/>
  <c r="P58" i="15"/>
  <c r="M58" i="15"/>
  <c r="L58" i="15"/>
  <c r="K58" i="15"/>
  <c r="J58" i="15"/>
  <c r="I58" i="15"/>
  <c r="R58" i="15" s="1"/>
  <c r="H58" i="15"/>
  <c r="G58" i="15"/>
  <c r="F58" i="15"/>
  <c r="E58" i="15"/>
  <c r="D58" i="15"/>
  <c r="C58" i="15"/>
  <c r="B58" i="15"/>
  <c r="A58" i="15"/>
  <c r="Q58" i="15" s="1"/>
  <c r="P57" i="15"/>
  <c r="M57" i="15"/>
  <c r="L57" i="15"/>
  <c r="K57" i="15"/>
  <c r="J57" i="15"/>
  <c r="I57" i="15"/>
  <c r="R57" i="15" s="1"/>
  <c r="H57" i="15"/>
  <c r="G57" i="15"/>
  <c r="F57" i="15"/>
  <c r="E57" i="15"/>
  <c r="D57" i="15"/>
  <c r="C57" i="15"/>
  <c r="B57" i="15"/>
  <c r="A57" i="15"/>
  <c r="Q57" i="15" s="1"/>
  <c r="P56" i="15"/>
  <c r="M56" i="15"/>
  <c r="L56" i="15"/>
  <c r="K56" i="15"/>
  <c r="J56" i="15"/>
  <c r="I56" i="15"/>
  <c r="R56" i="15" s="1"/>
  <c r="H56" i="15"/>
  <c r="G56" i="15"/>
  <c r="F56" i="15"/>
  <c r="E56" i="15"/>
  <c r="D56" i="15"/>
  <c r="C56" i="15"/>
  <c r="B56" i="15"/>
  <c r="A56" i="15"/>
  <c r="Q56" i="15" s="1"/>
  <c r="P55" i="15"/>
  <c r="M55" i="15"/>
  <c r="L55" i="15"/>
  <c r="K55" i="15"/>
  <c r="J55" i="15"/>
  <c r="I55" i="15"/>
  <c r="R55" i="15" s="1"/>
  <c r="H55" i="15"/>
  <c r="G55" i="15"/>
  <c r="F55" i="15"/>
  <c r="E55" i="15"/>
  <c r="D55" i="15"/>
  <c r="C55" i="15"/>
  <c r="B55" i="15"/>
  <c r="A55" i="15"/>
  <c r="Q55" i="15" s="1"/>
  <c r="P54" i="15"/>
  <c r="M54" i="15"/>
  <c r="L54" i="15"/>
  <c r="K54" i="15"/>
  <c r="J54" i="15"/>
  <c r="I54" i="15"/>
  <c r="R54" i="15" s="1"/>
  <c r="H54" i="15"/>
  <c r="G54" i="15"/>
  <c r="F54" i="15"/>
  <c r="E54" i="15"/>
  <c r="D54" i="15"/>
  <c r="C54" i="15"/>
  <c r="B54" i="15"/>
  <c r="A54" i="15"/>
  <c r="Q54" i="15" s="1"/>
  <c r="P53" i="15"/>
  <c r="M53" i="15"/>
  <c r="L53" i="15"/>
  <c r="K53" i="15"/>
  <c r="J53" i="15"/>
  <c r="I53" i="15"/>
  <c r="R53" i="15" s="1"/>
  <c r="H53" i="15"/>
  <c r="G53" i="15"/>
  <c r="F53" i="15"/>
  <c r="E53" i="15"/>
  <c r="D53" i="15"/>
  <c r="C53" i="15"/>
  <c r="B53" i="15"/>
  <c r="A53" i="15"/>
  <c r="Q53" i="15" s="1"/>
  <c r="P52" i="15"/>
  <c r="M52" i="15"/>
  <c r="L52" i="15"/>
  <c r="K52" i="15"/>
  <c r="J52" i="15"/>
  <c r="I52" i="15"/>
  <c r="R52" i="15" s="1"/>
  <c r="H52" i="15"/>
  <c r="G52" i="15"/>
  <c r="F52" i="15"/>
  <c r="E52" i="15"/>
  <c r="D52" i="15"/>
  <c r="C52" i="15"/>
  <c r="B52" i="15"/>
  <c r="A52" i="15"/>
  <c r="Q52" i="15" s="1"/>
  <c r="P51" i="15"/>
  <c r="M51" i="15"/>
  <c r="L51" i="15"/>
  <c r="K51" i="15"/>
  <c r="J51" i="15"/>
  <c r="I51" i="15"/>
  <c r="R51" i="15" s="1"/>
  <c r="H51" i="15"/>
  <c r="G51" i="15"/>
  <c r="F51" i="15"/>
  <c r="E51" i="15"/>
  <c r="D51" i="15"/>
  <c r="C51" i="15"/>
  <c r="B51" i="15"/>
  <c r="A51" i="15"/>
  <c r="Q51" i="15" s="1"/>
  <c r="P50" i="15"/>
  <c r="M50" i="15"/>
  <c r="L50" i="15"/>
  <c r="K50" i="15"/>
  <c r="J50" i="15"/>
  <c r="I50" i="15"/>
  <c r="R50" i="15" s="1"/>
  <c r="H50" i="15"/>
  <c r="G50" i="15"/>
  <c r="F50" i="15"/>
  <c r="E50" i="15"/>
  <c r="D50" i="15"/>
  <c r="C50" i="15"/>
  <c r="B50" i="15"/>
  <c r="A50" i="15"/>
  <c r="Q50" i="15" s="1"/>
  <c r="P49" i="15"/>
  <c r="M49" i="15"/>
  <c r="L49" i="15"/>
  <c r="K49" i="15"/>
  <c r="J49" i="15"/>
  <c r="I49" i="15"/>
  <c r="R49" i="15" s="1"/>
  <c r="H49" i="15"/>
  <c r="G49" i="15"/>
  <c r="F49" i="15"/>
  <c r="E49" i="15"/>
  <c r="D49" i="15"/>
  <c r="C49" i="15"/>
  <c r="B49" i="15"/>
  <c r="A49" i="15"/>
  <c r="Q49" i="15" s="1"/>
  <c r="P48" i="15"/>
  <c r="M48" i="15"/>
  <c r="L48" i="15"/>
  <c r="K48" i="15"/>
  <c r="J48" i="15"/>
  <c r="I48" i="15"/>
  <c r="R48" i="15" s="1"/>
  <c r="H48" i="15"/>
  <c r="G48" i="15"/>
  <c r="F48" i="15"/>
  <c r="E48" i="15"/>
  <c r="D48" i="15"/>
  <c r="C48" i="15"/>
  <c r="B48" i="15"/>
  <c r="A48" i="15"/>
  <c r="Q48" i="15" s="1"/>
  <c r="P47" i="15"/>
  <c r="M47" i="15"/>
  <c r="L47" i="15"/>
  <c r="K47" i="15"/>
  <c r="J47" i="15"/>
  <c r="I47" i="15"/>
  <c r="R47" i="15" s="1"/>
  <c r="H47" i="15"/>
  <c r="G47" i="15"/>
  <c r="F47" i="15"/>
  <c r="E47" i="15"/>
  <c r="D47" i="15"/>
  <c r="C47" i="15"/>
  <c r="B47" i="15"/>
  <c r="A47" i="15"/>
  <c r="Q47" i="15" s="1"/>
  <c r="P46" i="15"/>
  <c r="M46" i="15"/>
  <c r="L46" i="15"/>
  <c r="K46" i="15"/>
  <c r="J46" i="15"/>
  <c r="I46" i="15"/>
  <c r="R46" i="15" s="1"/>
  <c r="H46" i="15"/>
  <c r="G46" i="15"/>
  <c r="F46" i="15"/>
  <c r="E46" i="15"/>
  <c r="D46" i="15"/>
  <c r="C46" i="15"/>
  <c r="B46" i="15"/>
  <c r="A46" i="15"/>
  <c r="Q46" i="15" s="1"/>
  <c r="P45" i="15"/>
  <c r="M45" i="15"/>
  <c r="L45" i="15"/>
  <c r="K45" i="15"/>
  <c r="J45" i="15"/>
  <c r="I45" i="15"/>
  <c r="R45" i="15" s="1"/>
  <c r="H45" i="15"/>
  <c r="G45" i="15"/>
  <c r="F45" i="15"/>
  <c r="E45" i="15"/>
  <c r="D45" i="15"/>
  <c r="C45" i="15"/>
  <c r="B45" i="15"/>
  <c r="A45" i="15"/>
  <c r="Q45" i="15" s="1"/>
  <c r="P44" i="15"/>
  <c r="M44" i="15"/>
  <c r="L44" i="15"/>
  <c r="K44" i="15"/>
  <c r="J44" i="15"/>
  <c r="I44" i="15"/>
  <c r="R44" i="15" s="1"/>
  <c r="H44" i="15"/>
  <c r="G44" i="15"/>
  <c r="F44" i="15"/>
  <c r="E44" i="15"/>
  <c r="D44" i="15"/>
  <c r="C44" i="15"/>
  <c r="B44" i="15"/>
  <c r="A44" i="15"/>
  <c r="Q44" i="15" s="1"/>
  <c r="P43" i="15"/>
  <c r="M43" i="15"/>
  <c r="L43" i="15"/>
  <c r="K43" i="15"/>
  <c r="J43" i="15"/>
  <c r="I43" i="15"/>
  <c r="R43" i="15" s="1"/>
  <c r="H43" i="15"/>
  <c r="G43" i="15"/>
  <c r="F43" i="15"/>
  <c r="E43" i="15"/>
  <c r="D43" i="15"/>
  <c r="C43" i="15"/>
  <c r="B43" i="15"/>
  <c r="A43" i="15"/>
  <c r="Q43" i="15" s="1"/>
  <c r="P42" i="15"/>
  <c r="M42" i="15"/>
  <c r="L42" i="15"/>
  <c r="K42" i="15"/>
  <c r="J42" i="15"/>
  <c r="I42" i="15"/>
  <c r="R42" i="15" s="1"/>
  <c r="H42" i="15"/>
  <c r="G42" i="15"/>
  <c r="F42" i="15"/>
  <c r="E42" i="15"/>
  <c r="D42" i="15"/>
  <c r="C42" i="15"/>
  <c r="B42" i="15"/>
  <c r="A42" i="15"/>
  <c r="Q42" i="15" s="1"/>
  <c r="P41" i="15"/>
  <c r="M41" i="15"/>
  <c r="L41" i="15"/>
  <c r="K41" i="15"/>
  <c r="J41" i="15"/>
  <c r="I41" i="15"/>
  <c r="R41" i="15" s="1"/>
  <c r="H41" i="15"/>
  <c r="G41" i="15"/>
  <c r="F41" i="15"/>
  <c r="E41" i="15"/>
  <c r="D41" i="15"/>
  <c r="C41" i="15"/>
  <c r="B41" i="15"/>
  <c r="A41" i="15"/>
  <c r="Q41" i="15" s="1"/>
  <c r="P40" i="15"/>
  <c r="M40" i="15"/>
  <c r="L40" i="15"/>
  <c r="K40" i="15"/>
  <c r="J40" i="15"/>
  <c r="I40" i="15"/>
  <c r="R40" i="15" s="1"/>
  <c r="H40" i="15"/>
  <c r="G40" i="15"/>
  <c r="F40" i="15"/>
  <c r="E40" i="15"/>
  <c r="D40" i="15"/>
  <c r="C40" i="15"/>
  <c r="B40" i="15"/>
  <c r="A40" i="15"/>
  <c r="Q40" i="15" s="1"/>
  <c r="P39" i="15"/>
  <c r="M39" i="15"/>
  <c r="L39" i="15"/>
  <c r="K39" i="15"/>
  <c r="J39" i="15"/>
  <c r="I39" i="15"/>
  <c r="R39" i="15" s="1"/>
  <c r="H39" i="15"/>
  <c r="G39" i="15"/>
  <c r="F39" i="15"/>
  <c r="E39" i="15"/>
  <c r="D39" i="15"/>
  <c r="C39" i="15"/>
  <c r="B39" i="15"/>
  <c r="A39" i="15"/>
  <c r="Q39" i="15" s="1"/>
  <c r="P38" i="15"/>
  <c r="M38" i="15"/>
  <c r="L38" i="15"/>
  <c r="K38" i="15"/>
  <c r="J38" i="15"/>
  <c r="I38" i="15"/>
  <c r="R38" i="15" s="1"/>
  <c r="H38" i="15"/>
  <c r="G38" i="15"/>
  <c r="F38" i="15"/>
  <c r="E38" i="15"/>
  <c r="D38" i="15"/>
  <c r="C38" i="15"/>
  <c r="B38" i="15"/>
  <c r="A38" i="15"/>
  <c r="Q38" i="15" s="1"/>
  <c r="P37" i="15"/>
  <c r="M37" i="15"/>
  <c r="L37" i="15"/>
  <c r="K37" i="15"/>
  <c r="J37" i="15"/>
  <c r="I37" i="15"/>
  <c r="R37" i="15" s="1"/>
  <c r="H37" i="15"/>
  <c r="G37" i="15"/>
  <c r="F37" i="15"/>
  <c r="E37" i="15"/>
  <c r="D37" i="15"/>
  <c r="C37" i="15"/>
  <c r="B37" i="15"/>
  <c r="A37" i="15"/>
  <c r="Q37" i="15" s="1"/>
  <c r="P36" i="15"/>
  <c r="M36" i="15"/>
  <c r="L36" i="15"/>
  <c r="K36" i="15"/>
  <c r="J36" i="15"/>
  <c r="I36" i="15"/>
  <c r="R36" i="15" s="1"/>
  <c r="H36" i="15"/>
  <c r="G36" i="15"/>
  <c r="F36" i="15"/>
  <c r="E36" i="15"/>
  <c r="D36" i="15"/>
  <c r="C36" i="15"/>
  <c r="B36" i="15"/>
  <c r="A36" i="15"/>
  <c r="Q36" i="15" s="1"/>
  <c r="P35" i="15"/>
  <c r="M35" i="15"/>
  <c r="L35" i="15"/>
  <c r="K35" i="15"/>
  <c r="J35" i="15"/>
  <c r="I35" i="15"/>
  <c r="R35" i="15" s="1"/>
  <c r="H35" i="15"/>
  <c r="G35" i="15"/>
  <c r="F35" i="15"/>
  <c r="E35" i="15"/>
  <c r="D35" i="15"/>
  <c r="C35" i="15"/>
  <c r="B35" i="15"/>
  <c r="A35" i="15"/>
  <c r="Q35" i="15" s="1"/>
  <c r="P34" i="15"/>
  <c r="M34" i="15"/>
  <c r="L34" i="15"/>
  <c r="K34" i="15"/>
  <c r="J34" i="15"/>
  <c r="I34" i="15"/>
  <c r="R34" i="15" s="1"/>
  <c r="H34" i="15"/>
  <c r="G34" i="15"/>
  <c r="F34" i="15"/>
  <c r="E34" i="15"/>
  <c r="D34" i="15"/>
  <c r="C34" i="15"/>
  <c r="B34" i="15"/>
  <c r="A34" i="15"/>
  <c r="Q34" i="15" s="1"/>
  <c r="P33" i="15"/>
  <c r="M33" i="15"/>
  <c r="L33" i="15"/>
  <c r="K33" i="15"/>
  <c r="J33" i="15"/>
  <c r="I33" i="15"/>
  <c r="R33" i="15" s="1"/>
  <c r="H33" i="15"/>
  <c r="G33" i="15"/>
  <c r="F33" i="15"/>
  <c r="E33" i="15"/>
  <c r="D33" i="15"/>
  <c r="C33" i="15"/>
  <c r="B33" i="15"/>
  <c r="A33" i="15"/>
  <c r="Q33" i="15" s="1"/>
  <c r="P32" i="15"/>
  <c r="M32" i="15"/>
  <c r="L32" i="15"/>
  <c r="K32" i="15"/>
  <c r="J32" i="15"/>
  <c r="I32" i="15"/>
  <c r="R32" i="15" s="1"/>
  <c r="H32" i="15"/>
  <c r="G32" i="15"/>
  <c r="F32" i="15"/>
  <c r="E32" i="15"/>
  <c r="D32" i="15"/>
  <c r="C32" i="15"/>
  <c r="B32" i="15"/>
  <c r="A32" i="15"/>
  <c r="Q32" i="15" s="1"/>
  <c r="P31" i="15"/>
  <c r="M31" i="15"/>
  <c r="L31" i="15"/>
  <c r="K31" i="15"/>
  <c r="J31" i="15"/>
  <c r="I31" i="15"/>
  <c r="R31" i="15" s="1"/>
  <c r="H31" i="15"/>
  <c r="G31" i="15"/>
  <c r="F31" i="15"/>
  <c r="E31" i="15"/>
  <c r="D31" i="15"/>
  <c r="C31" i="15"/>
  <c r="B31" i="15"/>
  <c r="A31" i="15"/>
  <c r="Q31" i="15" s="1"/>
  <c r="P30" i="15"/>
  <c r="M30" i="15"/>
  <c r="L30" i="15"/>
  <c r="K30" i="15"/>
  <c r="J30" i="15"/>
  <c r="I30" i="15"/>
  <c r="R30" i="15" s="1"/>
  <c r="H30" i="15"/>
  <c r="G30" i="15"/>
  <c r="F30" i="15"/>
  <c r="E30" i="15"/>
  <c r="D30" i="15"/>
  <c r="C30" i="15"/>
  <c r="B30" i="15"/>
  <c r="A30" i="15"/>
  <c r="Q30" i="15" s="1"/>
  <c r="P29" i="15"/>
  <c r="M29" i="15"/>
  <c r="L29" i="15"/>
  <c r="K29" i="15"/>
  <c r="J29" i="15"/>
  <c r="I29" i="15"/>
  <c r="R29" i="15" s="1"/>
  <c r="H29" i="15"/>
  <c r="G29" i="15"/>
  <c r="F29" i="15"/>
  <c r="E29" i="15"/>
  <c r="D29" i="15"/>
  <c r="C29" i="15"/>
  <c r="B29" i="15"/>
  <c r="A29" i="15"/>
  <c r="Q29" i="15" s="1"/>
  <c r="P28" i="15"/>
  <c r="M28" i="15"/>
  <c r="L28" i="15"/>
  <c r="K28" i="15"/>
  <c r="J28" i="15"/>
  <c r="I28" i="15"/>
  <c r="R28" i="15" s="1"/>
  <c r="H28" i="15"/>
  <c r="G28" i="15"/>
  <c r="F28" i="15"/>
  <c r="E28" i="15"/>
  <c r="D28" i="15"/>
  <c r="C28" i="15"/>
  <c r="B28" i="15"/>
  <c r="A28" i="15"/>
  <c r="Q28" i="15" s="1"/>
  <c r="P27" i="15"/>
  <c r="M27" i="15"/>
  <c r="L27" i="15"/>
  <c r="K27" i="15"/>
  <c r="J27" i="15"/>
  <c r="I27" i="15"/>
  <c r="R27" i="15" s="1"/>
  <c r="H27" i="15"/>
  <c r="G27" i="15"/>
  <c r="F27" i="15"/>
  <c r="E27" i="15"/>
  <c r="D27" i="15"/>
  <c r="C27" i="15"/>
  <c r="B27" i="15"/>
  <c r="A27" i="15"/>
  <c r="Q27" i="15" s="1"/>
  <c r="P26" i="15"/>
  <c r="M26" i="15"/>
  <c r="L26" i="15"/>
  <c r="K26" i="15"/>
  <c r="J26" i="15"/>
  <c r="I26" i="15"/>
  <c r="R26" i="15" s="1"/>
  <c r="H26" i="15"/>
  <c r="G26" i="15"/>
  <c r="F26" i="15"/>
  <c r="E26" i="15"/>
  <c r="D26" i="15"/>
  <c r="C26" i="15"/>
  <c r="B26" i="15"/>
  <c r="A26" i="15"/>
  <c r="Q26" i="15" s="1"/>
  <c r="P25" i="15"/>
  <c r="M25" i="15"/>
  <c r="L25" i="15"/>
  <c r="K25" i="15"/>
  <c r="J25" i="15"/>
  <c r="I25" i="15"/>
  <c r="R25" i="15" s="1"/>
  <c r="H25" i="15"/>
  <c r="G25" i="15"/>
  <c r="F25" i="15"/>
  <c r="E25" i="15"/>
  <c r="D25" i="15"/>
  <c r="C25" i="15"/>
  <c r="B25" i="15"/>
  <c r="A25" i="15"/>
  <c r="Q25" i="15" s="1"/>
  <c r="P24" i="15"/>
  <c r="M24" i="15"/>
  <c r="L24" i="15"/>
  <c r="K24" i="15"/>
  <c r="J24" i="15"/>
  <c r="I24" i="15"/>
  <c r="R24" i="15" s="1"/>
  <c r="H24" i="15"/>
  <c r="G24" i="15"/>
  <c r="F24" i="15"/>
  <c r="E24" i="15"/>
  <c r="D24" i="15"/>
  <c r="C24" i="15"/>
  <c r="B24" i="15"/>
  <c r="A24" i="15"/>
  <c r="Q24" i="15" s="1"/>
  <c r="P23" i="15"/>
  <c r="M23" i="15"/>
  <c r="L23" i="15"/>
  <c r="K23" i="15"/>
  <c r="J23" i="15"/>
  <c r="I23" i="15"/>
  <c r="R23" i="15" s="1"/>
  <c r="H23" i="15"/>
  <c r="G23" i="15"/>
  <c r="F23" i="15"/>
  <c r="E23" i="15"/>
  <c r="D23" i="15"/>
  <c r="C23" i="15"/>
  <c r="B23" i="15"/>
  <c r="A23" i="15"/>
  <c r="Q23" i="15" s="1"/>
  <c r="P22" i="15"/>
  <c r="M22" i="15"/>
  <c r="L22" i="15"/>
  <c r="K22" i="15"/>
  <c r="J22" i="15"/>
  <c r="I22" i="15"/>
  <c r="R22" i="15" s="1"/>
  <c r="H22" i="15"/>
  <c r="G22" i="15"/>
  <c r="F22" i="15"/>
  <c r="E22" i="15"/>
  <c r="D22" i="15"/>
  <c r="C22" i="15"/>
  <c r="B22" i="15"/>
  <c r="A22" i="15"/>
  <c r="Q22" i="15" s="1"/>
  <c r="P21" i="15"/>
  <c r="M21" i="15"/>
  <c r="L21" i="15"/>
  <c r="K21" i="15"/>
  <c r="J21" i="15"/>
  <c r="I21" i="15"/>
  <c r="R21" i="15" s="1"/>
  <c r="H21" i="15"/>
  <c r="G21" i="15"/>
  <c r="F21" i="15"/>
  <c r="E21" i="15"/>
  <c r="D21" i="15"/>
  <c r="C21" i="15"/>
  <c r="B21" i="15"/>
  <c r="A21" i="15"/>
  <c r="Q21" i="15" s="1"/>
  <c r="P20" i="15"/>
  <c r="M20" i="15"/>
  <c r="L20" i="15"/>
  <c r="K20" i="15"/>
  <c r="J20" i="15"/>
  <c r="I20" i="15"/>
  <c r="R20" i="15" s="1"/>
  <c r="H20" i="15"/>
  <c r="G20" i="15"/>
  <c r="F20" i="15"/>
  <c r="E20" i="15"/>
  <c r="D20" i="15"/>
  <c r="C20" i="15"/>
  <c r="B20" i="15"/>
  <c r="A20" i="15"/>
  <c r="Q20" i="15" s="1"/>
  <c r="P19" i="15"/>
  <c r="M19" i="15"/>
  <c r="L19" i="15"/>
  <c r="K19" i="15"/>
  <c r="J19" i="15"/>
  <c r="I19" i="15"/>
  <c r="R19" i="15" s="1"/>
  <c r="H19" i="15"/>
  <c r="G19" i="15"/>
  <c r="F19" i="15"/>
  <c r="E19" i="15"/>
  <c r="D19" i="15"/>
  <c r="C19" i="15"/>
  <c r="B19" i="15"/>
  <c r="A19" i="15"/>
  <c r="Q19" i="15" s="1"/>
  <c r="P18" i="15"/>
  <c r="M18" i="15"/>
  <c r="L18" i="15"/>
  <c r="K18" i="15"/>
  <c r="J18" i="15"/>
  <c r="I18" i="15"/>
  <c r="R18" i="15" s="1"/>
  <c r="H18" i="15"/>
  <c r="G18" i="15"/>
  <c r="F18" i="15"/>
  <c r="E18" i="15"/>
  <c r="D18" i="15"/>
  <c r="C18" i="15"/>
  <c r="B18" i="15"/>
  <c r="A18" i="15"/>
  <c r="Q18" i="15" s="1"/>
  <c r="P17" i="15"/>
  <c r="M17" i="15"/>
  <c r="L17" i="15"/>
  <c r="K17" i="15"/>
  <c r="J17" i="15"/>
  <c r="I17" i="15"/>
  <c r="R17" i="15" s="1"/>
  <c r="H17" i="15"/>
  <c r="G17" i="15"/>
  <c r="F17" i="15"/>
  <c r="E17" i="15"/>
  <c r="D17" i="15"/>
  <c r="C17" i="15"/>
  <c r="B17" i="15"/>
  <c r="A17" i="15"/>
  <c r="Q17" i="15" s="1"/>
  <c r="P16" i="15"/>
  <c r="M16" i="15"/>
  <c r="L16" i="15"/>
  <c r="K16" i="15"/>
  <c r="J16" i="15"/>
  <c r="I16" i="15"/>
  <c r="R16" i="15" s="1"/>
  <c r="H16" i="15"/>
  <c r="G16" i="15"/>
  <c r="F16" i="15"/>
  <c r="E16" i="15"/>
  <c r="D16" i="15"/>
  <c r="C16" i="15"/>
  <c r="B16" i="15"/>
  <c r="A16" i="15"/>
  <c r="Q16" i="15" s="1"/>
  <c r="P15" i="15"/>
  <c r="M15" i="15"/>
  <c r="L15" i="15"/>
  <c r="K15" i="15"/>
  <c r="J15" i="15"/>
  <c r="I15" i="15"/>
  <c r="R15" i="15" s="1"/>
  <c r="H15" i="15"/>
  <c r="G15" i="15"/>
  <c r="F15" i="15"/>
  <c r="E15" i="15"/>
  <c r="D15" i="15"/>
  <c r="C15" i="15"/>
  <c r="B15" i="15"/>
  <c r="A15" i="15"/>
  <c r="Q15" i="15" s="1"/>
  <c r="P14" i="15"/>
  <c r="M14" i="15"/>
  <c r="L14" i="15"/>
  <c r="K14" i="15"/>
  <c r="J14" i="15"/>
  <c r="I14" i="15"/>
  <c r="R14" i="15" s="1"/>
  <c r="H14" i="15"/>
  <c r="G14" i="15"/>
  <c r="F14" i="15"/>
  <c r="E14" i="15"/>
  <c r="D14" i="15"/>
  <c r="C14" i="15"/>
  <c r="B14" i="15"/>
  <c r="A14" i="15"/>
  <c r="Q14" i="15" s="1"/>
  <c r="P13" i="15"/>
  <c r="M13" i="15"/>
  <c r="L13" i="15"/>
  <c r="K13" i="15"/>
  <c r="J13" i="15"/>
  <c r="I13" i="15"/>
  <c r="R13" i="15" s="1"/>
  <c r="H13" i="15"/>
  <c r="G13" i="15"/>
  <c r="F13" i="15"/>
  <c r="E13" i="15"/>
  <c r="D13" i="15"/>
  <c r="C13" i="15"/>
  <c r="B13" i="15"/>
  <c r="A13" i="15"/>
  <c r="Q13" i="15" s="1"/>
  <c r="P12" i="15"/>
  <c r="M12" i="15"/>
  <c r="L12" i="15"/>
  <c r="K12" i="15"/>
  <c r="J12" i="15"/>
  <c r="I12" i="15"/>
  <c r="R12" i="15" s="1"/>
  <c r="H12" i="15"/>
  <c r="G12" i="15"/>
  <c r="F12" i="15"/>
  <c r="E12" i="15"/>
  <c r="D12" i="15"/>
  <c r="C12" i="15"/>
  <c r="B12" i="15"/>
  <c r="A12" i="15"/>
  <c r="Q12" i="15" s="1"/>
  <c r="P11" i="15"/>
  <c r="M11" i="15"/>
  <c r="L11" i="15"/>
  <c r="K11" i="15"/>
  <c r="J11" i="15"/>
  <c r="I11" i="15"/>
  <c r="R11" i="15" s="1"/>
  <c r="H11" i="15"/>
  <c r="G11" i="15"/>
  <c r="F11" i="15"/>
  <c r="E11" i="15"/>
  <c r="D11" i="15"/>
  <c r="C11" i="15"/>
  <c r="B11" i="15"/>
  <c r="A11" i="15"/>
  <c r="Q11" i="15" s="1"/>
  <c r="P10" i="15"/>
  <c r="M10" i="15"/>
  <c r="L10" i="15"/>
  <c r="K10" i="15"/>
  <c r="J10" i="15"/>
  <c r="I10" i="15"/>
  <c r="R10" i="15" s="1"/>
  <c r="H10" i="15"/>
  <c r="G10" i="15"/>
  <c r="F10" i="15"/>
  <c r="E10" i="15"/>
  <c r="D10" i="15"/>
  <c r="C10" i="15"/>
  <c r="B10" i="15"/>
  <c r="A10" i="15"/>
  <c r="Q10" i="15" s="1"/>
  <c r="P9" i="15"/>
  <c r="M9" i="15"/>
  <c r="L9" i="15"/>
  <c r="K9" i="15"/>
  <c r="J9" i="15"/>
  <c r="I9" i="15"/>
  <c r="R9" i="15" s="1"/>
  <c r="H9" i="15"/>
  <c r="G9" i="15"/>
  <c r="F9" i="15"/>
  <c r="E9" i="15"/>
  <c r="D9" i="15"/>
  <c r="C9" i="15"/>
  <c r="B9" i="15"/>
  <c r="A9" i="15"/>
  <c r="Q9" i="15" s="1"/>
  <c r="P8" i="15"/>
  <c r="M8" i="15"/>
  <c r="L8" i="15"/>
  <c r="K8" i="15"/>
  <c r="J8" i="15"/>
  <c r="I8" i="15"/>
  <c r="R8" i="15" s="1"/>
  <c r="H8" i="15"/>
  <c r="G8" i="15"/>
  <c r="F8" i="15"/>
  <c r="E8" i="15"/>
  <c r="D8" i="15"/>
  <c r="C8" i="15"/>
  <c r="B8" i="15"/>
  <c r="A8" i="15"/>
  <c r="Q8" i="15" s="1"/>
  <c r="P7" i="15"/>
  <c r="M7" i="15"/>
  <c r="L7" i="15"/>
  <c r="K7" i="15"/>
  <c r="J7" i="15"/>
  <c r="I7" i="15"/>
  <c r="R7" i="15" s="1"/>
  <c r="H7" i="15"/>
  <c r="G7" i="15"/>
  <c r="F7" i="15"/>
  <c r="E7" i="15"/>
  <c r="D7" i="15"/>
  <c r="C7" i="15"/>
  <c r="B7" i="15"/>
  <c r="A7" i="15"/>
  <c r="Q7" i="15" s="1"/>
  <c r="P6" i="15"/>
  <c r="M6" i="15"/>
  <c r="L6" i="15"/>
  <c r="K6" i="15"/>
  <c r="J6" i="15"/>
  <c r="I6" i="15"/>
  <c r="R6" i="15" s="1"/>
  <c r="H6" i="15"/>
  <c r="G6" i="15"/>
  <c r="F6" i="15"/>
  <c r="E6" i="15"/>
  <c r="D6" i="15"/>
  <c r="C6" i="15"/>
  <c r="B6" i="15"/>
  <c r="A6" i="15"/>
  <c r="Q6" i="15" s="1"/>
  <c r="P5" i="15"/>
  <c r="M5" i="15"/>
  <c r="L5" i="15"/>
  <c r="K5" i="15"/>
  <c r="J5" i="15"/>
  <c r="I5" i="15"/>
  <c r="R5" i="15" s="1"/>
  <c r="H5" i="15"/>
  <c r="G5" i="15"/>
  <c r="F5" i="15"/>
  <c r="E5" i="15"/>
  <c r="D5" i="15"/>
  <c r="C5" i="15"/>
  <c r="B5" i="15"/>
  <c r="A5" i="15"/>
  <c r="Q5" i="15" s="1"/>
  <c r="P4" i="15"/>
  <c r="M4" i="15"/>
  <c r="L4" i="15"/>
  <c r="K4" i="15"/>
  <c r="J4" i="15"/>
  <c r="I4" i="15"/>
  <c r="R4" i="15" s="1"/>
  <c r="H4" i="15"/>
  <c r="G4" i="15"/>
  <c r="F4" i="15"/>
  <c r="E4" i="15"/>
  <c r="D4" i="15"/>
  <c r="C4" i="15"/>
  <c r="B4" i="15"/>
  <c r="A4" i="15"/>
  <c r="Q4" i="15" s="1"/>
  <c r="P3" i="15"/>
  <c r="M3" i="15"/>
  <c r="L3" i="15"/>
  <c r="K3" i="15"/>
  <c r="J3" i="15"/>
  <c r="I3" i="15"/>
  <c r="R3" i="15" s="1"/>
  <c r="H3" i="15"/>
  <c r="G3" i="15"/>
  <c r="F3" i="15"/>
  <c r="E3" i="15"/>
  <c r="D3" i="15"/>
  <c r="C3" i="15"/>
  <c r="B3" i="15"/>
  <c r="A3" i="15"/>
  <c r="Q3" i="15" s="1"/>
  <c r="P2" i="15"/>
  <c r="M2" i="15"/>
  <c r="L2" i="15"/>
  <c r="K2" i="15"/>
  <c r="J2" i="15"/>
  <c r="I2" i="15"/>
  <c r="R2" i="15" s="1"/>
  <c r="H2" i="15"/>
  <c r="G2" i="15"/>
  <c r="F2" i="15"/>
  <c r="E2" i="15"/>
  <c r="D2" i="15"/>
  <c r="C2" i="15"/>
  <c r="B2" i="15"/>
  <c r="A2" i="15"/>
  <c r="Q2" i="15" s="1"/>
  <c r="AA503" i="14"/>
  <c r="Z503" i="14"/>
  <c r="Y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L522" i="12"/>
  <c r="E522" i="12"/>
  <c r="BL521" i="12"/>
  <c r="E521" i="12"/>
  <c r="BL520" i="12"/>
  <c r="E520" i="12"/>
  <c r="BL519" i="12"/>
  <c r="E519" i="12"/>
  <c r="BL518" i="12"/>
  <c r="E518" i="12"/>
  <c r="BL517" i="12"/>
  <c r="E517" i="12"/>
  <c r="BL516" i="12"/>
  <c r="E516" i="12"/>
  <c r="BL515" i="12"/>
  <c r="E515" i="12"/>
  <c r="BL514" i="12"/>
  <c r="E514" i="12"/>
  <c r="BL513" i="12"/>
  <c r="E513" i="12"/>
  <c r="BL512" i="12"/>
  <c r="E512" i="12"/>
  <c r="BL511" i="12"/>
  <c r="E511" i="12"/>
  <c r="BL510" i="12"/>
  <c r="E510" i="12"/>
  <c r="BL509" i="12"/>
  <c r="E509" i="12"/>
  <c r="BL508" i="12"/>
  <c r="E508" i="12"/>
  <c r="BL507" i="12"/>
  <c r="E507" i="12"/>
  <c r="BL506" i="12"/>
  <c r="E506" i="12"/>
  <c r="BL505" i="12"/>
  <c r="E505" i="12"/>
  <c r="BQ504" i="12"/>
  <c r="BP504" i="12"/>
  <c r="BL504" i="12"/>
  <c r="O503" i="15" s="1"/>
  <c r="E504" i="12"/>
  <c r="BQ503" i="12"/>
  <c r="BP503" i="12"/>
  <c r="BL503" i="12"/>
  <c r="O502" i="15" s="1"/>
  <c r="E503" i="12"/>
  <c r="BQ502" i="12"/>
  <c r="BP502" i="12"/>
  <c r="BL502" i="12"/>
  <c r="O501" i="15" s="1"/>
  <c r="E502" i="12"/>
  <c r="BQ501" i="12"/>
  <c r="BP501" i="12"/>
  <c r="BL501" i="12"/>
  <c r="O500" i="15" s="1"/>
  <c r="E501" i="12"/>
  <c r="BQ500" i="12"/>
  <c r="BP500" i="12"/>
  <c r="BL500" i="12"/>
  <c r="O499" i="15" s="1"/>
  <c r="E500" i="12"/>
  <c r="BQ499" i="12"/>
  <c r="BP499" i="12"/>
  <c r="BL499" i="12"/>
  <c r="O498" i="15" s="1"/>
  <c r="E499" i="12"/>
  <c r="BQ498" i="12"/>
  <c r="BP498" i="12"/>
  <c r="BL498" i="12"/>
  <c r="O497" i="15" s="1"/>
  <c r="E498" i="12"/>
  <c r="BQ497" i="12"/>
  <c r="BP497" i="12"/>
  <c r="BL497" i="12"/>
  <c r="O496" i="15" s="1"/>
  <c r="E497" i="12"/>
  <c r="BQ496" i="12"/>
  <c r="BP496" i="12"/>
  <c r="BL496" i="12"/>
  <c r="O495" i="15" s="1"/>
  <c r="E496" i="12"/>
  <c r="BQ495" i="12"/>
  <c r="BP495" i="12"/>
  <c r="BL495" i="12"/>
  <c r="O494" i="15" s="1"/>
  <c r="E495" i="12"/>
  <c r="BQ494" i="12"/>
  <c r="BP494" i="12"/>
  <c r="BL494" i="12"/>
  <c r="O493" i="15" s="1"/>
  <c r="E494" i="12"/>
  <c r="BQ493" i="12"/>
  <c r="BP493" i="12"/>
  <c r="BL493" i="12"/>
  <c r="O492" i="15" s="1"/>
  <c r="E493" i="12"/>
  <c r="BQ492" i="12"/>
  <c r="BP492" i="12"/>
  <c r="BL492" i="12"/>
  <c r="O491" i="15" s="1"/>
  <c r="E492" i="12"/>
  <c r="BQ491" i="12"/>
  <c r="BP491" i="12"/>
  <c r="BL491" i="12"/>
  <c r="O490" i="15" s="1"/>
  <c r="E491" i="12"/>
  <c r="BQ490" i="12"/>
  <c r="BP490" i="12"/>
  <c r="BL490" i="12"/>
  <c r="O489" i="15" s="1"/>
  <c r="E490" i="12"/>
  <c r="BQ489" i="12"/>
  <c r="BP489" i="12"/>
  <c r="BL489" i="12"/>
  <c r="O488" i="15" s="1"/>
  <c r="E489" i="12"/>
  <c r="BQ488" i="12"/>
  <c r="BP488" i="12"/>
  <c r="BL488" i="12"/>
  <c r="O487" i="15" s="1"/>
  <c r="E488" i="12"/>
  <c r="BQ487" i="12"/>
  <c r="BP487" i="12"/>
  <c r="BL487" i="12"/>
  <c r="O486" i="15" s="1"/>
  <c r="E487" i="12"/>
  <c r="BQ486" i="12"/>
  <c r="BP486" i="12"/>
  <c r="BL486" i="12"/>
  <c r="O485" i="15" s="1"/>
  <c r="E486" i="12"/>
  <c r="BQ485" i="12"/>
  <c r="BP485" i="12"/>
  <c r="BL485" i="12"/>
  <c r="O484" i="15" s="1"/>
  <c r="E485" i="12"/>
  <c r="BQ484" i="12"/>
  <c r="BP484" i="12"/>
  <c r="BL484" i="12"/>
  <c r="O483" i="15" s="1"/>
  <c r="E484" i="12"/>
  <c r="BQ483" i="12"/>
  <c r="BP483" i="12"/>
  <c r="BL483" i="12"/>
  <c r="O482" i="15" s="1"/>
  <c r="E483" i="12"/>
  <c r="BQ482" i="12"/>
  <c r="BP482" i="12"/>
  <c r="BL482" i="12"/>
  <c r="O481" i="15" s="1"/>
  <c r="E482" i="12"/>
  <c r="BQ481" i="12"/>
  <c r="BP481" i="12"/>
  <c r="BL481" i="12"/>
  <c r="O480" i="15" s="1"/>
  <c r="E481" i="12"/>
  <c r="BQ480" i="12"/>
  <c r="BP480" i="12"/>
  <c r="BL480" i="12"/>
  <c r="O479" i="15" s="1"/>
  <c r="E480" i="12"/>
  <c r="BQ479" i="12"/>
  <c r="BP479" i="12"/>
  <c r="BL479" i="12"/>
  <c r="O478" i="15" s="1"/>
  <c r="E479" i="12"/>
  <c r="BQ478" i="12"/>
  <c r="BP478" i="12"/>
  <c r="BL478" i="12"/>
  <c r="O477" i="15" s="1"/>
  <c r="E478" i="12"/>
  <c r="BQ477" i="12"/>
  <c r="BP477" i="12"/>
  <c r="BL477" i="12"/>
  <c r="O476" i="15" s="1"/>
  <c r="E477" i="12"/>
  <c r="BQ476" i="12"/>
  <c r="BP476" i="12"/>
  <c r="BL476" i="12"/>
  <c r="O475" i="15" s="1"/>
  <c r="E476" i="12"/>
  <c r="BQ475" i="12"/>
  <c r="BP475" i="12"/>
  <c r="BL475" i="12"/>
  <c r="O474" i="15" s="1"/>
  <c r="E475" i="12"/>
  <c r="BQ474" i="12"/>
  <c r="BP474" i="12"/>
  <c r="BL474" i="12"/>
  <c r="O473" i="15" s="1"/>
  <c r="E474" i="12"/>
  <c r="BQ473" i="12"/>
  <c r="BP473" i="12"/>
  <c r="BL473" i="12"/>
  <c r="O472" i="15" s="1"/>
  <c r="E473" i="12"/>
  <c r="BQ472" i="12"/>
  <c r="BP472" i="12"/>
  <c r="BL472" i="12"/>
  <c r="O471" i="15" s="1"/>
  <c r="E472" i="12"/>
  <c r="BQ471" i="12"/>
  <c r="BP471" i="12"/>
  <c r="BL471" i="12"/>
  <c r="O470" i="15" s="1"/>
  <c r="E471" i="12"/>
  <c r="BQ470" i="12"/>
  <c r="BP470" i="12"/>
  <c r="BL470" i="12"/>
  <c r="O469" i="15" s="1"/>
  <c r="E470" i="12"/>
  <c r="BQ469" i="12"/>
  <c r="BP469" i="12"/>
  <c r="BL469" i="12"/>
  <c r="O468" i="15" s="1"/>
  <c r="E469" i="12"/>
  <c r="BQ468" i="12"/>
  <c r="BP468" i="12"/>
  <c r="BL468" i="12"/>
  <c r="O467" i="15" s="1"/>
  <c r="E468" i="12"/>
  <c r="BQ467" i="12"/>
  <c r="BP467" i="12"/>
  <c r="BL467" i="12"/>
  <c r="O466" i="15" s="1"/>
  <c r="E467" i="12"/>
  <c r="BQ466" i="12"/>
  <c r="BP466" i="12"/>
  <c r="BL466" i="12"/>
  <c r="O465" i="15" s="1"/>
  <c r="E466" i="12"/>
  <c r="BQ465" i="12"/>
  <c r="BP465" i="12"/>
  <c r="BL465" i="12"/>
  <c r="O464" i="15" s="1"/>
  <c r="E465" i="12"/>
  <c r="BQ464" i="12"/>
  <c r="BP464" i="12"/>
  <c r="BL464" i="12"/>
  <c r="O463" i="15" s="1"/>
  <c r="E464" i="12"/>
  <c r="BQ463" i="12"/>
  <c r="BP463" i="12"/>
  <c r="BL463" i="12"/>
  <c r="O462" i="15" s="1"/>
  <c r="E463" i="12"/>
  <c r="BQ462" i="12"/>
  <c r="BP462" i="12"/>
  <c r="BL462" i="12"/>
  <c r="O461" i="15" s="1"/>
  <c r="E462" i="12"/>
  <c r="BQ461" i="12"/>
  <c r="BP461" i="12"/>
  <c r="BL461" i="12"/>
  <c r="O460" i="15" s="1"/>
  <c r="E461" i="12"/>
  <c r="BQ460" i="12"/>
  <c r="BP460" i="12"/>
  <c r="BL460" i="12"/>
  <c r="O459" i="15" s="1"/>
  <c r="E460" i="12"/>
  <c r="BQ459" i="12"/>
  <c r="BP459" i="12"/>
  <c r="BL459" i="12"/>
  <c r="O458" i="15" s="1"/>
  <c r="E459" i="12"/>
  <c r="BQ458" i="12"/>
  <c r="BP458" i="12"/>
  <c r="BL458" i="12"/>
  <c r="O457" i="15" s="1"/>
  <c r="E458" i="12"/>
  <c r="BQ457" i="12"/>
  <c r="BP457" i="12"/>
  <c r="BL457" i="12"/>
  <c r="O456" i="15" s="1"/>
  <c r="E457" i="12"/>
  <c r="BQ456" i="12"/>
  <c r="BP456" i="12"/>
  <c r="BL456" i="12"/>
  <c r="O455" i="15" s="1"/>
  <c r="E456" i="12"/>
  <c r="BQ455" i="12"/>
  <c r="BP455" i="12"/>
  <c r="BL455" i="12"/>
  <c r="O454" i="15" s="1"/>
  <c r="E455" i="12"/>
  <c r="BQ454" i="12"/>
  <c r="BP454" i="12"/>
  <c r="BL454" i="12"/>
  <c r="O453" i="15" s="1"/>
  <c r="E454" i="12"/>
  <c r="BQ453" i="12"/>
  <c r="BP453" i="12"/>
  <c r="BL453" i="12"/>
  <c r="O452" i="15" s="1"/>
  <c r="E453" i="12"/>
  <c r="BQ452" i="12"/>
  <c r="BP452" i="12"/>
  <c r="BL452" i="12"/>
  <c r="O451" i="15" s="1"/>
  <c r="E452" i="12"/>
  <c r="BQ451" i="12"/>
  <c r="BP451" i="12"/>
  <c r="BL451" i="12"/>
  <c r="O450" i="15" s="1"/>
  <c r="E451" i="12"/>
  <c r="BQ450" i="12"/>
  <c r="BP450" i="12"/>
  <c r="BL450" i="12"/>
  <c r="O449" i="15" s="1"/>
  <c r="E450" i="12"/>
  <c r="BQ449" i="12"/>
  <c r="BP449" i="12"/>
  <c r="BL449" i="12"/>
  <c r="O448" i="15" s="1"/>
  <c r="E449" i="12"/>
  <c r="BQ448" i="12"/>
  <c r="BP448" i="12"/>
  <c r="BL448" i="12"/>
  <c r="O447" i="15" s="1"/>
  <c r="E448" i="12"/>
  <c r="BQ447" i="12"/>
  <c r="BP447" i="12"/>
  <c r="BL447" i="12"/>
  <c r="O446" i="15" s="1"/>
  <c r="E447" i="12"/>
  <c r="BQ446" i="12"/>
  <c r="BP446" i="12"/>
  <c r="BL446" i="12"/>
  <c r="O445" i="15" s="1"/>
  <c r="E446" i="12"/>
  <c r="BQ445" i="12"/>
  <c r="BP445" i="12"/>
  <c r="BL445" i="12"/>
  <c r="O444" i="15" s="1"/>
  <c r="E445" i="12"/>
  <c r="BQ444" i="12"/>
  <c r="BP444" i="12"/>
  <c r="BL444" i="12"/>
  <c r="O443" i="15" s="1"/>
  <c r="E444" i="12"/>
  <c r="BQ443" i="12"/>
  <c r="BP443" i="12"/>
  <c r="BL443" i="12"/>
  <c r="O442" i="15" s="1"/>
  <c r="E443" i="12"/>
  <c r="BQ442" i="12"/>
  <c r="BP442" i="12"/>
  <c r="BL442" i="12"/>
  <c r="O441" i="15" s="1"/>
  <c r="E442" i="12"/>
  <c r="BQ441" i="12"/>
  <c r="BP441" i="12"/>
  <c r="BL441" i="12"/>
  <c r="O440" i="15" s="1"/>
  <c r="E441" i="12"/>
  <c r="BQ440" i="12"/>
  <c r="BP440" i="12"/>
  <c r="BL440" i="12"/>
  <c r="O439" i="15" s="1"/>
  <c r="E440" i="12"/>
  <c r="BQ439" i="12"/>
  <c r="BP439" i="12"/>
  <c r="BL439" i="12"/>
  <c r="O438" i="15" s="1"/>
  <c r="E439" i="12"/>
  <c r="BQ438" i="12"/>
  <c r="BP438" i="12"/>
  <c r="BL438" i="12"/>
  <c r="O437" i="15" s="1"/>
  <c r="E438" i="12"/>
  <c r="BQ437" i="12"/>
  <c r="BP437" i="12"/>
  <c r="BL437" i="12"/>
  <c r="O436" i="15" s="1"/>
  <c r="E437" i="12"/>
  <c r="BQ436" i="12"/>
  <c r="BP436" i="12"/>
  <c r="BL436" i="12"/>
  <c r="O435" i="15" s="1"/>
  <c r="E436" i="12"/>
  <c r="BQ435" i="12"/>
  <c r="BP435" i="12"/>
  <c r="BL435" i="12"/>
  <c r="O434" i="15" s="1"/>
  <c r="E435" i="12"/>
  <c r="BQ434" i="12"/>
  <c r="BP434" i="12"/>
  <c r="BL434" i="12"/>
  <c r="O433" i="15" s="1"/>
  <c r="E434" i="12"/>
  <c r="BQ433" i="12"/>
  <c r="BP433" i="12"/>
  <c r="BL433" i="12"/>
  <c r="O432" i="15" s="1"/>
  <c r="E433" i="12"/>
  <c r="BQ432" i="12"/>
  <c r="BP432" i="12"/>
  <c r="BL432" i="12"/>
  <c r="O431" i="15" s="1"/>
  <c r="E432" i="12"/>
  <c r="BQ431" i="12"/>
  <c r="BP431" i="12"/>
  <c r="BL431" i="12"/>
  <c r="O430" i="15" s="1"/>
  <c r="E431" i="12"/>
  <c r="BQ430" i="12"/>
  <c r="BP430" i="12"/>
  <c r="BL430" i="12"/>
  <c r="O429" i="15" s="1"/>
  <c r="E430" i="12"/>
  <c r="BQ429" i="12"/>
  <c r="BP429" i="12"/>
  <c r="BL429" i="12"/>
  <c r="O428" i="15" s="1"/>
  <c r="E429" i="12"/>
  <c r="BQ428" i="12"/>
  <c r="BP428" i="12"/>
  <c r="BL428" i="12"/>
  <c r="O427" i="15" s="1"/>
  <c r="E428" i="12"/>
  <c r="BQ427" i="12"/>
  <c r="BP427" i="12"/>
  <c r="BL427" i="12"/>
  <c r="O426" i="15" s="1"/>
  <c r="E427" i="12"/>
  <c r="BQ426" i="12"/>
  <c r="BP426" i="12"/>
  <c r="BL426" i="12"/>
  <c r="O425" i="15" s="1"/>
  <c r="E426" i="12"/>
  <c r="BQ425" i="12"/>
  <c r="BP425" i="12"/>
  <c r="BL425" i="12"/>
  <c r="O424" i="15" s="1"/>
  <c r="E425" i="12"/>
  <c r="BQ424" i="12"/>
  <c r="BP424" i="12"/>
  <c r="BL424" i="12"/>
  <c r="O423" i="15" s="1"/>
  <c r="E424" i="12"/>
  <c r="BQ423" i="12"/>
  <c r="BP423" i="12"/>
  <c r="BL423" i="12"/>
  <c r="O422" i="15" s="1"/>
  <c r="E423" i="12"/>
  <c r="BQ422" i="12"/>
  <c r="BP422" i="12"/>
  <c r="BL422" i="12"/>
  <c r="O421" i="15" s="1"/>
  <c r="E422" i="12"/>
  <c r="BQ421" i="12"/>
  <c r="BP421" i="12"/>
  <c r="BL421" i="12"/>
  <c r="O420" i="15" s="1"/>
  <c r="E421" i="12"/>
  <c r="BQ420" i="12"/>
  <c r="BP420" i="12"/>
  <c r="BL420" i="12"/>
  <c r="O419" i="15" s="1"/>
  <c r="E420" i="12"/>
  <c r="BQ419" i="12"/>
  <c r="BP419" i="12"/>
  <c r="BL419" i="12"/>
  <c r="O418" i="15" s="1"/>
  <c r="E419" i="12"/>
  <c r="BQ418" i="12"/>
  <c r="BP418" i="12"/>
  <c r="BL418" i="12"/>
  <c r="O417" i="15" s="1"/>
  <c r="E418" i="12"/>
  <c r="BQ417" i="12"/>
  <c r="BP417" i="12"/>
  <c r="BL417" i="12"/>
  <c r="O416" i="15" s="1"/>
  <c r="E417" i="12"/>
  <c r="BQ416" i="12"/>
  <c r="BP416" i="12"/>
  <c r="BL416" i="12"/>
  <c r="O415" i="15" s="1"/>
  <c r="E416" i="12"/>
  <c r="BQ415" i="12"/>
  <c r="BP415" i="12"/>
  <c r="BL415" i="12"/>
  <c r="O414" i="15" s="1"/>
  <c r="E415" i="12"/>
  <c r="BQ414" i="12"/>
  <c r="BP414" i="12"/>
  <c r="BL414" i="12"/>
  <c r="O413" i="15" s="1"/>
  <c r="E414" i="12"/>
  <c r="BQ413" i="12"/>
  <c r="BP413" i="12"/>
  <c r="BL413" i="12"/>
  <c r="O412" i="15" s="1"/>
  <c r="E413" i="12"/>
  <c r="BQ412" i="12"/>
  <c r="BP412" i="12"/>
  <c r="BL412" i="12"/>
  <c r="O411" i="15" s="1"/>
  <c r="E412" i="12"/>
  <c r="BQ411" i="12"/>
  <c r="BP411" i="12"/>
  <c r="BL411" i="12"/>
  <c r="O410" i="15" s="1"/>
  <c r="E411" i="12"/>
  <c r="BQ410" i="12"/>
  <c r="BP410" i="12"/>
  <c r="BL410" i="12"/>
  <c r="O409" i="15" s="1"/>
  <c r="E410" i="12"/>
  <c r="BQ409" i="12"/>
  <c r="BP409" i="12"/>
  <c r="BL409" i="12"/>
  <c r="O408" i="15" s="1"/>
  <c r="E409" i="12"/>
  <c r="BQ408" i="12"/>
  <c r="BP408" i="12"/>
  <c r="BL408" i="12"/>
  <c r="O407" i="15" s="1"/>
  <c r="E408" i="12"/>
  <c r="BQ407" i="12"/>
  <c r="BP407" i="12"/>
  <c r="BL407" i="12"/>
  <c r="O406" i="15" s="1"/>
  <c r="E407" i="12"/>
  <c r="BQ406" i="12"/>
  <c r="BP406" i="12"/>
  <c r="BL406" i="12"/>
  <c r="O405" i="15" s="1"/>
  <c r="E406" i="12"/>
  <c r="BQ405" i="12"/>
  <c r="BP405" i="12"/>
  <c r="BL405" i="12"/>
  <c r="O404" i="15" s="1"/>
  <c r="E405" i="12"/>
  <c r="BQ404" i="12"/>
  <c r="BP404" i="12"/>
  <c r="BL404" i="12"/>
  <c r="O403" i="15" s="1"/>
  <c r="E404" i="12"/>
  <c r="BQ403" i="12"/>
  <c r="BP403" i="12"/>
  <c r="BL403" i="12"/>
  <c r="O402" i="15" s="1"/>
  <c r="E403" i="12"/>
  <c r="BQ402" i="12"/>
  <c r="BP402" i="12"/>
  <c r="BL402" i="12"/>
  <c r="O401" i="15" s="1"/>
  <c r="E402" i="12"/>
  <c r="BQ401" i="12"/>
  <c r="BP401" i="12"/>
  <c r="BL401" i="12"/>
  <c r="O400" i="15" s="1"/>
  <c r="E401" i="12"/>
  <c r="BQ400" i="12"/>
  <c r="BP400" i="12"/>
  <c r="BL400" i="12"/>
  <c r="O399" i="15" s="1"/>
  <c r="E400" i="12"/>
  <c r="BQ399" i="12"/>
  <c r="BP399" i="12"/>
  <c r="BL399" i="12"/>
  <c r="O398" i="15" s="1"/>
  <c r="E399" i="12"/>
  <c r="BQ398" i="12"/>
  <c r="BP398" i="12"/>
  <c r="BL398" i="12"/>
  <c r="O397" i="15" s="1"/>
  <c r="E398" i="12"/>
  <c r="BQ397" i="12"/>
  <c r="BP397" i="12"/>
  <c r="BL397" i="12"/>
  <c r="O396" i="15" s="1"/>
  <c r="E397" i="12"/>
  <c r="BQ396" i="12"/>
  <c r="BP396" i="12"/>
  <c r="BL396" i="12"/>
  <c r="O395" i="15" s="1"/>
  <c r="E396" i="12"/>
  <c r="BQ395" i="12"/>
  <c r="BP395" i="12"/>
  <c r="BL395" i="12"/>
  <c r="O394" i="15" s="1"/>
  <c r="E395" i="12"/>
  <c r="BQ394" i="12"/>
  <c r="BP394" i="12"/>
  <c r="BL394" i="12"/>
  <c r="O393" i="15" s="1"/>
  <c r="E394" i="12"/>
  <c r="BQ393" i="12"/>
  <c r="BP393" i="12"/>
  <c r="BL393" i="12"/>
  <c r="O392" i="15" s="1"/>
  <c r="E393" i="12"/>
  <c r="BQ392" i="12"/>
  <c r="BP392" i="12"/>
  <c r="BL392" i="12"/>
  <c r="O391" i="15" s="1"/>
  <c r="E392" i="12"/>
  <c r="BQ391" i="12"/>
  <c r="BP391" i="12"/>
  <c r="BL391" i="12"/>
  <c r="O390" i="15" s="1"/>
  <c r="E391" i="12"/>
  <c r="BQ390" i="12"/>
  <c r="BP390" i="12"/>
  <c r="BL390" i="12"/>
  <c r="O389" i="15" s="1"/>
  <c r="E390" i="12"/>
  <c r="BQ389" i="12"/>
  <c r="BP389" i="12"/>
  <c r="BL389" i="12"/>
  <c r="O388" i="15" s="1"/>
  <c r="E389" i="12"/>
  <c r="BQ388" i="12"/>
  <c r="BP388" i="12"/>
  <c r="BL388" i="12"/>
  <c r="O387" i="15" s="1"/>
  <c r="E388" i="12"/>
  <c r="BQ387" i="12"/>
  <c r="BP387" i="12"/>
  <c r="BL387" i="12"/>
  <c r="O386" i="15" s="1"/>
  <c r="E387" i="12"/>
  <c r="BQ386" i="12"/>
  <c r="BP386" i="12"/>
  <c r="BL386" i="12"/>
  <c r="O385" i="15" s="1"/>
  <c r="E386" i="12"/>
  <c r="BQ385" i="12"/>
  <c r="BP385" i="12"/>
  <c r="BL385" i="12"/>
  <c r="O384" i="15" s="1"/>
  <c r="E385" i="12"/>
  <c r="BQ384" i="12"/>
  <c r="BP384" i="12"/>
  <c r="BL384" i="12"/>
  <c r="O383" i="15" s="1"/>
  <c r="E384" i="12"/>
  <c r="BQ383" i="12"/>
  <c r="BP383" i="12"/>
  <c r="BL383" i="12"/>
  <c r="O382" i="15" s="1"/>
  <c r="E383" i="12"/>
  <c r="BQ382" i="12"/>
  <c r="BP382" i="12"/>
  <c r="BL382" i="12"/>
  <c r="O381" i="15" s="1"/>
  <c r="E382" i="12"/>
  <c r="BQ381" i="12"/>
  <c r="BP381" i="12"/>
  <c r="BL381" i="12"/>
  <c r="O380" i="15" s="1"/>
  <c r="E381" i="12"/>
  <c r="BQ380" i="12"/>
  <c r="BP380" i="12"/>
  <c r="BL380" i="12"/>
  <c r="O379" i="15" s="1"/>
  <c r="E380" i="12"/>
  <c r="BQ379" i="12"/>
  <c r="BP379" i="12"/>
  <c r="BL379" i="12"/>
  <c r="O378" i="15" s="1"/>
  <c r="E379" i="12"/>
  <c r="BQ378" i="12"/>
  <c r="BP378" i="12"/>
  <c r="BL378" i="12"/>
  <c r="O377" i="15" s="1"/>
  <c r="E378" i="12"/>
  <c r="BQ377" i="12"/>
  <c r="BP377" i="12"/>
  <c r="BL377" i="12"/>
  <c r="O376" i="15" s="1"/>
  <c r="E377" i="12"/>
  <c r="BQ376" i="12"/>
  <c r="BP376" i="12"/>
  <c r="BL376" i="12"/>
  <c r="O375" i="15" s="1"/>
  <c r="E376" i="12"/>
  <c r="BQ375" i="12"/>
  <c r="BP375" i="12"/>
  <c r="BL375" i="12"/>
  <c r="O374" i="15" s="1"/>
  <c r="E375" i="12"/>
  <c r="BQ374" i="12"/>
  <c r="BP374" i="12"/>
  <c r="BL374" i="12"/>
  <c r="O373" i="15" s="1"/>
  <c r="E374" i="12"/>
  <c r="BQ373" i="12"/>
  <c r="BP373" i="12"/>
  <c r="BL373" i="12"/>
  <c r="O372" i="15" s="1"/>
  <c r="E373" i="12"/>
  <c r="BQ372" i="12"/>
  <c r="BP372" i="12"/>
  <c r="BL372" i="12"/>
  <c r="O371" i="15" s="1"/>
  <c r="E372" i="12"/>
  <c r="BQ371" i="12"/>
  <c r="BP371" i="12"/>
  <c r="BL371" i="12"/>
  <c r="O370" i="15" s="1"/>
  <c r="E371" i="12"/>
  <c r="BQ370" i="12"/>
  <c r="BP370" i="12"/>
  <c r="BL370" i="12"/>
  <c r="O369" i="15" s="1"/>
  <c r="E370" i="12"/>
  <c r="BQ369" i="12"/>
  <c r="BP369" i="12"/>
  <c r="BL369" i="12"/>
  <c r="O368" i="15" s="1"/>
  <c r="E369" i="12"/>
  <c r="BQ368" i="12"/>
  <c r="BP368" i="12"/>
  <c r="BL368" i="12"/>
  <c r="O367" i="15" s="1"/>
  <c r="E368" i="12"/>
  <c r="BQ367" i="12"/>
  <c r="BP367" i="12"/>
  <c r="BL367" i="12"/>
  <c r="O366" i="15" s="1"/>
  <c r="E367" i="12"/>
  <c r="BQ366" i="12"/>
  <c r="BP366" i="12"/>
  <c r="BL366" i="12"/>
  <c r="O365" i="15" s="1"/>
  <c r="E366" i="12"/>
  <c r="BQ365" i="12"/>
  <c r="BP365" i="12"/>
  <c r="BL365" i="12"/>
  <c r="O364" i="15" s="1"/>
  <c r="E365" i="12"/>
  <c r="BQ364" i="12"/>
  <c r="BP364" i="12"/>
  <c r="BL364" i="12"/>
  <c r="O363" i="15" s="1"/>
  <c r="E364" i="12"/>
  <c r="BQ363" i="12"/>
  <c r="BP363" i="12"/>
  <c r="BL363" i="12"/>
  <c r="O362" i="15" s="1"/>
  <c r="E363" i="12"/>
  <c r="BQ362" i="12"/>
  <c r="BP362" i="12"/>
  <c r="BL362" i="12"/>
  <c r="O361" i="15" s="1"/>
  <c r="E362" i="12"/>
  <c r="BQ361" i="12"/>
  <c r="BP361" i="12"/>
  <c r="BL361" i="12"/>
  <c r="O360" i="15" s="1"/>
  <c r="E361" i="12"/>
  <c r="BQ360" i="12"/>
  <c r="BP360" i="12"/>
  <c r="BL360" i="12"/>
  <c r="O359" i="15" s="1"/>
  <c r="E360" i="12"/>
  <c r="BQ359" i="12"/>
  <c r="BP359" i="12"/>
  <c r="BL359" i="12"/>
  <c r="O358" i="15" s="1"/>
  <c r="E359" i="12"/>
  <c r="BQ358" i="12"/>
  <c r="BP358" i="12"/>
  <c r="BL358" i="12"/>
  <c r="O357" i="15" s="1"/>
  <c r="E358" i="12"/>
  <c r="BQ357" i="12"/>
  <c r="BP357" i="12"/>
  <c r="BL357" i="12"/>
  <c r="O356" i="15" s="1"/>
  <c r="E357" i="12"/>
  <c r="BQ356" i="12"/>
  <c r="BP356" i="12"/>
  <c r="BL356" i="12"/>
  <c r="O355" i="15" s="1"/>
  <c r="E356" i="12"/>
  <c r="BQ355" i="12"/>
  <c r="BP355" i="12"/>
  <c r="BL355" i="12"/>
  <c r="O354" i="15" s="1"/>
  <c r="E355" i="12"/>
  <c r="BQ354" i="12"/>
  <c r="BP354" i="12"/>
  <c r="BL354" i="12"/>
  <c r="O353" i="15" s="1"/>
  <c r="E354" i="12"/>
  <c r="BQ353" i="12"/>
  <c r="BP353" i="12"/>
  <c r="BL353" i="12"/>
  <c r="O352" i="15" s="1"/>
  <c r="E353" i="12"/>
  <c r="BQ352" i="12"/>
  <c r="BP352" i="12"/>
  <c r="BL352" i="12"/>
  <c r="O351" i="15" s="1"/>
  <c r="E352" i="12"/>
  <c r="BQ351" i="12"/>
  <c r="BP351" i="12"/>
  <c r="BL351" i="12"/>
  <c r="O350" i="15" s="1"/>
  <c r="E351" i="12"/>
  <c r="BQ350" i="12"/>
  <c r="BP350" i="12"/>
  <c r="BL350" i="12"/>
  <c r="O349" i="15" s="1"/>
  <c r="E350" i="12"/>
  <c r="BQ349" i="12"/>
  <c r="BP349" i="12"/>
  <c r="BL349" i="12"/>
  <c r="O348" i="15" s="1"/>
  <c r="E349" i="12"/>
  <c r="BQ348" i="12"/>
  <c r="BP348" i="12"/>
  <c r="BL348" i="12"/>
  <c r="O347" i="15" s="1"/>
  <c r="E348" i="12"/>
  <c r="BQ347" i="12"/>
  <c r="BP347" i="12"/>
  <c r="BL347" i="12"/>
  <c r="O346" i="15" s="1"/>
  <c r="E347" i="12"/>
  <c r="BQ346" i="12"/>
  <c r="BP346" i="12"/>
  <c r="BL346" i="12"/>
  <c r="O345" i="15" s="1"/>
  <c r="E346" i="12"/>
  <c r="BQ345" i="12"/>
  <c r="BP345" i="12"/>
  <c r="BL345" i="12"/>
  <c r="O344" i="15" s="1"/>
  <c r="E345" i="12"/>
  <c r="BQ344" i="12"/>
  <c r="BP344" i="12"/>
  <c r="BL344" i="12"/>
  <c r="O343" i="15" s="1"/>
  <c r="E344" i="12"/>
  <c r="BQ343" i="12"/>
  <c r="BP343" i="12"/>
  <c r="BL343" i="12"/>
  <c r="O342" i="15" s="1"/>
  <c r="E343" i="12"/>
  <c r="BQ342" i="12"/>
  <c r="BP342" i="12"/>
  <c r="BL342" i="12"/>
  <c r="O341" i="15" s="1"/>
  <c r="E342" i="12"/>
  <c r="BQ341" i="12"/>
  <c r="BP341" i="12"/>
  <c r="BL341" i="12"/>
  <c r="O340" i="15" s="1"/>
  <c r="E341" i="12"/>
  <c r="BQ340" i="12"/>
  <c r="BP340" i="12"/>
  <c r="BL340" i="12"/>
  <c r="O339" i="15" s="1"/>
  <c r="E340" i="12"/>
  <c r="BQ339" i="12"/>
  <c r="BP339" i="12"/>
  <c r="BL339" i="12"/>
  <c r="O338" i="15" s="1"/>
  <c r="E339" i="12"/>
  <c r="BQ338" i="12"/>
  <c r="BP338" i="12"/>
  <c r="BL338" i="12"/>
  <c r="O337" i="15" s="1"/>
  <c r="E338" i="12"/>
  <c r="BQ337" i="12"/>
  <c r="BP337" i="12"/>
  <c r="BL337" i="12"/>
  <c r="O336" i="15" s="1"/>
  <c r="E337" i="12"/>
  <c r="BQ336" i="12"/>
  <c r="BP336" i="12"/>
  <c r="BL336" i="12"/>
  <c r="O335" i="15" s="1"/>
  <c r="E336" i="12"/>
  <c r="BQ335" i="12"/>
  <c r="BP335" i="12"/>
  <c r="BL335" i="12"/>
  <c r="O334" i="15" s="1"/>
  <c r="E335" i="12"/>
  <c r="BQ334" i="12"/>
  <c r="BP334" i="12"/>
  <c r="BL334" i="12"/>
  <c r="O333" i="15" s="1"/>
  <c r="E334" i="12"/>
  <c r="BQ333" i="12"/>
  <c r="BP333" i="12"/>
  <c r="BL333" i="12"/>
  <c r="O332" i="15" s="1"/>
  <c r="E333" i="12"/>
  <c r="BQ332" i="12"/>
  <c r="BP332" i="12"/>
  <c r="BL332" i="12"/>
  <c r="O331" i="15" s="1"/>
  <c r="E332" i="12"/>
  <c r="BQ331" i="12"/>
  <c r="BP331" i="12"/>
  <c r="BL331" i="12"/>
  <c r="O330" i="15" s="1"/>
  <c r="E331" i="12"/>
  <c r="BQ330" i="12"/>
  <c r="BP330" i="12"/>
  <c r="BL330" i="12"/>
  <c r="O329" i="15" s="1"/>
  <c r="E330" i="12"/>
  <c r="BQ329" i="12"/>
  <c r="BP329" i="12"/>
  <c r="BL329" i="12"/>
  <c r="O328" i="15" s="1"/>
  <c r="E329" i="12"/>
  <c r="BQ328" i="12"/>
  <c r="BP328" i="12"/>
  <c r="BL328" i="12"/>
  <c r="O327" i="15" s="1"/>
  <c r="E328" i="12"/>
  <c r="BQ327" i="12"/>
  <c r="BP327" i="12"/>
  <c r="BL327" i="12"/>
  <c r="O326" i="15" s="1"/>
  <c r="E327" i="12"/>
  <c r="BQ326" i="12"/>
  <c r="BP326" i="12"/>
  <c r="BL326" i="12"/>
  <c r="O325" i="15" s="1"/>
  <c r="E326" i="12"/>
  <c r="BQ325" i="12"/>
  <c r="BP325" i="12"/>
  <c r="BL325" i="12"/>
  <c r="O324" i="15" s="1"/>
  <c r="E325" i="12"/>
  <c r="BQ324" i="12"/>
  <c r="BP324" i="12"/>
  <c r="BL324" i="12"/>
  <c r="O323" i="15" s="1"/>
  <c r="E324" i="12"/>
  <c r="BQ323" i="12"/>
  <c r="BP323" i="12"/>
  <c r="BL323" i="12"/>
  <c r="O322" i="15" s="1"/>
  <c r="E323" i="12"/>
  <c r="BQ322" i="12"/>
  <c r="BP322" i="12"/>
  <c r="BL322" i="12"/>
  <c r="O321" i="15" s="1"/>
  <c r="E322" i="12"/>
  <c r="BQ321" i="12"/>
  <c r="BP321" i="12"/>
  <c r="BL321" i="12"/>
  <c r="O320" i="15" s="1"/>
  <c r="E321" i="12"/>
  <c r="BQ320" i="12"/>
  <c r="BP320" i="12"/>
  <c r="BL320" i="12"/>
  <c r="O319" i="15" s="1"/>
  <c r="E320" i="12"/>
  <c r="BQ319" i="12"/>
  <c r="BP319" i="12"/>
  <c r="BL319" i="12"/>
  <c r="O318" i="15" s="1"/>
  <c r="E319" i="12"/>
  <c r="BQ318" i="12"/>
  <c r="BP318" i="12"/>
  <c r="BL318" i="12"/>
  <c r="O317" i="15" s="1"/>
  <c r="E318" i="12"/>
  <c r="BQ317" i="12"/>
  <c r="BP317" i="12"/>
  <c r="BL317" i="12"/>
  <c r="O316" i="15" s="1"/>
  <c r="E317" i="12"/>
  <c r="BQ316" i="12"/>
  <c r="BP316" i="12"/>
  <c r="BL316" i="12"/>
  <c r="O315" i="15" s="1"/>
  <c r="E316" i="12"/>
  <c r="BQ315" i="12"/>
  <c r="BP315" i="12"/>
  <c r="BL315" i="12"/>
  <c r="O314" i="15" s="1"/>
  <c r="E315" i="12"/>
  <c r="BQ314" i="12"/>
  <c r="BP314" i="12"/>
  <c r="BL314" i="12"/>
  <c r="O313" i="15" s="1"/>
  <c r="E314" i="12"/>
  <c r="BQ313" i="12"/>
  <c r="BP313" i="12"/>
  <c r="BL313" i="12"/>
  <c r="O312" i="15" s="1"/>
  <c r="E313" i="12"/>
  <c r="BQ312" i="12"/>
  <c r="BP312" i="12"/>
  <c r="BL312" i="12"/>
  <c r="O311" i="15" s="1"/>
  <c r="E312" i="12"/>
  <c r="BQ311" i="12"/>
  <c r="BP311" i="12"/>
  <c r="BL311" i="12"/>
  <c r="O310" i="15" s="1"/>
  <c r="E311" i="12"/>
  <c r="BQ310" i="12"/>
  <c r="BP310" i="12"/>
  <c r="BL310" i="12"/>
  <c r="O309" i="15" s="1"/>
  <c r="E310" i="12"/>
  <c r="BQ309" i="12"/>
  <c r="BP309" i="12"/>
  <c r="BL309" i="12"/>
  <c r="O308" i="15" s="1"/>
  <c r="E309" i="12"/>
  <c r="BQ308" i="12"/>
  <c r="BP308" i="12"/>
  <c r="BL308" i="12"/>
  <c r="O307" i="15" s="1"/>
  <c r="E308" i="12"/>
  <c r="BQ307" i="12"/>
  <c r="BP307" i="12"/>
  <c r="BL307" i="12"/>
  <c r="O306" i="15" s="1"/>
  <c r="E307" i="12"/>
  <c r="BQ306" i="12"/>
  <c r="BP306" i="12"/>
  <c r="BL306" i="12"/>
  <c r="O305" i="15" s="1"/>
  <c r="E306" i="12"/>
  <c r="BQ305" i="12"/>
  <c r="BP305" i="12"/>
  <c r="BL305" i="12"/>
  <c r="O304" i="15" s="1"/>
  <c r="E305" i="12"/>
  <c r="BQ304" i="12"/>
  <c r="BP304" i="12"/>
  <c r="BL304" i="12"/>
  <c r="O303" i="15" s="1"/>
  <c r="E304" i="12"/>
  <c r="BQ303" i="12"/>
  <c r="BP303" i="12"/>
  <c r="BL303" i="12"/>
  <c r="O302" i="15" s="1"/>
  <c r="E303" i="12"/>
  <c r="BQ302" i="12"/>
  <c r="BP302" i="12"/>
  <c r="BL302" i="12"/>
  <c r="O301" i="15" s="1"/>
  <c r="E302" i="12"/>
  <c r="BQ301" i="12"/>
  <c r="BP301" i="12"/>
  <c r="BL301" i="12"/>
  <c r="O300" i="15" s="1"/>
  <c r="E301" i="12"/>
  <c r="BQ300" i="12"/>
  <c r="BP300" i="12"/>
  <c r="BL300" i="12"/>
  <c r="O299" i="15" s="1"/>
  <c r="E300" i="12"/>
  <c r="BQ299" i="12"/>
  <c r="BP299" i="12"/>
  <c r="BL299" i="12"/>
  <c r="O298" i="15" s="1"/>
  <c r="E299" i="12"/>
  <c r="BQ298" i="12"/>
  <c r="BP298" i="12"/>
  <c r="BL298" i="12"/>
  <c r="O297" i="15" s="1"/>
  <c r="E298" i="12"/>
  <c r="BQ297" i="12"/>
  <c r="BP297" i="12"/>
  <c r="BL297" i="12"/>
  <c r="O296" i="15" s="1"/>
  <c r="E297" i="12"/>
  <c r="BQ296" i="12"/>
  <c r="BP296" i="12"/>
  <c r="BL296" i="12"/>
  <c r="O295" i="15" s="1"/>
  <c r="E296" i="12"/>
  <c r="BQ295" i="12"/>
  <c r="BP295" i="12"/>
  <c r="BL295" i="12"/>
  <c r="O294" i="15" s="1"/>
  <c r="E295" i="12"/>
  <c r="BQ294" i="12"/>
  <c r="BP294" i="12"/>
  <c r="BL294" i="12"/>
  <c r="O293" i="15" s="1"/>
  <c r="E294" i="12"/>
  <c r="BQ293" i="12"/>
  <c r="BP293" i="12"/>
  <c r="BL293" i="12"/>
  <c r="O292" i="15" s="1"/>
  <c r="E293" i="12"/>
  <c r="BQ292" i="12"/>
  <c r="BP292" i="12"/>
  <c r="BL292" i="12"/>
  <c r="O291" i="15" s="1"/>
  <c r="E292" i="12"/>
  <c r="BQ291" i="12"/>
  <c r="BP291" i="12"/>
  <c r="BL291" i="12"/>
  <c r="O290" i="15" s="1"/>
  <c r="E291" i="12"/>
  <c r="BQ290" i="12"/>
  <c r="BP290" i="12"/>
  <c r="BL290" i="12"/>
  <c r="O289" i="15" s="1"/>
  <c r="E290" i="12"/>
  <c r="BQ289" i="12"/>
  <c r="BP289" i="12"/>
  <c r="BL289" i="12"/>
  <c r="O288" i="15" s="1"/>
  <c r="E289" i="12"/>
  <c r="BQ288" i="12"/>
  <c r="BP288" i="12"/>
  <c r="BL288" i="12"/>
  <c r="O287" i="15" s="1"/>
  <c r="E288" i="12"/>
  <c r="BQ287" i="12"/>
  <c r="BP287" i="12"/>
  <c r="BL287" i="12"/>
  <c r="O286" i="15" s="1"/>
  <c r="E287" i="12"/>
  <c r="BQ286" i="12"/>
  <c r="BP286" i="12"/>
  <c r="BL286" i="12"/>
  <c r="O285" i="15" s="1"/>
  <c r="E286" i="12"/>
  <c r="BQ285" i="12"/>
  <c r="BP285" i="12"/>
  <c r="BL285" i="12"/>
  <c r="O284" i="15" s="1"/>
  <c r="E285" i="12"/>
  <c r="BQ284" i="12"/>
  <c r="BP284" i="12"/>
  <c r="BL284" i="12"/>
  <c r="O283" i="15" s="1"/>
  <c r="E284" i="12"/>
  <c r="BQ283" i="12"/>
  <c r="BP283" i="12"/>
  <c r="BL283" i="12"/>
  <c r="O282" i="15" s="1"/>
  <c r="E283" i="12"/>
  <c r="BQ282" i="12"/>
  <c r="BP282" i="12"/>
  <c r="BL282" i="12"/>
  <c r="O281" i="15" s="1"/>
  <c r="E282" i="12"/>
  <c r="BQ281" i="12"/>
  <c r="BP281" i="12"/>
  <c r="BL281" i="12"/>
  <c r="O280" i="15" s="1"/>
  <c r="E281" i="12"/>
  <c r="BQ280" i="12"/>
  <c r="BP280" i="12"/>
  <c r="BL280" i="12"/>
  <c r="O279" i="15" s="1"/>
  <c r="E280" i="12"/>
  <c r="BQ279" i="12"/>
  <c r="BP279" i="12"/>
  <c r="BL279" i="12"/>
  <c r="O278" i="15" s="1"/>
  <c r="E279" i="12"/>
  <c r="BQ278" i="12"/>
  <c r="BP278" i="12"/>
  <c r="BL278" i="12"/>
  <c r="O277" i="15" s="1"/>
  <c r="E278" i="12"/>
  <c r="BQ277" i="12"/>
  <c r="BP277" i="12"/>
  <c r="BL277" i="12"/>
  <c r="O276" i="15" s="1"/>
  <c r="E277" i="12"/>
  <c r="BQ276" i="12"/>
  <c r="BP276" i="12"/>
  <c r="BL276" i="12"/>
  <c r="O275" i="15" s="1"/>
  <c r="E276" i="12"/>
  <c r="BQ275" i="12"/>
  <c r="BP275" i="12"/>
  <c r="BL275" i="12"/>
  <c r="O274" i="15" s="1"/>
  <c r="E275" i="12"/>
  <c r="BQ274" i="12"/>
  <c r="BP274" i="12"/>
  <c r="BL274" i="12"/>
  <c r="O273" i="15" s="1"/>
  <c r="E274" i="12"/>
  <c r="BQ273" i="12"/>
  <c r="BP273" i="12"/>
  <c r="BL273" i="12"/>
  <c r="O272" i="15" s="1"/>
  <c r="E273" i="12"/>
  <c r="BQ272" i="12"/>
  <c r="BP272" i="12"/>
  <c r="BL272" i="12"/>
  <c r="O271" i="15" s="1"/>
  <c r="E272" i="12"/>
  <c r="BQ271" i="12"/>
  <c r="BP271" i="12"/>
  <c r="BL271" i="12"/>
  <c r="O270" i="15" s="1"/>
  <c r="E271" i="12"/>
  <c r="BQ270" i="12"/>
  <c r="BP270" i="12"/>
  <c r="BL270" i="12"/>
  <c r="O269" i="15" s="1"/>
  <c r="E270" i="12"/>
  <c r="BQ269" i="12"/>
  <c r="BP269" i="12"/>
  <c r="BL269" i="12"/>
  <c r="O268" i="15" s="1"/>
  <c r="E269" i="12"/>
  <c r="BQ268" i="12"/>
  <c r="BP268" i="12"/>
  <c r="BL268" i="12"/>
  <c r="O267" i="15" s="1"/>
  <c r="E268" i="12"/>
  <c r="BQ267" i="12"/>
  <c r="BP267" i="12"/>
  <c r="BL267" i="12"/>
  <c r="O266" i="15" s="1"/>
  <c r="E267" i="12"/>
  <c r="BQ266" i="12"/>
  <c r="BP266" i="12"/>
  <c r="BL266" i="12"/>
  <c r="O265" i="15" s="1"/>
  <c r="E266" i="12"/>
  <c r="BQ265" i="12"/>
  <c r="BP265" i="12"/>
  <c r="BL265" i="12"/>
  <c r="O264" i="15" s="1"/>
  <c r="E265" i="12"/>
  <c r="BQ264" i="12"/>
  <c r="BP264" i="12"/>
  <c r="BL264" i="12"/>
  <c r="O263" i="15" s="1"/>
  <c r="E264" i="12"/>
  <c r="BQ263" i="12"/>
  <c r="BP263" i="12"/>
  <c r="BL263" i="12"/>
  <c r="O262" i="15" s="1"/>
  <c r="E263" i="12"/>
  <c r="BQ262" i="12"/>
  <c r="BP262" i="12"/>
  <c r="BL262" i="12"/>
  <c r="O261" i="15" s="1"/>
  <c r="E262" i="12"/>
  <c r="BQ261" i="12"/>
  <c r="BP261" i="12"/>
  <c r="BL261" i="12"/>
  <c r="O260" i="15" s="1"/>
  <c r="E261" i="12"/>
  <c r="BQ260" i="12"/>
  <c r="BP260" i="12"/>
  <c r="BL260" i="12"/>
  <c r="O259" i="15" s="1"/>
  <c r="E260" i="12"/>
  <c r="BQ259" i="12"/>
  <c r="BP259" i="12"/>
  <c r="BL259" i="12"/>
  <c r="O258" i="15" s="1"/>
  <c r="E259" i="12"/>
  <c r="BQ258" i="12"/>
  <c r="BP258" i="12"/>
  <c r="BL258" i="12"/>
  <c r="O257" i="15" s="1"/>
  <c r="E258" i="12"/>
  <c r="BQ257" i="12"/>
  <c r="BP257" i="12"/>
  <c r="BL257" i="12"/>
  <c r="O256" i="15" s="1"/>
  <c r="E257" i="12"/>
  <c r="BQ256" i="12"/>
  <c r="BP256" i="12"/>
  <c r="BL256" i="12"/>
  <c r="O255" i="15" s="1"/>
  <c r="E256" i="12"/>
  <c r="BQ255" i="12"/>
  <c r="BP255" i="12"/>
  <c r="BL255" i="12"/>
  <c r="O254" i="15" s="1"/>
  <c r="E255" i="12"/>
  <c r="BQ254" i="12"/>
  <c r="BP254" i="12"/>
  <c r="BL254" i="12"/>
  <c r="O253" i="15" s="1"/>
  <c r="E254" i="12"/>
  <c r="BQ253" i="12"/>
  <c r="BP253" i="12"/>
  <c r="BL253" i="12"/>
  <c r="O252" i="15" s="1"/>
  <c r="E253" i="12"/>
  <c r="BQ252" i="12"/>
  <c r="BP252" i="12"/>
  <c r="BL252" i="12"/>
  <c r="O251" i="15" s="1"/>
  <c r="E252" i="12"/>
  <c r="BQ251" i="12"/>
  <c r="BP251" i="12"/>
  <c r="BL251" i="12"/>
  <c r="O250" i="15" s="1"/>
  <c r="E251" i="12"/>
  <c r="BQ250" i="12"/>
  <c r="BP250" i="12"/>
  <c r="BL250" i="12"/>
  <c r="O249" i="15" s="1"/>
  <c r="E250" i="12"/>
  <c r="BQ249" i="12"/>
  <c r="BP249" i="12"/>
  <c r="BL249" i="12"/>
  <c r="O248" i="15" s="1"/>
  <c r="E249" i="12"/>
  <c r="BQ248" i="12"/>
  <c r="BP248" i="12"/>
  <c r="BL248" i="12"/>
  <c r="O247" i="15" s="1"/>
  <c r="E248" i="12"/>
  <c r="BQ247" i="12"/>
  <c r="BP247" i="12"/>
  <c r="BL247" i="12"/>
  <c r="O246" i="15" s="1"/>
  <c r="E247" i="12"/>
  <c r="BQ246" i="12"/>
  <c r="BP246" i="12"/>
  <c r="BL246" i="12"/>
  <c r="O245" i="15" s="1"/>
  <c r="E246" i="12"/>
  <c r="BQ245" i="12"/>
  <c r="BP245" i="12"/>
  <c r="BL245" i="12"/>
  <c r="O244" i="15" s="1"/>
  <c r="E245" i="12"/>
  <c r="BQ244" i="12"/>
  <c r="BP244" i="12"/>
  <c r="BL244" i="12"/>
  <c r="O243" i="15" s="1"/>
  <c r="E244" i="12"/>
  <c r="BQ243" i="12"/>
  <c r="BP243" i="12"/>
  <c r="BL243" i="12"/>
  <c r="O242" i="15" s="1"/>
  <c r="E243" i="12"/>
  <c r="BQ242" i="12"/>
  <c r="BP242" i="12"/>
  <c r="BL242" i="12"/>
  <c r="O241" i="15" s="1"/>
  <c r="E242" i="12"/>
  <c r="BQ241" i="12"/>
  <c r="BP241" i="12"/>
  <c r="BL241" i="12"/>
  <c r="O240" i="15" s="1"/>
  <c r="E241" i="12"/>
  <c r="BQ240" i="12"/>
  <c r="BP240" i="12"/>
  <c r="BL240" i="12"/>
  <c r="O239" i="15" s="1"/>
  <c r="E240" i="12"/>
  <c r="BQ239" i="12"/>
  <c r="BP239" i="12"/>
  <c r="BL239" i="12"/>
  <c r="O238" i="15" s="1"/>
  <c r="E239" i="12"/>
  <c r="BQ238" i="12"/>
  <c r="BP238" i="12"/>
  <c r="BL238" i="12"/>
  <c r="O237" i="15" s="1"/>
  <c r="E238" i="12"/>
  <c r="BQ237" i="12"/>
  <c r="BP237" i="12"/>
  <c r="BL237" i="12"/>
  <c r="O236" i="15" s="1"/>
  <c r="E237" i="12"/>
  <c r="BQ236" i="12"/>
  <c r="BP236" i="12"/>
  <c r="BL236" i="12"/>
  <c r="O235" i="15" s="1"/>
  <c r="E236" i="12"/>
  <c r="BQ235" i="12"/>
  <c r="BP235" i="12"/>
  <c r="BL235" i="12"/>
  <c r="O234" i="15" s="1"/>
  <c r="E235" i="12"/>
  <c r="BQ234" i="12"/>
  <c r="BP234" i="12"/>
  <c r="BL234" i="12"/>
  <c r="O233" i="15" s="1"/>
  <c r="E234" i="12"/>
  <c r="BQ233" i="12"/>
  <c r="BP233" i="12"/>
  <c r="BL233" i="12"/>
  <c r="O232" i="15" s="1"/>
  <c r="E233" i="12"/>
  <c r="BQ232" i="12"/>
  <c r="BP232" i="12"/>
  <c r="BL232" i="12"/>
  <c r="O231" i="15" s="1"/>
  <c r="E232" i="12"/>
  <c r="BQ231" i="12"/>
  <c r="BP231" i="12"/>
  <c r="BL231" i="12"/>
  <c r="O230" i="15" s="1"/>
  <c r="E231" i="12"/>
  <c r="BQ230" i="12"/>
  <c r="BP230" i="12"/>
  <c r="BL230" i="12"/>
  <c r="O229" i="15" s="1"/>
  <c r="E230" i="12"/>
  <c r="BQ229" i="12"/>
  <c r="BP229" i="12"/>
  <c r="BL229" i="12"/>
  <c r="O228" i="15" s="1"/>
  <c r="E229" i="12"/>
  <c r="BQ228" i="12"/>
  <c r="BP228" i="12"/>
  <c r="BL228" i="12"/>
  <c r="O227" i="15" s="1"/>
  <c r="E228" i="12"/>
  <c r="BQ227" i="12"/>
  <c r="BP227" i="12"/>
  <c r="BL227" i="12"/>
  <c r="O226" i="15" s="1"/>
  <c r="E227" i="12"/>
  <c r="BQ226" i="12"/>
  <c r="BP226" i="12"/>
  <c r="BL226" i="12"/>
  <c r="O225" i="15" s="1"/>
  <c r="E226" i="12"/>
  <c r="BQ225" i="12"/>
  <c r="BP225" i="12"/>
  <c r="BL225" i="12"/>
  <c r="O224" i="15" s="1"/>
  <c r="E225" i="12"/>
  <c r="BQ224" i="12"/>
  <c r="BP224" i="12"/>
  <c r="BL224" i="12"/>
  <c r="O223" i="15" s="1"/>
  <c r="E224" i="12"/>
  <c r="BQ223" i="12"/>
  <c r="BP223" i="12"/>
  <c r="BL223" i="12"/>
  <c r="O222" i="15" s="1"/>
  <c r="E223" i="12"/>
  <c r="BQ222" i="12"/>
  <c r="BP222" i="12"/>
  <c r="BL222" i="12"/>
  <c r="O221" i="15" s="1"/>
  <c r="E222" i="12"/>
  <c r="BQ221" i="12"/>
  <c r="BP221" i="12"/>
  <c r="BL221" i="12"/>
  <c r="O220" i="15" s="1"/>
  <c r="E221" i="12"/>
  <c r="BQ220" i="12"/>
  <c r="BP220" i="12"/>
  <c r="BL220" i="12"/>
  <c r="O219" i="15" s="1"/>
  <c r="E220" i="12"/>
  <c r="BQ219" i="12"/>
  <c r="BP219" i="12"/>
  <c r="BL219" i="12"/>
  <c r="O218" i="15" s="1"/>
  <c r="E219" i="12"/>
  <c r="BQ218" i="12"/>
  <c r="BP218" i="12"/>
  <c r="BL218" i="12"/>
  <c r="O217" i="15" s="1"/>
  <c r="E218" i="12"/>
  <c r="BQ217" i="12"/>
  <c r="BP217" i="12"/>
  <c r="BL217" i="12"/>
  <c r="O216" i="15" s="1"/>
  <c r="E217" i="12"/>
  <c r="BQ216" i="12"/>
  <c r="BP216" i="12"/>
  <c r="BL216" i="12"/>
  <c r="O215" i="15" s="1"/>
  <c r="E216" i="12"/>
  <c r="BQ215" i="12"/>
  <c r="BP215" i="12"/>
  <c r="BL215" i="12"/>
  <c r="O214" i="15" s="1"/>
  <c r="E215" i="12"/>
  <c r="BQ214" i="12"/>
  <c r="BP214" i="12"/>
  <c r="BL214" i="12"/>
  <c r="O213" i="15" s="1"/>
  <c r="E214" i="12"/>
  <c r="BQ213" i="12"/>
  <c r="BP213" i="12"/>
  <c r="BL213" i="12"/>
  <c r="O212" i="15" s="1"/>
  <c r="E213" i="12"/>
  <c r="BQ212" i="12"/>
  <c r="BP212" i="12"/>
  <c r="BL212" i="12"/>
  <c r="O211" i="15" s="1"/>
  <c r="E212" i="12"/>
  <c r="BQ211" i="12"/>
  <c r="BP211" i="12"/>
  <c r="BL211" i="12"/>
  <c r="O210" i="15" s="1"/>
  <c r="E211" i="12"/>
  <c r="BQ210" i="12"/>
  <c r="BP210" i="12"/>
  <c r="BL210" i="12"/>
  <c r="O209" i="15" s="1"/>
  <c r="E210" i="12"/>
  <c r="BQ209" i="12"/>
  <c r="BP209" i="12"/>
  <c r="BL209" i="12"/>
  <c r="O208" i="15" s="1"/>
  <c r="E209" i="12"/>
  <c r="BQ208" i="12"/>
  <c r="BP208" i="12"/>
  <c r="BL208" i="12"/>
  <c r="O207" i="15" s="1"/>
  <c r="E208" i="12"/>
  <c r="BQ207" i="12"/>
  <c r="BP207" i="12"/>
  <c r="BL207" i="12"/>
  <c r="O206" i="15" s="1"/>
  <c r="E207" i="12"/>
  <c r="BQ206" i="12"/>
  <c r="BP206" i="12"/>
  <c r="BL206" i="12"/>
  <c r="O205" i="15" s="1"/>
  <c r="E206" i="12"/>
  <c r="BQ205" i="12"/>
  <c r="BP205" i="12"/>
  <c r="BL205" i="12"/>
  <c r="O204" i="15" s="1"/>
  <c r="E205" i="12"/>
  <c r="BQ204" i="12"/>
  <c r="BP204" i="12"/>
  <c r="BL204" i="12"/>
  <c r="O203" i="15" s="1"/>
  <c r="E204" i="12"/>
  <c r="BQ203" i="12"/>
  <c r="BP203" i="12"/>
  <c r="BL203" i="12"/>
  <c r="O202" i="15" s="1"/>
  <c r="E203" i="12"/>
  <c r="BQ202" i="12"/>
  <c r="BP202" i="12"/>
  <c r="BL202" i="12"/>
  <c r="O201" i="15" s="1"/>
  <c r="E202" i="12"/>
  <c r="BQ201" i="12"/>
  <c r="BP201" i="12"/>
  <c r="BL201" i="12"/>
  <c r="O200" i="15" s="1"/>
  <c r="E201" i="12"/>
  <c r="BQ200" i="12"/>
  <c r="BP200" i="12"/>
  <c r="BL200" i="12"/>
  <c r="O199" i="15" s="1"/>
  <c r="E200" i="12"/>
  <c r="BQ199" i="12"/>
  <c r="BP199" i="12"/>
  <c r="BL199" i="12"/>
  <c r="O198" i="15" s="1"/>
  <c r="E199" i="12"/>
  <c r="BQ198" i="12"/>
  <c r="BP198" i="12"/>
  <c r="BL198" i="12"/>
  <c r="O197" i="15" s="1"/>
  <c r="E198" i="12"/>
  <c r="BQ197" i="12"/>
  <c r="BP197" i="12"/>
  <c r="BL197" i="12"/>
  <c r="O196" i="15" s="1"/>
  <c r="E197" i="12"/>
  <c r="BQ196" i="12"/>
  <c r="BP196" i="12"/>
  <c r="BL196" i="12"/>
  <c r="O195" i="15" s="1"/>
  <c r="E196" i="12"/>
  <c r="BQ195" i="12"/>
  <c r="BP195" i="12"/>
  <c r="BL195" i="12"/>
  <c r="O194" i="15" s="1"/>
  <c r="E195" i="12"/>
  <c r="BQ194" i="12"/>
  <c r="BP194" i="12"/>
  <c r="BL194" i="12"/>
  <c r="O193" i="15" s="1"/>
  <c r="E194" i="12"/>
  <c r="BQ193" i="12"/>
  <c r="BP193" i="12"/>
  <c r="BL193" i="12"/>
  <c r="O192" i="15" s="1"/>
  <c r="E193" i="12"/>
  <c r="BQ192" i="12"/>
  <c r="BP192" i="12"/>
  <c r="BL192" i="12"/>
  <c r="O191" i="15" s="1"/>
  <c r="E192" i="12"/>
  <c r="BQ191" i="12"/>
  <c r="BP191" i="12"/>
  <c r="BL191" i="12"/>
  <c r="O190" i="15" s="1"/>
  <c r="E191" i="12"/>
  <c r="BQ190" i="12"/>
  <c r="BP190" i="12"/>
  <c r="BL190" i="12"/>
  <c r="O189" i="15" s="1"/>
  <c r="E190" i="12"/>
  <c r="BQ189" i="12"/>
  <c r="BP189" i="12"/>
  <c r="BL189" i="12"/>
  <c r="O188" i="15" s="1"/>
  <c r="E189" i="12"/>
  <c r="BQ188" i="12"/>
  <c r="BP188" i="12"/>
  <c r="BL188" i="12"/>
  <c r="O187" i="15" s="1"/>
  <c r="E188" i="12"/>
  <c r="BQ187" i="12"/>
  <c r="BP187" i="12"/>
  <c r="BL187" i="12"/>
  <c r="O186" i="15" s="1"/>
  <c r="E187" i="12"/>
  <c r="BQ186" i="12"/>
  <c r="BP186" i="12"/>
  <c r="BL186" i="12"/>
  <c r="O185" i="15" s="1"/>
  <c r="E186" i="12"/>
  <c r="BQ185" i="12"/>
  <c r="BP185" i="12"/>
  <c r="BL185" i="12"/>
  <c r="O184" i="15" s="1"/>
  <c r="E185" i="12"/>
  <c r="BQ184" i="12"/>
  <c r="BP184" i="12"/>
  <c r="BL184" i="12"/>
  <c r="O183" i="15" s="1"/>
  <c r="E184" i="12"/>
  <c r="BQ183" i="12"/>
  <c r="BP183" i="12"/>
  <c r="BL183" i="12"/>
  <c r="O182" i="15" s="1"/>
  <c r="E183" i="12"/>
  <c r="BQ182" i="12"/>
  <c r="BP182" i="12"/>
  <c r="BL182" i="12"/>
  <c r="O181" i="15" s="1"/>
  <c r="E182" i="12"/>
  <c r="BQ181" i="12"/>
  <c r="BP181" i="12"/>
  <c r="BL181" i="12"/>
  <c r="O180" i="15" s="1"/>
  <c r="E181" i="12"/>
  <c r="BQ180" i="12"/>
  <c r="BP180" i="12"/>
  <c r="BL180" i="12"/>
  <c r="O179" i="15" s="1"/>
  <c r="E180" i="12"/>
  <c r="BQ179" i="12"/>
  <c r="BP179" i="12"/>
  <c r="BL179" i="12"/>
  <c r="O178" i="15" s="1"/>
  <c r="E179" i="12"/>
  <c r="BQ178" i="12"/>
  <c r="BP178" i="12"/>
  <c r="BL178" i="12"/>
  <c r="O177" i="15" s="1"/>
  <c r="E178" i="12"/>
  <c r="BQ177" i="12"/>
  <c r="BP177" i="12"/>
  <c r="BL177" i="12"/>
  <c r="O176" i="15" s="1"/>
  <c r="E177" i="12"/>
  <c r="BQ176" i="12"/>
  <c r="BP176" i="12"/>
  <c r="BL176" i="12"/>
  <c r="O175" i="15" s="1"/>
  <c r="E176" i="12"/>
  <c r="BQ175" i="12"/>
  <c r="BP175" i="12"/>
  <c r="BL175" i="12"/>
  <c r="O174" i="15" s="1"/>
  <c r="E175" i="12"/>
  <c r="BQ174" i="12"/>
  <c r="BP174" i="12"/>
  <c r="BL174" i="12"/>
  <c r="O173" i="15" s="1"/>
  <c r="E174" i="12"/>
  <c r="BQ173" i="12"/>
  <c r="BP173" i="12"/>
  <c r="BL173" i="12"/>
  <c r="O172" i="15" s="1"/>
  <c r="E173" i="12"/>
  <c r="BQ172" i="12"/>
  <c r="BP172" i="12"/>
  <c r="BL172" i="12"/>
  <c r="O171" i="15" s="1"/>
  <c r="E172" i="12"/>
  <c r="BQ171" i="12"/>
  <c r="BP171" i="12"/>
  <c r="BL171" i="12"/>
  <c r="O170" i="15" s="1"/>
  <c r="E171" i="12"/>
  <c r="BQ170" i="12"/>
  <c r="BP170" i="12"/>
  <c r="BL170" i="12"/>
  <c r="O169" i="15" s="1"/>
  <c r="E170" i="12"/>
  <c r="BQ169" i="12"/>
  <c r="BP169" i="12"/>
  <c r="BL169" i="12"/>
  <c r="O168" i="15" s="1"/>
  <c r="E169" i="12"/>
  <c r="BQ168" i="12"/>
  <c r="BP168" i="12"/>
  <c r="BL168" i="12"/>
  <c r="O167" i="15" s="1"/>
  <c r="E168" i="12"/>
  <c r="BQ167" i="12"/>
  <c r="BP167" i="12"/>
  <c r="BL167" i="12"/>
  <c r="O166" i="15" s="1"/>
  <c r="E167" i="12"/>
  <c r="BQ166" i="12"/>
  <c r="BP166" i="12"/>
  <c r="BL166" i="12"/>
  <c r="O165" i="15" s="1"/>
  <c r="E166" i="12"/>
  <c r="BQ165" i="12"/>
  <c r="BP165" i="12"/>
  <c r="BL165" i="12"/>
  <c r="O164" i="15" s="1"/>
  <c r="E165" i="12"/>
  <c r="BQ164" i="12"/>
  <c r="BP164" i="12"/>
  <c r="BL164" i="12"/>
  <c r="O163" i="15" s="1"/>
  <c r="E164" i="12"/>
  <c r="BQ163" i="12"/>
  <c r="BP163" i="12"/>
  <c r="BL163" i="12"/>
  <c r="O162" i="15" s="1"/>
  <c r="E163" i="12"/>
  <c r="O161" i="15" s="1"/>
  <c r="O160" i="15" s="1"/>
  <c r="O159" i="15" s="1"/>
  <c r="O158" i="15" s="1"/>
  <c r="O157" i="15" s="1"/>
  <c r="O156" i="15" s="1"/>
  <c r="O155" i="15" s="1"/>
  <c r="O154" i="15" s="1"/>
  <c r="O153" i="15" s="1"/>
  <c r="O152" i="15" s="1"/>
  <c r="O151" i="15" s="1"/>
  <c r="O150" i="15" s="1"/>
  <c r="O149" i="15" s="1"/>
  <c r="BQ149" i="12"/>
  <c r="BP149" i="12"/>
  <c r="BL149" i="12"/>
  <c r="O148" i="15" s="1"/>
  <c r="E149" i="12"/>
  <c r="BQ148" i="12"/>
  <c r="BP148" i="12"/>
  <c r="BL148" i="12"/>
  <c r="O147" i="15" s="1"/>
  <c r="E148" i="12"/>
  <c r="D148" i="12"/>
  <c r="BQ147" i="12"/>
  <c r="BP147" i="12"/>
  <c r="BL147" i="12"/>
  <c r="O146" i="15" s="1"/>
  <c r="E147" i="12"/>
  <c r="D147" i="12"/>
  <c r="BQ146" i="12"/>
  <c r="BP146" i="12"/>
  <c r="BL146" i="12"/>
  <c r="O145" i="15" s="1"/>
  <c r="E146" i="12"/>
  <c r="D146" i="12"/>
  <c r="BQ145" i="12"/>
  <c r="BP145" i="12"/>
  <c r="E145" i="12"/>
  <c r="D145" i="12"/>
  <c r="BQ144" i="12"/>
  <c r="BP144" i="12"/>
  <c r="E144" i="12"/>
  <c r="D144" i="12"/>
  <c r="BQ143" i="12"/>
  <c r="BP143" i="12"/>
  <c r="E143" i="12"/>
  <c r="D143" i="12"/>
  <c r="BQ142" i="12"/>
  <c r="BP142" i="12"/>
  <c r="E142" i="12"/>
  <c r="D142" i="12"/>
  <c r="BQ141" i="12"/>
  <c r="BP141" i="12"/>
  <c r="E141" i="12"/>
  <c r="D141" i="12"/>
  <c r="BQ140" i="12"/>
  <c r="BP140" i="12"/>
  <c r="E140" i="12"/>
  <c r="D140" i="12"/>
  <c r="BQ139" i="12"/>
  <c r="BP139" i="12"/>
  <c r="E139" i="12"/>
  <c r="D139" i="12"/>
  <c r="BL138" i="12"/>
  <c r="E138" i="12"/>
  <c r="BQ137" i="12"/>
  <c r="BP137" i="12"/>
  <c r="BL137" i="12"/>
  <c r="O137" i="15" s="1"/>
  <c r="E137" i="12"/>
  <c r="D137" i="12"/>
  <c r="BQ136" i="12"/>
  <c r="BP136" i="12"/>
  <c r="BL136" i="12"/>
  <c r="O136" i="15" s="1"/>
  <c r="E136" i="12"/>
  <c r="D136" i="12"/>
  <c r="BQ135" i="12"/>
  <c r="BP135" i="12"/>
  <c r="BL135" i="12"/>
  <c r="O135" i="15" s="1"/>
  <c r="E135" i="12"/>
  <c r="D135" i="12"/>
  <c r="BQ134" i="12"/>
  <c r="BP134" i="12"/>
  <c r="BL134" i="12"/>
  <c r="O134" i="15" s="1"/>
  <c r="E134" i="12"/>
  <c r="D134" i="12"/>
  <c r="BQ133" i="12"/>
  <c r="BP133" i="12"/>
  <c r="BL133" i="12"/>
  <c r="O133" i="15" s="1"/>
  <c r="E133" i="12"/>
  <c r="D133" i="12"/>
  <c r="BQ132" i="12"/>
  <c r="BP132" i="12"/>
  <c r="BL132" i="12"/>
  <c r="O132" i="15" s="1"/>
  <c r="E132" i="12"/>
  <c r="D132" i="12"/>
  <c r="BQ131" i="12"/>
  <c r="BP131" i="12"/>
  <c r="BL131" i="12"/>
  <c r="O131" i="15" s="1"/>
  <c r="E131" i="12"/>
  <c r="D131" i="12"/>
  <c r="BQ130" i="12"/>
  <c r="BP130" i="12"/>
  <c r="BL130" i="12"/>
  <c r="O130" i="15" s="1"/>
  <c r="E130" i="12"/>
  <c r="D130" i="12"/>
  <c r="BQ129" i="12"/>
  <c r="BP129" i="12"/>
  <c r="BL129" i="12"/>
  <c r="O129" i="15" s="1"/>
  <c r="E129" i="12"/>
  <c r="D129" i="12"/>
  <c r="BQ128" i="12"/>
  <c r="BP128" i="12"/>
  <c r="BL128" i="12"/>
  <c r="O128" i="15" s="1"/>
  <c r="E128" i="12"/>
  <c r="D128" i="12"/>
  <c r="BQ127" i="12"/>
  <c r="BP127" i="12"/>
  <c r="BL127" i="12"/>
  <c r="O127" i="15" s="1"/>
  <c r="E127" i="12"/>
  <c r="D127" i="12"/>
  <c r="BQ126" i="12"/>
  <c r="BP126" i="12"/>
  <c r="BL126" i="12"/>
  <c r="O126" i="15" s="1"/>
  <c r="E126" i="12"/>
  <c r="D126" i="12"/>
  <c r="BQ125" i="12"/>
  <c r="BP125" i="12"/>
  <c r="BL125" i="12"/>
  <c r="O125" i="15" s="1"/>
  <c r="E125" i="12"/>
  <c r="D125" i="12"/>
  <c r="BQ124" i="12"/>
  <c r="BP124" i="12"/>
  <c r="BL124" i="12"/>
  <c r="O124" i="15" s="1"/>
  <c r="E124" i="12"/>
  <c r="D124" i="12"/>
  <c r="BQ123" i="12"/>
  <c r="BP123" i="12"/>
  <c r="BL123" i="12"/>
  <c r="O123" i="15" s="1"/>
  <c r="E123" i="12"/>
  <c r="D123" i="12"/>
  <c r="BQ122" i="12"/>
  <c r="BP122" i="12"/>
  <c r="BL122" i="12"/>
  <c r="O122" i="15" s="1"/>
  <c r="E122" i="12"/>
  <c r="D122" i="12"/>
  <c r="BQ121" i="12"/>
  <c r="BP121" i="12"/>
  <c r="BL121" i="12"/>
  <c r="O121" i="15" s="1"/>
  <c r="E121" i="12"/>
  <c r="D121" i="12"/>
  <c r="BQ120" i="12"/>
  <c r="BP120" i="12"/>
  <c r="BL120" i="12"/>
  <c r="O120" i="15" s="1"/>
  <c r="E120" i="12"/>
  <c r="D120" i="12"/>
  <c r="BQ119" i="12"/>
  <c r="BP119" i="12"/>
  <c r="BL119" i="12"/>
  <c r="O119" i="15" s="1"/>
  <c r="E119" i="12"/>
  <c r="D119" i="12"/>
  <c r="BQ118" i="12"/>
  <c r="BP118" i="12"/>
  <c r="BL118" i="12"/>
  <c r="O118" i="15" s="1"/>
  <c r="E118" i="12"/>
  <c r="D118" i="12"/>
  <c r="BQ117" i="12"/>
  <c r="BP117" i="12"/>
  <c r="BL117" i="12"/>
  <c r="O117" i="15" s="1"/>
  <c r="E117" i="12"/>
  <c r="D117" i="12"/>
  <c r="BQ116" i="12"/>
  <c r="BP116" i="12"/>
  <c r="BL116" i="12"/>
  <c r="O116" i="15" s="1"/>
  <c r="E116" i="12"/>
  <c r="D116" i="12"/>
  <c r="BQ115" i="12"/>
  <c r="BP115" i="12"/>
  <c r="BL115" i="12"/>
  <c r="O115" i="15" s="1"/>
  <c r="E115" i="12"/>
  <c r="D115" i="12"/>
  <c r="BQ114" i="12"/>
  <c r="BP114" i="12"/>
  <c r="BL114" i="12"/>
  <c r="O114" i="15" s="1"/>
  <c r="E114" i="12"/>
  <c r="D114" i="12"/>
  <c r="BQ113" i="12"/>
  <c r="BP113" i="12"/>
  <c r="BL113" i="12"/>
  <c r="O113" i="15" s="1"/>
  <c r="E113" i="12"/>
  <c r="D113" i="12"/>
  <c r="BQ112" i="12"/>
  <c r="BP112" i="12"/>
  <c r="BL112" i="12"/>
  <c r="O112" i="15" s="1"/>
  <c r="E112" i="12"/>
  <c r="D112" i="12"/>
  <c r="BQ111" i="12"/>
  <c r="BP111" i="12"/>
  <c r="BL111" i="12"/>
  <c r="O111" i="15" s="1"/>
  <c r="E111" i="12"/>
  <c r="D111" i="12"/>
  <c r="BQ110" i="12"/>
  <c r="BP110" i="12"/>
  <c r="BL110" i="12"/>
  <c r="O110" i="15" s="1"/>
  <c r="E110" i="12"/>
  <c r="D110" i="12"/>
  <c r="BQ109" i="12"/>
  <c r="BP109" i="12"/>
  <c r="BL109" i="12"/>
  <c r="O109" i="15" s="1"/>
  <c r="E109" i="12"/>
  <c r="D109" i="12"/>
  <c r="BQ108" i="12"/>
  <c r="BP108" i="12"/>
  <c r="BL108" i="12"/>
  <c r="O108" i="15" s="1"/>
  <c r="E108" i="12"/>
  <c r="D108" i="12"/>
  <c r="BQ107" i="12"/>
  <c r="BP107" i="12"/>
  <c r="BL107" i="12"/>
  <c r="O107" i="15" s="1"/>
  <c r="E107" i="12"/>
  <c r="D107" i="12"/>
  <c r="BQ106" i="12"/>
  <c r="BP106" i="12"/>
  <c r="BL106" i="12"/>
  <c r="O106" i="15" s="1"/>
  <c r="E106" i="12"/>
  <c r="D106" i="12"/>
  <c r="BQ105" i="12"/>
  <c r="BP105" i="12"/>
  <c r="BL105" i="12"/>
  <c r="O105" i="15" s="1"/>
  <c r="E105" i="12"/>
  <c r="D105" i="12"/>
  <c r="BQ104" i="12"/>
  <c r="BP104" i="12"/>
  <c r="BL104" i="12"/>
  <c r="O104" i="15" s="1"/>
  <c r="E104" i="12"/>
  <c r="D104" i="12"/>
  <c r="BQ103" i="12"/>
  <c r="BP103" i="12"/>
  <c r="BL103" i="12"/>
  <c r="O103" i="15" s="1"/>
  <c r="E103" i="12"/>
  <c r="D103" i="12"/>
  <c r="BQ102" i="12"/>
  <c r="BP102" i="12"/>
  <c r="BL102" i="12"/>
  <c r="O102" i="15" s="1"/>
  <c r="E102" i="12"/>
  <c r="D102" i="12"/>
  <c r="BQ101" i="12"/>
  <c r="BP101" i="12"/>
  <c r="BL101" i="12"/>
  <c r="O101" i="15" s="1"/>
  <c r="E101" i="12"/>
  <c r="D101" i="12"/>
  <c r="BQ100" i="12"/>
  <c r="BP100" i="12"/>
  <c r="BL100" i="12"/>
  <c r="O100" i="15" s="1"/>
  <c r="E100" i="12"/>
  <c r="D100" i="12"/>
  <c r="BQ99" i="12"/>
  <c r="BP99" i="12"/>
  <c r="BL99" i="12"/>
  <c r="O99" i="15" s="1"/>
  <c r="E99" i="12"/>
  <c r="D99" i="12"/>
  <c r="BQ98" i="12"/>
  <c r="BP98" i="12"/>
  <c r="BL98" i="12"/>
  <c r="O98" i="15" s="1"/>
  <c r="E98" i="12"/>
  <c r="D98" i="12"/>
  <c r="BQ97" i="12"/>
  <c r="BP97" i="12"/>
  <c r="BL97" i="12"/>
  <c r="O97" i="15" s="1"/>
  <c r="E97" i="12"/>
  <c r="D97" i="12"/>
  <c r="BQ96" i="12"/>
  <c r="BP96" i="12"/>
  <c r="BL96" i="12"/>
  <c r="O96" i="15" s="1"/>
  <c r="E96" i="12"/>
  <c r="D96" i="12"/>
  <c r="BQ95" i="12"/>
  <c r="BP95" i="12"/>
  <c r="BL95" i="12"/>
  <c r="O95" i="15" s="1"/>
  <c r="E95" i="12"/>
  <c r="D95" i="12"/>
  <c r="BQ94" i="12"/>
  <c r="BP94" i="12"/>
  <c r="BL94" i="12"/>
  <c r="O94" i="15" s="1"/>
  <c r="E94" i="12"/>
  <c r="D94" i="12"/>
  <c r="BQ93" i="12"/>
  <c r="BP93" i="12"/>
  <c r="BL93" i="12"/>
  <c r="O93" i="15" s="1"/>
  <c r="E93" i="12"/>
  <c r="D93" i="12"/>
  <c r="BQ92" i="12"/>
  <c r="BP92" i="12"/>
  <c r="BL92" i="12"/>
  <c r="O92" i="15" s="1"/>
  <c r="E92" i="12"/>
  <c r="D92" i="12"/>
  <c r="BQ91" i="12"/>
  <c r="BP91" i="12"/>
  <c r="BL91" i="12"/>
  <c r="O91" i="15" s="1"/>
  <c r="E91" i="12"/>
  <c r="D91" i="12"/>
  <c r="BQ90" i="12"/>
  <c r="BP90" i="12"/>
  <c r="BL90" i="12"/>
  <c r="O90" i="15" s="1"/>
  <c r="E90" i="12"/>
  <c r="D90" i="12"/>
  <c r="BQ89" i="12"/>
  <c r="BP89" i="12"/>
  <c r="BL89" i="12"/>
  <c r="O89" i="15" s="1"/>
  <c r="E89" i="12"/>
  <c r="D89" i="12"/>
  <c r="BQ88" i="12"/>
  <c r="BP88" i="12"/>
  <c r="BL88" i="12"/>
  <c r="O88" i="15" s="1"/>
  <c r="E88" i="12"/>
  <c r="D88" i="12"/>
  <c r="BQ87" i="12"/>
  <c r="BP87" i="12"/>
  <c r="BL87" i="12"/>
  <c r="O87" i="15" s="1"/>
  <c r="E87" i="12"/>
  <c r="D87" i="12"/>
  <c r="BQ86" i="12"/>
  <c r="BP86" i="12"/>
  <c r="BL86" i="12"/>
  <c r="O86" i="15" s="1"/>
  <c r="E86" i="12"/>
  <c r="D86" i="12"/>
  <c r="BQ85" i="12"/>
  <c r="BP85" i="12"/>
  <c r="BL85" i="12"/>
  <c r="O85" i="15" s="1"/>
  <c r="E85" i="12"/>
  <c r="D85" i="12"/>
  <c r="BQ84" i="12"/>
  <c r="BP84" i="12"/>
  <c r="BL84" i="12"/>
  <c r="O84" i="15" s="1"/>
  <c r="E84" i="12"/>
  <c r="D84" i="12"/>
  <c r="BQ83" i="12"/>
  <c r="BP83" i="12"/>
  <c r="BL83" i="12"/>
  <c r="O83" i="15" s="1"/>
  <c r="E83" i="12"/>
  <c r="D83" i="12"/>
  <c r="BQ82" i="12"/>
  <c r="BP82" i="12"/>
  <c r="BL82" i="12"/>
  <c r="O82" i="15" s="1"/>
  <c r="E82" i="12"/>
  <c r="D82" i="12"/>
  <c r="BQ81" i="12"/>
  <c r="BP81" i="12"/>
  <c r="BL81" i="12"/>
  <c r="O81" i="15" s="1"/>
  <c r="E81" i="12"/>
  <c r="D81" i="12"/>
  <c r="BQ80" i="12"/>
  <c r="BP80" i="12"/>
  <c r="BL80" i="12"/>
  <c r="O80" i="15" s="1"/>
  <c r="E80" i="12"/>
  <c r="D80" i="12"/>
  <c r="BQ79" i="12"/>
  <c r="BP79" i="12"/>
  <c r="BL79" i="12"/>
  <c r="O79" i="15" s="1"/>
  <c r="E79" i="12"/>
  <c r="D79" i="12"/>
  <c r="BQ78" i="12"/>
  <c r="BP78" i="12"/>
  <c r="BL78" i="12"/>
  <c r="O78" i="15" s="1"/>
  <c r="E78" i="12"/>
  <c r="D78" i="12"/>
  <c r="BQ77" i="12"/>
  <c r="BP77" i="12"/>
  <c r="BL77" i="12"/>
  <c r="O77" i="15" s="1"/>
  <c r="E77" i="12"/>
  <c r="D77" i="12"/>
  <c r="BQ76" i="12"/>
  <c r="BP76" i="12"/>
  <c r="BL76" i="12"/>
  <c r="O76" i="15" s="1"/>
  <c r="E76" i="12"/>
  <c r="D76" i="12"/>
  <c r="BQ75" i="12"/>
  <c r="BP75" i="12"/>
  <c r="BL75" i="12"/>
  <c r="O75" i="15" s="1"/>
  <c r="E75" i="12"/>
  <c r="D75" i="12"/>
  <c r="BQ74" i="12"/>
  <c r="BP74" i="12"/>
  <c r="BL74" i="12"/>
  <c r="O74" i="15" s="1"/>
  <c r="E74" i="12"/>
  <c r="D74" i="12"/>
  <c r="BQ73" i="12"/>
  <c r="BP73" i="12"/>
  <c r="BL73" i="12"/>
  <c r="O73" i="15" s="1"/>
  <c r="E73" i="12"/>
  <c r="D73" i="12"/>
  <c r="BQ72" i="12"/>
  <c r="BP72" i="12"/>
  <c r="BL72" i="12"/>
  <c r="O72" i="15" s="1"/>
  <c r="E72" i="12"/>
  <c r="D72" i="12"/>
  <c r="BQ71" i="12"/>
  <c r="BP71" i="12"/>
  <c r="BL71" i="12"/>
  <c r="O71" i="15" s="1"/>
  <c r="E71" i="12"/>
  <c r="D71" i="12"/>
  <c r="BQ70" i="12"/>
  <c r="BP70" i="12"/>
  <c r="BL70" i="12"/>
  <c r="O70" i="15" s="1"/>
  <c r="E70" i="12"/>
  <c r="D70" i="12"/>
  <c r="BQ69" i="12"/>
  <c r="BP69" i="12"/>
  <c r="BL69" i="12"/>
  <c r="O69" i="15" s="1"/>
  <c r="E69" i="12"/>
  <c r="D69" i="12"/>
  <c r="BQ68" i="12"/>
  <c r="BP68" i="12"/>
  <c r="BL68" i="12"/>
  <c r="O68" i="15" s="1"/>
  <c r="E68" i="12"/>
  <c r="D68" i="12"/>
  <c r="BQ67" i="12"/>
  <c r="BP67" i="12"/>
  <c r="BL67" i="12"/>
  <c r="O67" i="15" s="1"/>
  <c r="E67" i="12"/>
  <c r="D67" i="12"/>
  <c r="BQ66" i="12"/>
  <c r="BP66" i="12"/>
  <c r="BL66" i="12"/>
  <c r="O66" i="15" s="1"/>
  <c r="E66" i="12"/>
  <c r="D66" i="12"/>
  <c r="BQ65" i="12"/>
  <c r="BP65" i="12"/>
  <c r="BL65" i="12"/>
  <c r="O65" i="15" s="1"/>
  <c r="E65" i="12"/>
  <c r="D65" i="12"/>
  <c r="BQ64" i="12"/>
  <c r="BP64" i="12"/>
  <c r="BL64" i="12"/>
  <c r="O64" i="15" s="1"/>
  <c r="E64" i="12"/>
  <c r="D64" i="12"/>
  <c r="BQ63" i="12"/>
  <c r="BP63" i="12"/>
  <c r="BL63" i="12"/>
  <c r="O63" i="15" s="1"/>
  <c r="E63" i="12"/>
  <c r="D63" i="12"/>
  <c r="BQ62" i="12"/>
  <c r="BP62" i="12"/>
  <c r="BL62" i="12"/>
  <c r="O62" i="15" s="1"/>
  <c r="E62" i="12"/>
  <c r="D62" i="12"/>
  <c r="BQ61" i="12"/>
  <c r="BP61" i="12"/>
  <c r="BL61" i="12"/>
  <c r="O61" i="15" s="1"/>
  <c r="E61" i="12"/>
  <c r="D61" i="12"/>
  <c r="BQ60" i="12"/>
  <c r="BP60" i="12"/>
  <c r="BL60" i="12"/>
  <c r="O60" i="15" s="1"/>
  <c r="E60" i="12"/>
  <c r="D60" i="12"/>
  <c r="BQ59" i="12"/>
  <c r="BP59" i="12"/>
  <c r="BL59" i="12"/>
  <c r="O59" i="15" s="1"/>
  <c r="E59" i="12"/>
  <c r="D59" i="12"/>
  <c r="BQ58" i="12"/>
  <c r="BP58" i="12"/>
  <c r="BL58" i="12"/>
  <c r="O58" i="15" s="1"/>
  <c r="E58" i="12"/>
  <c r="D58" i="12"/>
  <c r="BQ57" i="12"/>
  <c r="BP57" i="12"/>
  <c r="BL57" i="12"/>
  <c r="O57" i="15" s="1"/>
  <c r="E57" i="12"/>
  <c r="D57" i="12"/>
  <c r="BQ56" i="12"/>
  <c r="BP56" i="12"/>
  <c r="BL56" i="12"/>
  <c r="O56" i="15" s="1"/>
  <c r="E56" i="12"/>
  <c r="D56" i="12"/>
  <c r="BQ55" i="12"/>
  <c r="BP55" i="12"/>
  <c r="BL55" i="12"/>
  <c r="O55" i="15" s="1"/>
  <c r="E55" i="12"/>
  <c r="D55" i="12"/>
  <c r="BQ54" i="12"/>
  <c r="BP54" i="12"/>
  <c r="BL54" i="12"/>
  <c r="O54" i="15" s="1"/>
  <c r="E54" i="12"/>
  <c r="D54" i="12"/>
  <c r="BQ53" i="12"/>
  <c r="BP53" i="12"/>
  <c r="BL53" i="12"/>
  <c r="O53" i="15" s="1"/>
  <c r="E53" i="12"/>
  <c r="D53" i="12"/>
  <c r="BQ52" i="12"/>
  <c r="BP52" i="12"/>
  <c r="BL52" i="12"/>
  <c r="O52" i="15" s="1"/>
  <c r="E52" i="12"/>
  <c r="D52" i="12"/>
  <c r="BQ51" i="12"/>
  <c r="BP51" i="12"/>
  <c r="BL51" i="12"/>
  <c r="O51" i="15" s="1"/>
  <c r="E51" i="12"/>
  <c r="D51" i="12"/>
  <c r="BQ50" i="12"/>
  <c r="BP50" i="12"/>
  <c r="BL50" i="12"/>
  <c r="O50" i="15" s="1"/>
  <c r="E50" i="12"/>
  <c r="D50" i="12"/>
  <c r="BQ49" i="12"/>
  <c r="BP49" i="12"/>
  <c r="E49" i="12"/>
  <c r="D49" i="12"/>
  <c r="BQ48" i="12"/>
  <c r="BP48" i="12"/>
  <c r="E48" i="12"/>
  <c r="D48" i="12"/>
  <c r="BQ47" i="12"/>
  <c r="BP47" i="12"/>
  <c r="E47" i="12"/>
  <c r="D47" i="12"/>
  <c r="BQ46" i="12"/>
  <c r="BP46" i="12"/>
  <c r="E46" i="12"/>
  <c r="D46" i="12"/>
  <c r="BQ45" i="12"/>
  <c r="BP45" i="12"/>
  <c r="E45" i="12"/>
  <c r="D45" i="12"/>
  <c r="BQ44" i="12"/>
  <c r="BP44" i="12"/>
  <c r="E44" i="12"/>
  <c r="D44" i="12"/>
  <c r="BQ43" i="12"/>
  <c r="BP43" i="12"/>
  <c r="E43" i="12"/>
  <c r="D43" i="12"/>
  <c r="BQ42" i="12"/>
  <c r="BP42" i="12"/>
  <c r="E42" i="12"/>
  <c r="D42" i="12"/>
  <c r="BQ41" i="12"/>
  <c r="BP41" i="12"/>
  <c r="E41" i="12"/>
  <c r="D41" i="12"/>
  <c r="BQ40" i="12"/>
  <c r="BP40" i="12"/>
  <c r="E40" i="12"/>
  <c r="D40" i="12"/>
  <c r="BQ39" i="12"/>
  <c r="BP39" i="12"/>
  <c r="E39" i="12"/>
  <c r="D39" i="12"/>
  <c r="BQ38" i="12"/>
  <c r="BP38" i="12"/>
  <c r="E38" i="12"/>
  <c r="D38" i="12"/>
  <c r="BQ37" i="12"/>
  <c r="BP37" i="12"/>
  <c r="E37" i="12"/>
  <c r="D37" i="12"/>
  <c r="BQ36" i="12"/>
  <c r="BP36" i="12"/>
  <c r="E36" i="12"/>
  <c r="D36" i="12"/>
  <c r="BQ35" i="12"/>
  <c r="BP35" i="12"/>
  <c r="E35" i="12"/>
  <c r="D35" i="12"/>
  <c r="BQ34" i="12"/>
  <c r="BP34" i="12"/>
  <c r="E34" i="12"/>
  <c r="D34" i="12"/>
  <c r="BQ33" i="12"/>
  <c r="BP33" i="12"/>
  <c r="E33" i="12"/>
  <c r="D33" i="12"/>
  <c r="BQ32" i="12"/>
  <c r="BP32" i="12"/>
  <c r="E32" i="12"/>
  <c r="D32" i="12"/>
  <c r="BQ31" i="12"/>
  <c r="BP31" i="12"/>
  <c r="E31" i="12"/>
  <c r="D31" i="12"/>
  <c r="BQ30" i="12"/>
  <c r="BP30" i="12"/>
  <c r="E30" i="12"/>
  <c r="D30" i="12"/>
  <c r="BQ29" i="12"/>
  <c r="BP29" i="12"/>
  <c r="E29" i="12"/>
  <c r="D29" i="12"/>
  <c r="BQ28" i="12"/>
  <c r="BP28" i="12"/>
  <c r="E28" i="12"/>
  <c r="D28" i="12"/>
  <c r="BQ27" i="12"/>
  <c r="BP27" i="12"/>
  <c r="E27" i="12"/>
  <c r="D27" i="12"/>
  <c r="BQ26" i="12"/>
  <c r="BP26" i="12"/>
  <c r="E26" i="12"/>
  <c r="D26" i="12"/>
  <c r="BQ25" i="12"/>
  <c r="BP25" i="12"/>
  <c r="E25" i="12"/>
  <c r="D25" i="12"/>
  <c r="BQ24" i="12"/>
  <c r="BP24" i="12"/>
  <c r="E24" i="12"/>
  <c r="D24" i="12"/>
  <c r="BQ23" i="12"/>
  <c r="BP23" i="12"/>
  <c r="E23" i="12"/>
  <c r="D23" i="12"/>
  <c r="BQ22" i="12"/>
  <c r="BP22" i="12"/>
  <c r="E22" i="12"/>
  <c r="D22" i="12"/>
  <c r="BQ21" i="12"/>
  <c r="BP21" i="12"/>
  <c r="E21" i="12"/>
  <c r="D21" i="12"/>
  <c r="BQ20" i="12"/>
  <c r="BP20" i="12"/>
  <c r="E20" i="12"/>
  <c r="D20" i="12"/>
  <c r="BQ19" i="12"/>
  <c r="BP19" i="12"/>
  <c r="E19" i="12"/>
  <c r="D19" i="12"/>
  <c r="BQ18" i="12"/>
  <c r="BP18" i="12"/>
  <c r="E18" i="12"/>
  <c r="D18" i="12"/>
  <c r="BQ17" i="12"/>
  <c r="BP17" i="12"/>
  <c r="E17" i="12"/>
  <c r="D17" i="12"/>
  <c r="BQ16" i="12"/>
  <c r="BP16" i="12"/>
  <c r="E16" i="12"/>
  <c r="D16" i="12"/>
  <c r="BQ15" i="12"/>
  <c r="BP15" i="12"/>
  <c r="E15" i="12"/>
  <c r="D15" i="12"/>
  <c r="BQ14" i="12"/>
  <c r="BP14" i="12"/>
  <c r="E14" i="12"/>
  <c r="D14" i="12"/>
  <c r="BQ13" i="12"/>
  <c r="BP13" i="12"/>
  <c r="E13" i="12"/>
  <c r="D13" i="12"/>
  <c r="BQ12" i="12"/>
  <c r="BP12" i="12"/>
  <c r="E12" i="12"/>
  <c r="D12" i="12"/>
  <c r="BQ11" i="12"/>
  <c r="BP11" i="12"/>
  <c r="E11" i="12"/>
  <c r="D11" i="12"/>
  <c r="BQ10" i="12"/>
  <c r="BP10" i="12"/>
  <c r="E10" i="12"/>
  <c r="D10" i="12"/>
  <c r="BQ9" i="12"/>
  <c r="BP9" i="12"/>
  <c r="E9" i="12"/>
  <c r="D9" i="12"/>
  <c r="BQ8" i="12"/>
  <c r="BP8" i="12"/>
  <c r="E8" i="12"/>
  <c r="D8" i="12"/>
  <c r="BQ7" i="12"/>
  <c r="BP7" i="12"/>
  <c r="E7" i="12"/>
  <c r="D7" i="12"/>
  <c r="BQ6" i="12"/>
  <c r="BP6" i="12"/>
  <c r="E6" i="12"/>
  <c r="D6" i="12"/>
  <c r="BQ5" i="12"/>
  <c r="BP5" i="12"/>
  <c r="E5" i="12"/>
  <c r="D5" i="12"/>
  <c r="BQ4" i="12"/>
  <c r="BP4" i="12"/>
  <c r="E4" i="12"/>
  <c r="D4" i="12"/>
  <c r="BQ3" i="12"/>
  <c r="BP3" i="12"/>
  <c r="E3" i="12"/>
  <c r="D3" i="12"/>
  <c r="BQ2" i="12"/>
  <c r="BP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B502" i="7"/>
  <c r="C502" i="7" s="1"/>
  <c r="B501" i="7"/>
  <c r="C501" i="7" s="1"/>
  <c r="B500" i="7"/>
  <c r="C500" i="7" s="1"/>
  <c r="B499" i="7"/>
  <c r="C499" i="7" s="1"/>
  <c r="B498" i="7"/>
  <c r="C498" i="7" s="1"/>
  <c r="B497" i="7"/>
  <c r="C497" i="7" s="1"/>
  <c r="B496" i="7"/>
  <c r="C496" i="7" s="1"/>
  <c r="B495" i="7"/>
  <c r="C495" i="7" s="1"/>
  <c r="B494" i="7"/>
  <c r="C494" i="7" s="1"/>
  <c r="B493" i="7"/>
  <c r="C493" i="7" s="1"/>
  <c r="B492" i="7"/>
  <c r="C492" i="7" s="1"/>
  <c r="B491" i="7"/>
  <c r="C491" i="7" s="1"/>
  <c r="B490" i="7"/>
  <c r="C490" i="7" s="1"/>
  <c r="B489" i="7"/>
  <c r="C489" i="7" s="1"/>
  <c r="B488" i="7"/>
  <c r="C488" i="7" s="1"/>
  <c r="B487" i="7"/>
  <c r="C487" i="7" s="1"/>
  <c r="B486" i="7"/>
  <c r="C486" i="7" s="1"/>
  <c r="B485" i="7"/>
  <c r="C485" i="7" s="1"/>
  <c r="B484" i="7"/>
  <c r="C484" i="7" s="1"/>
  <c r="B483" i="7"/>
  <c r="C483" i="7" s="1"/>
  <c r="B482" i="7"/>
  <c r="C482" i="7" s="1"/>
  <c r="B481" i="7"/>
  <c r="C481" i="7" s="1"/>
  <c r="B480" i="7"/>
  <c r="C480" i="7" s="1"/>
  <c r="B479" i="7"/>
  <c r="C479" i="7" s="1"/>
  <c r="B478" i="7"/>
  <c r="C478" i="7" s="1"/>
  <c r="B477" i="7"/>
  <c r="C477" i="7" s="1"/>
  <c r="B476" i="7"/>
  <c r="C476" i="7" s="1"/>
  <c r="B475" i="7"/>
  <c r="C475" i="7" s="1"/>
  <c r="B474" i="7"/>
  <c r="C474" i="7" s="1"/>
  <c r="B473" i="7"/>
  <c r="C473" i="7" s="1"/>
  <c r="B472" i="7"/>
  <c r="C472" i="7" s="1"/>
  <c r="B471" i="7"/>
  <c r="C471" i="7" s="1"/>
  <c r="B470" i="7"/>
  <c r="C470" i="7" s="1"/>
  <c r="B469" i="7"/>
  <c r="C469" i="7" s="1"/>
  <c r="B468" i="7"/>
  <c r="C468" i="7" s="1"/>
  <c r="B467" i="7"/>
  <c r="C467" i="7" s="1"/>
  <c r="B466" i="7"/>
  <c r="C466" i="7" s="1"/>
  <c r="B465" i="7"/>
  <c r="C465" i="7" s="1"/>
  <c r="B464" i="7"/>
  <c r="C464" i="7" s="1"/>
  <c r="B463" i="7"/>
  <c r="C463" i="7" s="1"/>
  <c r="B462" i="7"/>
  <c r="C462" i="7" s="1"/>
  <c r="B461" i="7"/>
  <c r="C461" i="7" s="1"/>
  <c r="B460" i="7"/>
  <c r="C460" i="7" s="1"/>
  <c r="B459" i="7"/>
  <c r="C459" i="7" s="1"/>
  <c r="B458" i="7"/>
  <c r="C458" i="7" s="1"/>
  <c r="B457" i="7"/>
  <c r="C457" i="7" s="1"/>
  <c r="B456" i="7"/>
  <c r="C456" i="7" s="1"/>
  <c r="B455" i="7"/>
  <c r="C455" i="7" s="1"/>
  <c r="B454" i="7"/>
  <c r="C454" i="7" s="1"/>
  <c r="B453" i="7"/>
  <c r="C453" i="7" s="1"/>
  <c r="B452" i="7"/>
  <c r="C452" i="7" s="1"/>
  <c r="B451" i="7"/>
  <c r="C451" i="7" s="1"/>
  <c r="B450" i="7"/>
  <c r="C450" i="7" s="1"/>
  <c r="B449" i="7"/>
  <c r="C449" i="7" s="1"/>
  <c r="B448" i="7"/>
  <c r="C448" i="7" s="1"/>
  <c r="B447" i="7"/>
  <c r="C447" i="7" s="1"/>
  <c r="B446" i="7"/>
  <c r="C446" i="7" s="1"/>
  <c r="B445" i="7"/>
  <c r="C445" i="7" s="1"/>
  <c r="B444" i="7"/>
  <c r="C444" i="7" s="1"/>
  <c r="B443" i="7"/>
  <c r="C443" i="7" s="1"/>
  <c r="B442" i="7"/>
  <c r="C442" i="7" s="1"/>
  <c r="B441" i="7"/>
  <c r="C441" i="7" s="1"/>
  <c r="B440" i="7"/>
  <c r="C440" i="7" s="1"/>
  <c r="B439" i="7"/>
  <c r="C439" i="7" s="1"/>
  <c r="B438" i="7"/>
  <c r="C438" i="7" s="1"/>
  <c r="B437" i="7"/>
  <c r="C437" i="7" s="1"/>
  <c r="B436" i="7"/>
  <c r="C436" i="7" s="1"/>
  <c r="B435" i="7"/>
  <c r="C435" i="7" s="1"/>
  <c r="B434" i="7"/>
  <c r="C434" i="7" s="1"/>
  <c r="B433" i="7"/>
  <c r="C433" i="7" s="1"/>
  <c r="B432" i="7"/>
  <c r="C432" i="7" s="1"/>
  <c r="B431" i="7"/>
  <c r="C431" i="7" s="1"/>
  <c r="B430" i="7"/>
  <c r="C430" i="7" s="1"/>
  <c r="B429" i="7"/>
  <c r="C429" i="7" s="1"/>
  <c r="B428" i="7"/>
  <c r="C428" i="7" s="1"/>
  <c r="B427" i="7"/>
  <c r="C427" i="7" s="1"/>
  <c r="B426" i="7"/>
  <c r="C426" i="7" s="1"/>
  <c r="B425" i="7"/>
  <c r="C425" i="7" s="1"/>
  <c r="B424" i="7"/>
  <c r="C424" i="7" s="1"/>
  <c r="B423" i="7"/>
  <c r="C423" i="7" s="1"/>
  <c r="B422" i="7"/>
  <c r="C422" i="7" s="1"/>
  <c r="B421" i="7"/>
  <c r="C421" i="7" s="1"/>
  <c r="B420" i="7"/>
  <c r="C420" i="7" s="1"/>
  <c r="B419" i="7"/>
  <c r="C419" i="7" s="1"/>
  <c r="B418" i="7"/>
  <c r="C418" i="7" s="1"/>
  <c r="B417" i="7"/>
  <c r="C417" i="7" s="1"/>
  <c r="B416" i="7"/>
  <c r="C416" i="7" s="1"/>
  <c r="B415" i="7"/>
  <c r="C415" i="7" s="1"/>
  <c r="B414" i="7"/>
  <c r="C414" i="7" s="1"/>
  <c r="B413" i="7"/>
  <c r="C413" i="7" s="1"/>
  <c r="B412" i="7"/>
  <c r="C412" i="7" s="1"/>
  <c r="B411" i="7"/>
  <c r="C411" i="7" s="1"/>
  <c r="B410" i="7"/>
  <c r="C410" i="7" s="1"/>
  <c r="B409" i="7"/>
  <c r="C409" i="7" s="1"/>
  <c r="B408" i="7"/>
  <c r="C408" i="7" s="1"/>
  <c r="B407" i="7"/>
  <c r="C407" i="7" s="1"/>
  <c r="B406" i="7"/>
  <c r="C406" i="7" s="1"/>
  <c r="B405" i="7"/>
  <c r="C405" i="7" s="1"/>
  <c r="B404" i="7"/>
  <c r="C404" i="7" s="1"/>
  <c r="B403" i="7"/>
  <c r="C403" i="7" s="1"/>
  <c r="B402" i="7"/>
  <c r="C402" i="7" s="1"/>
  <c r="B401" i="7"/>
  <c r="C401" i="7" s="1"/>
  <c r="B400" i="7"/>
  <c r="C400" i="7" s="1"/>
  <c r="B399" i="7"/>
  <c r="C399" i="7" s="1"/>
  <c r="B398" i="7"/>
  <c r="C398" i="7" s="1"/>
  <c r="B397" i="7"/>
  <c r="C397" i="7" s="1"/>
  <c r="B396" i="7"/>
  <c r="C396" i="7" s="1"/>
  <c r="B395" i="7"/>
  <c r="C395" i="7" s="1"/>
  <c r="B394" i="7"/>
  <c r="C394" i="7" s="1"/>
  <c r="B393" i="7"/>
  <c r="C393" i="7" s="1"/>
  <c r="B392" i="7"/>
  <c r="C392" i="7" s="1"/>
  <c r="B391" i="7"/>
  <c r="C391" i="7" s="1"/>
  <c r="B390" i="7"/>
  <c r="C390" i="7" s="1"/>
  <c r="B389" i="7"/>
  <c r="C389" i="7" s="1"/>
  <c r="B388" i="7"/>
  <c r="C388" i="7" s="1"/>
  <c r="B387" i="7"/>
  <c r="C387" i="7" s="1"/>
  <c r="B386" i="7"/>
  <c r="C386" i="7" s="1"/>
  <c r="B385" i="7"/>
  <c r="C385" i="7" s="1"/>
  <c r="B384" i="7"/>
  <c r="C384" i="7" s="1"/>
  <c r="B383" i="7"/>
  <c r="C383" i="7" s="1"/>
  <c r="B382" i="7"/>
  <c r="C382" i="7" s="1"/>
  <c r="B381" i="7"/>
  <c r="C381" i="7" s="1"/>
  <c r="B380" i="7"/>
  <c r="C380" i="7" s="1"/>
  <c r="B379" i="7"/>
  <c r="C379" i="7" s="1"/>
  <c r="B378" i="7"/>
  <c r="C378" i="7" s="1"/>
  <c r="B377" i="7"/>
  <c r="C377" i="7" s="1"/>
  <c r="B376" i="7"/>
  <c r="C376" i="7" s="1"/>
  <c r="B375" i="7"/>
  <c r="C375" i="7" s="1"/>
  <c r="B374" i="7"/>
  <c r="C374" i="7" s="1"/>
  <c r="B373" i="7"/>
  <c r="C373" i="7" s="1"/>
  <c r="B372" i="7"/>
  <c r="C372" i="7" s="1"/>
  <c r="B371" i="7"/>
  <c r="C371" i="7" s="1"/>
  <c r="B370" i="7"/>
  <c r="C370" i="7" s="1"/>
  <c r="B369" i="7"/>
  <c r="C369" i="7" s="1"/>
  <c r="B368" i="7"/>
  <c r="C368" i="7" s="1"/>
  <c r="B367" i="7"/>
  <c r="C367" i="7" s="1"/>
  <c r="B366" i="7"/>
  <c r="C366" i="7" s="1"/>
  <c r="B365" i="7"/>
  <c r="C365" i="7" s="1"/>
  <c r="B364" i="7"/>
  <c r="C364" i="7" s="1"/>
  <c r="B363" i="7"/>
  <c r="C363" i="7" s="1"/>
  <c r="B362" i="7"/>
  <c r="C362" i="7" s="1"/>
  <c r="B361" i="7"/>
  <c r="C361" i="7" s="1"/>
  <c r="B360" i="7"/>
  <c r="C360" i="7" s="1"/>
  <c r="B359" i="7"/>
  <c r="C359" i="7" s="1"/>
  <c r="B358" i="7"/>
  <c r="C358" i="7" s="1"/>
  <c r="B357" i="7"/>
  <c r="C357" i="7" s="1"/>
  <c r="B356" i="7"/>
  <c r="C356" i="7" s="1"/>
  <c r="B355" i="7"/>
  <c r="C355" i="7" s="1"/>
  <c r="B354" i="7"/>
  <c r="C354" i="7" s="1"/>
  <c r="B353" i="7"/>
  <c r="C353" i="7" s="1"/>
  <c r="B352" i="7"/>
  <c r="C352" i="7" s="1"/>
  <c r="B351" i="7"/>
  <c r="C351" i="7" s="1"/>
  <c r="B350" i="7"/>
  <c r="C350" i="7" s="1"/>
  <c r="B349" i="7"/>
  <c r="C349" i="7" s="1"/>
  <c r="B348" i="7"/>
  <c r="C348" i="7" s="1"/>
  <c r="B347" i="7"/>
  <c r="C347" i="7" s="1"/>
  <c r="B346" i="7"/>
  <c r="C346" i="7" s="1"/>
  <c r="B345" i="7"/>
  <c r="C345" i="7" s="1"/>
  <c r="B344" i="7"/>
  <c r="C344" i="7" s="1"/>
  <c r="B343" i="7"/>
  <c r="C343" i="7" s="1"/>
  <c r="B342" i="7"/>
  <c r="C342" i="7" s="1"/>
  <c r="B341" i="7"/>
  <c r="C341" i="7" s="1"/>
  <c r="B340" i="7"/>
  <c r="C340" i="7" s="1"/>
  <c r="B339" i="7"/>
  <c r="C339" i="7" s="1"/>
  <c r="B338" i="7"/>
  <c r="C338" i="7" s="1"/>
  <c r="B337" i="7"/>
  <c r="C337" i="7" s="1"/>
  <c r="B336" i="7"/>
  <c r="C336" i="7" s="1"/>
  <c r="B335" i="7"/>
  <c r="C335" i="7" s="1"/>
  <c r="B334" i="7"/>
  <c r="C334" i="7" s="1"/>
  <c r="B333" i="7"/>
  <c r="C333" i="7" s="1"/>
  <c r="B332" i="7"/>
  <c r="C332" i="7" s="1"/>
  <c r="B331" i="7"/>
  <c r="C331" i="7" s="1"/>
  <c r="B330" i="7"/>
  <c r="C330" i="7" s="1"/>
  <c r="B329" i="7"/>
  <c r="C329" i="7" s="1"/>
  <c r="B328" i="7"/>
  <c r="C328" i="7" s="1"/>
  <c r="B327" i="7"/>
  <c r="C327" i="7" s="1"/>
  <c r="B326" i="7"/>
  <c r="C326" i="7" s="1"/>
  <c r="B325" i="7"/>
  <c r="C325" i="7" s="1"/>
  <c r="B324" i="7"/>
  <c r="C324" i="7" s="1"/>
  <c r="B323" i="7"/>
  <c r="C323" i="7" s="1"/>
  <c r="B322" i="7"/>
  <c r="C322" i="7" s="1"/>
  <c r="B321" i="7"/>
  <c r="C321" i="7" s="1"/>
  <c r="B320" i="7"/>
  <c r="C320" i="7" s="1"/>
  <c r="B319" i="7"/>
  <c r="C319" i="7" s="1"/>
  <c r="B318" i="7"/>
  <c r="C318" i="7" s="1"/>
  <c r="B317" i="7"/>
  <c r="C317" i="7" s="1"/>
  <c r="B316" i="7"/>
  <c r="C316" i="7" s="1"/>
  <c r="B315" i="7"/>
  <c r="C315" i="7" s="1"/>
  <c r="B314" i="7"/>
  <c r="C314" i="7" s="1"/>
  <c r="B313" i="7"/>
  <c r="C313" i="7" s="1"/>
  <c r="B312" i="7"/>
  <c r="C312" i="7" s="1"/>
  <c r="B311" i="7"/>
  <c r="C311" i="7" s="1"/>
  <c r="B310" i="7"/>
  <c r="C310" i="7" s="1"/>
  <c r="B309" i="7"/>
  <c r="C309" i="7" s="1"/>
  <c r="B308" i="7"/>
  <c r="C308" i="7" s="1"/>
  <c r="B307" i="7"/>
  <c r="C307" i="7" s="1"/>
  <c r="B306" i="7"/>
  <c r="C306" i="7" s="1"/>
  <c r="B305" i="7"/>
  <c r="C305" i="7" s="1"/>
  <c r="B304" i="7"/>
  <c r="C304" i="7" s="1"/>
  <c r="B303" i="7"/>
  <c r="C303" i="7" s="1"/>
  <c r="B302" i="7"/>
  <c r="C302" i="7" s="1"/>
  <c r="B301" i="7"/>
  <c r="C301" i="7" s="1"/>
  <c r="B300" i="7"/>
  <c r="C300" i="7" s="1"/>
  <c r="B299" i="7"/>
  <c r="C299" i="7" s="1"/>
  <c r="B298" i="7"/>
  <c r="C298" i="7" s="1"/>
  <c r="B297" i="7"/>
  <c r="C297" i="7" s="1"/>
  <c r="B296" i="7"/>
  <c r="C296" i="7" s="1"/>
  <c r="B295" i="7"/>
  <c r="C295" i="7" s="1"/>
  <c r="B294" i="7"/>
  <c r="C294" i="7" s="1"/>
  <c r="B293" i="7"/>
  <c r="C293" i="7" s="1"/>
  <c r="B292" i="7"/>
  <c r="C292" i="7" s="1"/>
  <c r="B291" i="7"/>
  <c r="C291" i="7" s="1"/>
  <c r="B290" i="7"/>
  <c r="C290" i="7" s="1"/>
  <c r="B289" i="7"/>
  <c r="C289" i="7" s="1"/>
  <c r="B288" i="7"/>
  <c r="C288" i="7" s="1"/>
  <c r="B287" i="7"/>
  <c r="C287" i="7" s="1"/>
  <c r="B286" i="7"/>
  <c r="C286" i="7" s="1"/>
  <c r="B285" i="7"/>
  <c r="C285" i="7" s="1"/>
  <c r="B284" i="7"/>
  <c r="C284" i="7" s="1"/>
  <c r="B283" i="7"/>
  <c r="C283" i="7" s="1"/>
  <c r="B282" i="7"/>
  <c r="C282" i="7" s="1"/>
  <c r="B281" i="7"/>
  <c r="C281" i="7" s="1"/>
  <c r="B280" i="7"/>
  <c r="C280" i="7" s="1"/>
  <c r="B279" i="7"/>
  <c r="C279" i="7" s="1"/>
  <c r="B278" i="7"/>
  <c r="C278" i="7" s="1"/>
  <c r="B277" i="7"/>
  <c r="C277" i="7" s="1"/>
  <c r="B276" i="7"/>
  <c r="C276" i="7" s="1"/>
  <c r="B275" i="7"/>
  <c r="C275" i="7" s="1"/>
  <c r="B274" i="7"/>
  <c r="C274" i="7" s="1"/>
  <c r="B273" i="7"/>
  <c r="C273" i="7" s="1"/>
  <c r="B272" i="7"/>
  <c r="C272" i="7" s="1"/>
  <c r="B271" i="7"/>
  <c r="C271" i="7" s="1"/>
  <c r="B270" i="7"/>
  <c r="C270" i="7" s="1"/>
  <c r="B269" i="7"/>
  <c r="C269" i="7" s="1"/>
  <c r="B268" i="7"/>
  <c r="C268" i="7" s="1"/>
  <c r="B267" i="7"/>
  <c r="C267" i="7" s="1"/>
  <c r="B266" i="7"/>
  <c r="C266" i="7" s="1"/>
  <c r="B265" i="7"/>
  <c r="C265" i="7" s="1"/>
  <c r="B264" i="7"/>
  <c r="C264" i="7" s="1"/>
  <c r="B263" i="7"/>
  <c r="C263" i="7" s="1"/>
  <c r="B262" i="7"/>
  <c r="C262" i="7" s="1"/>
  <c r="B261" i="7"/>
  <c r="C261" i="7" s="1"/>
  <c r="B260" i="7"/>
  <c r="C260" i="7" s="1"/>
  <c r="B259" i="7"/>
  <c r="C259" i="7" s="1"/>
  <c r="B258" i="7"/>
  <c r="C258" i="7" s="1"/>
  <c r="B257" i="7"/>
  <c r="C257" i="7" s="1"/>
  <c r="B256" i="7"/>
  <c r="C256" i="7" s="1"/>
  <c r="B255" i="7"/>
  <c r="C255" i="7" s="1"/>
  <c r="B254" i="7"/>
  <c r="C254" i="7" s="1"/>
  <c r="B253" i="7"/>
  <c r="C253" i="7" s="1"/>
  <c r="B252" i="7"/>
  <c r="C252" i="7" s="1"/>
  <c r="B251" i="7"/>
  <c r="C251" i="7" s="1"/>
  <c r="B250" i="7"/>
  <c r="C250" i="7" s="1"/>
  <c r="B249" i="7"/>
  <c r="C249" i="7" s="1"/>
  <c r="B248" i="7"/>
  <c r="C248" i="7" s="1"/>
  <c r="B247" i="7"/>
  <c r="C247" i="7" s="1"/>
  <c r="B246" i="7"/>
  <c r="C246" i="7" s="1"/>
  <c r="B245" i="7"/>
  <c r="C245" i="7" s="1"/>
  <c r="B244" i="7"/>
  <c r="C244" i="7" s="1"/>
  <c r="B243" i="7"/>
  <c r="C243" i="7" s="1"/>
  <c r="B242" i="7"/>
  <c r="C242" i="7" s="1"/>
  <c r="B241" i="7"/>
  <c r="C241" i="7" s="1"/>
  <c r="B240" i="7"/>
  <c r="C240" i="7" s="1"/>
  <c r="B239" i="7"/>
  <c r="C239" i="7" s="1"/>
  <c r="B238" i="7"/>
  <c r="C238" i="7" s="1"/>
  <c r="B237" i="7"/>
  <c r="C237" i="7" s="1"/>
  <c r="B236" i="7"/>
  <c r="C236" i="7" s="1"/>
  <c r="B235" i="7"/>
  <c r="C235" i="7" s="1"/>
  <c r="B234" i="7"/>
  <c r="C234" i="7" s="1"/>
  <c r="B233" i="7"/>
  <c r="C233" i="7" s="1"/>
  <c r="B232" i="7"/>
  <c r="C232" i="7" s="1"/>
  <c r="B231" i="7"/>
  <c r="C231" i="7" s="1"/>
  <c r="B230" i="7"/>
  <c r="C230" i="7" s="1"/>
  <c r="B229" i="7"/>
  <c r="C229" i="7" s="1"/>
  <c r="B228" i="7"/>
  <c r="C228" i="7" s="1"/>
  <c r="B227" i="7"/>
  <c r="C227" i="7" s="1"/>
  <c r="B226" i="7"/>
  <c r="C226" i="7" s="1"/>
  <c r="B225" i="7"/>
  <c r="C225" i="7" s="1"/>
  <c r="B224" i="7"/>
  <c r="C224" i="7" s="1"/>
  <c r="B223" i="7"/>
  <c r="C223" i="7" s="1"/>
  <c r="B222" i="7"/>
  <c r="C222" i="7" s="1"/>
  <c r="B221" i="7"/>
  <c r="C221" i="7" s="1"/>
  <c r="B220" i="7"/>
  <c r="C220" i="7" s="1"/>
  <c r="B219" i="7"/>
  <c r="C219" i="7" s="1"/>
  <c r="B218" i="7"/>
  <c r="C218" i="7" s="1"/>
  <c r="B217" i="7"/>
  <c r="C217" i="7" s="1"/>
  <c r="B216" i="7"/>
  <c r="C216" i="7" s="1"/>
  <c r="B215" i="7"/>
  <c r="C215" i="7" s="1"/>
  <c r="B214" i="7"/>
  <c r="C214" i="7" s="1"/>
  <c r="B213" i="7"/>
  <c r="C213" i="7" s="1"/>
  <c r="B212" i="7"/>
  <c r="C212" i="7" s="1"/>
  <c r="B211" i="7"/>
  <c r="C211" i="7" s="1"/>
  <c r="B210" i="7"/>
  <c r="C210" i="7" s="1"/>
  <c r="B209" i="7"/>
  <c r="C209" i="7" s="1"/>
  <c r="B208" i="7"/>
  <c r="C208" i="7" s="1"/>
  <c r="B207" i="7"/>
  <c r="C207" i="7" s="1"/>
  <c r="B206" i="7"/>
  <c r="C206" i="7" s="1"/>
  <c r="B205" i="7"/>
  <c r="C205" i="7" s="1"/>
  <c r="B204" i="7"/>
  <c r="C204" i="7" s="1"/>
  <c r="B203" i="7"/>
  <c r="C203" i="7" s="1"/>
  <c r="B202" i="7"/>
  <c r="C202" i="7" s="1"/>
  <c r="B201" i="7"/>
  <c r="C201" i="7" s="1"/>
  <c r="B200" i="7"/>
  <c r="C200" i="7" s="1"/>
  <c r="B199" i="7"/>
  <c r="C199" i="7" s="1"/>
  <c r="B198" i="7"/>
  <c r="C198" i="7" s="1"/>
  <c r="B197" i="7"/>
  <c r="C197" i="7" s="1"/>
  <c r="B196" i="7"/>
  <c r="C196" i="7" s="1"/>
  <c r="B195" i="7"/>
  <c r="C195" i="7" s="1"/>
  <c r="B194" i="7"/>
  <c r="C194" i="7" s="1"/>
  <c r="B193" i="7"/>
  <c r="C193" i="7" s="1"/>
  <c r="B192" i="7"/>
  <c r="C192" i="7" s="1"/>
  <c r="B191" i="7"/>
  <c r="C191" i="7" s="1"/>
  <c r="B190" i="7"/>
  <c r="C190" i="7" s="1"/>
  <c r="B189" i="7"/>
  <c r="C189" i="7" s="1"/>
  <c r="B188" i="7"/>
  <c r="C188" i="7" s="1"/>
  <c r="B187" i="7"/>
  <c r="C187" i="7" s="1"/>
  <c r="B186" i="7"/>
  <c r="C186" i="7" s="1"/>
  <c r="B185" i="7"/>
  <c r="C185" i="7" s="1"/>
  <c r="B184" i="7"/>
  <c r="C184" i="7" s="1"/>
  <c r="B183" i="7"/>
  <c r="C183" i="7" s="1"/>
  <c r="B182" i="7"/>
  <c r="C182" i="7" s="1"/>
  <c r="B181" i="7"/>
  <c r="C181" i="7" s="1"/>
  <c r="B180" i="7"/>
  <c r="C180" i="7" s="1"/>
  <c r="B179" i="7"/>
  <c r="C179" i="7" s="1"/>
  <c r="B178" i="7"/>
  <c r="C178" i="7" s="1"/>
  <c r="B177" i="7"/>
  <c r="C177" i="7" s="1"/>
  <c r="B176" i="7"/>
  <c r="C176" i="7" s="1"/>
  <c r="B175" i="7"/>
  <c r="C175" i="7" s="1"/>
  <c r="B174" i="7"/>
  <c r="C174" i="7" s="1"/>
  <c r="B173" i="7"/>
  <c r="C173" i="7" s="1"/>
  <c r="B172" i="7"/>
  <c r="C172" i="7" s="1"/>
  <c r="B171" i="7"/>
  <c r="C171" i="7" s="1"/>
  <c r="B170" i="7"/>
  <c r="C170" i="7" s="1"/>
  <c r="B169" i="7"/>
  <c r="C169" i="7" s="1"/>
  <c r="B168" i="7"/>
  <c r="C168" i="7" s="1"/>
  <c r="B167" i="7"/>
  <c r="C167" i="7" s="1"/>
  <c r="B166" i="7"/>
  <c r="C166" i="7" s="1"/>
  <c r="B165" i="7"/>
  <c r="C165" i="7" s="1"/>
  <c r="B164" i="7"/>
  <c r="C164" i="7" s="1"/>
  <c r="B163" i="7"/>
  <c r="C163" i="7" s="1"/>
  <c r="B162" i="7"/>
  <c r="C162" i="7" s="1"/>
  <c r="B161" i="7"/>
  <c r="C161" i="7" s="1"/>
  <c r="B160" i="7"/>
  <c r="C160" i="7" s="1"/>
  <c r="B159" i="7"/>
  <c r="C159" i="7" s="1"/>
  <c r="B158" i="7"/>
  <c r="C158" i="7" s="1"/>
  <c r="B157" i="7"/>
  <c r="C157" i="7" s="1"/>
  <c r="B156" i="7"/>
  <c r="C156" i="7" s="1"/>
  <c r="B155" i="7"/>
  <c r="C155" i="7" s="1"/>
  <c r="B154" i="7"/>
  <c r="C154" i="7" s="1"/>
  <c r="B153" i="7"/>
  <c r="C153" i="7" s="1"/>
  <c r="B152" i="7"/>
  <c r="C152" i="7" s="1"/>
  <c r="B151" i="7"/>
  <c r="C151" i="7" s="1"/>
  <c r="B150" i="7"/>
  <c r="C150" i="7" s="1"/>
  <c r="B149" i="7"/>
  <c r="C149" i="7" s="1"/>
  <c r="B148" i="7"/>
  <c r="C148" i="7" s="1"/>
  <c r="B147" i="7"/>
  <c r="C147" i="7" s="1"/>
  <c r="B146" i="7"/>
  <c r="C146" i="7" s="1"/>
  <c r="B145" i="7"/>
  <c r="C145" i="7" s="1"/>
  <c r="B144" i="7"/>
  <c r="C144" i="7" s="1"/>
  <c r="B143" i="7"/>
  <c r="C143" i="7" s="1"/>
  <c r="B142" i="7"/>
  <c r="C142" i="7" s="1"/>
  <c r="B141" i="7"/>
  <c r="C141" i="7" s="1"/>
  <c r="B140" i="7"/>
  <c r="C140" i="7" s="1"/>
  <c r="B139" i="7"/>
  <c r="C139" i="7" s="1"/>
  <c r="B138" i="7"/>
  <c r="C138" i="7" s="1"/>
  <c r="B137" i="7"/>
  <c r="C137" i="7" s="1"/>
  <c r="B136" i="7"/>
  <c r="C136" i="7" s="1"/>
  <c r="B135" i="7"/>
  <c r="C135" i="7" s="1"/>
  <c r="B134" i="7"/>
  <c r="C134" i="7" s="1"/>
  <c r="B133" i="7"/>
  <c r="C133" i="7" s="1"/>
  <c r="B132" i="7"/>
  <c r="C132" i="7" s="1"/>
  <c r="B131" i="7"/>
  <c r="C131" i="7" s="1"/>
  <c r="B130" i="7"/>
  <c r="C130" i="7" s="1"/>
  <c r="B129" i="7"/>
  <c r="C129" i="7" s="1"/>
  <c r="B128" i="7"/>
  <c r="C128" i="7" s="1"/>
  <c r="B127" i="7"/>
  <c r="C127" i="7" s="1"/>
  <c r="B126" i="7"/>
  <c r="C126" i="7" s="1"/>
  <c r="B125" i="7"/>
  <c r="C125" i="7" s="1"/>
  <c r="B124" i="7"/>
  <c r="C124" i="7" s="1"/>
  <c r="B123" i="7"/>
  <c r="C123" i="7" s="1"/>
  <c r="B122" i="7"/>
  <c r="C122" i="7" s="1"/>
  <c r="B121" i="7"/>
  <c r="C121" i="7" s="1"/>
  <c r="B120" i="7"/>
  <c r="C120" i="7" s="1"/>
  <c r="B119" i="7"/>
  <c r="C119" i="7" s="1"/>
  <c r="B118" i="7"/>
  <c r="C118" i="7" s="1"/>
  <c r="B117" i="7"/>
  <c r="C117" i="7" s="1"/>
  <c r="B116" i="7"/>
  <c r="C116" i="7" s="1"/>
  <c r="B115" i="7"/>
  <c r="C115" i="7" s="1"/>
  <c r="B114" i="7"/>
  <c r="C114" i="7" s="1"/>
  <c r="B113" i="7"/>
  <c r="C113" i="7" s="1"/>
  <c r="B112" i="7"/>
  <c r="C112" i="7" s="1"/>
  <c r="B111" i="7"/>
  <c r="C111" i="7" s="1"/>
  <c r="B110" i="7"/>
  <c r="C110" i="7" s="1"/>
  <c r="B109" i="7"/>
  <c r="C109" i="7" s="1"/>
  <c r="B108" i="7"/>
  <c r="C108" i="7" s="1"/>
  <c r="B107" i="7"/>
  <c r="C107" i="7" s="1"/>
  <c r="B106" i="7"/>
  <c r="C106" i="7" s="1"/>
  <c r="B105" i="7"/>
  <c r="C105" i="7" s="1"/>
  <c r="B104" i="7"/>
  <c r="C104" i="7" s="1"/>
  <c r="B103" i="7"/>
  <c r="C103" i="7" s="1"/>
  <c r="B102" i="7"/>
  <c r="C102" i="7" s="1"/>
  <c r="B101" i="7"/>
  <c r="C101" i="7" s="1"/>
  <c r="B100" i="7"/>
  <c r="C100" i="7" s="1"/>
  <c r="B99" i="7"/>
  <c r="C99" i="7" s="1"/>
  <c r="B98" i="7"/>
  <c r="C98" i="7" s="1"/>
  <c r="B97" i="7"/>
  <c r="C97" i="7" s="1"/>
  <c r="B96" i="7"/>
  <c r="C96" i="7" s="1"/>
  <c r="B95" i="7"/>
  <c r="C95" i="7" s="1"/>
  <c r="B94" i="7"/>
  <c r="C94" i="7" s="1"/>
  <c r="B93" i="7"/>
  <c r="C93" i="7" s="1"/>
  <c r="B92" i="7"/>
  <c r="C92" i="7" s="1"/>
  <c r="B91" i="7"/>
  <c r="C91" i="7" s="1"/>
  <c r="B90" i="7"/>
  <c r="C90" i="7" s="1"/>
  <c r="B89" i="7"/>
  <c r="C89" i="7" s="1"/>
  <c r="B88" i="7"/>
  <c r="C88" i="7" s="1"/>
  <c r="B87" i="7"/>
  <c r="C87" i="7" s="1"/>
  <c r="B86" i="7"/>
  <c r="C86" i="7" s="1"/>
  <c r="B85" i="7"/>
  <c r="C85" i="7" s="1"/>
  <c r="B84" i="7"/>
  <c r="C84" i="7" s="1"/>
  <c r="B83" i="7"/>
  <c r="C83" i="7" s="1"/>
  <c r="B82" i="7"/>
  <c r="C82" i="7" s="1"/>
  <c r="B81" i="7"/>
  <c r="C81" i="7" s="1"/>
  <c r="B80" i="7"/>
  <c r="C80" i="7" s="1"/>
  <c r="B79" i="7"/>
  <c r="C79" i="7" s="1"/>
  <c r="B78" i="7"/>
  <c r="C78" i="7" s="1"/>
  <c r="B77" i="7"/>
  <c r="C77" i="7" s="1"/>
  <c r="B76" i="7"/>
  <c r="C76" i="7" s="1"/>
  <c r="B75" i="7"/>
  <c r="C75" i="7" s="1"/>
  <c r="B74" i="7"/>
  <c r="C74" i="7" s="1"/>
  <c r="B73" i="7"/>
  <c r="C73" i="7" s="1"/>
  <c r="B72" i="7"/>
  <c r="C72" i="7" s="1"/>
  <c r="B71" i="7"/>
  <c r="C71" i="7" s="1"/>
  <c r="B70" i="7"/>
  <c r="C70" i="7" s="1"/>
  <c r="B69" i="7"/>
  <c r="C69" i="7" s="1"/>
  <c r="B68" i="7"/>
  <c r="C68" i="7" s="1"/>
  <c r="B67" i="7"/>
  <c r="C67" i="7" s="1"/>
  <c r="B66" i="7"/>
  <c r="C66" i="7" s="1"/>
  <c r="B65" i="7"/>
  <c r="C65" i="7" s="1"/>
  <c r="B64" i="7"/>
  <c r="C64" i="7" s="1"/>
  <c r="B63" i="7"/>
  <c r="C63" i="7" s="1"/>
  <c r="B62" i="7"/>
  <c r="C62" i="7" s="1"/>
  <c r="B61" i="7"/>
  <c r="C61" i="7" s="1"/>
  <c r="B60" i="7"/>
  <c r="C60" i="7" s="1"/>
  <c r="B59" i="7"/>
  <c r="C59" i="7" s="1"/>
  <c r="B58" i="7"/>
  <c r="C58" i="7" s="1"/>
  <c r="B57" i="7"/>
  <c r="C57" i="7" s="1"/>
  <c r="B56" i="7"/>
  <c r="C56" i="7" s="1"/>
  <c r="B55" i="7"/>
  <c r="C55" i="7" s="1"/>
  <c r="B54" i="7"/>
  <c r="C54" i="7" s="1"/>
  <c r="B53" i="7"/>
  <c r="C53" i="7" s="1"/>
  <c r="B52" i="7"/>
  <c r="C52" i="7" s="1"/>
  <c r="B51" i="7"/>
  <c r="C51" i="7" s="1"/>
  <c r="B50" i="7"/>
  <c r="C50" i="7" s="1"/>
  <c r="B49" i="7"/>
  <c r="C49" i="7" s="1"/>
  <c r="B48" i="7"/>
  <c r="C48" i="7" s="1"/>
  <c r="B47" i="7"/>
  <c r="C47" i="7" s="1"/>
  <c r="B46" i="7"/>
  <c r="C46" i="7" s="1"/>
  <c r="B45" i="7"/>
  <c r="C45" i="7" s="1"/>
  <c r="B44" i="7"/>
  <c r="C44" i="7" s="1"/>
  <c r="B43" i="7"/>
  <c r="C43" i="7" s="1"/>
  <c r="B42" i="7"/>
  <c r="C42" i="7" s="1"/>
  <c r="B41" i="7"/>
  <c r="C41" i="7" s="1"/>
  <c r="B40" i="7"/>
  <c r="C40" i="7" s="1"/>
  <c r="B39" i="7"/>
  <c r="C39" i="7" s="1"/>
  <c r="B38" i="7"/>
  <c r="C38" i="7" s="1"/>
  <c r="B37" i="7"/>
  <c r="C37" i="7" s="1"/>
  <c r="B36" i="7"/>
  <c r="C36" i="7" s="1"/>
  <c r="B35" i="7"/>
  <c r="C35" i="7" s="1"/>
  <c r="B34" i="7"/>
  <c r="C34" i="7" s="1"/>
  <c r="B33" i="7"/>
  <c r="C33" i="7" s="1"/>
  <c r="B32" i="7"/>
  <c r="C32" i="7" s="1"/>
  <c r="B31" i="7"/>
  <c r="C31" i="7" s="1"/>
  <c r="B30" i="7"/>
  <c r="C30" i="7" s="1"/>
  <c r="B29" i="7"/>
  <c r="C29" i="7" s="1"/>
  <c r="B28" i="7"/>
  <c r="C28" i="7" s="1"/>
  <c r="B27" i="7"/>
  <c r="C27" i="7" s="1"/>
  <c r="B26" i="7"/>
  <c r="C26" i="7" s="1"/>
  <c r="B25" i="7"/>
  <c r="C25" i="7" s="1"/>
  <c r="B24" i="7"/>
  <c r="C24" i="7" s="1"/>
  <c r="B23" i="7"/>
  <c r="C23" i="7" s="1"/>
  <c r="B22" i="7"/>
  <c r="C22" i="7" s="1"/>
  <c r="B21" i="7"/>
  <c r="C21" i="7" s="1"/>
  <c r="B20" i="7"/>
  <c r="C20" i="7" s="1"/>
  <c r="B19" i="7"/>
  <c r="C19" i="7" s="1"/>
  <c r="B18" i="7"/>
  <c r="C18" i="7" s="1"/>
  <c r="B17" i="7"/>
  <c r="C17" i="7" s="1"/>
  <c r="B16" i="7"/>
  <c r="C16" i="7" s="1"/>
  <c r="B15" i="7"/>
  <c r="C15" i="7" s="1"/>
  <c r="B14" i="7"/>
  <c r="C14" i="7" s="1"/>
  <c r="B13" i="7"/>
  <c r="C13" i="7" s="1"/>
  <c r="B12" i="7"/>
  <c r="C12" i="7" s="1"/>
  <c r="B11" i="7"/>
  <c r="C11" i="7" s="1"/>
  <c r="B10" i="7"/>
  <c r="C10" i="7" s="1"/>
  <c r="B9" i="7"/>
  <c r="C9" i="7" s="1"/>
  <c r="B8" i="7"/>
  <c r="C8" i="7" s="1"/>
  <c r="B7" i="7"/>
  <c r="C7" i="7" s="1"/>
  <c r="B6" i="7"/>
  <c r="C6" i="7" s="1"/>
  <c r="B5" i="7"/>
  <c r="C5" i="7" s="1"/>
  <c r="B4" i="7"/>
  <c r="C4" i="7" s="1"/>
  <c r="B3" i="7"/>
  <c r="C3" i="7" s="1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P501" i="5"/>
  <c r="O501" i="5"/>
  <c r="Q501" i="5" s="1"/>
  <c r="N501" i="5"/>
  <c r="M501" i="5"/>
  <c r="L501" i="5"/>
  <c r="K501" i="5"/>
  <c r="J501" i="5"/>
  <c r="H501" i="5"/>
  <c r="P500" i="5"/>
  <c r="O500" i="5"/>
  <c r="Q500" i="5" s="1"/>
  <c r="N500" i="5"/>
  <c r="M500" i="5"/>
  <c r="L500" i="5"/>
  <c r="K500" i="5"/>
  <c r="J500" i="5"/>
  <c r="H500" i="5"/>
  <c r="P499" i="5"/>
  <c r="O499" i="5"/>
  <c r="Q499" i="5" s="1"/>
  <c r="N499" i="5"/>
  <c r="M499" i="5"/>
  <c r="L499" i="5"/>
  <c r="K499" i="5"/>
  <c r="J499" i="5"/>
  <c r="H499" i="5"/>
  <c r="P498" i="5"/>
  <c r="O498" i="5"/>
  <c r="Q498" i="5" s="1"/>
  <c r="N498" i="5"/>
  <c r="M498" i="5"/>
  <c r="L498" i="5"/>
  <c r="K498" i="5"/>
  <c r="J498" i="5"/>
  <c r="H498" i="5"/>
  <c r="P497" i="5"/>
  <c r="O497" i="5"/>
  <c r="Q497" i="5" s="1"/>
  <c r="N497" i="5"/>
  <c r="M497" i="5"/>
  <c r="L497" i="5"/>
  <c r="K497" i="5"/>
  <c r="J497" i="5"/>
  <c r="H497" i="5"/>
  <c r="P496" i="5"/>
  <c r="O496" i="5"/>
  <c r="Q496" i="5" s="1"/>
  <c r="N496" i="5"/>
  <c r="M496" i="5"/>
  <c r="L496" i="5"/>
  <c r="K496" i="5"/>
  <c r="J496" i="5"/>
  <c r="H496" i="5"/>
  <c r="P495" i="5"/>
  <c r="O495" i="5"/>
  <c r="Q495" i="5" s="1"/>
  <c r="N495" i="5"/>
  <c r="M495" i="5"/>
  <c r="L495" i="5"/>
  <c r="K495" i="5"/>
  <c r="J495" i="5"/>
  <c r="H495" i="5"/>
  <c r="P494" i="5"/>
  <c r="O494" i="5"/>
  <c r="Q494" i="5" s="1"/>
  <c r="N494" i="5"/>
  <c r="M494" i="5"/>
  <c r="L494" i="5"/>
  <c r="K494" i="5"/>
  <c r="J494" i="5"/>
  <c r="H494" i="5"/>
  <c r="P493" i="5"/>
  <c r="O493" i="5"/>
  <c r="Q493" i="5" s="1"/>
  <c r="N493" i="5"/>
  <c r="M493" i="5"/>
  <c r="L493" i="5"/>
  <c r="K493" i="5"/>
  <c r="J493" i="5"/>
  <c r="H493" i="5"/>
  <c r="P492" i="5"/>
  <c r="O492" i="5"/>
  <c r="Q492" i="5" s="1"/>
  <c r="N492" i="5"/>
  <c r="M492" i="5"/>
  <c r="L492" i="5"/>
  <c r="K492" i="5"/>
  <c r="J492" i="5"/>
  <c r="H492" i="5"/>
  <c r="P491" i="5"/>
  <c r="O491" i="5"/>
  <c r="Q491" i="5" s="1"/>
  <c r="N491" i="5"/>
  <c r="M491" i="5"/>
  <c r="L491" i="5"/>
  <c r="K491" i="5"/>
  <c r="J491" i="5"/>
  <c r="H491" i="5"/>
  <c r="P490" i="5"/>
  <c r="O490" i="5"/>
  <c r="Q490" i="5" s="1"/>
  <c r="N490" i="5"/>
  <c r="M490" i="5"/>
  <c r="L490" i="5"/>
  <c r="K490" i="5"/>
  <c r="J490" i="5"/>
  <c r="H490" i="5"/>
  <c r="P489" i="5"/>
  <c r="O489" i="5"/>
  <c r="Q489" i="5" s="1"/>
  <c r="N489" i="5"/>
  <c r="M489" i="5"/>
  <c r="L489" i="5"/>
  <c r="K489" i="5"/>
  <c r="J489" i="5"/>
  <c r="H489" i="5"/>
  <c r="P488" i="5"/>
  <c r="O488" i="5"/>
  <c r="Q488" i="5" s="1"/>
  <c r="N488" i="5"/>
  <c r="M488" i="5"/>
  <c r="L488" i="5"/>
  <c r="K488" i="5"/>
  <c r="J488" i="5"/>
  <c r="H488" i="5"/>
  <c r="P487" i="5"/>
  <c r="O487" i="5"/>
  <c r="Q487" i="5" s="1"/>
  <c r="N487" i="5"/>
  <c r="M487" i="5"/>
  <c r="L487" i="5"/>
  <c r="K487" i="5"/>
  <c r="J487" i="5"/>
  <c r="H487" i="5"/>
  <c r="P486" i="5"/>
  <c r="O486" i="5"/>
  <c r="Q486" i="5" s="1"/>
  <c r="N486" i="5"/>
  <c r="M486" i="5"/>
  <c r="L486" i="5"/>
  <c r="K486" i="5"/>
  <c r="J486" i="5"/>
  <c r="H486" i="5"/>
  <c r="P485" i="5"/>
  <c r="O485" i="5"/>
  <c r="Q485" i="5" s="1"/>
  <c r="N485" i="5"/>
  <c r="M485" i="5"/>
  <c r="L485" i="5"/>
  <c r="K485" i="5"/>
  <c r="J485" i="5"/>
  <c r="H485" i="5"/>
  <c r="P484" i="5"/>
  <c r="O484" i="5"/>
  <c r="Q484" i="5" s="1"/>
  <c r="N484" i="5"/>
  <c r="M484" i="5"/>
  <c r="L484" i="5"/>
  <c r="K484" i="5"/>
  <c r="J484" i="5"/>
  <c r="H484" i="5"/>
  <c r="P483" i="5"/>
  <c r="O483" i="5"/>
  <c r="Q483" i="5" s="1"/>
  <c r="N483" i="5"/>
  <c r="M483" i="5"/>
  <c r="L483" i="5"/>
  <c r="K483" i="5"/>
  <c r="J483" i="5"/>
  <c r="H483" i="5"/>
  <c r="P482" i="5"/>
  <c r="O482" i="5"/>
  <c r="Q482" i="5" s="1"/>
  <c r="N482" i="5"/>
  <c r="M482" i="5"/>
  <c r="L482" i="5"/>
  <c r="K482" i="5"/>
  <c r="J482" i="5"/>
  <c r="H482" i="5"/>
  <c r="P481" i="5"/>
  <c r="O481" i="5"/>
  <c r="Q481" i="5" s="1"/>
  <c r="N481" i="5"/>
  <c r="M481" i="5"/>
  <c r="L481" i="5"/>
  <c r="K481" i="5"/>
  <c r="J481" i="5"/>
  <c r="H481" i="5"/>
  <c r="P480" i="5"/>
  <c r="O480" i="5"/>
  <c r="Q480" i="5" s="1"/>
  <c r="N480" i="5"/>
  <c r="M480" i="5"/>
  <c r="L480" i="5"/>
  <c r="K480" i="5"/>
  <c r="J480" i="5"/>
  <c r="H480" i="5"/>
  <c r="P479" i="5"/>
  <c r="O479" i="5"/>
  <c r="Q479" i="5" s="1"/>
  <c r="N479" i="5"/>
  <c r="M479" i="5"/>
  <c r="L479" i="5"/>
  <c r="K479" i="5"/>
  <c r="J479" i="5"/>
  <c r="H479" i="5"/>
  <c r="P478" i="5"/>
  <c r="O478" i="5"/>
  <c r="Q478" i="5" s="1"/>
  <c r="N478" i="5"/>
  <c r="M478" i="5"/>
  <c r="L478" i="5"/>
  <c r="K478" i="5"/>
  <c r="J478" i="5"/>
  <c r="H478" i="5"/>
  <c r="P477" i="5"/>
  <c r="O477" i="5"/>
  <c r="Q477" i="5" s="1"/>
  <c r="N477" i="5"/>
  <c r="M477" i="5"/>
  <c r="L477" i="5"/>
  <c r="K477" i="5"/>
  <c r="J477" i="5"/>
  <c r="H477" i="5"/>
  <c r="P476" i="5"/>
  <c r="O476" i="5"/>
  <c r="Q476" i="5" s="1"/>
  <c r="N476" i="5"/>
  <c r="M476" i="5"/>
  <c r="L476" i="5"/>
  <c r="K476" i="5"/>
  <c r="J476" i="5"/>
  <c r="H476" i="5"/>
  <c r="P475" i="5"/>
  <c r="O475" i="5"/>
  <c r="Q475" i="5" s="1"/>
  <c r="N475" i="5"/>
  <c r="M475" i="5"/>
  <c r="L475" i="5"/>
  <c r="K475" i="5"/>
  <c r="J475" i="5"/>
  <c r="H475" i="5"/>
  <c r="P474" i="5"/>
  <c r="O474" i="5"/>
  <c r="Q474" i="5" s="1"/>
  <c r="N474" i="5"/>
  <c r="M474" i="5"/>
  <c r="L474" i="5"/>
  <c r="K474" i="5"/>
  <c r="J474" i="5"/>
  <c r="H474" i="5"/>
  <c r="P473" i="5"/>
  <c r="O473" i="5"/>
  <c r="Q473" i="5" s="1"/>
  <c r="N473" i="5"/>
  <c r="M473" i="5"/>
  <c r="L473" i="5"/>
  <c r="K473" i="5"/>
  <c r="J473" i="5"/>
  <c r="H473" i="5"/>
  <c r="P472" i="5"/>
  <c r="O472" i="5"/>
  <c r="Q472" i="5" s="1"/>
  <c r="N472" i="5"/>
  <c r="M472" i="5"/>
  <c r="L472" i="5"/>
  <c r="K472" i="5"/>
  <c r="J472" i="5"/>
  <c r="H472" i="5"/>
  <c r="P471" i="5"/>
  <c r="O471" i="5"/>
  <c r="Q471" i="5" s="1"/>
  <c r="N471" i="5"/>
  <c r="M471" i="5"/>
  <c r="L471" i="5"/>
  <c r="K471" i="5"/>
  <c r="J471" i="5"/>
  <c r="H471" i="5"/>
  <c r="P470" i="5"/>
  <c r="O470" i="5"/>
  <c r="Q470" i="5" s="1"/>
  <c r="N470" i="5"/>
  <c r="M470" i="5"/>
  <c r="L470" i="5"/>
  <c r="K470" i="5"/>
  <c r="J470" i="5"/>
  <c r="H470" i="5"/>
  <c r="P469" i="5"/>
  <c r="O469" i="5"/>
  <c r="Q469" i="5" s="1"/>
  <c r="N469" i="5"/>
  <c r="M469" i="5"/>
  <c r="L469" i="5"/>
  <c r="K469" i="5"/>
  <c r="J469" i="5"/>
  <c r="H469" i="5"/>
  <c r="P468" i="5"/>
  <c r="O468" i="5"/>
  <c r="Q468" i="5" s="1"/>
  <c r="N468" i="5"/>
  <c r="M468" i="5"/>
  <c r="L468" i="5"/>
  <c r="K468" i="5"/>
  <c r="J468" i="5"/>
  <c r="H468" i="5"/>
  <c r="P467" i="5"/>
  <c r="O467" i="5"/>
  <c r="Q467" i="5" s="1"/>
  <c r="N467" i="5"/>
  <c r="M467" i="5"/>
  <c r="L467" i="5"/>
  <c r="K467" i="5"/>
  <c r="J467" i="5"/>
  <c r="H467" i="5"/>
  <c r="P466" i="5"/>
  <c r="O466" i="5"/>
  <c r="Q466" i="5" s="1"/>
  <c r="N466" i="5"/>
  <c r="M466" i="5"/>
  <c r="L466" i="5"/>
  <c r="K466" i="5"/>
  <c r="J466" i="5"/>
  <c r="H466" i="5"/>
  <c r="P465" i="5"/>
  <c r="O465" i="5"/>
  <c r="Q465" i="5" s="1"/>
  <c r="N465" i="5"/>
  <c r="M465" i="5"/>
  <c r="L465" i="5"/>
  <c r="K465" i="5"/>
  <c r="J465" i="5"/>
  <c r="H465" i="5"/>
  <c r="P464" i="5"/>
  <c r="O464" i="5"/>
  <c r="Q464" i="5" s="1"/>
  <c r="N464" i="5"/>
  <c r="M464" i="5"/>
  <c r="L464" i="5"/>
  <c r="K464" i="5"/>
  <c r="J464" i="5"/>
  <c r="H464" i="5"/>
  <c r="P463" i="5"/>
  <c r="O463" i="5"/>
  <c r="Q463" i="5" s="1"/>
  <c r="N463" i="5"/>
  <c r="M463" i="5"/>
  <c r="L463" i="5"/>
  <c r="K463" i="5"/>
  <c r="J463" i="5"/>
  <c r="H463" i="5"/>
  <c r="P462" i="5"/>
  <c r="O462" i="5"/>
  <c r="Q462" i="5" s="1"/>
  <c r="N462" i="5"/>
  <c r="M462" i="5"/>
  <c r="L462" i="5"/>
  <c r="K462" i="5"/>
  <c r="J462" i="5"/>
  <c r="H462" i="5"/>
  <c r="P461" i="5"/>
  <c r="O461" i="5"/>
  <c r="Q461" i="5" s="1"/>
  <c r="N461" i="5"/>
  <c r="M461" i="5"/>
  <c r="L461" i="5"/>
  <c r="K461" i="5"/>
  <c r="J461" i="5"/>
  <c r="H461" i="5"/>
  <c r="P460" i="5"/>
  <c r="O460" i="5"/>
  <c r="Q460" i="5" s="1"/>
  <c r="N460" i="5"/>
  <c r="M460" i="5"/>
  <c r="L460" i="5"/>
  <c r="K460" i="5"/>
  <c r="J460" i="5"/>
  <c r="H460" i="5"/>
  <c r="P459" i="5"/>
  <c r="O459" i="5"/>
  <c r="Q459" i="5" s="1"/>
  <c r="N459" i="5"/>
  <c r="M459" i="5"/>
  <c r="L459" i="5"/>
  <c r="K459" i="5"/>
  <c r="J459" i="5"/>
  <c r="H459" i="5"/>
  <c r="P458" i="5"/>
  <c r="O458" i="5"/>
  <c r="Q458" i="5" s="1"/>
  <c r="N458" i="5"/>
  <c r="M458" i="5"/>
  <c r="L458" i="5"/>
  <c r="K458" i="5"/>
  <c r="J458" i="5"/>
  <c r="H458" i="5"/>
  <c r="P457" i="5"/>
  <c r="O457" i="5"/>
  <c r="Q457" i="5" s="1"/>
  <c r="N457" i="5"/>
  <c r="M457" i="5"/>
  <c r="L457" i="5"/>
  <c r="K457" i="5"/>
  <c r="J457" i="5"/>
  <c r="H457" i="5"/>
  <c r="P456" i="5"/>
  <c r="O456" i="5"/>
  <c r="Q456" i="5" s="1"/>
  <c r="N456" i="5"/>
  <c r="M456" i="5"/>
  <c r="L456" i="5"/>
  <c r="K456" i="5"/>
  <c r="J456" i="5"/>
  <c r="H456" i="5"/>
  <c r="P455" i="5"/>
  <c r="O455" i="5"/>
  <c r="Q455" i="5" s="1"/>
  <c r="N455" i="5"/>
  <c r="M455" i="5"/>
  <c r="L455" i="5"/>
  <c r="K455" i="5"/>
  <c r="J455" i="5"/>
  <c r="H455" i="5"/>
  <c r="P454" i="5"/>
  <c r="O454" i="5"/>
  <c r="Q454" i="5" s="1"/>
  <c r="N454" i="5"/>
  <c r="M454" i="5"/>
  <c r="L454" i="5"/>
  <c r="K454" i="5"/>
  <c r="J454" i="5"/>
  <c r="H454" i="5"/>
  <c r="P453" i="5"/>
  <c r="O453" i="5"/>
  <c r="Q453" i="5" s="1"/>
  <c r="N453" i="5"/>
  <c r="M453" i="5"/>
  <c r="L453" i="5"/>
  <c r="K453" i="5"/>
  <c r="J453" i="5"/>
  <c r="H453" i="5"/>
  <c r="P452" i="5"/>
  <c r="O452" i="5"/>
  <c r="Q452" i="5" s="1"/>
  <c r="N452" i="5"/>
  <c r="M452" i="5"/>
  <c r="L452" i="5"/>
  <c r="K452" i="5"/>
  <c r="J452" i="5"/>
  <c r="H452" i="5"/>
  <c r="P451" i="5"/>
  <c r="O451" i="5"/>
  <c r="Q451" i="5" s="1"/>
  <c r="N451" i="5"/>
  <c r="M451" i="5"/>
  <c r="L451" i="5"/>
  <c r="K451" i="5"/>
  <c r="J451" i="5"/>
  <c r="H451" i="5"/>
  <c r="P450" i="5"/>
  <c r="O450" i="5"/>
  <c r="Q450" i="5" s="1"/>
  <c r="N450" i="5"/>
  <c r="M450" i="5"/>
  <c r="L450" i="5"/>
  <c r="K450" i="5"/>
  <c r="J450" i="5"/>
  <c r="H450" i="5"/>
  <c r="P449" i="5"/>
  <c r="O449" i="5"/>
  <c r="Q449" i="5" s="1"/>
  <c r="N449" i="5"/>
  <c r="M449" i="5"/>
  <c r="L449" i="5"/>
  <c r="K449" i="5"/>
  <c r="J449" i="5"/>
  <c r="H449" i="5"/>
  <c r="P448" i="5"/>
  <c r="O448" i="5"/>
  <c r="Q448" i="5" s="1"/>
  <c r="N448" i="5"/>
  <c r="M448" i="5"/>
  <c r="L448" i="5"/>
  <c r="K448" i="5"/>
  <c r="J448" i="5"/>
  <c r="H448" i="5"/>
  <c r="P447" i="5"/>
  <c r="O447" i="5"/>
  <c r="Q447" i="5" s="1"/>
  <c r="N447" i="5"/>
  <c r="M447" i="5"/>
  <c r="L447" i="5"/>
  <c r="K447" i="5"/>
  <c r="J447" i="5"/>
  <c r="H447" i="5"/>
  <c r="P446" i="5"/>
  <c r="O446" i="5"/>
  <c r="Q446" i="5" s="1"/>
  <c r="N446" i="5"/>
  <c r="M446" i="5"/>
  <c r="L446" i="5"/>
  <c r="K446" i="5"/>
  <c r="J446" i="5"/>
  <c r="H446" i="5"/>
  <c r="P445" i="5"/>
  <c r="O445" i="5"/>
  <c r="Q445" i="5" s="1"/>
  <c r="N445" i="5"/>
  <c r="M445" i="5"/>
  <c r="L445" i="5"/>
  <c r="K445" i="5"/>
  <c r="J445" i="5"/>
  <c r="H445" i="5"/>
  <c r="P444" i="5"/>
  <c r="O444" i="5"/>
  <c r="Q444" i="5" s="1"/>
  <c r="N444" i="5"/>
  <c r="M444" i="5"/>
  <c r="L444" i="5"/>
  <c r="K444" i="5"/>
  <c r="J444" i="5"/>
  <c r="H444" i="5"/>
  <c r="P443" i="5"/>
  <c r="O443" i="5"/>
  <c r="Q443" i="5" s="1"/>
  <c r="N443" i="5"/>
  <c r="M443" i="5"/>
  <c r="L443" i="5"/>
  <c r="K443" i="5"/>
  <c r="J443" i="5"/>
  <c r="H443" i="5"/>
  <c r="P442" i="5"/>
  <c r="O442" i="5"/>
  <c r="Q442" i="5" s="1"/>
  <c r="N442" i="5"/>
  <c r="M442" i="5"/>
  <c r="L442" i="5"/>
  <c r="K442" i="5"/>
  <c r="J442" i="5"/>
  <c r="H442" i="5"/>
  <c r="P441" i="5"/>
  <c r="O441" i="5"/>
  <c r="Q441" i="5" s="1"/>
  <c r="N441" i="5"/>
  <c r="M441" i="5"/>
  <c r="L441" i="5"/>
  <c r="K441" i="5"/>
  <c r="J441" i="5"/>
  <c r="H441" i="5"/>
  <c r="P440" i="5"/>
  <c r="O440" i="5"/>
  <c r="Q440" i="5" s="1"/>
  <c r="N440" i="5"/>
  <c r="M440" i="5"/>
  <c r="L440" i="5"/>
  <c r="K440" i="5"/>
  <c r="J440" i="5"/>
  <c r="H440" i="5"/>
  <c r="P439" i="5"/>
  <c r="O439" i="5"/>
  <c r="Q439" i="5" s="1"/>
  <c r="N439" i="5"/>
  <c r="M439" i="5"/>
  <c r="L439" i="5"/>
  <c r="K439" i="5"/>
  <c r="J439" i="5"/>
  <c r="H439" i="5"/>
  <c r="P438" i="5"/>
  <c r="O438" i="5"/>
  <c r="Q438" i="5" s="1"/>
  <c r="N438" i="5"/>
  <c r="M438" i="5"/>
  <c r="L438" i="5"/>
  <c r="K438" i="5"/>
  <c r="J438" i="5"/>
  <c r="H438" i="5"/>
  <c r="P437" i="5"/>
  <c r="O437" i="5"/>
  <c r="Q437" i="5" s="1"/>
  <c r="N437" i="5"/>
  <c r="M437" i="5"/>
  <c r="L437" i="5"/>
  <c r="K437" i="5"/>
  <c r="J437" i="5"/>
  <c r="H437" i="5"/>
  <c r="P436" i="5"/>
  <c r="O436" i="5"/>
  <c r="Q436" i="5" s="1"/>
  <c r="N436" i="5"/>
  <c r="M436" i="5"/>
  <c r="L436" i="5"/>
  <c r="K436" i="5"/>
  <c r="J436" i="5"/>
  <c r="H436" i="5"/>
  <c r="P435" i="5"/>
  <c r="O435" i="5"/>
  <c r="Q435" i="5" s="1"/>
  <c r="N435" i="5"/>
  <c r="M435" i="5"/>
  <c r="L435" i="5"/>
  <c r="K435" i="5"/>
  <c r="J435" i="5"/>
  <c r="H435" i="5"/>
  <c r="P434" i="5"/>
  <c r="O434" i="5"/>
  <c r="Q434" i="5" s="1"/>
  <c r="N434" i="5"/>
  <c r="M434" i="5"/>
  <c r="L434" i="5"/>
  <c r="K434" i="5"/>
  <c r="J434" i="5"/>
  <c r="H434" i="5"/>
  <c r="P433" i="5"/>
  <c r="O433" i="5"/>
  <c r="Q433" i="5" s="1"/>
  <c r="N433" i="5"/>
  <c r="M433" i="5"/>
  <c r="L433" i="5"/>
  <c r="K433" i="5"/>
  <c r="J433" i="5"/>
  <c r="H433" i="5"/>
  <c r="P432" i="5"/>
  <c r="O432" i="5"/>
  <c r="Q432" i="5" s="1"/>
  <c r="N432" i="5"/>
  <c r="M432" i="5"/>
  <c r="L432" i="5"/>
  <c r="K432" i="5"/>
  <c r="J432" i="5"/>
  <c r="H432" i="5"/>
  <c r="P431" i="5"/>
  <c r="O431" i="5"/>
  <c r="Q431" i="5" s="1"/>
  <c r="N431" i="5"/>
  <c r="M431" i="5"/>
  <c r="L431" i="5"/>
  <c r="K431" i="5"/>
  <c r="J431" i="5"/>
  <c r="H431" i="5"/>
  <c r="P430" i="5"/>
  <c r="O430" i="5"/>
  <c r="Q430" i="5" s="1"/>
  <c r="N430" i="5"/>
  <c r="M430" i="5"/>
  <c r="L430" i="5"/>
  <c r="K430" i="5"/>
  <c r="J430" i="5"/>
  <c r="H430" i="5"/>
  <c r="P429" i="5"/>
  <c r="O429" i="5"/>
  <c r="Q429" i="5" s="1"/>
  <c r="N429" i="5"/>
  <c r="M429" i="5"/>
  <c r="L429" i="5"/>
  <c r="K429" i="5"/>
  <c r="J429" i="5"/>
  <c r="H429" i="5"/>
  <c r="P428" i="5"/>
  <c r="O428" i="5"/>
  <c r="Q428" i="5" s="1"/>
  <c r="N428" i="5"/>
  <c r="M428" i="5"/>
  <c r="L428" i="5"/>
  <c r="K428" i="5"/>
  <c r="J428" i="5"/>
  <c r="H428" i="5"/>
  <c r="P427" i="5"/>
  <c r="O427" i="5"/>
  <c r="Q427" i="5" s="1"/>
  <c r="N427" i="5"/>
  <c r="M427" i="5"/>
  <c r="L427" i="5"/>
  <c r="K427" i="5"/>
  <c r="J427" i="5"/>
  <c r="H427" i="5"/>
  <c r="P426" i="5"/>
  <c r="O426" i="5"/>
  <c r="Q426" i="5" s="1"/>
  <c r="N426" i="5"/>
  <c r="M426" i="5"/>
  <c r="L426" i="5"/>
  <c r="K426" i="5"/>
  <c r="J426" i="5"/>
  <c r="H426" i="5"/>
  <c r="P425" i="5"/>
  <c r="O425" i="5"/>
  <c r="Q425" i="5" s="1"/>
  <c r="N425" i="5"/>
  <c r="M425" i="5"/>
  <c r="L425" i="5"/>
  <c r="K425" i="5"/>
  <c r="J425" i="5"/>
  <c r="H425" i="5"/>
  <c r="P424" i="5"/>
  <c r="O424" i="5"/>
  <c r="Q424" i="5" s="1"/>
  <c r="N424" i="5"/>
  <c r="M424" i="5"/>
  <c r="L424" i="5"/>
  <c r="K424" i="5"/>
  <c r="J424" i="5"/>
  <c r="H424" i="5"/>
  <c r="P423" i="5"/>
  <c r="O423" i="5"/>
  <c r="Q423" i="5" s="1"/>
  <c r="N423" i="5"/>
  <c r="M423" i="5"/>
  <c r="L423" i="5"/>
  <c r="K423" i="5"/>
  <c r="J423" i="5"/>
  <c r="H423" i="5"/>
  <c r="P422" i="5"/>
  <c r="O422" i="5"/>
  <c r="Q422" i="5" s="1"/>
  <c r="N422" i="5"/>
  <c r="M422" i="5"/>
  <c r="L422" i="5"/>
  <c r="K422" i="5"/>
  <c r="J422" i="5"/>
  <c r="H422" i="5"/>
  <c r="P421" i="5"/>
  <c r="O421" i="5"/>
  <c r="Q421" i="5" s="1"/>
  <c r="N421" i="5"/>
  <c r="M421" i="5"/>
  <c r="L421" i="5"/>
  <c r="K421" i="5"/>
  <c r="J421" i="5"/>
  <c r="H421" i="5"/>
  <c r="P420" i="5"/>
  <c r="O420" i="5"/>
  <c r="Q420" i="5" s="1"/>
  <c r="N420" i="5"/>
  <c r="M420" i="5"/>
  <c r="L420" i="5"/>
  <c r="K420" i="5"/>
  <c r="J420" i="5"/>
  <c r="H420" i="5"/>
  <c r="P419" i="5"/>
  <c r="O419" i="5"/>
  <c r="Q419" i="5" s="1"/>
  <c r="N419" i="5"/>
  <c r="M419" i="5"/>
  <c r="L419" i="5"/>
  <c r="K419" i="5"/>
  <c r="J419" i="5"/>
  <c r="H419" i="5"/>
  <c r="P418" i="5"/>
  <c r="O418" i="5"/>
  <c r="Q418" i="5" s="1"/>
  <c r="N418" i="5"/>
  <c r="M418" i="5"/>
  <c r="L418" i="5"/>
  <c r="K418" i="5"/>
  <c r="J418" i="5"/>
  <c r="H418" i="5"/>
  <c r="P417" i="5"/>
  <c r="O417" i="5"/>
  <c r="Q417" i="5" s="1"/>
  <c r="N417" i="5"/>
  <c r="M417" i="5"/>
  <c r="L417" i="5"/>
  <c r="K417" i="5"/>
  <c r="J417" i="5"/>
  <c r="H417" i="5"/>
  <c r="P416" i="5"/>
  <c r="O416" i="5"/>
  <c r="Q416" i="5" s="1"/>
  <c r="N416" i="5"/>
  <c r="M416" i="5"/>
  <c r="L416" i="5"/>
  <c r="K416" i="5"/>
  <c r="J416" i="5"/>
  <c r="H416" i="5"/>
  <c r="P415" i="5"/>
  <c r="O415" i="5"/>
  <c r="Q415" i="5" s="1"/>
  <c r="N415" i="5"/>
  <c r="M415" i="5"/>
  <c r="L415" i="5"/>
  <c r="K415" i="5"/>
  <c r="J415" i="5"/>
  <c r="H415" i="5"/>
  <c r="P414" i="5"/>
  <c r="O414" i="5"/>
  <c r="Q414" i="5" s="1"/>
  <c r="N414" i="5"/>
  <c r="M414" i="5"/>
  <c r="L414" i="5"/>
  <c r="K414" i="5"/>
  <c r="J414" i="5"/>
  <c r="H414" i="5"/>
  <c r="P413" i="5"/>
  <c r="O413" i="5"/>
  <c r="Q413" i="5" s="1"/>
  <c r="N413" i="5"/>
  <c r="M413" i="5"/>
  <c r="L413" i="5"/>
  <c r="K413" i="5"/>
  <c r="J413" i="5"/>
  <c r="H413" i="5"/>
  <c r="P412" i="5"/>
  <c r="O412" i="5"/>
  <c r="Q412" i="5" s="1"/>
  <c r="N412" i="5"/>
  <c r="M412" i="5"/>
  <c r="L412" i="5"/>
  <c r="K412" i="5"/>
  <c r="J412" i="5"/>
  <c r="H412" i="5"/>
  <c r="P411" i="5"/>
  <c r="O411" i="5"/>
  <c r="Q411" i="5" s="1"/>
  <c r="N411" i="5"/>
  <c r="M411" i="5"/>
  <c r="L411" i="5"/>
  <c r="K411" i="5"/>
  <c r="J411" i="5"/>
  <c r="H411" i="5"/>
  <c r="P410" i="5"/>
  <c r="O410" i="5"/>
  <c r="Q410" i="5" s="1"/>
  <c r="N410" i="5"/>
  <c r="M410" i="5"/>
  <c r="L410" i="5"/>
  <c r="K410" i="5"/>
  <c r="J410" i="5"/>
  <c r="H410" i="5"/>
  <c r="P409" i="5"/>
  <c r="O409" i="5"/>
  <c r="Q409" i="5" s="1"/>
  <c r="N409" i="5"/>
  <c r="M409" i="5"/>
  <c r="L409" i="5"/>
  <c r="K409" i="5"/>
  <c r="J409" i="5"/>
  <c r="H409" i="5"/>
  <c r="P408" i="5"/>
  <c r="O408" i="5"/>
  <c r="Q408" i="5" s="1"/>
  <c r="N408" i="5"/>
  <c r="M408" i="5"/>
  <c r="L408" i="5"/>
  <c r="K408" i="5"/>
  <c r="J408" i="5"/>
  <c r="H408" i="5"/>
  <c r="P407" i="5"/>
  <c r="O407" i="5"/>
  <c r="Q407" i="5" s="1"/>
  <c r="N407" i="5"/>
  <c r="M407" i="5"/>
  <c r="L407" i="5"/>
  <c r="K407" i="5"/>
  <c r="J407" i="5"/>
  <c r="H407" i="5"/>
  <c r="P406" i="5"/>
  <c r="O406" i="5"/>
  <c r="Q406" i="5" s="1"/>
  <c r="N406" i="5"/>
  <c r="M406" i="5"/>
  <c r="L406" i="5"/>
  <c r="K406" i="5"/>
  <c r="J406" i="5"/>
  <c r="H406" i="5"/>
  <c r="P405" i="5"/>
  <c r="O405" i="5"/>
  <c r="Q405" i="5" s="1"/>
  <c r="N405" i="5"/>
  <c r="M405" i="5"/>
  <c r="L405" i="5"/>
  <c r="K405" i="5"/>
  <c r="J405" i="5"/>
  <c r="H405" i="5"/>
  <c r="P404" i="5"/>
  <c r="O404" i="5"/>
  <c r="Q404" i="5" s="1"/>
  <c r="N404" i="5"/>
  <c r="M404" i="5"/>
  <c r="L404" i="5"/>
  <c r="K404" i="5"/>
  <c r="J404" i="5"/>
  <c r="H404" i="5"/>
  <c r="P403" i="5"/>
  <c r="O403" i="5"/>
  <c r="Q403" i="5" s="1"/>
  <c r="N403" i="5"/>
  <c r="M403" i="5"/>
  <c r="L403" i="5"/>
  <c r="K403" i="5"/>
  <c r="J403" i="5"/>
  <c r="H403" i="5"/>
  <c r="P402" i="5"/>
  <c r="O402" i="5"/>
  <c r="Q402" i="5" s="1"/>
  <c r="N402" i="5"/>
  <c r="M402" i="5"/>
  <c r="L402" i="5"/>
  <c r="K402" i="5"/>
  <c r="J402" i="5"/>
  <c r="H402" i="5"/>
  <c r="P401" i="5"/>
  <c r="O401" i="5"/>
  <c r="Q401" i="5" s="1"/>
  <c r="N401" i="5"/>
  <c r="M401" i="5"/>
  <c r="L401" i="5"/>
  <c r="K401" i="5"/>
  <c r="J401" i="5"/>
  <c r="H401" i="5"/>
  <c r="P400" i="5"/>
  <c r="O400" i="5"/>
  <c r="Q400" i="5" s="1"/>
  <c r="N400" i="5"/>
  <c r="M400" i="5"/>
  <c r="L400" i="5"/>
  <c r="K400" i="5"/>
  <c r="J400" i="5"/>
  <c r="H400" i="5"/>
  <c r="P399" i="5"/>
  <c r="O399" i="5"/>
  <c r="Q399" i="5" s="1"/>
  <c r="N399" i="5"/>
  <c r="M399" i="5"/>
  <c r="L399" i="5"/>
  <c r="K399" i="5"/>
  <c r="J399" i="5"/>
  <c r="H399" i="5"/>
  <c r="P398" i="5"/>
  <c r="O398" i="5"/>
  <c r="Q398" i="5" s="1"/>
  <c r="N398" i="5"/>
  <c r="M398" i="5"/>
  <c r="L398" i="5"/>
  <c r="K398" i="5"/>
  <c r="J398" i="5"/>
  <c r="H398" i="5"/>
  <c r="P397" i="5"/>
  <c r="O397" i="5"/>
  <c r="Q397" i="5" s="1"/>
  <c r="N397" i="5"/>
  <c r="M397" i="5"/>
  <c r="L397" i="5"/>
  <c r="K397" i="5"/>
  <c r="J397" i="5"/>
  <c r="H397" i="5"/>
  <c r="P396" i="5"/>
  <c r="O396" i="5"/>
  <c r="Q396" i="5" s="1"/>
  <c r="N396" i="5"/>
  <c r="M396" i="5"/>
  <c r="L396" i="5"/>
  <c r="K396" i="5"/>
  <c r="J396" i="5"/>
  <c r="H396" i="5"/>
  <c r="P395" i="5"/>
  <c r="O395" i="5"/>
  <c r="Q395" i="5" s="1"/>
  <c r="N395" i="5"/>
  <c r="M395" i="5"/>
  <c r="L395" i="5"/>
  <c r="K395" i="5"/>
  <c r="J395" i="5"/>
  <c r="H395" i="5"/>
  <c r="P394" i="5"/>
  <c r="O394" i="5"/>
  <c r="Q394" i="5" s="1"/>
  <c r="N394" i="5"/>
  <c r="M394" i="5"/>
  <c r="L394" i="5"/>
  <c r="K394" i="5"/>
  <c r="J394" i="5"/>
  <c r="H394" i="5"/>
  <c r="P393" i="5"/>
  <c r="O393" i="5"/>
  <c r="Q393" i="5" s="1"/>
  <c r="N393" i="5"/>
  <c r="M393" i="5"/>
  <c r="L393" i="5"/>
  <c r="K393" i="5"/>
  <c r="J393" i="5"/>
  <c r="H393" i="5"/>
  <c r="P392" i="5"/>
  <c r="O392" i="5"/>
  <c r="Q392" i="5" s="1"/>
  <c r="N392" i="5"/>
  <c r="M392" i="5"/>
  <c r="L392" i="5"/>
  <c r="K392" i="5"/>
  <c r="J392" i="5"/>
  <c r="H392" i="5"/>
  <c r="P391" i="5"/>
  <c r="O391" i="5"/>
  <c r="Q391" i="5" s="1"/>
  <c r="N391" i="5"/>
  <c r="M391" i="5"/>
  <c r="L391" i="5"/>
  <c r="K391" i="5"/>
  <c r="J391" i="5"/>
  <c r="H391" i="5"/>
  <c r="P390" i="5"/>
  <c r="O390" i="5"/>
  <c r="Q390" i="5" s="1"/>
  <c r="N390" i="5"/>
  <c r="M390" i="5"/>
  <c r="L390" i="5"/>
  <c r="K390" i="5"/>
  <c r="J390" i="5"/>
  <c r="H390" i="5"/>
  <c r="P389" i="5"/>
  <c r="O389" i="5"/>
  <c r="Q389" i="5" s="1"/>
  <c r="N389" i="5"/>
  <c r="M389" i="5"/>
  <c r="L389" i="5"/>
  <c r="K389" i="5"/>
  <c r="J389" i="5"/>
  <c r="H389" i="5"/>
  <c r="P388" i="5"/>
  <c r="O388" i="5"/>
  <c r="Q388" i="5" s="1"/>
  <c r="N388" i="5"/>
  <c r="M388" i="5"/>
  <c r="L388" i="5"/>
  <c r="K388" i="5"/>
  <c r="J388" i="5"/>
  <c r="H388" i="5"/>
  <c r="P387" i="5"/>
  <c r="O387" i="5"/>
  <c r="Q387" i="5" s="1"/>
  <c r="N387" i="5"/>
  <c r="M387" i="5"/>
  <c r="L387" i="5"/>
  <c r="K387" i="5"/>
  <c r="J387" i="5"/>
  <c r="H387" i="5"/>
  <c r="P386" i="5"/>
  <c r="O386" i="5"/>
  <c r="Q386" i="5" s="1"/>
  <c r="N386" i="5"/>
  <c r="M386" i="5"/>
  <c r="L386" i="5"/>
  <c r="K386" i="5"/>
  <c r="J386" i="5"/>
  <c r="H386" i="5"/>
  <c r="P385" i="5"/>
  <c r="O385" i="5"/>
  <c r="Q385" i="5" s="1"/>
  <c r="N385" i="5"/>
  <c r="M385" i="5"/>
  <c r="L385" i="5"/>
  <c r="K385" i="5"/>
  <c r="J385" i="5"/>
  <c r="H385" i="5"/>
  <c r="P384" i="5"/>
  <c r="O384" i="5"/>
  <c r="Q384" i="5" s="1"/>
  <c r="N384" i="5"/>
  <c r="M384" i="5"/>
  <c r="L384" i="5"/>
  <c r="K384" i="5"/>
  <c r="J384" i="5"/>
  <c r="H384" i="5"/>
  <c r="P383" i="5"/>
  <c r="O383" i="5"/>
  <c r="Q383" i="5" s="1"/>
  <c r="N383" i="5"/>
  <c r="M383" i="5"/>
  <c r="L383" i="5"/>
  <c r="K383" i="5"/>
  <c r="J383" i="5"/>
  <c r="H383" i="5"/>
  <c r="P382" i="5"/>
  <c r="O382" i="5"/>
  <c r="Q382" i="5" s="1"/>
  <c r="N382" i="5"/>
  <c r="M382" i="5"/>
  <c r="L382" i="5"/>
  <c r="K382" i="5"/>
  <c r="J382" i="5"/>
  <c r="H382" i="5"/>
  <c r="P381" i="5"/>
  <c r="O381" i="5"/>
  <c r="Q381" i="5" s="1"/>
  <c r="N381" i="5"/>
  <c r="M381" i="5"/>
  <c r="L381" i="5"/>
  <c r="K381" i="5"/>
  <c r="J381" i="5"/>
  <c r="H381" i="5"/>
  <c r="P380" i="5"/>
  <c r="O380" i="5"/>
  <c r="Q380" i="5" s="1"/>
  <c r="N380" i="5"/>
  <c r="M380" i="5"/>
  <c r="L380" i="5"/>
  <c r="K380" i="5"/>
  <c r="J380" i="5"/>
  <c r="H380" i="5"/>
  <c r="P379" i="5"/>
  <c r="O379" i="5"/>
  <c r="Q379" i="5" s="1"/>
  <c r="N379" i="5"/>
  <c r="M379" i="5"/>
  <c r="L379" i="5"/>
  <c r="K379" i="5"/>
  <c r="J379" i="5"/>
  <c r="H379" i="5"/>
  <c r="P378" i="5"/>
  <c r="O378" i="5"/>
  <c r="Q378" i="5" s="1"/>
  <c r="N378" i="5"/>
  <c r="M378" i="5"/>
  <c r="L378" i="5"/>
  <c r="K378" i="5"/>
  <c r="J378" i="5"/>
  <c r="H378" i="5"/>
  <c r="P377" i="5"/>
  <c r="O377" i="5"/>
  <c r="Q377" i="5" s="1"/>
  <c r="N377" i="5"/>
  <c r="M377" i="5"/>
  <c r="L377" i="5"/>
  <c r="K377" i="5"/>
  <c r="J377" i="5"/>
  <c r="H377" i="5"/>
  <c r="P376" i="5"/>
  <c r="O376" i="5"/>
  <c r="Q376" i="5" s="1"/>
  <c r="N376" i="5"/>
  <c r="M376" i="5"/>
  <c r="L376" i="5"/>
  <c r="K376" i="5"/>
  <c r="J376" i="5"/>
  <c r="H376" i="5"/>
  <c r="P375" i="5"/>
  <c r="O375" i="5"/>
  <c r="Q375" i="5" s="1"/>
  <c r="N375" i="5"/>
  <c r="M375" i="5"/>
  <c r="L375" i="5"/>
  <c r="K375" i="5"/>
  <c r="J375" i="5"/>
  <c r="H375" i="5"/>
  <c r="P374" i="5"/>
  <c r="O374" i="5"/>
  <c r="Q374" i="5" s="1"/>
  <c r="N374" i="5"/>
  <c r="M374" i="5"/>
  <c r="L374" i="5"/>
  <c r="K374" i="5"/>
  <c r="J374" i="5"/>
  <c r="H374" i="5"/>
  <c r="P373" i="5"/>
  <c r="O373" i="5"/>
  <c r="Q373" i="5" s="1"/>
  <c r="N373" i="5"/>
  <c r="M373" i="5"/>
  <c r="L373" i="5"/>
  <c r="K373" i="5"/>
  <c r="J373" i="5"/>
  <c r="H373" i="5"/>
  <c r="P372" i="5"/>
  <c r="O372" i="5"/>
  <c r="Q372" i="5" s="1"/>
  <c r="N372" i="5"/>
  <c r="M372" i="5"/>
  <c r="L372" i="5"/>
  <c r="K372" i="5"/>
  <c r="J372" i="5"/>
  <c r="H372" i="5"/>
  <c r="P371" i="5"/>
  <c r="O371" i="5"/>
  <c r="Q371" i="5" s="1"/>
  <c r="N371" i="5"/>
  <c r="M371" i="5"/>
  <c r="L371" i="5"/>
  <c r="K371" i="5"/>
  <c r="J371" i="5"/>
  <c r="H371" i="5"/>
  <c r="P370" i="5"/>
  <c r="O370" i="5"/>
  <c r="Q370" i="5" s="1"/>
  <c r="N370" i="5"/>
  <c r="M370" i="5"/>
  <c r="L370" i="5"/>
  <c r="K370" i="5"/>
  <c r="J370" i="5"/>
  <c r="H370" i="5"/>
  <c r="P369" i="5"/>
  <c r="O369" i="5"/>
  <c r="Q369" i="5" s="1"/>
  <c r="N369" i="5"/>
  <c r="M369" i="5"/>
  <c r="L369" i="5"/>
  <c r="K369" i="5"/>
  <c r="J369" i="5"/>
  <c r="H369" i="5"/>
  <c r="P368" i="5"/>
  <c r="O368" i="5"/>
  <c r="Q368" i="5" s="1"/>
  <c r="N368" i="5"/>
  <c r="M368" i="5"/>
  <c r="L368" i="5"/>
  <c r="K368" i="5"/>
  <c r="J368" i="5"/>
  <c r="H368" i="5"/>
  <c r="P367" i="5"/>
  <c r="O367" i="5"/>
  <c r="Q367" i="5" s="1"/>
  <c r="N367" i="5"/>
  <c r="M367" i="5"/>
  <c r="L367" i="5"/>
  <c r="K367" i="5"/>
  <c r="J367" i="5"/>
  <c r="H367" i="5"/>
  <c r="P366" i="5"/>
  <c r="O366" i="5"/>
  <c r="Q366" i="5" s="1"/>
  <c r="N366" i="5"/>
  <c r="M366" i="5"/>
  <c r="L366" i="5"/>
  <c r="K366" i="5"/>
  <c r="J366" i="5"/>
  <c r="H366" i="5"/>
  <c r="P365" i="5"/>
  <c r="O365" i="5"/>
  <c r="Q365" i="5" s="1"/>
  <c r="N365" i="5"/>
  <c r="M365" i="5"/>
  <c r="L365" i="5"/>
  <c r="K365" i="5"/>
  <c r="J365" i="5"/>
  <c r="H365" i="5"/>
  <c r="P364" i="5"/>
  <c r="O364" i="5"/>
  <c r="Q364" i="5" s="1"/>
  <c r="N364" i="5"/>
  <c r="M364" i="5"/>
  <c r="L364" i="5"/>
  <c r="K364" i="5"/>
  <c r="J364" i="5"/>
  <c r="H364" i="5"/>
  <c r="P363" i="5"/>
  <c r="O363" i="5"/>
  <c r="Q363" i="5" s="1"/>
  <c r="N363" i="5"/>
  <c r="M363" i="5"/>
  <c r="L363" i="5"/>
  <c r="K363" i="5"/>
  <c r="J363" i="5"/>
  <c r="H363" i="5"/>
  <c r="P362" i="5"/>
  <c r="O362" i="5"/>
  <c r="Q362" i="5" s="1"/>
  <c r="N362" i="5"/>
  <c r="M362" i="5"/>
  <c r="L362" i="5"/>
  <c r="K362" i="5"/>
  <c r="J362" i="5"/>
  <c r="H362" i="5"/>
  <c r="P361" i="5"/>
  <c r="O361" i="5"/>
  <c r="Q361" i="5" s="1"/>
  <c r="N361" i="5"/>
  <c r="M361" i="5"/>
  <c r="L361" i="5"/>
  <c r="K361" i="5"/>
  <c r="J361" i="5"/>
  <c r="H361" i="5"/>
  <c r="P360" i="5"/>
  <c r="O360" i="5"/>
  <c r="Q360" i="5" s="1"/>
  <c r="N360" i="5"/>
  <c r="M360" i="5"/>
  <c r="L360" i="5"/>
  <c r="K360" i="5"/>
  <c r="J360" i="5"/>
  <c r="H360" i="5"/>
  <c r="P359" i="5"/>
  <c r="O359" i="5"/>
  <c r="Q359" i="5" s="1"/>
  <c r="N359" i="5"/>
  <c r="M359" i="5"/>
  <c r="L359" i="5"/>
  <c r="K359" i="5"/>
  <c r="J359" i="5"/>
  <c r="H359" i="5"/>
  <c r="P358" i="5"/>
  <c r="O358" i="5"/>
  <c r="Q358" i="5" s="1"/>
  <c r="N358" i="5"/>
  <c r="M358" i="5"/>
  <c r="L358" i="5"/>
  <c r="K358" i="5"/>
  <c r="J358" i="5"/>
  <c r="H358" i="5"/>
  <c r="P357" i="5"/>
  <c r="O357" i="5"/>
  <c r="Q357" i="5" s="1"/>
  <c r="N357" i="5"/>
  <c r="M357" i="5"/>
  <c r="L357" i="5"/>
  <c r="K357" i="5"/>
  <c r="J357" i="5"/>
  <c r="H357" i="5"/>
  <c r="P356" i="5"/>
  <c r="O356" i="5"/>
  <c r="Q356" i="5" s="1"/>
  <c r="N356" i="5"/>
  <c r="M356" i="5"/>
  <c r="L356" i="5"/>
  <c r="K356" i="5"/>
  <c r="J356" i="5"/>
  <c r="H356" i="5"/>
  <c r="P355" i="5"/>
  <c r="O355" i="5"/>
  <c r="Q355" i="5" s="1"/>
  <c r="N355" i="5"/>
  <c r="M355" i="5"/>
  <c r="L355" i="5"/>
  <c r="K355" i="5"/>
  <c r="J355" i="5"/>
  <c r="H355" i="5"/>
  <c r="P354" i="5"/>
  <c r="O354" i="5"/>
  <c r="Q354" i="5" s="1"/>
  <c r="N354" i="5"/>
  <c r="M354" i="5"/>
  <c r="L354" i="5"/>
  <c r="K354" i="5"/>
  <c r="J354" i="5"/>
  <c r="H354" i="5"/>
  <c r="P353" i="5"/>
  <c r="O353" i="5"/>
  <c r="Q353" i="5" s="1"/>
  <c r="N353" i="5"/>
  <c r="M353" i="5"/>
  <c r="L353" i="5"/>
  <c r="K353" i="5"/>
  <c r="J353" i="5"/>
  <c r="H353" i="5"/>
  <c r="P352" i="5"/>
  <c r="O352" i="5"/>
  <c r="Q352" i="5" s="1"/>
  <c r="N352" i="5"/>
  <c r="M352" i="5"/>
  <c r="L352" i="5"/>
  <c r="K352" i="5"/>
  <c r="J352" i="5"/>
  <c r="H352" i="5"/>
  <c r="P351" i="5"/>
  <c r="O351" i="5"/>
  <c r="Q351" i="5" s="1"/>
  <c r="N351" i="5"/>
  <c r="M351" i="5"/>
  <c r="L351" i="5"/>
  <c r="K351" i="5"/>
  <c r="J351" i="5"/>
  <c r="H351" i="5"/>
  <c r="P350" i="5"/>
  <c r="O350" i="5"/>
  <c r="Q350" i="5" s="1"/>
  <c r="N350" i="5"/>
  <c r="M350" i="5"/>
  <c r="L350" i="5"/>
  <c r="K350" i="5"/>
  <c r="J350" i="5"/>
  <c r="H350" i="5"/>
  <c r="P349" i="5"/>
  <c r="O349" i="5"/>
  <c r="Q349" i="5" s="1"/>
  <c r="N349" i="5"/>
  <c r="M349" i="5"/>
  <c r="L349" i="5"/>
  <c r="K349" i="5"/>
  <c r="J349" i="5"/>
  <c r="H349" i="5"/>
  <c r="P348" i="5"/>
  <c r="O348" i="5"/>
  <c r="Q348" i="5" s="1"/>
  <c r="N348" i="5"/>
  <c r="M348" i="5"/>
  <c r="L348" i="5"/>
  <c r="K348" i="5"/>
  <c r="J348" i="5"/>
  <c r="H348" i="5"/>
  <c r="P347" i="5"/>
  <c r="O347" i="5"/>
  <c r="Q347" i="5" s="1"/>
  <c r="N347" i="5"/>
  <c r="M347" i="5"/>
  <c r="L347" i="5"/>
  <c r="K347" i="5"/>
  <c r="J347" i="5"/>
  <c r="H347" i="5"/>
  <c r="P346" i="5"/>
  <c r="O346" i="5"/>
  <c r="Q346" i="5" s="1"/>
  <c r="N346" i="5"/>
  <c r="M346" i="5"/>
  <c r="L346" i="5"/>
  <c r="K346" i="5"/>
  <c r="J346" i="5"/>
  <c r="H346" i="5"/>
  <c r="P345" i="5"/>
  <c r="O345" i="5"/>
  <c r="Q345" i="5" s="1"/>
  <c r="N345" i="5"/>
  <c r="M345" i="5"/>
  <c r="L345" i="5"/>
  <c r="K345" i="5"/>
  <c r="J345" i="5"/>
  <c r="H345" i="5"/>
  <c r="P344" i="5"/>
  <c r="O344" i="5"/>
  <c r="Q344" i="5" s="1"/>
  <c r="N344" i="5"/>
  <c r="M344" i="5"/>
  <c r="L344" i="5"/>
  <c r="K344" i="5"/>
  <c r="J344" i="5"/>
  <c r="H344" i="5"/>
  <c r="P343" i="5"/>
  <c r="O343" i="5"/>
  <c r="Q343" i="5" s="1"/>
  <c r="N343" i="5"/>
  <c r="M343" i="5"/>
  <c r="L343" i="5"/>
  <c r="K343" i="5"/>
  <c r="J343" i="5"/>
  <c r="H343" i="5"/>
  <c r="P342" i="5"/>
  <c r="O342" i="5"/>
  <c r="Q342" i="5" s="1"/>
  <c r="N342" i="5"/>
  <c r="M342" i="5"/>
  <c r="L342" i="5"/>
  <c r="K342" i="5"/>
  <c r="J342" i="5"/>
  <c r="H342" i="5"/>
  <c r="P341" i="5"/>
  <c r="O341" i="5"/>
  <c r="Q341" i="5" s="1"/>
  <c r="N341" i="5"/>
  <c r="M341" i="5"/>
  <c r="L341" i="5"/>
  <c r="K341" i="5"/>
  <c r="J341" i="5"/>
  <c r="H341" i="5"/>
  <c r="P340" i="5"/>
  <c r="O340" i="5"/>
  <c r="Q340" i="5" s="1"/>
  <c r="N340" i="5"/>
  <c r="M340" i="5"/>
  <c r="L340" i="5"/>
  <c r="K340" i="5"/>
  <c r="J340" i="5"/>
  <c r="H340" i="5"/>
  <c r="P339" i="5"/>
  <c r="O339" i="5"/>
  <c r="Q339" i="5" s="1"/>
  <c r="N339" i="5"/>
  <c r="M339" i="5"/>
  <c r="L339" i="5"/>
  <c r="K339" i="5"/>
  <c r="J339" i="5"/>
  <c r="H339" i="5"/>
  <c r="P338" i="5"/>
  <c r="O338" i="5"/>
  <c r="Q338" i="5" s="1"/>
  <c r="N338" i="5"/>
  <c r="M338" i="5"/>
  <c r="L338" i="5"/>
  <c r="K338" i="5"/>
  <c r="J338" i="5"/>
  <c r="H338" i="5"/>
  <c r="P337" i="5"/>
  <c r="O337" i="5"/>
  <c r="Q337" i="5" s="1"/>
  <c r="N337" i="5"/>
  <c r="M337" i="5"/>
  <c r="L337" i="5"/>
  <c r="K337" i="5"/>
  <c r="J337" i="5"/>
  <c r="H337" i="5"/>
  <c r="P336" i="5"/>
  <c r="O336" i="5"/>
  <c r="Q336" i="5" s="1"/>
  <c r="N336" i="5"/>
  <c r="M336" i="5"/>
  <c r="L336" i="5"/>
  <c r="K336" i="5"/>
  <c r="J336" i="5"/>
  <c r="H336" i="5"/>
  <c r="P335" i="5"/>
  <c r="O335" i="5"/>
  <c r="Q335" i="5" s="1"/>
  <c r="N335" i="5"/>
  <c r="M335" i="5"/>
  <c r="L335" i="5"/>
  <c r="K335" i="5"/>
  <c r="J335" i="5"/>
  <c r="H335" i="5"/>
  <c r="P334" i="5"/>
  <c r="O334" i="5"/>
  <c r="Q334" i="5" s="1"/>
  <c r="N334" i="5"/>
  <c r="M334" i="5"/>
  <c r="L334" i="5"/>
  <c r="K334" i="5"/>
  <c r="J334" i="5"/>
  <c r="H334" i="5"/>
  <c r="P333" i="5"/>
  <c r="O333" i="5"/>
  <c r="Q333" i="5" s="1"/>
  <c r="N333" i="5"/>
  <c r="M333" i="5"/>
  <c r="L333" i="5"/>
  <c r="K333" i="5"/>
  <c r="J333" i="5"/>
  <c r="H333" i="5"/>
  <c r="P332" i="5"/>
  <c r="O332" i="5"/>
  <c r="Q332" i="5" s="1"/>
  <c r="N332" i="5"/>
  <c r="M332" i="5"/>
  <c r="L332" i="5"/>
  <c r="K332" i="5"/>
  <c r="J332" i="5"/>
  <c r="H332" i="5"/>
  <c r="P331" i="5"/>
  <c r="O331" i="5"/>
  <c r="Q331" i="5" s="1"/>
  <c r="N331" i="5"/>
  <c r="M331" i="5"/>
  <c r="L331" i="5"/>
  <c r="K331" i="5"/>
  <c r="J331" i="5"/>
  <c r="H331" i="5"/>
  <c r="P330" i="5"/>
  <c r="O330" i="5"/>
  <c r="Q330" i="5" s="1"/>
  <c r="N330" i="5"/>
  <c r="M330" i="5"/>
  <c r="L330" i="5"/>
  <c r="K330" i="5"/>
  <c r="J330" i="5"/>
  <c r="H330" i="5"/>
  <c r="P329" i="5"/>
  <c r="O329" i="5"/>
  <c r="Q329" i="5" s="1"/>
  <c r="N329" i="5"/>
  <c r="M329" i="5"/>
  <c r="L329" i="5"/>
  <c r="K329" i="5"/>
  <c r="J329" i="5"/>
  <c r="H329" i="5"/>
  <c r="P328" i="5"/>
  <c r="O328" i="5"/>
  <c r="Q328" i="5" s="1"/>
  <c r="N328" i="5"/>
  <c r="M328" i="5"/>
  <c r="L328" i="5"/>
  <c r="K328" i="5"/>
  <c r="J328" i="5"/>
  <c r="H328" i="5"/>
  <c r="P327" i="5"/>
  <c r="O327" i="5"/>
  <c r="Q327" i="5" s="1"/>
  <c r="N327" i="5"/>
  <c r="M327" i="5"/>
  <c r="L327" i="5"/>
  <c r="K327" i="5"/>
  <c r="J327" i="5"/>
  <c r="H327" i="5"/>
  <c r="P326" i="5"/>
  <c r="O326" i="5"/>
  <c r="Q326" i="5" s="1"/>
  <c r="N326" i="5"/>
  <c r="M326" i="5"/>
  <c r="L326" i="5"/>
  <c r="K326" i="5"/>
  <c r="J326" i="5"/>
  <c r="H326" i="5"/>
  <c r="P325" i="5"/>
  <c r="O325" i="5"/>
  <c r="Q325" i="5" s="1"/>
  <c r="N325" i="5"/>
  <c r="M325" i="5"/>
  <c r="L325" i="5"/>
  <c r="K325" i="5"/>
  <c r="J325" i="5"/>
  <c r="H325" i="5"/>
  <c r="P324" i="5"/>
  <c r="O324" i="5"/>
  <c r="Q324" i="5" s="1"/>
  <c r="N324" i="5"/>
  <c r="M324" i="5"/>
  <c r="L324" i="5"/>
  <c r="K324" i="5"/>
  <c r="J324" i="5"/>
  <c r="H324" i="5"/>
  <c r="P323" i="5"/>
  <c r="O323" i="5"/>
  <c r="Q323" i="5" s="1"/>
  <c r="N323" i="5"/>
  <c r="M323" i="5"/>
  <c r="L323" i="5"/>
  <c r="K323" i="5"/>
  <c r="J323" i="5"/>
  <c r="H323" i="5"/>
  <c r="P322" i="5"/>
  <c r="O322" i="5"/>
  <c r="Q322" i="5" s="1"/>
  <c r="N322" i="5"/>
  <c r="M322" i="5"/>
  <c r="L322" i="5"/>
  <c r="K322" i="5"/>
  <c r="J322" i="5"/>
  <c r="H322" i="5"/>
  <c r="P321" i="5"/>
  <c r="O321" i="5"/>
  <c r="Q321" i="5" s="1"/>
  <c r="N321" i="5"/>
  <c r="M321" i="5"/>
  <c r="L321" i="5"/>
  <c r="K321" i="5"/>
  <c r="J321" i="5"/>
  <c r="H321" i="5"/>
  <c r="P320" i="5"/>
  <c r="O320" i="5"/>
  <c r="Q320" i="5" s="1"/>
  <c r="N320" i="5"/>
  <c r="M320" i="5"/>
  <c r="L320" i="5"/>
  <c r="K320" i="5"/>
  <c r="J320" i="5"/>
  <c r="H320" i="5"/>
  <c r="P319" i="5"/>
  <c r="O319" i="5"/>
  <c r="Q319" i="5" s="1"/>
  <c r="N319" i="5"/>
  <c r="M319" i="5"/>
  <c r="L319" i="5"/>
  <c r="K319" i="5"/>
  <c r="J319" i="5"/>
  <c r="H319" i="5"/>
  <c r="P318" i="5"/>
  <c r="O318" i="5"/>
  <c r="Q318" i="5" s="1"/>
  <c r="N318" i="5"/>
  <c r="M318" i="5"/>
  <c r="L318" i="5"/>
  <c r="K318" i="5"/>
  <c r="J318" i="5"/>
  <c r="H318" i="5"/>
  <c r="P317" i="5"/>
  <c r="O317" i="5"/>
  <c r="Q317" i="5" s="1"/>
  <c r="N317" i="5"/>
  <c r="M317" i="5"/>
  <c r="L317" i="5"/>
  <c r="K317" i="5"/>
  <c r="J317" i="5"/>
  <c r="H317" i="5"/>
  <c r="P316" i="5"/>
  <c r="O316" i="5"/>
  <c r="Q316" i="5" s="1"/>
  <c r="N316" i="5"/>
  <c r="M316" i="5"/>
  <c r="L316" i="5"/>
  <c r="K316" i="5"/>
  <c r="J316" i="5"/>
  <c r="H316" i="5"/>
  <c r="P315" i="5"/>
  <c r="O315" i="5"/>
  <c r="Q315" i="5" s="1"/>
  <c r="N315" i="5"/>
  <c r="M315" i="5"/>
  <c r="L315" i="5"/>
  <c r="K315" i="5"/>
  <c r="J315" i="5"/>
  <c r="H315" i="5"/>
  <c r="P314" i="5"/>
  <c r="O314" i="5"/>
  <c r="Q314" i="5" s="1"/>
  <c r="N314" i="5"/>
  <c r="M314" i="5"/>
  <c r="L314" i="5"/>
  <c r="K314" i="5"/>
  <c r="J314" i="5"/>
  <c r="H314" i="5"/>
  <c r="P313" i="5"/>
  <c r="O313" i="5"/>
  <c r="Q313" i="5" s="1"/>
  <c r="N313" i="5"/>
  <c r="M313" i="5"/>
  <c r="L313" i="5"/>
  <c r="K313" i="5"/>
  <c r="J313" i="5"/>
  <c r="H313" i="5"/>
  <c r="P312" i="5"/>
  <c r="O312" i="5"/>
  <c r="Q312" i="5" s="1"/>
  <c r="N312" i="5"/>
  <c r="M312" i="5"/>
  <c r="L312" i="5"/>
  <c r="K312" i="5"/>
  <c r="J312" i="5"/>
  <c r="H312" i="5"/>
  <c r="P311" i="5"/>
  <c r="O311" i="5"/>
  <c r="Q311" i="5" s="1"/>
  <c r="N311" i="5"/>
  <c r="M311" i="5"/>
  <c r="L311" i="5"/>
  <c r="K311" i="5"/>
  <c r="J311" i="5"/>
  <c r="H311" i="5"/>
  <c r="P310" i="5"/>
  <c r="O310" i="5"/>
  <c r="Q310" i="5" s="1"/>
  <c r="N310" i="5"/>
  <c r="M310" i="5"/>
  <c r="L310" i="5"/>
  <c r="K310" i="5"/>
  <c r="J310" i="5"/>
  <c r="H310" i="5"/>
  <c r="P309" i="5"/>
  <c r="O309" i="5"/>
  <c r="Q309" i="5" s="1"/>
  <c r="N309" i="5"/>
  <c r="M309" i="5"/>
  <c r="L309" i="5"/>
  <c r="K309" i="5"/>
  <c r="J309" i="5"/>
  <c r="H309" i="5"/>
  <c r="P308" i="5"/>
  <c r="O308" i="5"/>
  <c r="Q308" i="5" s="1"/>
  <c r="N308" i="5"/>
  <c r="M308" i="5"/>
  <c r="L308" i="5"/>
  <c r="K308" i="5"/>
  <c r="J308" i="5"/>
  <c r="H308" i="5"/>
  <c r="P307" i="5"/>
  <c r="O307" i="5"/>
  <c r="Q307" i="5" s="1"/>
  <c r="N307" i="5"/>
  <c r="M307" i="5"/>
  <c r="L307" i="5"/>
  <c r="K307" i="5"/>
  <c r="J307" i="5"/>
  <c r="H307" i="5"/>
  <c r="P306" i="5"/>
  <c r="O306" i="5"/>
  <c r="Q306" i="5" s="1"/>
  <c r="N306" i="5"/>
  <c r="M306" i="5"/>
  <c r="L306" i="5"/>
  <c r="K306" i="5"/>
  <c r="J306" i="5"/>
  <c r="H306" i="5"/>
  <c r="P305" i="5"/>
  <c r="O305" i="5"/>
  <c r="Q305" i="5" s="1"/>
  <c r="N305" i="5"/>
  <c r="M305" i="5"/>
  <c r="L305" i="5"/>
  <c r="K305" i="5"/>
  <c r="J305" i="5"/>
  <c r="H305" i="5"/>
  <c r="P304" i="5"/>
  <c r="O304" i="5"/>
  <c r="Q304" i="5" s="1"/>
  <c r="N304" i="5"/>
  <c r="M304" i="5"/>
  <c r="L304" i="5"/>
  <c r="K304" i="5"/>
  <c r="J304" i="5"/>
  <c r="H304" i="5"/>
  <c r="P303" i="5"/>
  <c r="O303" i="5"/>
  <c r="Q303" i="5" s="1"/>
  <c r="N303" i="5"/>
  <c r="M303" i="5"/>
  <c r="L303" i="5"/>
  <c r="K303" i="5"/>
  <c r="J303" i="5"/>
  <c r="H303" i="5"/>
  <c r="P302" i="5"/>
  <c r="O302" i="5"/>
  <c r="Q302" i="5" s="1"/>
  <c r="N302" i="5"/>
  <c r="M302" i="5"/>
  <c r="L302" i="5"/>
  <c r="K302" i="5"/>
  <c r="J302" i="5"/>
  <c r="H302" i="5"/>
  <c r="P301" i="5"/>
  <c r="O301" i="5"/>
  <c r="Q301" i="5" s="1"/>
  <c r="N301" i="5"/>
  <c r="M301" i="5"/>
  <c r="L301" i="5"/>
  <c r="K301" i="5"/>
  <c r="J301" i="5"/>
  <c r="H301" i="5"/>
  <c r="P300" i="5"/>
  <c r="O300" i="5"/>
  <c r="Q300" i="5" s="1"/>
  <c r="N300" i="5"/>
  <c r="M300" i="5"/>
  <c r="L300" i="5"/>
  <c r="K300" i="5"/>
  <c r="J300" i="5"/>
  <c r="H300" i="5"/>
  <c r="P299" i="5"/>
  <c r="O299" i="5"/>
  <c r="Q299" i="5" s="1"/>
  <c r="N299" i="5"/>
  <c r="M299" i="5"/>
  <c r="L299" i="5"/>
  <c r="K299" i="5"/>
  <c r="J299" i="5"/>
  <c r="H299" i="5"/>
  <c r="P298" i="5"/>
  <c r="O298" i="5"/>
  <c r="Q298" i="5" s="1"/>
  <c r="N298" i="5"/>
  <c r="M298" i="5"/>
  <c r="L298" i="5"/>
  <c r="K298" i="5"/>
  <c r="J298" i="5"/>
  <c r="H298" i="5"/>
  <c r="P297" i="5"/>
  <c r="O297" i="5"/>
  <c r="Q297" i="5" s="1"/>
  <c r="N297" i="5"/>
  <c r="M297" i="5"/>
  <c r="L297" i="5"/>
  <c r="K297" i="5"/>
  <c r="J297" i="5"/>
  <c r="H297" i="5"/>
  <c r="P296" i="5"/>
  <c r="O296" i="5"/>
  <c r="Q296" i="5" s="1"/>
  <c r="N296" i="5"/>
  <c r="M296" i="5"/>
  <c r="L296" i="5"/>
  <c r="K296" i="5"/>
  <c r="J296" i="5"/>
  <c r="H296" i="5"/>
  <c r="P295" i="5"/>
  <c r="O295" i="5"/>
  <c r="Q295" i="5" s="1"/>
  <c r="N295" i="5"/>
  <c r="M295" i="5"/>
  <c r="L295" i="5"/>
  <c r="K295" i="5"/>
  <c r="J295" i="5"/>
  <c r="H295" i="5"/>
  <c r="P294" i="5"/>
  <c r="O294" i="5"/>
  <c r="Q294" i="5" s="1"/>
  <c r="N294" i="5"/>
  <c r="M294" i="5"/>
  <c r="L294" i="5"/>
  <c r="K294" i="5"/>
  <c r="J294" i="5"/>
  <c r="H294" i="5"/>
  <c r="P293" i="5"/>
  <c r="O293" i="5"/>
  <c r="Q293" i="5" s="1"/>
  <c r="N293" i="5"/>
  <c r="M293" i="5"/>
  <c r="L293" i="5"/>
  <c r="K293" i="5"/>
  <c r="J293" i="5"/>
  <c r="H293" i="5"/>
  <c r="P292" i="5"/>
  <c r="O292" i="5"/>
  <c r="Q292" i="5" s="1"/>
  <c r="N292" i="5"/>
  <c r="M292" i="5"/>
  <c r="L292" i="5"/>
  <c r="K292" i="5"/>
  <c r="J292" i="5"/>
  <c r="H292" i="5"/>
  <c r="P291" i="5"/>
  <c r="O291" i="5"/>
  <c r="Q291" i="5" s="1"/>
  <c r="N291" i="5"/>
  <c r="M291" i="5"/>
  <c r="L291" i="5"/>
  <c r="K291" i="5"/>
  <c r="J291" i="5"/>
  <c r="H291" i="5"/>
  <c r="P290" i="5"/>
  <c r="O290" i="5"/>
  <c r="Q290" i="5" s="1"/>
  <c r="N290" i="5"/>
  <c r="M290" i="5"/>
  <c r="L290" i="5"/>
  <c r="K290" i="5"/>
  <c r="J290" i="5"/>
  <c r="H290" i="5"/>
  <c r="P289" i="5"/>
  <c r="O289" i="5"/>
  <c r="Q289" i="5" s="1"/>
  <c r="N289" i="5"/>
  <c r="M289" i="5"/>
  <c r="L289" i="5"/>
  <c r="K289" i="5"/>
  <c r="J289" i="5"/>
  <c r="H289" i="5"/>
  <c r="P288" i="5"/>
  <c r="O288" i="5"/>
  <c r="Q288" i="5" s="1"/>
  <c r="N288" i="5"/>
  <c r="M288" i="5"/>
  <c r="L288" i="5"/>
  <c r="K288" i="5"/>
  <c r="J288" i="5"/>
  <c r="H288" i="5"/>
  <c r="P287" i="5"/>
  <c r="O287" i="5"/>
  <c r="Q287" i="5" s="1"/>
  <c r="N287" i="5"/>
  <c r="M287" i="5"/>
  <c r="L287" i="5"/>
  <c r="K287" i="5"/>
  <c r="J287" i="5"/>
  <c r="H287" i="5"/>
  <c r="P286" i="5"/>
  <c r="O286" i="5"/>
  <c r="Q286" i="5" s="1"/>
  <c r="N286" i="5"/>
  <c r="M286" i="5"/>
  <c r="L286" i="5"/>
  <c r="K286" i="5"/>
  <c r="J286" i="5"/>
  <c r="H286" i="5"/>
  <c r="P285" i="5"/>
  <c r="O285" i="5"/>
  <c r="Q285" i="5" s="1"/>
  <c r="N285" i="5"/>
  <c r="M285" i="5"/>
  <c r="L285" i="5"/>
  <c r="K285" i="5"/>
  <c r="J285" i="5"/>
  <c r="H285" i="5"/>
  <c r="P284" i="5"/>
  <c r="O284" i="5"/>
  <c r="Q284" i="5" s="1"/>
  <c r="N284" i="5"/>
  <c r="M284" i="5"/>
  <c r="L284" i="5"/>
  <c r="K284" i="5"/>
  <c r="J284" i="5"/>
  <c r="H284" i="5"/>
  <c r="P283" i="5"/>
  <c r="O283" i="5"/>
  <c r="Q283" i="5" s="1"/>
  <c r="N283" i="5"/>
  <c r="M283" i="5"/>
  <c r="L283" i="5"/>
  <c r="K283" i="5"/>
  <c r="J283" i="5"/>
  <c r="H283" i="5"/>
  <c r="P282" i="5"/>
  <c r="O282" i="5"/>
  <c r="Q282" i="5" s="1"/>
  <c r="N282" i="5"/>
  <c r="M282" i="5"/>
  <c r="L282" i="5"/>
  <c r="K282" i="5"/>
  <c r="J282" i="5"/>
  <c r="H282" i="5"/>
  <c r="P281" i="5"/>
  <c r="O281" i="5"/>
  <c r="Q281" i="5" s="1"/>
  <c r="N281" i="5"/>
  <c r="M281" i="5"/>
  <c r="L281" i="5"/>
  <c r="K281" i="5"/>
  <c r="J281" i="5"/>
  <c r="H281" i="5"/>
  <c r="P280" i="5"/>
  <c r="O280" i="5"/>
  <c r="Q280" i="5" s="1"/>
  <c r="N280" i="5"/>
  <c r="M280" i="5"/>
  <c r="L280" i="5"/>
  <c r="K280" i="5"/>
  <c r="J280" i="5"/>
  <c r="H280" i="5"/>
  <c r="P279" i="5"/>
  <c r="O279" i="5"/>
  <c r="Q279" i="5" s="1"/>
  <c r="N279" i="5"/>
  <c r="M279" i="5"/>
  <c r="L279" i="5"/>
  <c r="K279" i="5"/>
  <c r="J279" i="5"/>
  <c r="H279" i="5"/>
  <c r="P278" i="5"/>
  <c r="O278" i="5"/>
  <c r="Q278" i="5" s="1"/>
  <c r="N278" i="5"/>
  <c r="M278" i="5"/>
  <c r="L278" i="5"/>
  <c r="K278" i="5"/>
  <c r="J278" i="5"/>
  <c r="H278" i="5"/>
  <c r="P277" i="5"/>
  <c r="O277" i="5"/>
  <c r="Q277" i="5" s="1"/>
  <c r="N277" i="5"/>
  <c r="M277" i="5"/>
  <c r="L277" i="5"/>
  <c r="K277" i="5"/>
  <c r="J277" i="5"/>
  <c r="H277" i="5"/>
  <c r="P276" i="5"/>
  <c r="O276" i="5"/>
  <c r="Q276" i="5" s="1"/>
  <c r="N276" i="5"/>
  <c r="M276" i="5"/>
  <c r="L276" i="5"/>
  <c r="K276" i="5"/>
  <c r="J276" i="5"/>
  <c r="H276" i="5"/>
  <c r="P275" i="5"/>
  <c r="O275" i="5"/>
  <c r="Q275" i="5" s="1"/>
  <c r="N275" i="5"/>
  <c r="M275" i="5"/>
  <c r="L275" i="5"/>
  <c r="K275" i="5"/>
  <c r="J275" i="5"/>
  <c r="H275" i="5"/>
  <c r="P274" i="5"/>
  <c r="O274" i="5"/>
  <c r="Q274" i="5" s="1"/>
  <c r="N274" i="5"/>
  <c r="M274" i="5"/>
  <c r="L274" i="5"/>
  <c r="K274" i="5"/>
  <c r="J274" i="5"/>
  <c r="H274" i="5"/>
  <c r="P273" i="5"/>
  <c r="O273" i="5"/>
  <c r="Q273" i="5" s="1"/>
  <c r="N273" i="5"/>
  <c r="M273" i="5"/>
  <c r="L273" i="5"/>
  <c r="K273" i="5"/>
  <c r="J273" i="5"/>
  <c r="H273" i="5"/>
  <c r="P272" i="5"/>
  <c r="O272" i="5"/>
  <c r="Q272" i="5" s="1"/>
  <c r="N272" i="5"/>
  <c r="M272" i="5"/>
  <c r="L272" i="5"/>
  <c r="K272" i="5"/>
  <c r="J272" i="5"/>
  <c r="H272" i="5"/>
  <c r="P271" i="5"/>
  <c r="O271" i="5"/>
  <c r="Q271" i="5" s="1"/>
  <c r="N271" i="5"/>
  <c r="M271" i="5"/>
  <c r="L271" i="5"/>
  <c r="K271" i="5"/>
  <c r="J271" i="5"/>
  <c r="H271" i="5"/>
  <c r="P270" i="5"/>
  <c r="O270" i="5"/>
  <c r="Q270" i="5" s="1"/>
  <c r="N270" i="5"/>
  <c r="M270" i="5"/>
  <c r="L270" i="5"/>
  <c r="K270" i="5"/>
  <c r="J270" i="5"/>
  <c r="H270" i="5"/>
  <c r="P269" i="5"/>
  <c r="O269" i="5"/>
  <c r="Q269" i="5" s="1"/>
  <c r="N269" i="5"/>
  <c r="M269" i="5"/>
  <c r="L269" i="5"/>
  <c r="K269" i="5"/>
  <c r="J269" i="5"/>
  <c r="H269" i="5"/>
  <c r="P268" i="5"/>
  <c r="O268" i="5"/>
  <c r="Q268" i="5" s="1"/>
  <c r="N268" i="5"/>
  <c r="M268" i="5"/>
  <c r="L268" i="5"/>
  <c r="K268" i="5"/>
  <c r="J268" i="5"/>
  <c r="H268" i="5"/>
  <c r="P267" i="5"/>
  <c r="O267" i="5"/>
  <c r="Q267" i="5" s="1"/>
  <c r="N267" i="5"/>
  <c r="M267" i="5"/>
  <c r="L267" i="5"/>
  <c r="K267" i="5"/>
  <c r="J267" i="5"/>
  <c r="H267" i="5"/>
  <c r="P266" i="5"/>
  <c r="O266" i="5"/>
  <c r="Q266" i="5" s="1"/>
  <c r="N266" i="5"/>
  <c r="M266" i="5"/>
  <c r="L266" i="5"/>
  <c r="K266" i="5"/>
  <c r="J266" i="5"/>
  <c r="H266" i="5"/>
  <c r="P265" i="5"/>
  <c r="O265" i="5"/>
  <c r="Q265" i="5" s="1"/>
  <c r="N265" i="5"/>
  <c r="M265" i="5"/>
  <c r="L265" i="5"/>
  <c r="K265" i="5"/>
  <c r="J265" i="5"/>
  <c r="H265" i="5"/>
  <c r="P264" i="5"/>
  <c r="O264" i="5"/>
  <c r="Q264" i="5" s="1"/>
  <c r="N264" i="5"/>
  <c r="M264" i="5"/>
  <c r="L264" i="5"/>
  <c r="K264" i="5"/>
  <c r="J264" i="5"/>
  <c r="H264" i="5"/>
  <c r="P263" i="5"/>
  <c r="O263" i="5"/>
  <c r="Q263" i="5" s="1"/>
  <c r="N263" i="5"/>
  <c r="M263" i="5"/>
  <c r="L263" i="5"/>
  <c r="K263" i="5"/>
  <c r="J263" i="5"/>
  <c r="H263" i="5"/>
  <c r="P262" i="5"/>
  <c r="O262" i="5"/>
  <c r="Q262" i="5" s="1"/>
  <c r="N262" i="5"/>
  <c r="M262" i="5"/>
  <c r="L262" i="5"/>
  <c r="K262" i="5"/>
  <c r="J262" i="5"/>
  <c r="H262" i="5"/>
  <c r="P261" i="5"/>
  <c r="O261" i="5"/>
  <c r="Q261" i="5" s="1"/>
  <c r="N261" i="5"/>
  <c r="M261" i="5"/>
  <c r="L261" i="5"/>
  <c r="K261" i="5"/>
  <c r="J261" i="5"/>
  <c r="H261" i="5"/>
  <c r="P260" i="5"/>
  <c r="O260" i="5"/>
  <c r="Q260" i="5" s="1"/>
  <c r="N260" i="5"/>
  <c r="M260" i="5"/>
  <c r="L260" i="5"/>
  <c r="K260" i="5"/>
  <c r="J260" i="5"/>
  <c r="H260" i="5"/>
  <c r="P259" i="5"/>
  <c r="O259" i="5"/>
  <c r="Q259" i="5" s="1"/>
  <c r="N259" i="5"/>
  <c r="M259" i="5"/>
  <c r="L259" i="5"/>
  <c r="K259" i="5"/>
  <c r="J259" i="5"/>
  <c r="H259" i="5"/>
  <c r="P258" i="5"/>
  <c r="O258" i="5"/>
  <c r="Q258" i="5" s="1"/>
  <c r="N258" i="5"/>
  <c r="M258" i="5"/>
  <c r="L258" i="5"/>
  <c r="K258" i="5"/>
  <c r="J258" i="5"/>
  <c r="H258" i="5"/>
  <c r="P257" i="5"/>
  <c r="O257" i="5"/>
  <c r="Q257" i="5" s="1"/>
  <c r="N257" i="5"/>
  <c r="M257" i="5"/>
  <c r="L257" i="5"/>
  <c r="K257" i="5"/>
  <c r="J257" i="5"/>
  <c r="H257" i="5"/>
  <c r="P256" i="5"/>
  <c r="O256" i="5"/>
  <c r="Q256" i="5" s="1"/>
  <c r="N256" i="5"/>
  <c r="M256" i="5"/>
  <c r="L256" i="5"/>
  <c r="K256" i="5"/>
  <c r="J256" i="5"/>
  <c r="H256" i="5"/>
  <c r="P255" i="5"/>
  <c r="O255" i="5"/>
  <c r="Q255" i="5" s="1"/>
  <c r="N255" i="5"/>
  <c r="M255" i="5"/>
  <c r="L255" i="5"/>
  <c r="K255" i="5"/>
  <c r="J255" i="5"/>
  <c r="H255" i="5"/>
  <c r="P254" i="5"/>
  <c r="O254" i="5"/>
  <c r="Q254" i="5" s="1"/>
  <c r="N254" i="5"/>
  <c r="M254" i="5"/>
  <c r="L254" i="5"/>
  <c r="K254" i="5"/>
  <c r="J254" i="5"/>
  <c r="H254" i="5"/>
  <c r="P253" i="5"/>
  <c r="O253" i="5"/>
  <c r="Q253" i="5" s="1"/>
  <c r="N253" i="5"/>
  <c r="M253" i="5"/>
  <c r="L253" i="5"/>
  <c r="K253" i="5"/>
  <c r="J253" i="5"/>
  <c r="H253" i="5"/>
  <c r="P252" i="5"/>
  <c r="O252" i="5"/>
  <c r="Q252" i="5" s="1"/>
  <c r="N252" i="5"/>
  <c r="M252" i="5"/>
  <c r="L252" i="5"/>
  <c r="K252" i="5"/>
  <c r="J252" i="5"/>
  <c r="H252" i="5"/>
  <c r="P251" i="5"/>
  <c r="O251" i="5"/>
  <c r="Q251" i="5" s="1"/>
  <c r="N251" i="5"/>
  <c r="M251" i="5"/>
  <c r="L251" i="5"/>
  <c r="K251" i="5"/>
  <c r="J251" i="5"/>
  <c r="H251" i="5"/>
  <c r="P250" i="5"/>
  <c r="O250" i="5"/>
  <c r="Q250" i="5" s="1"/>
  <c r="N250" i="5"/>
  <c r="M250" i="5"/>
  <c r="L250" i="5"/>
  <c r="K250" i="5"/>
  <c r="J250" i="5"/>
  <c r="H250" i="5"/>
  <c r="P249" i="5"/>
  <c r="O249" i="5"/>
  <c r="Q249" i="5" s="1"/>
  <c r="N249" i="5"/>
  <c r="M249" i="5"/>
  <c r="L249" i="5"/>
  <c r="K249" i="5"/>
  <c r="J249" i="5"/>
  <c r="H249" i="5"/>
  <c r="P248" i="5"/>
  <c r="O248" i="5"/>
  <c r="Q248" i="5" s="1"/>
  <c r="N248" i="5"/>
  <c r="M248" i="5"/>
  <c r="L248" i="5"/>
  <c r="K248" i="5"/>
  <c r="J248" i="5"/>
  <c r="H248" i="5"/>
  <c r="P247" i="5"/>
  <c r="O247" i="5"/>
  <c r="Q247" i="5" s="1"/>
  <c r="N247" i="5"/>
  <c r="M247" i="5"/>
  <c r="L247" i="5"/>
  <c r="K247" i="5"/>
  <c r="J247" i="5"/>
  <c r="H247" i="5"/>
  <c r="P246" i="5"/>
  <c r="O246" i="5"/>
  <c r="Q246" i="5" s="1"/>
  <c r="N246" i="5"/>
  <c r="M246" i="5"/>
  <c r="L246" i="5"/>
  <c r="K246" i="5"/>
  <c r="J246" i="5"/>
  <c r="H246" i="5"/>
  <c r="P245" i="5"/>
  <c r="O245" i="5"/>
  <c r="Q245" i="5" s="1"/>
  <c r="N245" i="5"/>
  <c r="M245" i="5"/>
  <c r="L245" i="5"/>
  <c r="K245" i="5"/>
  <c r="J245" i="5"/>
  <c r="H245" i="5"/>
  <c r="P244" i="5"/>
  <c r="O244" i="5"/>
  <c r="Q244" i="5" s="1"/>
  <c r="N244" i="5"/>
  <c r="M244" i="5"/>
  <c r="L244" i="5"/>
  <c r="K244" i="5"/>
  <c r="J244" i="5"/>
  <c r="H244" i="5"/>
  <c r="P243" i="5"/>
  <c r="O243" i="5"/>
  <c r="Q243" i="5" s="1"/>
  <c r="N243" i="5"/>
  <c r="M243" i="5"/>
  <c r="L243" i="5"/>
  <c r="K243" i="5"/>
  <c r="J243" i="5"/>
  <c r="H243" i="5"/>
  <c r="P242" i="5"/>
  <c r="O242" i="5"/>
  <c r="Q242" i="5" s="1"/>
  <c r="N242" i="5"/>
  <c r="M242" i="5"/>
  <c r="L242" i="5"/>
  <c r="K242" i="5"/>
  <c r="J242" i="5"/>
  <c r="H242" i="5"/>
  <c r="P241" i="5"/>
  <c r="O241" i="5"/>
  <c r="Q241" i="5" s="1"/>
  <c r="N241" i="5"/>
  <c r="M241" i="5"/>
  <c r="L241" i="5"/>
  <c r="K241" i="5"/>
  <c r="J241" i="5"/>
  <c r="H241" i="5"/>
  <c r="P240" i="5"/>
  <c r="O240" i="5"/>
  <c r="Q240" i="5" s="1"/>
  <c r="N240" i="5"/>
  <c r="M240" i="5"/>
  <c r="L240" i="5"/>
  <c r="K240" i="5"/>
  <c r="J240" i="5"/>
  <c r="H240" i="5"/>
  <c r="P239" i="5"/>
  <c r="O239" i="5"/>
  <c r="Q239" i="5" s="1"/>
  <c r="N239" i="5"/>
  <c r="M239" i="5"/>
  <c r="L239" i="5"/>
  <c r="K239" i="5"/>
  <c r="J239" i="5"/>
  <c r="H239" i="5"/>
  <c r="P238" i="5"/>
  <c r="O238" i="5"/>
  <c r="Q238" i="5" s="1"/>
  <c r="N238" i="5"/>
  <c r="M238" i="5"/>
  <c r="L238" i="5"/>
  <c r="K238" i="5"/>
  <c r="J238" i="5"/>
  <c r="H238" i="5"/>
  <c r="P237" i="5"/>
  <c r="O237" i="5"/>
  <c r="Q237" i="5" s="1"/>
  <c r="N237" i="5"/>
  <c r="M237" i="5"/>
  <c r="L237" i="5"/>
  <c r="K237" i="5"/>
  <c r="J237" i="5"/>
  <c r="H237" i="5"/>
  <c r="P236" i="5"/>
  <c r="O236" i="5"/>
  <c r="Q236" i="5" s="1"/>
  <c r="N236" i="5"/>
  <c r="M236" i="5"/>
  <c r="L236" i="5"/>
  <c r="K236" i="5"/>
  <c r="J236" i="5"/>
  <c r="H236" i="5"/>
  <c r="P235" i="5"/>
  <c r="O235" i="5"/>
  <c r="Q235" i="5" s="1"/>
  <c r="N235" i="5"/>
  <c r="M235" i="5"/>
  <c r="L235" i="5"/>
  <c r="K235" i="5"/>
  <c r="J235" i="5"/>
  <c r="H235" i="5"/>
  <c r="P234" i="5"/>
  <c r="O234" i="5"/>
  <c r="Q234" i="5" s="1"/>
  <c r="N234" i="5"/>
  <c r="M234" i="5"/>
  <c r="L234" i="5"/>
  <c r="K234" i="5"/>
  <c r="J234" i="5"/>
  <c r="H234" i="5"/>
  <c r="P233" i="5"/>
  <c r="O233" i="5"/>
  <c r="Q233" i="5" s="1"/>
  <c r="N233" i="5"/>
  <c r="M233" i="5"/>
  <c r="L233" i="5"/>
  <c r="K233" i="5"/>
  <c r="J233" i="5"/>
  <c r="H233" i="5"/>
  <c r="P232" i="5"/>
  <c r="O232" i="5"/>
  <c r="Q232" i="5" s="1"/>
  <c r="N232" i="5"/>
  <c r="M232" i="5"/>
  <c r="L232" i="5"/>
  <c r="K232" i="5"/>
  <c r="J232" i="5"/>
  <c r="H232" i="5"/>
  <c r="P231" i="5"/>
  <c r="O231" i="5"/>
  <c r="Q231" i="5" s="1"/>
  <c r="N231" i="5"/>
  <c r="M231" i="5"/>
  <c r="L231" i="5"/>
  <c r="K231" i="5"/>
  <c r="J231" i="5"/>
  <c r="H231" i="5"/>
  <c r="P230" i="5"/>
  <c r="O230" i="5"/>
  <c r="Q230" i="5" s="1"/>
  <c r="N230" i="5"/>
  <c r="M230" i="5"/>
  <c r="L230" i="5"/>
  <c r="K230" i="5"/>
  <c r="J230" i="5"/>
  <c r="H230" i="5"/>
  <c r="P229" i="5"/>
  <c r="O229" i="5"/>
  <c r="Q229" i="5" s="1"/>
  <c r="N229" i="5"/>
  <c r="M229" i="5"/>
  <c r="L229" i="5"/>
  <c r="K229" i="5"/>
  <c r="J229" i="5"/>
  <c r="H229" i="5"/>
  <c r="P228" i="5"/>
  <c r="O228" i="5"/>
  <c r="Q228" i="5" s="1"/>
  <c r="N228" i="5"/>
  <c r="M228" i="5"/>
  <c r="L228" i="5"/>
  <c r="K228" i="5"/>
  <c r="J228" i="5"/>
  <c r="H228" i="5"/>
  <c r="P227" i="5"/>
  <c r="O227" i="5"/>
  <c r="Q227" i="5" s="1"/>
  <c r="N227" i="5"/>
  <c r="M227" i="5"/>
  <c r="L227" i="5"/>
  <c r="K227" i="5"/>
  <c r="J227" i="5"/>
  <c r="H227" i="5"/>
  <c r="P226" i="5"/>
  <c r="O226" i="5"/>
  <c r="Q226" i="5" s="1"/>
  <c r="N226" i="5"/>
  <c r="M226" i="5"/>
  <c r="L226" i="5"/>
  <c r="K226" i="5"/>
  <c r="J226" i="5"/>
  <c r="H226" i="5"/>
  <c r="P225" i="5"/>
  <c r="O225" i="5"/>
  <c r="Q225" i="5" s="1"/>
  <c r="N225" i="5"/>
  <c r="M225" i="5"/>
  <c r="L225" i="5"/>
  <c r="K225" i="5"/>
  <c r="J225" i="5"/>
  <c r="H225" i="5"/>
  <c r="P224" i="5"/>
  <c r="O224" i="5"/>
  <c r="Q224" i="5" s="1"/>
  <c r="N224" i="5"/>
  <c r="M224" i="5"/>
  <c r="L224" i="5"/>
  <c r="K224" i="5"/>
  <c r="J224" i="5"/>
  <c r="H224" i="5"/>
  <c r="P223" i="5"/>
  <c r="O223" i="5"/>
  <c r="Q223" i="5" s="1"/>
  <c r="N223" i="5"/>
  <c r="M223" i="5"/>
  <c r="L223" i="5"/>
  <c r="K223" i="5"/>
  <c r="J223" i="5"/>
  <c r="H223" i="5"/>
  <c r="P222" i="5"/>
  <c r="O222" i="5"/>
  <c r="Q222" i="5" s="1"/>
  <c r="N222" i="5"/>
  <c r="M222" i="5"/>
  <c r="L222" i="5"/>
  <c r="K222" i="5"/>
  <c r="J222" i="5"/>
  <c r="H222" i="5"/>
  <c r="P221" i="5"/>
  <c r="O221" i="5"/>
  <c r="Q221" i="5" s="1"/>
  <c r="N221" i="5"/>
  <c r="M221" i="5"/>
  <c r="L221" i="5"/>
  <c r="K221" i="5"/>
  <c r="J221" i="5"/>
  <c r="H221" i="5"/>
  <c r="P220" i="5"/>
  <c r="O220" i="5"/>
  <c r="Q220" i="5" s="1"/>
  <c r="N220" i="5"/>
  <c r="M220" i="5"/>
  <c r="L220" i="5"/>
  <c r="K220" i="5"/>
  <c r="J220" i="5"/>
  <c r="H220" i="5"/>
  <c r="P219" i="5"/>
  <c r="O219" i="5"/>
  <c r="Q219" i="5" s="1"/>
  <c r="N219" i="5"/>
  <c r="M219" i="5"/>
  <c r="L219" i="5"/>
  <c r="K219" i="5"/>
  <c r="J219" i="5"/>
  <c r="H219" i="5"/>
  <c r="P218" i="5"/>
  <c r="O218" i="5"/>
  <c r="Q218" i="5" s="1"/>
  <c r="N218" i="5"/>
  <c r="M218" i="5"/>
  <c r="L218" i="5"/>
  <c r="K218" i="5"/>
  <c r="J218" i="5"/>
  <c r="H218" i="5"/>
  <c r="P217" i="5"/>
  <c r="O217" i="5"/>
  <c r="Q217" i="5" s="1"/>
  <c r="N217" i="5"/>
  <c r="M217" i="5"/>
  <c r="L217" i="5"/>
  <c r="K217" i="5"/>
  <c r="J217" i="5"/>
  <c r="H217" i="5"/>
  <c r="P216" i="5"/>
  <c r="O216" i="5"/>
  <c r="Q216" i="5" s="1"/>
  <c r="N216" i="5"/>
  <c r="M216" i="5"/>
  <c r="L216" i="5"/>
  <c r="K216" i="5"/>
  <c r="J216" i="5"/>
  <c r="H216" i="5"/>
  <c r="P215" i="5"/>
  <c r="O215" i="5"/>
  <c r="Q215" i="5" s="1"/>
  <c r="N215" i="5"/>
  <c r="M215" i="5"/>
  <c r="L215" i="5"/>
  <c r="K215" i="5"/>
  <c r="J215" i="5"/>
  <c r="H215" i="5"/>
  <c r="P214" i="5"/>
  <c r="O214" i="5"/>
  <c r="Q214" i="5" s="1"/>
  <c r="N214" i="5"/>
  <c r="M214" i="5"/>
  <c r="L214" i="5"/>
  <c r="K214" i="5"/>
  <c r="J214" i="5"/>
  <c r="H214" i="5"/>
  <c r="P213" i="5"/>
  <c r="O213" i="5"/>
  <c r="Q213" i="5" s="1"/>
  <c r="N213" i="5"/>
  <c r="M213" i="5"/>
  <c r="L213" i="5"/>
  <c r="K213" i="5"/>
  <c r="J213" i="5"/>
  <c r="H213" i="5"/>
  <c r="P212" i="5"/>
  <c r="O212" i="5"/>
  <c r="Q212" i="5" s="1"/>
  <c r="N212" i="5"/>
  <c r="M212" i="5"/>
  <c r="L212" i="5"/>
  <c r="K212" i="5"/>
  <c r="J212" i="5"/>
  <c r="H212" i="5"/>
  <c r="P211" i="5"/>
  <c r="O211" i="5"/>
  <c r="Q211" i="5" s="1"/>
  <c r="N211" i="5"/>
  <c r="M211" i="5"/>
  <c r="L211" i="5"/>
  <c r="K211" i="5"/>
  <c r="J211" i="5"/>
  <c r="H211" i="5"/>
  <c r="P210" i="5"/>
  <c r="O210" i="5"/>
  <c r="Q210" i="5" s="1"/>
  <c r="N210" i="5"/>
  <c r="M210" i="5"/>
  <c r="L210" i="5"/>
  <c r="K210" i="5"/>
  <c r="J210" i="5"/>
  <c r="H210" i="5"/>
  <c r="P209" i="5"/>
  <c r="O209" i="5"/>
  <c r="Q209" i="5" s="1"/>
  <c r="N209" i="5"/>
  <c r="M209" i="5"/>
  <c r="L209" i="5"/>
  <c r="K209" i="5"/>
  <c r="J209" i="5"/>
  <c r="H209" i="5"/>
  <c r="P208" i="5"/>
  <c r="O208" i="5"/>
  <c r="Q208" i="5" s="1"/>
  <c r="N208" i="5"/>
  <c r="M208" i="5"/>
  <c r="L208" i="5"/>
  <c r="K208" i="5"/>
  <c r="J208" i="5"/>
  <c r="H208" i="5"/>
  <c r="P207" i="5"/>
  <c r="O207" i="5"/>
  <c r="Q207" i="5" s="1"/>
  <c r="N207" i="5"/>
  <c r="M207" i="5"/>
  <c r="L207" i="5"/>
  <c r="K207" i="5"/>
  <c r="J207" i="5"/>
  <c r="H207" i="5"/>
  <c r="P206" i="5"/>
  <c r="O206" i="5"/>
  <c r="Q206" i="5" s="1"/>
  <c r="N206" i="5"/>
  <c r="M206" i="5"/>
  <c r="L206" i="5"/>
  <c r="K206" i="5"/>
  <c r="J206" i="5"/>
  <c r="H206" i="5"/>
  <c r="P205" i="5"/>
  <c r="O205" i="5"/>
  <c r="Q205" i="5" s="1"/>
  <c r="N205" i="5"/>
  <c r="M205" i="5"/>
  <c r="L205" i="5"/>
  <c r="K205" i="5"/>
  <c r="J205" i="5"/>
  <c r="H205" i="5"/>
  <c r="P204" i="5"/>
  <c r="O204" i="5"/>
  <c r="Q204" i="5" s="1"/>
  <c r="N204" i="5"/>
  <c r="M204" i="5"/>
  <c r="L204" i="5"/>
  <c r="K204" i="5"/>
  <c r="J204" i="5"/>
  <c r="H204" i="5"/>
  <c r="P203" i="5"/>
  <c r="O203" i="5"/>
  <c r="Q203" i="5" s="1"/>
  <c r="N203" i="5"/>
  <c r="M203" i="5"/>
  <c r="L203" i="5"/>
  <c r="K203" i="5"/>
  <c r="J203" i="5"/>
  <c r="H203" i="5"/>
  <c r="P202" i="5"/>
  <c r="O202" i="5"/>
  <c r="Q202" i="5" s="1"/>
  <c r="N202" i="5"/>
  <c r="M202" i="5"/>
  <c r="L202" i="5"/>
  <c r="K202" i="5"/>
  <c r="J202" i="5"/>
  <c r="H202" i="5"/>
  <c r="P201" i="5"/>
  <c r="O201" i="5"/>
  <c r="Q201" i="5" s="1"/>
  <c r="N201" i="5"/>
  <c r="M201" i="5"/>
  <c r="L201" i="5"/>
  <c r="K201" i="5"/>
  <c r="J201" i="5"/>
  <c r="H201" i="5"/>
  <c r="P200" i="5"/>
  <c r="O200" i="5"/>
  <c r="Q200" i="5" s="1"/>
  <c r="N200" i="5"/>
  <c r="M200" i="5"/>
  <c r="L200" i="5"/>
  <c r="K200" i="5"/>
  <c r="J200" i="5"/>
  <c r="H200" i="5"/>
  <c r="P199" i="5"/>
  <c r="O199" i="5"/>
  <c r="Q199" i="5" s="1"/>
  <c r="N199" i="5"/>
  <c r="M199" i="5"/>
  <c r="L199" i="5"/>
  <c r="K199" i="5"/>
  <c r="J199" i="5"/>
  <c r="H199" i="5"/>
  <c r="P198" i="5"/>
  <c r="O198" i="5"/>
  <c r="Q198" i="5" s="1"/>
  <c r="N198" i="5"/>
  <c r="M198" i="5"/>
  <c r="L198" i="5"/>
  <c r="K198" i="5"/>
  <c r="J198" i="5"/>
  <c r="H198" i="5"/>
  <c r="P197" i="5"/>
  <c r="O197" i="5"/>
  <c r="Q197" i="5" s="1"/>
  <c r="N197" i="5"/>
  <c r="M197" i="5"/>
  <c r="L197" i="5"/>
  <c r="K197" i="5"/>
  <c r="J197" i="5"/>
  <c r="H197" i="5"/>
  <c r="P196" i="5"/>
  <c r="O196" i="5"/>
  <c r="Q196" i="5" s="1"/>
  <c r="N196" i="5"/>
  <c r="M196" i="5"/>
  <c r="L196" i="5"/>
  <c r="K196" i="5"/>
  <c r="J196" i="5"/>
  <c r="H196" i="5"/>
  <c r="P195" i="5"/>
  <c r="O195" i="5"/>
  <c r="Q195" i="5" s="1"/>
  <c r="N195" i="5"/>
  <c r="M195" i="5"/>
  <c r="L195" i="5"/>
  <c r="K195" i="5"/>
  <c r="J195" i="5"/>
  <c r="H195" i="5"/>
  <c r="P194" i="5"/>
  <c r="O194" i="5"/>
  <c r="Q194" i="5" s="1"/>
  <c r="N194" i="5"/>
  <c r="M194" i="5"/>
  <c r="L194" i="5"/>
  <c r="K194" i="5"/>
  <c r="J194" i="5"/>
  <c r="H194" i="5"/>
  <c r="P193" i="5"/>
  <c r="O193" i="5"/>
  <c r="Q193" i="5" s="1"/>
  <c r="N193" i="5"/>
  <c r="M193" i="5"/>
  <c r="L193" i="5"/>
  <c r="K193" i="5"/>
  <c r="J193" i="5"/>
  <c r="H193" i="5"/>
  <c r="P192" i="5"/>
  <c r="O192" i="5"/>
  <c r="Q192" i="5" s="1"/>
  <c r="N192" i="5"/>
  <c r="M192" i="5"/>
  <c r="L192" i="5"/>
  <c r="K192" i="5"/>
  <c r="J192" i="5"/>
  <c r="H192" i="5"/>
  <c r="P191" i="5"/>
  <c r="O191" i="5"/>
  <c r="Q191" i="5" s="1"/>
  <c r="N191" i="5"/>
  <c r="M191" i="5"/>
  <c r="L191" i="5"/>
  <c r="K191" i="5"/>
  <c r="J191" i="5"/>
  <c r="H191" i="5"/>
  <c r="P190" i="5"/>
  <c r="O190" i="5"/>
  <c r="Q190" i="5" s="1"/>
  <c r="N190" i="5"/>
  <c r="M190" i="5"/>
  <c r="L190" i="5"/>
  <c r="K190" i="5"/>
  <c r="J190" i="5"/>
  <c r="H190" i="5"/>
  <c r="P189" i="5"/>
  <c r="O189" i="5"/>
  <c r="Q189" i="5" s="1"/>
  <c r="N189" i="5"/>
  <c r="M189" i="5"/>
  <c r="L189" i="5"/>
  <c r="K189" i="5"/>
  <c r="J189" i="5"/>
  <c r="H189" i="5"/>
  <c r="P188" i="5"/>
  <c r="O188" i="5"/>
  <c r="Q188" i="5" s="1"/>
  <c r="N188" i="5"/>
  <c r="M188" i="5"/>
  <c r="L188" i="5"/>
  <c r="K188" i="5"/>
  <c r="J188" i="5"/>
  <c r="H188" i="5"/>
  <c r="P187" i="5"/>
  <c r="O187" i="5"/>
  <c r="Q187" i="5" s="1"/>
  <c r="N187" i="5"/>
  <c r="M187" i="5"/>
  <c r="L187" i="5"/>
  <c r="K187" i="5"/>
  <c r="J187" i="5"/>
  <c r="H187" i="5"/>
  <c r="P186" i="5"/>
  <c r="O186" i="5"/>
  <c r="Q186" i="5" s="1"/>
  <c r="N186" i="5"/>
  <c r="M186" i="5"/>
  <c r="L186" i="5"/>
  <c r="K186" i="5"/>
  <c r="J186" i="5"/>
  <c r="H186" i="5"/>
  <c r="P185" i="5"/>
  <c r="O185" i="5"/>
  <c r="Q185" i="5" s="1"/>
  <c r="N185" i="5"/>
  <c r="M185" i="5"/>
  <c r="L185" i="5"/>
  <c r="K185" i="5"/>
  <c r="J185" i="5"/>
  <c r="H185" i="5"/>
  <c r="P184" i="5"/>
  <c r="O184" i="5"/>
  <c r="Q184" i="5" s="1"/>
  <c r="N184" i="5"/>
  <c r="M184" i="5"/>
  <c r="L184" i="5"/>
  <c r="K184" i="5"/>
  <c r="J184" i="5"/>
  <c r="H184" i="5"/>
  <c r="P183" i="5"/>
  <c r="O183" i="5"/>
  <c r="Q183" i="5" s="1"/>
  <c r="N183" i="5"/>
  <c r="M183" i="5"/>
  <c r="L183" i="5"/>
  <c r="K183" i="5"/>
  <c r="J183" i="5"/>
  <c r="H183" i="5"/>
  <c r="P182" i="5"/>
  <c r="O182" i="5"/>
  <c r="Q182" i="5" s="1"/>
  <c r="N182" i="5"/>
  <c r="M182" i="5"/>
  <c r="L182" i="5"/>
  <c r="K182" i="5"/>
  <c r="J182" i="5"/>
  <c r="H182" i="5"/>
  <c r="P181" i="5"/>
  <c r="O181" i="5"/>
  <c r="Q181" i="5" s="1"/>
  <c r="N181" i="5"/>
  <c r="M181" i="5"/>
  <c r="L181" i="5"/>
  <c r="K181" i="5"/>
  <c r="J181" i="5"/>
  <c r="H181" i="5"/>
  <c r="P180" i="5"/>
  <c r="O180" i="5"/>
  <c r="Q180" i="5" s="1"/>
  <c r="N180" i="5"/>
  <c r="M180" i="5"/>
  <c r="L180" i="5"/>
  <c r="K180" i="5"/>
  <c r="J180" i="5"/>
  <c r="H180" i="5"/>
  <c r="P179" i="5"/>
  <c r="O179" i="5"/>
  <c r="Q179" i="5" s="1"/>
  <c r="N179" i="5"/>
  <c r="M179" i="5"/>
  <c r="L179" i="5"/>
  <c r="K179" i="5"/>
  <c r="J179" i="5"/>
  <c r="H179" i="5"/>
  <c r="P178" i="5"/>
  <c r="O178" i="5"/>
  <c r="Q178" i="5" s="1"/>
  <c r="N178" i="5"/>
  <c r="M178" i="5"/>
  <c r="L178" i="5"/>
  <c r="K178" i="5"/>
  <c r="J178" i="5"/>
  <c r="H178" i="5"/>
  <c r="P177" i="5"/>
  <c r="O177" i="5"/>
  <c r="Q177" i="5" s="1"/>
  <c r="N177" i="5"/>
  <c r="M177" i="5"/>
  <c r="L177" i="5"/>
  <c r="K177" i="5"/>
  <c r="J177" i="5"/>
  <c r="H177" i="5"/>
  <c r="P176" i="5"/>
  <c r="O176" i="5"/>
  <c r="Q176" i="5" s="1"/>
  <c r="N176" i="5"/>
  <c r="M176" i="5"/>
  <c r="L176" i="5"/>
  <c r="K176" i="5"/>
  <c r="J176" i="5"/>
  <c r="H176" i="5"/>
  <c r="P175" i="5"/>
  <c r="O175" i="5"/>
  <c r="Q175" i="5" s="1"/>
  <c r="N175" i="5"/>
  <c r="M175" i="5"/>
  <c r="L175" i="5"/>
  <c r="K175" i="5"/>
  <c r="J175" i="5"/>
  <c r="H175" i="5"/>
  <c r="P174" i="5"/>
  <c r="O174" i="5"/>
  <c r="Q174" i="5" s="1"/>
  <c r="N174" i="5"/>
  <c r="M174" i="5"/>
  <c r="L174" i="5"/>
  <c r="K174" i="5"/>
  <c r="J174" i="5"/>
  <c r="H174" i="5"/>
  <c r="P173" i="5"/>
  <c r="O173" i="5"/>
  <c r="Q173" i="5" s="1"/>
  <c r="N173" i="5"/>
  <c r="M173" i="5"/>
  <c r="L173" i="5"/>
  <c r="K173" i="5"/>
  <c r="J173" i="5"/>
  <c r="H173" i="5"/>
  <c r="P172" i="5"/>
  <c r="O172" i="5"/>
  <c r="Q172" i="5" s="1"/>
  <c r="N172" i="5"/>
  <c r="M172" i="5"/>
  <c r="L172" i="5"/>
  <c r="K172" i="5"/>
  <c r="J172" i="5"/>
  <c r="H172" i="5"/>
  <c r="P171" i="5"/>
  <c r="O171" i="5"/>
  <c r="Q171" i="5" s="1"/>
  <c r="N171" i="5"/>
  <c r="M171" i="5"/>
  <c r="L171" i="5"/>
  <c r="K171" i="5"/>
  <c r="J171" i="5"/>
  <c r="H171" i="5"/>
  <c r="P170" i="5"/>
  <c r="O170" i="5"/>
  <c r="Q170" i="5" s="1"/>
  <c r="N170" i="5"/>
  <c r="M170" i="5"/>
  <c r="L170" i="5"/>
  <c r="K170" i="5"/>
  <c r="J170" i="5"/>
  <c r="H170" i="5"/>
  <c r="P169" i="5"/>
  <c r="O169" i="5"/>
  <c r="Q169" i="5" s="1"/>
  <c r="N169" i="5"/>
  <c r="M169" i="5"/>
  <c r="L169" i="5"/>
  <c r="K169" i="5"/>
  <c r="J169" i="5"/>
  <c r="H169" i="5"/>
  <c r="P168" i="5"/>
  <c r="O168" i="5"/>
  <c r="Q168" i="5" s="1"/>
  <c r="N168" i="5"/>
  <c r="M168" i="5"/>
  <c r="L168" i="5"/>
  <c r="K168" i="5"/>
  <c r="J168" i="5"/>
  <c r="H168" i="5"/>
  <c r="P167" i="5"/>
  <c r="O167" i="5"/>
  <c r="Q167" i="5" s="1"/>
  <c r="N167" i="5"/>
  <c r="M167" i="5"/>
  <c r="L167" i="5"/>
  <c r="K167" i="5"/>
  <c r="J167" i="5"/>
  <c r="H167" i="5"/>
  <c r="P166" i="5"/>
  <c r="O166" i="5"/>
  <c r="Q166" i="5" s="1"/>
  <c r="N166" i="5"/>
  <c r="M166" i="5"/>
  <c r="L166" i="5"/>
  <c r="K166" i="5"/>
  <c r="J166" i="5"/>
  <c r="H166" i="5"/>
  <c r="P165" i="5"/>
  <c r="O165" i="5"/>
  <c r="Q165" i="5" s="1"/>
  <c r="N165" i="5"/>
  <c r="M165" i="5"/>
  <c r="L165" i="5"/>
  <c r="K165" i="5"/>
  <c r="J165" i="5"/>
  <c r="H165" i="5"/>
  <c r="P164" i="5"/>
  <c r="O164" i="5"/>
  <c r="Q164" i="5" s="1"/>
  <c r="N164" i="5"/>
  <c r="M164" i="5"/>
  <c r="L164" i="5"/>
  <c r="K164" i="5"/>
  <c r="J164" i="5"/>
  <c r="H164" i="5"/>
  <c r="P163" i="5"/>
  <c r="O163" i="5"/>
  <c r="Q163" i="5" s="1"/>
  <c r="N163" i="5"/>
  <c r="M163" i="5"/>
  <c r="L163" i="5"/>
  <c r="K163" i="5"/>
  <c r="J163" i="5"/>
  <c r="H163" i="5"/>
  <c r="P162" i="5"/>
  <c r="O162" i="5"/>
  <c r="Q162" i="5" s="1"/>
  <c r="N162" i="5"/>
  <c r="M162" i="5"/>
  <c r="L162" i="5"/>
  <c r="K162" i="5"/>
  <c r="J162" i="5"/>
  <c r="H162" i="5"/>
  <c r="P161" i="5"/>
  <c r="O161" i="5"/>
  <c r="Q161" i="5" s="1"/>
  <c r="N161" i="5"/>
  <c r="M161" i="5"/>
  <c r="L161" i="5"/>
  <c r="K161" i="5"/>
  <c r="J161" i="5"/>
  <c r="H161" i="5"/>
  <c r="P160" i="5"/>
  <c r="O160" i="5"/>
  <c r="Q160" i="5" s="1"/>
  <c r="N160" i="5"/>
  <c r="M160" i="5"/>
  <c r="L160" i="5"/>
  <c r="K160" i="5"/>
  <c r="J160" i="5"/>
  <c r="H160" i="5"/>
  <c r="P159" i="5"/>
  <c r="O159" i="5"/>
  <c r="Q159" i="5" s="1"/>
  <c r="N159" i="5"/>
  <c r="M159" i="5"/>
  <c r="L159" i="5"/>
  <c r="K159" i="5"/>
  <c r="J159" i="5"/>
  <c r="H159" i="5"/>
  <c r="P158" i="5"/>
  <c r="O158" i="5"/>
  <c r="Q158" i="5" s="1"/>
  <c r="N158" i="5"/>
  <c r="M158" i="5"/>
  <c r="L158" i="5"/>
  <c r="K158" i="5"/>
  <c r="J158" i="5"/>
  <c r="H158" i="5"/>
  <c r="P157" i="5"/>
  <c r="O157" i="5"/>
  <c r="Q157" i="5" s="1"/>
  <c r="N157" i="5"/>
  <c r="M157" i="5"/>
  <c r="L157" i="5"/>
  <c r="K157" i="5"/>
  <c r="J157" i="5"/>
  <c r="H157" i="5"/>
  <c r="P156" i="5"/>
  <c r="O156" i="5"/>
  <c r="Q156" i="5" s="1"/>
  <c r="N156" i="5"/>
  <c r="M156" i="5"/>
  <c r="L156" i="5"/>
  <c r="K156" i="5"/>
  <c r="J156" i="5"/>
  <c r="H156" i="5"/>
  <c r="P155" i="5"/>
  <c r="O155" i="5"/>
  <c r="Q155" i="5" s="1"/>
  <c r="N155" i="5"/>
  <c r="M155" i="5"/>
  <c r="L155" i="5"/>
  <c r="K155" i="5"/>
  <c r="J155" i="5"/>
  <c r="H155" i="5"/>
  <c r="P154" i="5"/>
  <c r="O154" i="5"/>
  <c r="Q154" i="5" s="1"/>
  <c r="N154" i="5"/>
  <c r="M154" i="5"/>
  <c r="L154" i="5"/>
  <c r="K154" i="5"/>
  <c r="J154" i="5"/>
  <c r="H154" i="5"/>
  <c r="P153" i="5"/>
  <c r="O153" i="5"/>
  <c r="Q153" i="5" s="1"/>
  <c r="N153" i="5"/>
  <c r="M153" i="5"/>
  <c r="L153" i="5"/>
  <c r="K153" i="5"/>
  <c r="J153" i="5"/>
  <c r="H153" i="5"/>
  <c r="P152" i="5"/>
  <c r="O152" i="5"/>
  <c r="Q152" i="5" s="1"/>
  <c r="N152" i="5"/>
  <c r="M152" i="5"/>
  <c r="L152" i="5"/>
  <c r="K152" i="5"/>
  <c r="J152" i="5"/>
  <c r="H152" i="5"/>
  <c r="P151" i="5"/>
  <c r="O151" i="5"/>
  <c r="Q151" i="5" s="1"/>
  <c r="N151" i="5"/>
  <c r="M151" i="5"/>
  <c r="L151" i="5"/>
  <c r="K151" i="5"/>
  <c r="J151" i="5"/>
  <c r="H151" i="5"/>
  <c r="P150" i="5"/>
  <c r="O150" i="5"/>
  <c r="Q150" i="5" s="1"/>
  <c r="N150" i="5"/>
  <c r="M150" i="5"/>
  <c r="L150" i="5"/>
  <c r="K150" i="5"/>
  <c r="J150" i="5"/>
  <c r="H150" i="5"/>
  <c r="P149" i="5"/>
  <c r="O149" i="5"/>
  <c r="Q149" i="5" s="1"/>
  <c r="N149" i="5"/>
  <c r="M149" i="5"/>
  <c r="L149" i="5"/>
  <c r="K149" i="5"/>
  <c r="J149" i="5"/>
  <c r="H149" i="5"/>
  <c r="P148" i="5"/>
  <c r="O148" i="5"/>
  <c r="Q148" i="5" s="1"/>
  <c r="N148" i="5"/>
  <c r="M148" i="5"/>
  <c r="L148" i="5"/>
  <c r="K148" i="5"/>
  <c r="J148" i="5"/>
  <c r="H148" i="5"/>
  <c r="P147" i="5"/>
  <c r="O147" i="5"/>
  <c r="Q147" i="5" s="1"/>
  <c r="N147" i="5"/>
  <c r="M147" i="5"/>
  <c r="L147" i="5"/>
  <c r="K147" i="5"/>
  <c r="J147" i="5"/>
  <c r="H147" i="5"/>
  <c r="P146" i="5"/>
  <c r="O146" i="5"/>
  <c r="Q146" i="5" s="1"/>
  <c r="N146" i="5"/>
  <c r="M146" i="5"/>
  <c r="L146" i="5"/>
  <c r="K146" i="5"/>
  <c r="J146" i="5"/>
  <c r="H146" i="5"/>
  <c r="P145" i="5"/>
  <c r="O145" i="5"/>
  <c r="Q145" i="5" s="1"/>
  <c r="N145" i="5"/>
  <c r="M145" i="5"/>
  <c r="L145" i="5"/>
  <c r="K145" i="5"/>
  <c r="J145" i="5"/>
  <c r="H145" i="5"/>
  <c r="P144" i="5"/>
  <c r="O144" i="5"/>
  <c r="Q144" i="5" s="1"/>
  <c r="N144" i="5"/>
  <c r="M144" i="5"/>
  <c r="L144" i="5"/>
  <c r="K144" i="5"/>
  <c r="J144" i="5"/>
  <c r="H144" i="5"/>
  <c r="P143" i="5"/>
  <c r="O143" i="5"/>
  <c r="Q143" i="5" s="1"/>
  <c r="N143" i="5"/>
  <c r="M143" i="5"/>
  <c r="L143" i="5"/>
  <c r="K143" i="5"/>
  <c r="J143" i="5"/>
  <c r="H143" i="5"/>
  <c r="P142" i="5"/>
  <c r="O142" i="5"/>
  <c r="Q142" i="5" s="1"/>
  <c r="N142" i="5"/>
  <c r="M142" i="5"/>
  <c r="L142" i="5"/>
  <c r="K142" i="5"/>
  <c r="J142" i="5"/>
  <c r="H142" i="5"/>
  <c r="P141" i="5"/>
  <c r="O141" i="5"/>
  <c r="Q141" i="5" s="1"/>
  <c r="N141" i="5"/>
  <c r="M141" i="5"/>
  <c r="L141" i="5"/>
  <c r="K141" i="5"/>
  <c r="J141" i="5"/>
  <c r="H141" i="5"/>
  <c r="P140" i="5"/>
  <c r="O140" i="5"/>
  <c r="Q140" i="5" s="1"/>
  <c r="N140" i="5"/>
  <c r="M140" i="5"/>
  <c r="L140" i="5"/>
  <c r="K140" i="5"/>
  <c r="J140" i="5"/>
  <c r="H140" i="5"/>
  <c r="P139" i="5"/>
  <c r="O139" i="5"/>
  <c r="Q139" i="5" s="1"/>
  <c r="N139" i="5"/>
  <c r="M139" i="5"/>
  <c r="L139" i="5"/>
  <c r="K139" i="5"/>
  <c r="J139" i="5"/>
  <c r="H139" i="5"/>
  <c r="P138" i="5"/>
  <c r="O138" i="5"/>
  <c r="Q138" i="5" s="1"/>
  <c r="N138" i="5"/>
  <c r="M138" i="5"/>
  <c r="L138" i="5"/>
  <c r="K138" i="5"/>
  <c r="J138" i="5"/>
  <c r="H138" i="5"/>
  <c r="P137" i="5"/>
  <c r="O137" i="5"/>
  <c r="Q137" i="5" s="1"/>
  <c r="N137" i="5"/>
  <c r="M137" i="5"/>
  <c r="L137" i="5"/>
  <c r="K137" i="5"/>
  <c r="J137" i="5"/>
  <c r="H137" i="5"/>
  <c r="P136" i="5"/>
  <c r="O136" i="5"/>
  <c r="Q136" i="5" s="1"/>
  <c r="N136" i="5"/>
  <c r="M136" i="5"/>
  <c r="L136" i="5"/>
  <c r="K136" i="5"/>
  <c r="J136" i="5"/>
  <c r="H136" i="5"/>
  <c r="P135" i="5"/>
  <c r="O135" i="5"/>
  <c r="Q135" i="5" s="1"/>
  <c r="N135" i="5"/>
  <c r="M135" i="5"/>
  <c r="L135" i="5"/>
  <c r="K135" i="5"/>
  <c r="J135" i="5"/>
  <c r="H135" i="5"/>
  <c r="P134" i="5"/>
  <c r="O134" i="5"/>
  <c r="Q134" i="5" s="1"/>
  <c r="N134" i="5"/>
  <c r="M134" i="5"/>
  <c r="L134" i="5"/>
  <c r="K134" i="5"/>
  <c r="J134" i="5"/>
  <c r="H134" i="5"/>
  <c r="P133" i="5"/>
  <c r="O133" i="5"/>
  <c r="Q133" i="5" s="1"/>
  <c r="N133" i="5"/>
  <c r="M133" i="5"/>
  <c r="L133" i="5"/>
  <c r="K133" i="5"/>
  <c r="J133" i="5"/>
  <c r="H133" i="5"/>
  <c r="P132" i="5"/>
  <c r="O132" i="5"/>
  <c r="Q132" i="5" s="1"/>
  <c r="N132" i="5"/>
  <c r="M132" i="5"/>
  <c r="L132" i="5"/>
  <c r="K132" i="5"/>
  <c r="J132" i="5"/>
  <c r="H132" i="5"/>
  <c r="P131" i="5"/>
  <c r="O131" i="5"/>
  <c r="Q131" i="5" s="1"/>
  <c r="N131" i="5"/>
  <c r="M131" i="5"/>
  <c r="L131" i="5"/>
  <c r="K131" i="5"/>
  <c r="J131" i="5"/>
  <c r="H131" i="5"/>
  <c r="P130" i="5"/>
  <c r="O130" i="5"/>
  <c r="Q130" i="5" s="1"/>
  <c r="N130" i="5"/>
  <c r="M130" i="5"/>
  <c r="L130" i="5"/>
  <c r="K130" i="5"/>
  <c r="J130" i="5"/>
  <c r="H130" i="5"/>
  <c r="P129" i="5"/>
  <c r="O129" i="5"/>
  <c r="Q129" i="5" s="1"/>
  <c r="N129" i="5"/>
  <c r="M129" i="5"/>
  <c r="L129" i="5"/>
  <c r="K129" i="5"/>
  <c r="J129" i="5"/>
  <c r="H129" i="5"/>
  <c r="P128" i="5"/>
  <c r="O128" i="5"/>
  <c r="Q128" i="5" s="1"/>
  <c r="N128" i="5"/>
  <c r="M128" i="5"/>
  <c r="L128" i="5"/>
  <c r="K128" i="5"/>
  <c r="J128" i="5"/>
  <c r="H128" i="5"/>
  <c r="P127" i="5"/>
  <c r="O127" i="5"/>
  <c r="Q127" i="5" s="1"/>
  <c r="N127" i="5"/>
  <c r="M127" i="5"/>
  <c r="L127" i="5"/>
  <c r="K127" i="5"/>
  <c r="J127" i="5"/>
  <c r="H127" i="5"/>
  <c r="P126" i="5"/>
  <c r="O126" i="5"/>
  <c r="Q126" i="5" s="1"/>
  <c r="N126" i="5"/>
  <c r="M126" i="5"/>
  <c r="L126" i="5"/>
  <c r="K126" i="5"/>
  <c r="J126" i="5"/>
  <c r="H126" i="5"/>
  <c r="P125" i="5"/>
  <c r="O125" i="5"/>
  <c r="Q125" i="5" s="1"/>
  <c r="N125" i="5"/>
  <c r="M125" i="5"/>
  <c r="L125" i="5"/>
  <c r="K125" i="5"/>
  <c r="J125" i="5"/>
  <c r="H125" i="5"/>
  <c r="P124" i="5"/>
  <c r="O124" i="5"/>
  <c r="Q124" i="5" s="1"/>
  <c r="N124" i="5"/>
  <c r="M124" i="5"/>
  <c r="L124" i="5"/>
  <c r="K124" i="5"/>
  <c r="J124" i="5"/>
  <c r="H124" i="5"/>
  <c r="P123" i="5"/>
  <c r="O123" i="5"/>
  <c r="Q123" i="5" s="1"/>
  <c r="N123" i="5"/>
  <c r="M123" i="5"/>
  <c r="L123" i="5"/>
  <c r="K123" i="5"/>
  <c r="J123" i="5"/>
  <c r="H123" i="5"/>
  <c r="P122" i="5"/>
  <c r="O122" i="5"/>
  <c r="Q122" i="5" s="1"/>
  <c r="N122" i="5"/>
  <c r="M122" i="5"/>
  <c r="L122" i="5"/>
  <c r="K122" i="5"/>
  <c r="J122" i="5"/>
  <c r="H122" i="5"/>
  <c r="P121" i="5"/>
  <c r="O121" i="5"/>
  <c r="Q121" i="5" s="1"/>
  <c r="N121" i="5"/>
  <c r="M121" i="5"/>
  <c r="L121" i="5"/>
  <c r="K121" i="5"/>
  <c r="J121" i="5"/>
  <c r="H121" i="5"/>
  <c r="P120" i="5"/>
  <c r="O120" i="5"/>
  <c r="Q120" i="5" s="1"/>
  <c r="N120" i="5"/>
  <c r="M120" i="5"/>
  <c r="L120" i="5"/>
  <c r="K120" i="5"/>
  <c r="J120" i="5"/>
  <c r="H120" i="5"/>
  <c r="P119" i="5"/>
  <c r="O119" i="5"/>
  <c r="Q119" i="5" s="1"/>
  <c r="N119" i="5"/>
  <c r="M119" i="5"/>
  <c r="L119" i="5"/>
  <c r="K119" i="5"/>
  <c r="J119" i="5"/>
  <c r="H119" i="5"/>
  <c r="P118" i="5"/>
  <c r="O118" i="5"/>
  <c r="Q118" i="5" s="1"/>
  <c r="N118" i="5"/>
  <c r="M118" i="5"/>
  <c r="L118" i="5"/>
  <c r="K118" i="5"/>
  <c r="J118" i="5"/>
  <c r="H118" i="5"/>
  <c r="P117" i="5"/>
  <c r="O117" i="5"/>
  <c r="Q117" i="5" s="1"/>
  <c r="N117" i="5"/>
  <c r="M117" i="5"/>
  <c r="L117" i="5"/>
  <c r="K117" i="5"/>
  <c r="J117" i="5"/>
  <c r="H117" i="5"/>
  <c r="P116" i="5"/>
  <c r="O116" i="5"/>
  <c r="Q116" i="5" s="1"/>
  <c r="N116" i="5"/>
  <c r="M116" i="5"/>
  <c r="L116" i="5"/>
  <c r="K116" i="5"/>
  <c r="J116" i="5"/>
  <c r="H116" i="5"/>
  <c r="P115" i="5"/>
  <c r="O115" i="5"/>
  <c r="Q115" i="5" s="1"/>
  <c r="N115" i="5"/>
  <c r="M115" i="5"/>
  <c r="L115" i="5"/>
  <c r="K115" i="5"/>
  <c r="J115" i="5"/>
  <c r="H115" i="5"/>
  <c r="P114" i="5"/>
  <c r="O114" i="5"/>
  <c r="Q114" i="5" s="1"/>
  <c r="N114" i="5"/>
  <c r="M114" i="5"/>
  <c r="L114" i="5"/>
  <c r="K114" i="5"/>
  <c r="J114" i="5"/>
  <c r="H114" i="5"/>
  <c r="P113" i="5"/>
  <c r="O113" i="5"/>
  <c r="Q113" i="5" s="1"/>
  <c r="N113" i="5"/>
  <c r="M113" i="5"/>
  <c r="L113" i="5"/>
  <c r="K113" i="5"/>
  <c r="J113" i="5"/>
  <c r="H113" i="5"/>
  <c r="P112" i="5"/>
  <c r="O112" i="5"/>
  <c r="Q112" i="5" s="1"/>
  <c r="N112" i="5"/>
  <c r="M112" i="5"/>
  <c r="L112" i="5"/>
  <c r="K112" i="5"/>
  <c r="J112" i="5"/>
  <c r="H112" i="5"/>
  <c r="P111" i="5"/>
  <c r="O111" i="5"/>
  <c r="Q111" i="5" s="1"/>
  <c r="N111" i="5"/>
  <c r="M111" i="5"/>
  <c r="L111" i="5"/>
  <c r="K111" i="5"/>
  <c r="J111" i="5"/>
  <c r="H111" i="5"/>
  <c r="P110" i="5"/>
  <c r="O110" i="5"/>
  <c r="Q110" i="5" s="1"/>
  <c r="N110" i="5"/>
  <c r="M110" i="5"/>
  <c r="L110" i="5"/>
  <c r="K110" i="5"/>
  <c r="J110" i="5"/>
  <c r="H110" i="5"/>
  <c r="P109" i="5"/>
  <c r="O109" i="5"/>
  <c r="Q109" i="5" s="1"/>
  <c r="N109" i="5"/>
  <c r="M109" i="5"/>
  <c r="L109" i="5"/>
  <c r="K109" i="5"/>
  <c r="J109" i="5"/>
  <c r="H109" i="5"/>
  <c r="P108" i="5"/>
  <c r="O108" i="5"/>
  <c r="Q108" i="5" s="1"/>
  <c r="N108" i="5"/>
  <c r="M108" i="5"/>
  <c r="L108" i="5"/>
  <c r="K108" i="5"/>
  <c r="J108" i="5"/>
  <c r="H108" i="5"/>
  <c r="P107" i="5"/>
  <c r="O107" i="5"/>
  <c r="Q107" i="5" s="1"/>
  <c r="N107" i="5"/>
  <c r="M107" i="5"/>
  <c r="L107" i="5"/>
  <c r="K107" i="5"/>
  <c r="J107" i="5"/>
  <c r="H107" i="5"/>
  <c r="P106" i="5"/>
  <c r="O106" i="5"/>
  <c r="Q106" i="5" s="1"/>
  <c r="N106" i="5"/>
  <c r="M106" i="5"/>
  <c r="L106" i="5"/>
  <c r="K106" i="5"/>
  <c r="J106" i="5"/>
  <c r="H106" i="5"/>
  <c r="P105" i="5"/>
  <c r="O105" i="5"/>
  <c r="Q105" i="5" s="1"/>
  <c r="N105" i="5"/>
  <c r="M105" i="5"/>
  <c r="L105" i="5"/>
  <c r="K105" i="5"/>
  <c r="J105" i="5"/>
  <c r="H105" i="5"/>
  <c r="P104" i="5"/>
  <c r="O104" i="5"/>
  <c r="Q104" i="5" s="1"/>
  <c r="N104" i="5"/>
  <c r="M104" i="5"/>
  <c r="L104" i="5"/>
  <c r="K104" i="5"/>
  <c r="J104" i="5"/>
  <c r="H104" i="5"/>
  <c r="P103" i="5"/>
  <c r="O103" i="5"/>
  <c r="Q103" i="5" s="1"/>
  <c r="N103" i="5"/>
  <c r="M103" i="5"/>
  <c r="L103" i="5"/>
  <c r="K103" i="5"/>
  <c r="J103" i="5"/>
  <c r="H103" i="5"/>
  <c r="P102" i="5"/>
  <c r="O102" i="5"/>
  <c r="Q102" i="5" s="1"/>
  <c r="N102" i="5"/>
  <c r="M102" i="5"/>
  <c r="L102" i="5"/>
  <c r="K102" i="5"/>
  <c r="J102" i="5"/>
  <c r="H102" i="5"/>
  <c r="P101" i="5"/>
  <c r="O101" i="5"/>
  <c r="Q101" i="5" s="1"/>
  <c r="N101" i="5"/>
  <c r="M101" i="5"/>
  <c r="L101" i="5"/>
  <c r="K101" i="5"/>
  <c r="J101" i="5"/>
  <c r="H101" i="5"/>
  <c r="P100" i="5"/>
  <c r="O100" i="5"/>
  <c r="Q100" i="5" s="1"/>
  <c r="N100" i="5"/>
  <c r="M100" i="5"/>
  <c r="L100" i="5"/>
  <c r="K100" i="5"/>
  <c r="J100" i="5"/>
  <c r="H100" i="5"/>
  <c r="P99" i="5"/>
  <c r="O99" i="5"/>
  <c r="Q99" i="5" s="1"/>
  <c r="N99" i="5"/>
  <c r="M99" i="5"/>
  <c r="L99" i="5"/>
  <c r="K99" i="5"/>
  <c r="J99" i="5"/>
  <c r="H99" i="5"/>
  <c r="P98" i="5"/>
  <c r="O98" i="5"/>
  <c r="Q98" i="5" s="1"/>
  <c r="N98" i="5"/>
  <c r="M98" i="5"/>
  <c r="L98" i="5"/>
  <c r="K98" i="5"/>
  <c r="J98" i="5"/>
  <c r="H98" i="5"/>
  <c r="P97" i="5"/>
  <c r="O97" i="5"/>
  <c r="Q97" i="5" s="1"/>
  <c r="N97" i="5"/>
  <c r="M97" i="5"/>
  <c r="L97" i="5"/>
  <c r="K97" i="5"/>
  <c r="J97" i="5"/>
  <c r="H97" i="5"/>
  <c r="P96" i="5"/>
  <c r="O96" i="5"/>
  <c r="Q96" i="5" s="1"/>
  <c r="N96" i="5"/>
  <c r="M96" i="5"/>
  <c r="L96" i="5"/>
  <c r="K96" i="5"/>
  <c r="J96" i="5"/>
  <c r="H96" i="5"/>
  <c r="P95" i="5"/>
  <c r="O95" i="5"/>
  <c r="Q95" i="5" s="1"/>
  <c r="N95" i="5"/>
  <c r="M95" i="5"/>
  <c r="L95" i="5"/>
  <c r="K95" i="5"/>
  <c r="J95" i="5"/>
  <c r="H95" i="5"/>
  <c r="P94" i="5"/>
  <c r="O94" i="5"/>
  <c r="Q94" i="5" s="1"/>
  <c r="N94" i="5"/>
  <c r="M94" i="5"/>
  <c r="L94" i="5"/>
  <c r="K94" i="5"/>
  <c r="J94" i="5"/>
  <c r="H94" i="5"/>
  <c r="P93" i="5"/>
  <c r="O93" i="5"/>
  <c r="Q93" i="5" s="1"/>
  <c r="N93" i="5"/>
  <c r="M93" i="5"/>
  <c r="L93" i="5"/>
  <c r="K93" i="5"/>
  <c r="J93" i="5"/>
  <c r="H93" i="5"/>
  <c r="P92" i="5"/>
  <c r="O92" i="5"/>
  <c r="Q92" i="5" s="1"/>
  <c r="N92" i="5"/>
  <c r="M92" i="5"/>
  <c r="L92" i="5"/>
  <c r="K92" i="5"/>
  <c r="J92" i="5"/>
  <c r="H92" i="5"/>
  <c r="P91" i="5"/>
  <c r="O91" i="5"/>
  <c r="Q91" i="5" s="1"/>
  <c r="N91" i="5"/>
  <c r="M91" i="5"/>
  <c r="L91" i="5"/>
  <c r="K91" i="5"/>
  <c r="J91" i="5"/>
  <c r="H91" i="5"/>
  <c r="P90" i="5"/>
  <c r="O90" i="5"/>
  <c r="Q90" i="5" s="1"/>
  <c r="N90" i="5"/>
  <c r="M90" i="5"/>
  <c r="L90" i="5"/>
  <c r="K90" i="5"/>
  <c r="J90" i="5"/>
  <c r="H90" i="5"/>
  <c r="P89" i="5"/>
  <c r="O89" i="5"/>
  <c r="Q89" i="5" s="1"/>
  <c r="N89" i="5"/>
  <c r="M89" i="5"/>
  <c r="L89" i="5"/>
  <c r="K89" i="5"/>
  <c r="J89" i="5"/>
  <c r="H89" i="5"/>
  <c r="P88" i="5"/>
  <c r="O88" i="5"/>
  <c r="Q88" i="5" s="1"/>
  <c r="N88" i="5"/>
  <c r="M88" i="5"/>
  <c r="L88" i="5"/>
  <c r="K88" i="5"/>
  <c r="J88" i="5"/>
  <c r="H88" i="5"/>
  <c r="P87" i="5"/>
  <c r="O87" i="5"/>
  <c r="Q87" i="5" s="1"/>
  <c r="N87" i="5"/>
  <c r="M87" i="5"/>
  <c r="L87" i="5"/>
  <c r="K87" i="5"/>
  <c r="J87" i="5"/>
  <c r="H87" i="5"/>
  <c r="P86" i="5"/>
  <c r="O86" i="5"/>
  <c r="Q86" i="5" s="1"/>
  <c r="N86" i="5"/>
  <c r="M86" i="5"/>
  <c r="L86" i="5"/>
  <c r="K86" i="5"/>
  <c r="J86" i="5"/>
  <c r="H86" i="5"/>
  <c r="P85" i="5"/>
  <c r="O85" i="5"/>
  <c r="Q85" i="5" s="1"/>
  <c r="N85" i="5"/>
  <c r="M85" i="5"/>
  <c r="L85" i="5"/>
  <c r="K85" i="5"/>
  <c r="J85" i="5"/>
  <c r="H85" i="5"/>
  <c r="P84" i="5"/>
  <c r="O84" i="5"/>
  <c r="Q84" i="5" s="1"/>
  <c r="N84" i="5"/>
  <c r="M84" i="5"/>
  <c r="L84" i="5"/>
  <c r="K84" i="5"/>
  <c r="J84" i="5"/>
  <c r="H84" i="5"/>
  <c r="P83" i="5"/>
  <c r="O83" i="5"/>
  <c r="Q83" i="5" s="1"/>
  <c r="N83" i="5"/>
  <c r="M83" i="5"/>
  <c r="L83" i="5"/>
  <c r="K83" i="5"/>
  <c r="J83" i="5"/>
  <c r="H83" i="5"/>
  <c r="P82" i="5"/>
  <c r="O82" i="5"/>
  <c r="Q82" i="5" s="1"/>
  <c r="N82" i="5"/>
  <c r="M82" i="5"/>
  <c r="L82" i="5"/>
  <c r="K82" i="5"/>
  <c r="J82" i="5"/>
  <c r="H82" i="5"/>
  <c r="P81" i="5"/>
  <c r="O81" i="5"/>
  <c r="Q81" i="5" s="1"/>
  <c r="N81" i="5"/>
  <c r="M81" i="5"/>
  <c r="L81" i="5"/>
  <c r="K81" i="5"/>
  <c r="J81" i="5"/>
  <c r="H81" i="5"/>
  <c r="P80" i="5"/>
  <c r="O80" i="5"/>
  <c r="Q80" i="5" s="1"/>
  <c r="N80" i="5"/>
  <c r="M80" i="5"/>
  <c r="L80" i="5"/>
  <c r="K80" i="5"/>
  <c r="J80" i="5"/>
  <c r="H80" i="5"/>
  <c r="P79" i="5"/>
  <c r="O79" i="5"/>
  <c r="Q79" i="5" s="1"/>
  <c r="N79" i="5"/>
  <c r="M79" i="5"/>
  <c r="L79" i="5"/>
  <c r="K79" i="5"/>
  <c r="J79" i="5"/>
  <c r="H79" i="5"/>
  <c r="P78" i="5"/>
  <c r="O78" i="5"/>
  <c r="Q78" i="5" s="1"/>
  <c r="N78" i="5"/>
  <c r="M78" i="5"/>
  <c r="L78" i="5"/>
  <c r="K78" i="5"/>
  <c r="J78" i="5"/>
  <c r="H78" i="5"/>
  <c r="P77" i="5"/>
  <c r="O77" i="5"/>
  <c r="Q77" i="5" s="1"/>
  <c r="N77" i="5"/>
  <c r="M77" i="5"/>
  <c r="L77" i="5"/>
  <c r="K77" i="5"/>
  <c r="J77" i="5"/>
  <c r="H77" i="5"/>
  <c r="P76" i="5"/>
  <c r="O76" i="5"/>
  <c r="Q76" i="5" s="1"/>
  <c r="N76" i="5"/>
  <c r="M76" i="5"/>
  <c r="L76" i="5"/>
  <c r="K76" i="5"/>
  <c r="J76" i="5"/>
  <c r="H76" i="5"/>
  <c r="P75" i="5"/>
  <c r="O75" i="5"/>
  <c r="Q75" i="5" s="1"/>
  <c r="N75" i="5"/>
  <c r="M75" i="5"/>
  <c r="L75" i="5"/>
  <c r="K75" i="5"/>
  <c r="J75" i="5"/>
  <c r="H75" i="5"/>
  <c r="P74" i="5"/>
  <c r="O74" i="5"/>
  <c r="Q74" i="5" s="1"/>
  <c r="N74" i="5"/>
  <c r="M74" i="5"/>
  <c r="L74" i="5"/>
  <c r="K74" i="5"/>
  <c r="J74" i="5"/>
  <c r="H74" i="5"/>
  <c r="P73" i="5"/>
  <c r="O73" i="5"/>
  <c r="Q73" i="5" s="1"/>
  <c r="N73" i="5"/>
  <c r="M73" i="5"/>
  <c r="L73" i="5"/>
  <c r="K73" i="5"/>
  <c r="J73" i="5"/>
  <c r="H73" i="5"/>
  <c r="P72" i="5"/>
  <c r="O72" i="5"/>
  <c r="Q72" i="5" s="1"/>
  <c r="N72" i="5"/>
  <c r="M72" i="5"/>
  <c r="L72" i="5"/>
  <c r="K72" i="5"/>
  <c r="J72" i="5"/>
  <c r="H72" i="5"/>
  <c r="P71" i="5"/>
  <c r="O71" i="5"/>
  <c r="Q71" i="5" s="1"/>
  <c r="N71" i="5"/>
  <c r="M71" i="5"/>
  <c r="L71" i="5"/>
  <c r="K71" i="5"/>
  <c r="J71" i="5"/>
  <c r="H71" i="5"/>
  <c r="P70" i="5"/>
  <c r="O70" i="5"/>
  <c r="Q70" i="5" s="1"/>
  <c r="N70" i="5"/>
  <c r="M70" i="5"/>
  <c r="L70" i="5"/>
  <c r="K70" i="5"/>
  <c r="J70" i="5"/>
  <c r="H70" i="5"/>
  <c r="P69" i="5"/>
  <c r="O69" i="5"/>
  <c r="Q69" i="5" s="1"/>
  <c r="N69" i="5"/>
  <c r="M69" i="5"/>
  <c r="L69" i="5"/>
  <c r="K69" i="5"/>
  <c r="J69" i="5"/>
  <c r="H69" i="5"/>
  <c r="P68" i="5"/>
  <c r="O68" i="5"/>
  <c r="Q68" i="5" s="1"/>
  <c r="N68" i="5"/>
  <c r="M68" i="5"/>
  <c r="L68" i="5"/>
  <c r="K68" i="5"/>
  <c r="J68" i="5"/>
  <c r="H68" i="5"/>
  <c r="P67" i="5"/>
  <c r="O67" i="5"/>
  <c r="Q67" i="5" s="1"/>
  <c r="N67" i="5"/>
  <c r="M67" i="5"/>
  <c r="L67" i="5"/>
  <c r="K67" i="5"/>
  <c r="J67" i="5"/>
  <c r="H67" i="5"/>
  <c r="P66" i="5"/>
  <c r="O66" i="5"/>
  <c r="Q66" i="5" s="1"/>
  <c r="N66" i="5"/>
  <c r="M66" i="5"/>
  <c r="L66" i="5"/>
  <c r="K66" i="5"/>
  <c r="J66" i="5"/>
  <c r="H66" i="5"/>
  <c r="P65" i="5"/>
  <c r="O65" i="5"/>
  <c r="Q65" i="5" s="1"/>
  <c r="N65" i="5"/>
  <c r="M65" i="5"/>
  <c r="L65" i="5"/>
  <c r="K65" i="5"/>
  <c r="J65" i="5"/>
  <c r="H65" i="5"/>
  <c r="P64" i="5"/>
  <c r="O64" i="5"/>
  <c r="Q64" i="5" s="1"/>
  <c r="N64" i="5"/>
  <c r="M64" i="5"/>
  <c r="L64" i="5"/>
  <c r="K64" i="5"/>
  <c r="J64" i="5"/>
  <c r="H64" i="5"/>
  <c r="P63" i="5"/>
  <c r="O63" i="5"/>
  <c r="Q63" i="5" s="1"/>
  <c r="N63" i="5"/>
  <c r="M63" i="5"/>
  <c r="L63" i="5"/>
  <c r="K63" i="5"/>
  <c r="J63" i="5"/>
  <c r="H63" i="5"/>
  <c r="P62" i="5"/>
  <c r="O62" i="5"/>
  <c r="Q62" i="5" s="1"/>
  <c r="N62" i="5"/>
  <c r="M62" i="5"/>
  <c r="L62" i="5"/>
  <c r="K62" i="5"/>
  <c r="J62" i="5"/>
  <c r="H62" i="5"/>
  <c r="P61" i="5"/>
  <c r="O61" i="5"/>
  <c r="Q61" i="5" s="1"/>
  <c r="N61" i="5"/>
  <c r="M61" i="5"/>
  <c r="L61" i="5"/>
  <c r="K61" i="5"/>
  <c r="J61" i="5"/>
  <c r="H61" i="5"/>
  <c r="P60" i="5"/>
  <c r="O60" i="5"/>
  <c r="Q60" i="5" s="1"/>
  <c r="N60" i="5"/>
  <c r="M60" i="5"/>
  <c r="L60" i="5"/>
  <c r="K60" i="5"/>
  <c r="J60" i="5"/>
  <c r="H60" i="5"/>
  <c r="P59" i="5"/>
  <c r="O59" i="5"/>
  <c r="Q59" i="5" s="1"/>
  <c r="N59" i="5"/>
  <c r="M59" i="5"/>
  <c r="L59" i="5"/>
  <c r="K59" i="5"/>
  <c r="J59" i="5"/>
  <c r="H59" i="5"/>
  <c r="P58" i="5"/>
  <c r="O58" i="5"/>
  <c r="Q58" i="5" s="1"/>
  <c r="N58" i="5"/>
  <c r="M58" i="5"/>
  <c r="L58" i="5"/>
  <c r="K58" i="5"/>
  <c r="J58" i="5"/>
  <c r="H58" i="5"/>
  <c r="P57" i="5"/>
  <c r="O57" i="5"/>
  <c r="Q57" i="5" s="1"/>
  <c r="N57" i="5"/>
  <c r="M57" i="5"/>
  <c r="L57" i="5"/>
  <c r="K57" i="5"/>
  <c r="J57" i="5"/>
  <c r="H57" i="5"/>
  <c r="P56" i="5"/>
  <c r="O56" i="5"/>
  <c r="Q56" i="5" s="1"/>
  <c r="N56" i="5"/>
  <c r="M56" i="5"/>
  <c r="L56" i="5"/>
  <c r="K56" i="5"/>
  <c r="J56" i="5"/>
  <c r="H56" i="5"/>
  <c r="P55" i="5"/>
  <c r="O55" i="5"/>
  <c r="Q55" i="5" s="1"/>
  <c r="N55" i="5"/>
  <c r="M55" i="5"/>
  <c r="L55" i="5"/>
  <c r="K55" i="5"/>
  <c r="J55" i="5"/>
  <c r="H55" i="5"/>
  <c r="P54" i="5"/>
  <c r="O54" i="5"/>
  <c r="Q54" i="5" s="1"/>
  <c r="N54" i="5"/>
  <c r="M54" i="5"/>
  <c r="L54" i="5"/>
  <c r="K54" i="5"/>
  <c r="J54" i="5"/>
  <c r="H54" i="5"/>
  <c r="P53" i="5"/>
  <c r="O53" i="5"/>
  <c r="Q53" i="5" s="1"/>
  <c r="N53" i="5"/>
  <c r="M53" i="5"/>
  <c r="L53" i="5"/>
  <c r="K53" i="5"/>
  <c r="J53" i="5"/>
  <c r="H53" i="5"/>
  <c r="P52" i="5"/>
  <c r="O52" i="5"/>
  <c r="Q52" i="5" s="1"/>
  <c r="N52" i="5"/>
  <c r="M52" i="5"/>
  <c r="L52" i="5"/>
  <c r="K52" i="5"/>
  <c r="J52" i="5"/>
  <c r="H52" i="5"/>
  <c r="P51" i="5"/>
  <c r="O51" i="5"/>
  <c r="Q51" i="5" s="1"/>
  <c r="N51" i="5"/>
  <c r="M51" i="5"/>
  <c r="L51" i="5"/>
  <c r="K51" i="5"/>
  <c r="J51" i="5"/>
  <c r="H51" i="5"/>
  <c r="P50" i="5"/>
  <c r="O50" i="5"/>
  <c r="Q50" i="5" s="1"/>
  <c r="N50" i="5"/>
  <c r="M50" i="5"/>
  <c r="L50" i="5"/>
  <c r="K50" i="5"/>
  <c r="J50" i="5"/>
  <c r="H50" i="5"/>
  <c r="P49" i="5"/>
  <c r="O49" i="5"/>
  <c r="Q49" i="5" s="1"/>
  <c r="N49" i="5"/>
  <c r="M49" i="5"/>
  <c r="L49" i="5"/>
  <c r="K49" i="5"/>
  <c r="J49" i="5"/>
  <c r="H49" i="5"/>
  <c r="P48" i="5"/>
  <c r="O48" i="5"/>
  <c r="Q48" i="5" s="1"/>
  <c r="N48" i="5"/>
  <c r="M48" i="5"/>
  <c r="L48" i="5"/>
  <c r="K48" i="5"/>
  <c r="J48" i="5"/>
  <c r="H48" i="5"/>
  <c r="P47" i="5"/>
  <c r="O47" i="5"/>
  <c r="Q47" i="5" s="1"/>
  <c r="N47" i="5"/>
  <c r="M47" i="5"/>
  <c r="L47" i="5"/>
  <c r="K47" i="5"/>
  <c r="J47" i="5"/>
  <c r="H47" i="5"/>
  <c r="P46" i="5"/>
  <c r="O46" i="5"/>
  <c r="Q46" i="5" s="1"/>
  <c r="N46" i="5"/>
  <c r="M46" i="5"/>
  <c r="L46" i="5"/>
  <c r="K46" i="5"/>
  <c r="J46" i="5"/>
  <c r="H46" i="5"/>
  <c r="P45" i="5"/>
  <c r="O45" i="5"/>
  <c r="Q45" i="5" s="1"/>
  <c r="N45" i="5"/>
  <c r="M45" i="5"/>
  <c r="L45" i="5"/>
  <c r="K45" i="5"/>
  <c r="J45" i="5"/>
  <c r="H45" i="5"/>
  <c r="P44" i="5"/>
  <c r="O44" i="5"/>
  <c r="Q44" i="5" s="1"/>
  <c r="N44" i="5"/>
  <c r="M44" i="5"/>
  <c r="L44" i="5"/>
  <c r="K44" i="5"/>
  <c r="J44" i="5"/>
  <c r="H44" i="5"/>
  <c r="P43" i="5"/>
  <c r="O43" i="5"/>
  <c r="Q43" i="5" s="1"/>
  <c r="N43" i="5"/>
  <c r="M43" i="5"/>
  <c r="L43" i="5"/>
  <c r="K43" i="5"/>
  <c r="J43" i="5"/>
  <c r="H43" i="5"/>
  <c r="P42" i="5"/>
  <c r="O42" i="5"/>
  <c r="Q42" i="5" s="1"/>
  <c r="N42" i="5"/>
  <c r="M42" i="5"/>
  <c r="L42" i="5"/>
  <c r="K42" i="5"/>
  <c r="J42" i="5"/>
  <c r="H42" i="5"/>
  <c r="P41" i="5"/>
  <c r="O41" i="5"/>
  <c r="Q41" i="5" s="1"/>
  <c r="N41" i="5"/>
  <c r="M41" i="5"/>
  <c r="L41" i="5"/>
  <c r="K41" i="5"/>
  <c r="J41" i="5"/>
  <c r="H41" i="5"/>
  <c r="P40" i="5"/>
  <c r="O40" i="5"/>
  <c r="Q40" i="5" s="1"/>
  <c r="N40" i="5"/>
  <c r="M40" i="5"/>
  <c r="L40" i="5"/>
  <c r="K40" i="5"/>
  <c r="J40" i="5"/>
  <c r="H40" i="5"/>
  <c r="P39" i="5"/>
  <c r="O39" i="5"/>
  <c r="Q39" i="5" s="1"/>
  <c r="N39" i="5"/>
  <c r="M39" i="5"/>
  <c r="L39" i="5"/>
  <c r="K39" i="5"/>
  <c r="J39" i="5"/>
  <c r="H39" i="5"/>
  <c r="P38" i="5"/>
  <c r="O38" i="5"/>
  <c r="Q38" i="5" s="1"/>
  <c r="N38" i="5"/>
  <c r="M38" i="5"/>
  <c r="L38" i="5"/>
  <c r="K38" i="5"/>
  <c r="J38" i="5"/>
  <c r="H38" i="5"/>
  <c r="P37" i="5"/>
  <c r="O37" i="5"/>
  <c r="Q37" i="5" s="1"/>
  <c r="N37" i="5"/>
  <c r="M37" i="5"/>
  <c r="L37" i="5"/>
  <c r="K37" i="5"/>
  <c r="J37" i="5"/>
  <c r="H37" i="5"/>
  <c r="P36" i="5"/>
  <c r="O36" i="5"/>
  <c r="Q36" i="5" s="1"/>
  <c r="N36" i="5"/>
  <c r="M36" i="5"/>
  <c r="L36" i="5"/>
  <c r="K36" i="5"/>
  <c r="J36" i="5"/>
  <c r="H36" i="5"/>
  <c r="P35" i="5"/>
  <c r="O35" i="5"/>
  <c r="Q35" i="5" s="1"/>
  <c r="N35" i="5"/>
  <c r="M35" i="5"/>
  <c r="L35" i="5"/>
  <c r="K35" i="5"/>
  <c r="J35" i="5"/>
  <c r="H35" i="5"/>
  <c r="P34" i="5"/>
  <c r="O34" i="5"/>
  <c r="Q34" i="5" s="1"/>
  <c r="N34" i="5"/>
  <c r="M34" i="5"/>
  <c r="L34" i="5"/>
  <c r="K34" i="5"/>
  <c r="J34" i="5"/>
  <c r="H34" i="5"/>
  <c r="P33" i="5"/>
  <c r="O33" i="5"/>
  <c r="Q33" i="5" s="1"/>
  <c r="N33" i="5"/>
  <c r="M33" i="5"/>
  <c r="L33" i="5"/>
  <c r="K33" i="5"/>
  <c r="J33" i="5"/>
  <c r="H33" i="5"/>
  <c r="P32" i="5"/>
  <c r="O32" i="5"/>
  <c r="Q32" i="5" s="1"/>
  <c r="N32" i="5"/>
  <c r="M32" i="5"/>
  <c r="L32" i="5"/>
  <c r="K32" i="5"/>
  <c r="J32" i="5"/>
  <c r="H32" i="5"/>
  <c r="P31" i="5"/>
  <c r="O31" i="5"/>
  <c r="Q31" i="5" s="1"/>
  <c r="N31" i="5"/>
  <c r="M31" i="5"/>
  <c r="L31" i="5"/>
  <c r="K31" i="5"/>
  <c r="J31" i="5"/>
  <c r="H31" i="5"/>
  <c r="P30" i="5"/>
  <c r="O30" i="5"/>
  <c r="Q30" i="5" s="1"/>
  <c r="N30" i="5"/>
  <c r="M30" i="5"/>
  <c r="L30" i="5"/>
  <c r="K30" i="5"/>
  <c r="J30" i="5"/>
  <c r="H30" i="5"/>
  <c r="P29" i="5"/>
  <c r="O29" i="5"/>
  <c r="Q29" i="5" s="1"/>
  <c r="N29" i="5"/>
  <c r="M29" i="5"/>
  <c r="L29" i="5"/>
  <c r="K29" i="5"/>
  <c r="J29" i="5"/>
  <c r="H29" i="5"/>
  <c r="P28" i="5"/>
  <c r="O28" i="5"/>
  <c r="Q28" i="5" s="1"/>
  <c r="N28" i="5"/>
  <c r="M28" i="5"/>
  <c r="L28" i="5"/>
  <c r="K28" i="5"/>
  <c r="J28" i="5"/>
  <c r="H28" i="5"/>
  <c r="P27" i="5"/>
  <c r="O27" i="5"/>
  <c r="Q27" i="5" s="1"/>
  <c r="N27" i="5"/>
  <c r="M27" i="5"/>
  <c r="L27" i="5"/>
  <c r="K27" i="5"/>
  <c r="J27" i="5"/>
  <c r="H27" i="5"/>
  <c r="P26" i="5"/>
  <c r="O26" i="5"/>
  <c r="Q26" i="5" s="1"/>
  <c r="N26" i="5"/>
  <c r="M26" i="5"/>
  <c r="L26" i="5"/>
  <c r="K26" i="5"/>
  <c r="J26" i="5"/>
  <c r="H26" i="5"/>
  <c r="P25" i="5"/>
  <c r="O25" i="5"/>
  <c r="Q25" i="5" s="1"/>
  <c r="N25" i="5"/>
  <c r="M25" i="5"/>
  <c r="L25" i="5"/>
  <c r="K25" i="5"/>
  <c r="J25" i="5"/>
  <c r="H25" i="5"/>
  <c r="P24" i="5"/>
  <c r="O24" i="5"/>
  <c r="Q24" i="5" s="1"/>
  <c r="N24" i="5"/>
  <c r="M24" i="5"/>
  <c r="L24" i="5"/>
  <c r="K24" i="5"/>
  <c r="J24" i="5"/>
  <c r="H24" i="5"/>
  <c r="P23" i="5"/>
  <c r="O23" i="5"/>
  <c r="Q23" i="5" s="1"/>
  <c r="N23" i="5"/>
  <c r="M23" i="5"/>
  <c r="L23" i="5"/>
  <c r="K23" i="5"/>
  <c r="J23" i="5"/>
  <c r="H23" i="5"/>
  <c r="P22" i="5"/>
  <c r="O22" i="5"/>
  <c r="Q22" i="5" s="1"/>
  <c r="N22" i="5"/>
  <c r="M22" i="5"/>
  <c r="L22" i="5"/>
  <c r="K22" i="5"/>
  <c r="J22" i="5"/>
  <c r="H22" i="5"/>
  <c r="P21" i="5"/>
  <c r="O21" i="5"/>
  <c r="Q21" i="5" s="1"/>
  <c r="N21" i="5"/>
  <c r="M21" i="5"/>
  <c r="L21" i="5"/>
  <c r="K21" i="5"/>
  <c r="J21" i="5"/>
  <c r="H21" i="5"/>
  <c r="P20" i="5"/>
  <c r="O20" i="5"/>
  <c r="Q20" i="5" s="1"/>
  <c r="N20" i="5"/>
  <c r="M20" i="5"/>
  <c r="L20" i="5"/>
  <c r="K20" i="5"/>
  <c r="J20" i="5"/>
  <c r="H20" i="5"/>
  <c r="P19" i="5"/>
  <c r="O19" i="5"/>
  <c r="Q19" i="5" s="1"/>
  <c r="N19" i="5"/>
  <c r="M19" i="5"/>
  <c r="L19" i="5"/>
  <c r="K19" i="5"/>
  <c r="J19" i="5"/>
  <c r="H19" i="5"/>
  <c r="P18" i="5"/>
  <c r="O18" i="5"/>
  <c r="Q18" i="5" s="1"/>
  <c r="N18" i="5"/>
  <c r="M18" i="5"/>
  <c r="L18" i="5"/>
  <c r="K18" i="5"/>
  <c r="J18" i="5"/>
  <c r="H18" i="5"/>
  <c r="P17" i="5"/>
  <c r="O17" i="5"/>
  <c r="Q17" i="5" s="1"/>
  <c r="N17" i="5"/>
  <c r="M17" i="5"/>
  <c r="L17" i="5"/>
  <c r="K17" i="5"/>
  <c r="J17" i="5"/>
  <c r="H17" i="5"/>
  <c r="P16" i="5"/>
  <c r="O16" i="5"/>
  <c r="Q16" i="5" s="1"/>
  <c r="N16" i="5"/>
  <c r="M16" i="5"/>
  <c r="L16" i="5"/>
  <c r="K16" i="5"/>
  <c r="J16" i="5"/>
  <c r="H16" i="5"/>
  <c r="P15" i="5"/>
  <c r="O15" i="5"/>
  <c r="Q15" i="5" s="1"/>
  <c r="N15" i="5"/>
  <c r="M15" i="5"/>
  <c r="L15" i="5"/>
  <c r="K15" i="5"/>
  <c r="J15" i="5"/>
  <c r="H15" i="5"/>
  <c r="P14" i="5"/>
  <c r="O14" i="5"/>
  <c r="Q14" i="5" s="1"/>
  <c r="N14" i="5"/>
  <c r="M14" i="5"/>
  <c r="L14" i="5"/>
  <c r="K14" i="5"/>
  <c r="J14" i="5"/>
  <c r="H14" i="5"/>
  <c r="P13" i="5"/>
  <c r="O13" i="5"/>
  <c r="Q13" i="5" s="1"/>
  <c r="N13" i="5"/>
  <c r="M13" i="5"/>
  <c r="L13" i="5"/>
  <c r="K13" i="5"/>
  <c r="J13" i="5"/>
  <c r="H13" i="5"/>
  <c r="P12" i="5"/>
  <c r="O12" i="5"/>
  <c r="Q12" i="5" s="1"/>
  <c r="N12" i="5"/>
  <c r="M12" i="5"/>
  <c r="L12" i="5"/>
  <c r="K12" i="5"/>
  <c r="J12" i="5"/>
  <c r="H12" i="5"/>
  <c r="P11" i="5"/>
  <c r="O11" i="5"/>
  <c r="Q11" i="5" s="1"/>
  <c r="N11" i="5"/>
  <c r="M11" i="5"/>
  <c r="L11" i="5"/>
  <c r="K11" i="5"/>
  <c r="J11" i="5"/>
  <c r="H11" i="5"/>
  <c r="P10" i="5"/>
  <c r="O10" i="5"/>
  <c r="Q10" i="5" s="1"/>
  <c r="N10" i="5"/>
  <c r="M10" i="5"/>
  <c r="L10" i="5"/>
  <c r="K10" i="5"/>
  <c r="J10" i="5"/>
  <c r="H10" i="5"/>
  <c r="P9" i="5"/>
  <c r="O9" i="5"/>
  <c r="Q9" i="5" s="1"/>
  <c r="N9" i="5"/>
  <c r="M9" i="5"/>
  <c r="L9" i="5"/>
  <c r="K9" i="5"/>
  <c r="J9" i="5"/>
  <c r="H9" i="5"/>
  <c r="P8" i="5"/>
  <c r="O8" i="5"/>
  <c r="Q8" i="5" s="1"/>
  <c r="N8" i="5"/>
  <c r="M8" i="5"/>
  <c r="L8" i="5"/>
  <c r="K8" i="5"/>
  <c r="J8" i="5"/>
  <c r="H8" i="5"/>
  <c r="P7" i="5"/>
  <c r="O7" i="5"/>
  <c r="Q7" i="5" s="1"/>
  <c r="N7" i="5"/>
  <c r="M7" i="5"/>
  <c r="L7" i="5"/>
  <c r="K7" i="5"/>
  <c r="J7" i="5"/>
  <c r="H7" i="5"/>
  <c r="P6" i="5"/>
  <c r="O6" i="5"/>
  <c r="Q6" i="5" s="1"/>
  <c r="N6" i="5"/>
  <c r="M6" i="5"/>
  <c r="L6" i="5"/>
  <c r="K6" i="5"/>
  <c r="J6" i="5"/>
  <c r="H6" i="5"/>
  <c r="P5" i="5"/>
  <c r="O5" i="5"/>
  <c r="Q5" i="5" s="1"/>
  <c r="N5" i="5"/>
  <c r="M5" i="5"/>
  <c r="L5" i="5"/>
  <c r="K5" i="5"/>
  <c r="J5" i="5"/>
  <c r="H5" i="5"/>
  <c r="P4" i="5"/>
  <c r="O4" i="5"/>
  <c r="Q4" i="5" s="1"/>
  <c r="N4" i="5"/>
  <c r="M4" i="5"/>
  <c r="L4" i="5"/>
  <c r="K4" i="5"/>
  <c r="J4" i="5"/>
  <c r="H4" i="5"/>
  <c r="P3" i="5"/>
  <c r="O3" i="5"/>
  <c r="Q3" i="5" s="1"/>
  <c r="N3" i="5"/>
  <c r="M3" i="5"/>
  <c r="L3" i="5"/>
  <c r="K3" i="5"/>
  <c r="J3" i="5"/>
  <c r="H3" i="5"/>
  <c r="P2" i="5"/>
  <c r="O2" i="5"/>
  <c r="Q2" i="5" s="1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B4" i="9"/>
  <c r="B15" i="8"/>
  <c r="B14" i="8"/>
  <c r="B3" i="9" s="1"/>
  <c r="B13" i="8"/>
  <c r="B2" i="9" s="1"/>
  <c r="B12" i="8"/>
  <c r="B11" i="8"/>
  <c r="B10" i="8"/>
  <c r="B9" i="8"/>
  <c r="B8" i="8"/>
  <c r="B7" i="8"/>
  <c r="N2" i="15"/>
  <c r="X2" i="14"/>
  <c r="BL2" i="12"/>
  <c r="N3" i="15"/>
  <c r="X3" i="14"/>
  <c r="BL3" i="12"/>
  <c r="O3" i="15" s="1"/>
  <c r="T3" i="15" s="1"/>
  <c r="N4" i="15"/>
  <c r="X4" i="14"/>
  <c r="BL4" i="12"/>
  <c r="O4" i="15" s="1"/>
  <c r="N5" i="15"/>
  <c r="X5" i="14"/>
  <c r="BL5" i="12"/>
  <c r="O5" i="15" s="1"/>
  <c r="N6" i="15"/>
  <c r="X6" i="14"/>
  <c r="BL6" i="12"/>
  <c r="O6" i="15" s="1"/>
  <c r="T6" i="15" s="1"/>
  <c r="N7" i="15"/>
  <c r="X7" i="14"/>
  <c r="BL7" i="12"/>
  <c r="O7" i="15" s="1"/>
  <c r="T7" i="15" s="1"/>
  <c r="N8" i="15"/>
  <c r="X8" i="14"/>
  <c r="BL8" i="12"/>
  <c r="O8" i="15" s="1"/>
  <c r="N9" i="15"/>
  <c r="X9" i="14"/>
  <c r="BL9" i="12"/>
  <c r="O9" i="15" s="1"/>
  <c r="T9" i="15" s="1"/>
  <c r="N10" i="15"/>
  <c r="X10" i="14"/>
  <c r="BL10" i="12"/>
  <c r="O10" i="15" s="1"/>
  <c r="N11" i="15"/>
  <c r="X11" i="14"/>
  <c r="BL11" i="12"/>
  <c r="O11" i="15" s="1"/>
  <c r="N12" i="15"/>
  <c r="X12" i="14"/>
  <c r="BL12" i="12"/>
  <c r="O12" i="15" s="1"/>
  <c r="T12" i="15" s="1"/>
  <c r="N13" i="15"/>
  <c r="X13" i="14"/>
  <c r="BL13" i="12"/>
  <c r="O13" i="15" s="1"/>
  <c r="T13" i="15" s="1"/>
  <c r="N14" i="15"/>
  <c r="X14" i="14"/>
  <c r="BL14" i="12"/>
  <c r="O14" i="15" s="1"/>
  <c r="N15" i="15"/>
  <c r="X15" i="14"/>
  <c r="BL15" i="12"/>
  <c r="O15" i="15" s="1"/>
  <c r="T15" i="15" s="1"/>
  <c r="N16" i="15"/>
  <c r="X16" i="14"/>
  <c r="BL16" i="12"/>
  <c r="O16" i="15" s="1"/>
  <c r="T16" i="15" s="1"/>
  <c r="N17" i="15"/>
  <c r="X17" i="14"/>
  <c r="BL17" i="12"/>
  <c r="O17" i="15" s="1"/>
  <c r="N18" i="15"/>
  <c r="X18" i="14"/>
  <c r="BL18" i="12"/>
  <c r="O18" i="15" s="1"/>
  <c r="T18" i="15" s="1"/>
  <c r="N19" i="15"/>
  <c r="X19" i="14"/>
  <c r="BL19" i="12"/>
  <c r="O19" i="15" s="1"/>
  <c r="N20" i="15"/>
  <c r="X20" i="14"/>
  <c r="BL20" i="12"/>
  <c r="O20" i="15" s="1"/>
  <c r="N21" i="15"/>
  <c r="X21" i="14"/>
  <c r="BL21" i="12"/>
  <c r="O21" i="15" s="1"/>
  <c r="T21" i="15" s="1"/>
  <c r="N22" i="15"/>
  <c r="X22" i="14"/>
  <c r="BL22" i="12"/>
  <c r="O22" i="15" s="1"/>
  <c r="T22" i="15" s="1"/>
  <c r="N23" i="15"/>
  <c r="X23" i="14"/>
  <c r="BL23" i="12"/>
  <c r="O23" i="15" s="1"/>
  <c r="N24" i="15"/>
  <c r="X24" i="14"/>
  <c r="BL24" i="12"/>
  <c r="O24" i="15" s="1"/>
  <c r="T24" i="15" s="1"/>
  <c r="N25" i="15"/>
  <c r="X25" i="14"/>
  <c r="BL25" i="12"/>
  <c r="O25" i="15" s="1"/>
  <c r="N26" i="15"/>
  <c r="X26" i="14"/>
  <c r="BL26" i="12"/>
  <c r="O26" i="15" s="1"/>
  <c r="N27" i="15"/>
  <c r="X27" i="14"/>
  <c r="BL27" i="12"/>
  <c r="O27" i="15" s="1"/>
  <c r="N28" i="15"/>
  <c r="X28" i="14"/>
  <c r="BL28" i="12"/>
  <c r="O28" i="15" s="1"/>
  <c r="N29" i="15"/>
  <c r="X29" i="14"/>
  <c r="BL29" i="12"/>
  <c r="O29" i="15" s="1"/>
  <c r="N30" i="15"/>
  <c r="X30" i="14"/>
  <c r="BL30" i="12"/>
  <c r="O30" i="15" s="1"/>
  <c r="T30" i="15" s="1"/>
  <c r="N31" i="15"/>
  <c r="X31" i="14"/>
  <c r="BL31" i="12"/>
  <c r="O31" i="15" s="1"/>
  <c r="T31" i="15" s="1"/>
  <c r="N32" i="15"/>
  <c r="X32" i="14"/>
  <c r="BL32" i="12"/>
  <c r="O32" i="15" s="1"/>
  <c r="N33" i="15"/>
  <c r="X33" i="14"/>
  <c r="BL33" i="12"/>
  <c r="O33" i="15" s="1"/>
  <c r="T33" i="15" s="1"/>
  <c r="N34" i="15"/>
  <c r="X34" i="14"/>
  <c r="BL34" i="12"/>
  <c r="O34" i="15" s="1"/>
  <c r="N35" i="15"/>
  <c r="X35" i="14"/>
  <c r="BL35" i="12"/>
  <c r="O35" i="15" s="1"/>
  <c r="N36" i="15"/>
  <c r="X36" i="14"/>
  <c r="BL36" i="12"/>
  <c r="O36" i="15" s="1"/>
  <c r="N37" i="15"/>
  <c r="X37" i="14"/>
  <c r="BL37" i="12"/>
  <c r="O37" i="15" s="1"/>
  <c r="N38" i="15"/>
  <c r="X38" i="14"/>
  <c r="BL38" i="12"/>
  <c r="O38" i="15" s="1"/>
  <c r="N39" i="15"/>
  <c r="X39" i="14"/>
  <c r="BL39" i="12"/>
  <c r="O39" i="15" s="1"/>
  <c r="N40" i="15"/>
  <c r="X40" i="14"/>
  <c r="BL40" i="12"/>
  <c r="O40" i="15" s="1"/>
  <c r="N41" i="15"/>
  <c r="X41" i="14"/>
  <c r="BL41" i="12"/>
  <c r="O41" i="15" s="1"/>
  <c r="N42" i="15"/>
  <c r="X42" i="14"/>
  <c r="BL42" i="12"/>
  <c r="O42" i="15" s="1"/>
  <c r="N43" i="15"/>
  <c r="X43" i="14"/>
  <c r="BL43" i="12"/>
  <c r="O43" i="15" s="1"/>
  <c r="N44" i="15"/>
  <c r="X44" i="14"/>
  <c r="BL44" i="12"/>
  <c r="O44" i="15" s="1"/>
  <c r="N45" i="15"/>
  <c r="X45" i="14"/>
  <c r="BL45" i="12"/>
  <c r="O45" i="15" s="1"/>
  <c r="N46" i="15"/>
  <c r="X46" i="14"/>
  <c r="BL46" i="12"/>
  <c r="O46" i="15" s="1"/>
  <c r="N47" i="15"/>
  <c r="X47" i="14"/>
  <c r="BL47" i="12"/>
  <c r="O47" i="15" s="1"/>
  <c r="N48" i="15"/>
  <c r="X48" i="14"/>
  <c r="BL48" i="12"/>
  <c r="O48" i="15" s="1"/>
  <c r="N49" i="15"/>
  <c r="X49" i="14"/>
  <c r="BL49" i="12"/>
  <c r="O49" i="15" s="1"/>
  <c r="N50" i="15"/>
  <c r="X50" i="14"/>
  <c r="N51" i="15"/>
  <c r="X51" i="14"/>
  <c r="N52" i="15"/>
  <c r="X52" i="14"/>
  <c r="N53" i="15"/>
  <c r="X53" i="14"/>
  <c r="N54" i="15"/>
  <c r="X54" i="14"/>
  <c r="N55" i="15"/>
  <c r="X55" i="14"/>
  <c r="N56" i="15"/>
  <c r="X56" i="14"/>
  <c r="N57" i="15"/>
  <c r="X57" i="14"/>
  <c r="N58" i="15"/>
  <c r="X58" i="14"/>
  <c r="N59" i="15"/>
  <c r="X59" i="14"/>
  <c r="N60" i="15"/>
  <c r="X60" i="14"/>
  <c r="N61" i="15"/>
  <c r="X61" i="14"/>
  <c r="N62" i="15"/>
  <c r="X62" i="14"/>
  <c r="N63" i="15"/>
  <c r="X63" i="14"/>
  <c r="N64" i="15"/>
  <c r="X64" i="14"/>
  <c r="N65" i="15"/>
  <c r="X65" i="14"/>
  <c r="N66" i="15"/>
  <c r="X66" i="14"/>
  <c r="N67" i="15"/>
  <c r="X67" i="14"/>
  <c r="N68" i="15"/>
  <c r="X68" i="14"/>
  <c r="N69" i="15"/>
  <c r="X69" i="14"/>
  <c r="N70" i="15"/>
  <c r="X70" i="14"/>
  <c r="N71" i="15"/>
  <c r="X71" i="14"/>
  <c r="N72" i="15"/>
  <c r="X72" i="14"/>
  <c r="N73" i="15"/>
  <c r="X73" i="14"/>
  <c r="N74" i="15"/>
  <c r="X74" i="14"/>
  <c r="N75" i="15"/>
  <c r="X75" i="14"/>
  <c r="N76" i="15"/>
  <c r="X76" i="14"/>
  <c r="N77" i="15"/>
  <c r="X77" i="14"/>
  <c r="N78" i="15"/>
  <c r="X78" i="14"/>
  <c r="N79" i="15"/>
  <c r="X79" i="14"/>
  <c r="N80" i="15"/>
  <c r="X80" i="14"/>
  <c r="N81" i="15"/>
  <c r="X81" i="14"/>
  <c r="N82" i="15"/>
  <c r="X82" i="14"/>
  <c r="N83" i="15"/>
  <c r="X83" i="14"/>
  <c r="N84" i="15"/>
  <c r="X84" i="14"/>
  <c r="N85" i="15"/>
  <c r="X85" i="14"/>
  <c r="N86" i="15"/>
  <c r="X86" i="14"/>
  <c r="N87" i="15"/>
  <c r="X87" i="14"/>
  <c r="N88" i="15"/>
  <c r="X88" i="14"/>
  <c r="N89" i="15"/>
  <c r="X89" i="14"/>
  <c r="N90" i="15"/>
  <c r="X90" i="14"/>
  <c r="N91" i="15"/>
  <c r="X91" i="14"/>
  <c r="N92" i="15"/>
  <c r="X92" i="14"/>
  <c r="N93" i="15"/>
  <c r="X93" i="14"/>
  <c r="N94" i="15"/>
  <c r="X94" i="14"/>
  <c r="N95" i="15"/>
  <c r="X95" i="14"/>
  <c r="N96" i="15"/>
  <c r="X96" i="14"/>
  <c r="N97" i="15"/>
  <c r="X97" i="14"/>
  <c r="N98" i="15"/>
  <c r="X98" i="14"/>
  <c r="N99" i="15"/>
  <c r="X99" i="14"/>
  <c r="N100" i="15"/>
  <c r="X100" i="14"/>
  <c r="N101" i="15"/>
  <c r="X101" i="14"/>
  <c r="N102" i="15"/>
  <c r="X102" i="14"/>
  <c r="N103" i="15"/>
  <c r="X103" i="14"/>
  <c r="N104" i="15"/>
  <c r="X104" i="14"/>
  <c r="N105" i="15"/>
  <c r="X105" i="14"/>
  <c r="N106" i="15"/>
  <c r="X106" i="14"/>
  <c r="N107" i="15"/>
  <c r="X107" i="14"/>
  <c r="N108" i="15"/>
  <c r="X108" i="14"/>
  <c r="N109" i="15"/>
  <c r="X109" i="14"/>
  <c r="N110" i="15"/>
  <c r="X110" i="14"/>
  <c r="N111" i="15"/>
  <c r="X111" i="14"/>
  <c r="N112" i="15"/>
  <c r="X112" i="14"/>
  <c r="N113" i="15"/>
  <c r="X113" i="14"/>
  <c r="N114" i="15"/>
  <c r="X114" i="14"/>
  <c r="N115" i="15"/>
  <c r="X115" i="14"/>
  <c r="N116" i="15"/>
  <c r="X116" i="14"/>
  <c r="N117" i="15"/>
  <c r="X117" i="14"/>
  <c r="N118" i="15"/>
  <c r="X118" i="14"/>
  <c r="N119" i="15"/>
  <c r="X119" i="14"/>
  <c r="N120" i="15"/>
  <c r="X120" i="14"/>
  <c r="N121" i="15"/>
  <c r="X121" i="14"/>
  <c r="N122" i="15"/>
  <c r="X122" i="14"/>
  <c r="N123" i="15"/>
  <c r="X123" i="14"/>
  <c r="N124" i="15"/>
  <c r="X124" i="14"/>
  <c r="N125" i="15"/>
  <c r="X125" i="14"/>
  <c r="N126" i="15"/>
  <c r="X126" i="14"/>
  <c r="N127" i="15"/>
  <c r="X127" i="14"/>
  <c r="N128" i="15"/>
  <c r="X128" i="14"/>
  <c r="N129" i="15"/>
  <c r="X129" i="14"/>
  <c r="N130" i="15"/>
  <c r="X130" i="14"/>
  <c r="N131" i="15"/>
  <c r="X131" i="14"/>
  <c r="N132" i="15"/>
  <c r="X132" i="14"/>
  <c r="N133" i="15"/>
  <c r="X133" i="14"/>
  <c r="N134" i="15"/>
  <c r="X134" i="14"/>
  <c r="N135" i="15"/>
  <c r="X135" i="14"/>
  <c r="N136" i="15"/>
  <c r="X136" i="14"/>
  <c r="N137" i="15"/>
  <c r="X137" i="14"/>
  <c r="N138" i="15"/>
  <c r="X138" i="14"/>
  <c r="BL139" i="12"/>
  <c r="O138" i="15" s="1"/>
  <c r="N139" i="15"/>
  <c r="X139" i="14"/>
  <c r="BL140" i="12"/>
  <c r="O139" i="15" s="1"/>
  <c r="N140" i="15"/>
  <c r="X140" i="14"/>
  <c r="BL141" i="12"/>
  <c r="O140" i="15" s="1"/>
  <c r="N141" i="15"/>
  <c r="X141" i="14"/>
  <c r="BL142" i="12"/>
  <c r="O141" i="15" s="1"/>
  <c r="N142" i="15"/>
  <c r="X142" i="14"/>
  <c r="BL143" i="12"/>
  <c r="O142" i="15" s="1"/>
  <c r="N143" i="15"/>
  <c r="X143" i="14"/>
  <c r="BL144" i="12"/>
  <c r="O143" i="15" s="1"/>
  <c r="N144" i="15"/>
  <c r="X144" i="14"/>
  <c r="BL145" i="12"/>
  <c r="O144" i="15" s="1"/>
  <c r="N145" i="15"/>
  <c r="X145" i="14"/>
  <c r="N146" i="15"/>
  <c r="X146" i="14"/>
  <c r="N147" i="15"/>
  <c r="X147" i="14"/>
  <c r="N148" i="15"/>
  <c r="X148" i="14"/>
  <c r="N149" i="15"/>
  <c r="X149" i="14"/>
  <c r="N150" i="15"/>
  <c r="X150" i="14"/>
  <c r="N151" i="15"/>
  <c r="X151" i="14"/>
  <c r="N152" i="15"/>
  <c r="X152" i="14"/>
  <c r="N153" i="15"/>
  <c r="X153" i="14"/>
  <c r="N154" i="15"/>
  <c r="X154" i="14"/>
  <c r="N155" i="15"/>
  <c r="X155" i="14"/>
  <c r="N156" i="15"/>
  <c r="X156" i="14"/>
  <c r="N157" i="15"/>
  <c r="X157" i="14"/>
  <c r="N158" i="15"/>
  <c r="X158" i="14"/>
  <c r="N159" i="15"/>
  <c r="X159" i="14"/>
  <c r="N160" i="15"/>
  <c r="X160" i="14"/>
  <c r="N161" i="15"/>
  <c r="X161" i="14"/>
  <c r="N162" i="15"/>
  <c r="X162" i="14"/>
  <c r="N163" i="15"/>
  <c r="X163" i="14"/>
  <c r="N164" i="15"/>
  <c r="X164" i="14"/>
  <c r="N165" i="15"/>
  <c r="X165" i="14"/>
  <c r="N166" i="15"/>
  <c r="X166" i="14"/>
  <c r="N167" i="15"/>
  <c r="X167" i="14"/>
  <c r="N168" i="15"/>
  <c r="X168" i="14"/>
  <c r="N169" i="15"/>
  <c r="X169" i="14"/>
  <c r="N170" i="15"/>
  <c r="X170" i="14"/>
  <c r="N171" i="15"/>
  <c r="X171" i="14"/>
  <c r="N172" i="15"/>
  <c r="X172" i="14"/>
  <c r="N173" i="15"/>
  <c r="X173" i="14"/>
  <c r="N174" i="15"/>
  <c r="X174" i="14"/>
  <c r="N175" i="15"/>
  <c r="X175" i="14"/>
  <c r="N176" i="15"/>
  <c r="X176" i="14"/>
  <c r="N177" i="15"/>
  <c r="X177" i="14"/>
  <c r="N178" i="15"/>
  <c r="X178" i="14"/>
  <c r="N179" i="15"/>
  <c r="X179" i="14"/>
  <c r="N180" i="15"/>
  <c r="X180" i="14"/>
  <c r="N181" i="15"/>
  <c r="X181" i="14"/>
  <c r="N182" i="15"/>
  <c r="X182" i="14"/>
  <c r="N183" i="15"/>
  <c r="X183" i="14"/>
  <c r="N184" i="15"/>
  <c r="X184" i="14"/>
  <c r="N185" i="15"/>
  <c r="X185" i="14"/>
  <c r="N186" i="15"/>
  <c r="X186" i="14"/>
  <c r="N187" i="15"/>
  <c r="X187" i="14"/>
  <c r="N188" i="15"/>
  <c r="X188" i="14"/>
  <c r="N189" i="15"/>
  <c r="X189" i="14"/>
  <c r="N190" i="15"/>
  <c r="X190" i="14"/>
  <c r="N191" i="15"/>
  <c r="X191" i="14"/>
  <c r="N192" i="15"/>
  <c r="X192" i="14"/>
  <c r="N193" i="15"/>
  <c r="X193" i="14"/>
  <c r="N194" i="15"/>
  <c r="X194" i="14"/>
  <c r="N195" i="15"/>
  <c r="X195" i="14"/>
  <c r="N196" i="15"/>
  <c r="X196" i="14"/>
  <c r="N197" i="15"/>
  <c r="X197" i="14"/>
  <c r="N198" i="15"/>
  <c r="X198" i="14"/>
  <c r="N199" i="15"/>
  <c r="X199" i="14"/>
  <c r="N200" i="15"/>
  <c r="X200" i="14"/>
  <c r="N201" i="15"/>
  <c r="X201" i="14"/>
  <c r="N202" i="15"/>
  <c r="X202" i="14"/>
  <c r="N203" i="15"/>
  <c r="X203" i="14"/>
  <c r="N204" i="15"/>
  <c r="X204" i="14"/>
  <c r="N205" i="15"/>
  <c r="X205" i="14"/>
  <c r="N206" i="15"/>
  <c r="X206" i="14"/>
  <c r="N207" i="15"/>
  <c r="X207" i="14"/>
  <c r="N208" i="15"/>
  <c r="X208" i="14"/>
  <c r="N209" i="15"/>
  <c r="X209" i="14"/>
  <c r="N210" i="15"/>
  <c r="X210" i="14"/>
  <c r="N211" i="15"/>
  <c r="X211" i="14"/>
  <c r="N212" i="15"/>
  <c r="X212" i="14"/>
  <c r="N213" i="15"/>
  <c r="X213" i="14"/>
  <c r="N214" i="15"/>
  <c r="X214" i="14"/>
  <c r="N215" i="15"/>
  <c r="X215" i="14"/>
  <c r="N216" i="15"/>
  <c r="X216" i="14"/>
  <c r="N217" i="15"/>
  <c r="X217" i="14"/>
  <c r="N218" i="15"/>
  <c r="X218" i="14"/>
  <c r="N219" i="15"/>
  <c r="X219" i="14"/>
  <c r="N220" i="15"/>
  <c r="X220" i="14"/>
  <c r="N221" i="15"/>
  <c r="X221" i="14"/>
  <c r="N222" i="15"/>
  <c r="X222" i="14"/>
  <c r="N223" i="15"/>
  <c r="X223" i="14"/>
  <c r="N224" i="15"/>
  <c r="X224" i="14"/>
  <c r="N225" i="15"/>
  <c r="X225" i="14"/>
  <c r="N226" i="15"/>
  <c r="X226" i="14"/>
  <c r="N227" i="15"/>
  <c r="X227" i="14"/>
  <c r="N228" i="15"/>
  <c r="X228" i="14"/>
  <c r="N229" i="15"/>
  <c r="X229" i="14"/>
  <c r="N230" i="15"/>
  <c r="X230" i="14"/>
  <c r="N231" i="15"/>
  <c r="X231" i="14"/>
  <c r="N232" i="15"/>
  <c r="X232" i="14"/>
  <c r="N233" i="15"/>
  <c r="X233" i="14"/>
  <c r="N234" i="15"/>
  <c r="X234" i="14"/>
  <c r="N235" i="15"/>
  <c r="X235" i="14"/>
  <c r="N236" i="15"/>
  <c r="X236" i="14"/>
  <c r="N237" i="15"/>
  <c r="X237" i="14"/>
  <c r="N238" i="15"/>
  <c r="X238" i="14"/>
  <c r="N239" i="15"/>
  <c r="X239" i="14"/>
  <c r="N240" i="15"/>
  <c r="X240" i="14"/>
  <c r="N241" i="15"/>
  <c r="X241" i="14"/>
  <c r="N242" i="15"/>
  <c r="X242" i="14"/>
  <c r="N243" i="15"/>
  <c r="X243" i="14"/>
  <c r="N244" i="15"/>
  <c r="X244" i="14"/>
  <c r="N245" i="15"/>
  <c r="X245" i="14"/>
  <c r="N246" i="15"/>
  <c r="X246" i="14"/>
  <c r="N247" i="15"/>
  <c r="X247" i="14"/>
  <c r="N248" i="15"/>
  <c r="X248" i="14"/>
  <c r="N249" i="15"/>
  <c r="X249" i="14"/>
  <c r="N250" i="15"/>
  <c r="X250" i="14"/>
  <c r="N251" i="15"/>
  <c r="X251" i="14"/>
  <c r="N252" i="15"/>
  <c r="X252" i="14"/>
  <c r="N253" i="15"/>
  <c r="X253" i="14"/>
  <c r="N254" i="15"/>
  <c r="X254" i="14"/>
  <c r="N255" i="15"/>
  <c r="X255" i="14"/>
  <c r="N256" i="15"/>
  <c r="X256" i="14"/>
  <c r="N257" i="15"/>
  <c r="X257" i="14"/>
  <c r="N258" i="15"/>
  <c r="X258" i="14"/>
  <c r="N259" i="15"/>
  <c r="X259" i="14"/>
  <c r="N260" i="15"/>
  <c r="X260" i="14"/>
  <c r="N261" i="15"/>
  <c r="X261" i="14"/>
  <c r="N262" i="15"/>
  <c r="X262" i="14"/>
  <c r="N263" i="15"/>
  <c r="X263" i="14"/>
  <c r="N264" i="15"/>
  <c r="X264" i="14"/>
  <c r="N265" i="15"/>
  <c r="X265" i="14"/>
  <c r="N266" i="15"/>
  <c r="X266" i="14"/>
  <c r="N267" i="15"/>
  <c r="X267" i="14"/>
  <c r="N268" i="15"/>
  <c r="X268" i="14"/>
  <c r="N269" i="15"/>
  <c r="X269" i="14"/>
  <c r="N270" i="15"/>
  <c r="X270" i="14"/>
  <c r="N271" i="15"/>
  <c r="X271" i="14"/>
  <c r="N272" i="15"/>
  <c r="X272" i="14"/>
  <c r="N273" i="15"/>
  <c r="X273" i="14"/>
  <c r="N274" i="15"/>
  <c r="X274" i="14"/>
  <c r="N275" i="15"/>
  <c r="X275" i="14"/>
  <c r="N276" i="15"/>
  <c r="X276" i="14"/>
  <c r="N277" i="15"/>
  <c r="X277" i="14"/>
  <c r="N278" i="15"/>
  <c r="X278" i="14"/>
  <c r="N279" i="15"/>
  <c r="X279" i="14"/>
  <c r="N280" i="15"/>
  <c r="X280" i="14"/>
  <c r="N281" i="15"/>
  <c r="X281" i="14"/>
  <c r="N282" i="15"/>
  <c r="X282" i="14"/>
  <c r="N283" i="15"/>
  <c r="X283" i="14"/>
  <c r="N284" i="15"/>
  <c r="X284" i="14"/>
  <c r="N285" i="15"/>
  <c r="X285" i="14"/>
  <c r="N286" i="15"/>
  <c r="X286" i="14"/>
  <c r="N287" i="15"/>
  <c r="X287" i="14"/>
  <c r="N288" i="15"/>
  <c r="X288" i="14"/>
  <c r="N289" i="15"/>
  <c r="X289" i="14"/>
  <c r="N290" i="15"/>
  <c r="X290" i="14"/>
  <c r="N291" i="15"/>
  <c r="X291" i="14"/>
  <c r="N292" i="15"/>
  <c r="X292" i="14"/>
  <c r="N293" i="15"/>
  <c r="X293" i="14"/>
  <c r="N294" i="15"/>
  <c r="X294" i="14"/>
  <c r="N295" i="15"/>
  <c r="X295" i="14"/>
  <c r="N296" i="15"/>
  <c r="X296" i="14"/>
  <c r="N297" i="15"/>
  <c r="X297" i="14"/>
  <c r="N298" i="15"/>
  <c r="X298" i="14"/>
  <c r="N299" i="15"/>
  <c r="X299" i="14"/>
  <c r="N300" i="15"/>
  <c r="X300" i="14"/>
  <c r="N301" i="15"/>
  <c r="X301" i="14"/>
  <c r="N302" i="15"/>
  <c r="X302" i="14"/>
  <c r="N303" i="15"/>
  <c r="X303" i="14"/>
  <c r="N304" i="15"/>
  <c r="X304" i="14"/>
  <c r="N305" i="15"/>
  <c r="X305" i="14"/>
  <c r="N306" i="15"/>
  <c r="X306" i="14"/>
  <c r="N307" i="15"/>
  <c r="X307" i="14"/>
  <c r="N308" i="15"/>
  <c r="X308" i="14"/>
  <c r="N309" i="15"/>
  <c r="X309" i="14"/>
  <c r="N310" i="15"/>
  <c r="X310" i="14"/>
  <c r="N311" i="15"/>
  <c r="X311" i="14"/>
  <c r="N312" i="15"/>
  <c r="X312" i="14"/>
  <c r="N313" i="15"/>
  <c r="X313" i="14"/>
  <c r="N314" i="15"/>
  <c r="X314" i="14"/>
  <c r="N315" i="15"/>
  <c r="X315" i="14"/>
  <c r="N316" i="15"/>
  <c r="X316" i="14"/>
  <c r="N317" i="15"/>
  <c r="X317" i="14"/>
  <c r="N318" i="15"/>
  <c r="X318" i="14"/>
  <c r="N319" i="15"/>
  <c r="X319" i="14"/>
  <c r="N320" i="15"/>
  <c r="X320" i="14"/>
  <c r="N321" i="15"/>
  <c r="X321" i="14"/>
  <c r="N322" i="15"/>
  <c r="X322" i="14"/>
  <c r="N323" i="15"/>
  <c r="X323" i="14"/>
  <c r="N324" i="15"/>
  <c r="X324" i="14"/>
  <c r="N325" i="15"/>
  <c r="X325" i="14"/>
  <c r="N326" i="15"/>
  <c r="X326" i="14"/>
  <c r="N327" i="15"/>
  <c r="X327" i="14"/>
  <c r="N328" i="15"/>
  <c r="X328" i="14"/>
  <c r="N329" i="15"/>
  <c r="X329" i="14"/>
  <c r="N330" i="15"/>
  <c r="X330" i="14"/>
  <c r="N331" i="15"/>
  <c r="X331" i="14"/>
  <c r="N332" i="15"/>
  <c r="X332" i="14"/>
  <c r="N333" i="15"/>
  <c r="X333" i="14"/>
  <c r="N334" i="15"/>
  <c r="X334" i="14"/>
  <c r="N335" i="15"/>
  <c r="X335" i="14"/>
  <c r="N336" i="15"/>
  <c r="X336" i="14"/>
  <c r="N337" i="15"/>
  <c r="X337" i="14"/>
  <c r="N338" i="15"/>
  <c r="X338" i="14"/>
  <c r="N339" i="15"/>
  <c r="X339" i="14"/>
  <c r="N340" i="15"/>
  <c r="X340" i="14"/>
  <c r="N341" i="15"/>
  <c r="X341" i="14"/>
  <c r="N342" i="15"/>
  <c r="X342" i="14"/>
  <c r="N343" i="15"/>
  <c r="X343" i="14"/>
  <c r="N344" i="15"/>
  <c r="X344" i="14"/>
  <c r="N345" i="15"/>
  <c r="X345" i="14"/>
  <c r="N346" i="15"/>
  <c r="X346" i="14"/>
  <c r="N347" i="15"/>
  <c r="X347" i="14"/>
  <c r="N348" i="15"/>
  <c r="X348" i="14"/>
  <c r="N349" i="15"/>
  <c r="X349" i="14"/>
  <c r="N350" i="15"/>
  <c r="X350" i="14"/>
  <c r="N351" i="15"/>
  <c r="X351" i="14"/>
  <c r="N352" i="15"/>
  <c r="X352" i="14"/>
  <c r="N353" i="15"/>
  <c r="X353" i="14"/>
  <c r="N354" i="15"/>
  <c r="X354" i="14"/>
  <c r="N355" i="15"/>
  <c r="X355" i="14"/>
  <c r="N356" i="15"/>
  <c r="X356" i="14"/>
  <c r="N357" i="15"/>
  <c r="X357" i="14"/>
  <c r="N358" i="15"/>
  <c r="X358" i="14"/>
  <c r="N359" i="15"/>
  <c r="X359" i="14"/>
  <c r="N360" i="15"/>
  <c r="X360" i="14"/>
  <c r="N361" i="15"/>
  <c r="X361" i="14"/>
  <c r="N362" i="15"/>
  <c r="X362" i="14"/>
  <c r="N363" i="15"/>
  <c r="X363" i="14"/>
  <c r="N364" i="15"/>
  <c r="X364" i="14"/>
  <c r="N365" i="15"/>
  <c r="X365" i="14"/>
  <c r="N366" i="15"/>
  <c r="X366" i="14"/>
  <c r="N367" i="15"/>
  <c r="X367" i="14"/>
  <c r="N368" i="15"/>
  <c r="X368" i="14"/>
  <c r="N369" i="15"/>
  <c r="X369" i="14"/>
  <c r="N370" i="15"/>
  <c r="X370" i="14"/>
  <c r="N371" i="15"/>
  <c r="X371" i="14"/>
  <c r="N372" i="15"/>
  <c r="X372" i="14"/>
  <c r="N373" i="15"/>
  <c r="X373" i="14"/>
  <c r="N374" i="15"/>
  <c r="X374" i="14"/>
  <c r="N375" i="15"/>
  <c r="X375" i="14"/>
  <c r="N376" i="15"/>
  <c r="X376" i="14"/>
  <c r="N377" i="15"/>
  <c r="X377" i="14"/>
  <c r="N378" i="15"/>
  <c r="X378" i="14"/>
  <c r="N379" i="15"/>
  <c r="X379" i="14"/>
  <c r="N380" i="15"/>
  <c r="X380" i="14"/>
  <c r="N381" i="15"/>
  <c r="X381" i="14"/>
  <c r="N382" i="15"/>
  <c r="X382" i="14"/>
  <c r="N383" i="15"/>
  <c r="X383" i="14"/>
  <c r="N384" i="15"/>
  <c r="X384" i="14"/>
  <c r="N385" i="15"/>
  <c r="X385" i="14"/>
  <c r="N386" i="15"/>
  <c r="X386" i="14"/>
  <c r="N387" i="15"/>
  <c r="X387" i="14"/>
  <c r="N388" i="15"/>
  <c r="X388" i="14"/>
  <c r="N389" i="15"/>
  <c r="X389" i="14"/>
  <c r="N390" i="15"/>
  <c r="X390" i="14"/>
  <c r="N391" i="15"/>
  <c r="X391" i="14"/>
  <c r="N392" i="15"/>
  <c r="X392" i="14"/>
  <c r="N393" i="15"/>
  <c r="X393" i="14"/>
  <c r="N394" i="15"/>
  <c r="X394" i="14"/>
  <c r="N395" i="15"/>
  <c r="X395" i="14"/>
  <c r="N396" i="15"/>
  <c r="X396" i="14"/>
  <c r="N397" i="15"/>
  <c r="X397" i="14"/>
  <c r="N398" i="15"/>
  <c r="X398" i="14"/>
  <c r="N399" i="15"/>
  <c r="X399" i="14"/>
  <c r="N400" i="15"/>
  <c r="X400" i="14"/>
  <c r="N401" i="15"/>
  <c r="X401" i="14"/>
  <c r="N402" i="15"/>
  <c r="X402" i="14"/>
  <c r="N403" i="15"/>
  <c r="X403" i="14"/>
  <c r="N404" i="15"/>
  <c r="X404" i="14"/>
  <c r="N405" i="15"/>
  <c r="X405" i="14"/>
  <c r="N406" i="15"/>
  <c r="X406" i="14"/>
  <c r="N407" i="15"/>
  <c r="X407" i="14"/>
  <c r="N408" i="15"/>
  <c r="X408" i="14"/>
  <c r="N409" i="15"/>
  <c r="X409" i="14"/>
  <c r="N410" i="15"/>
  <c r="X410" i="14"/>
  <c r="N411" i="15"/>
  <c r="X411" i="14"/>
  <c r="N412" i="15"/>
  <c r="X412" i="14"/>
  <c r="N413" i="15"/>
  <c r="X413" i="14"/>
  <c r="N414" i="15"/>
  <c r="X414" i="14"/>
  <c r="N415" i="15"/>
  <c r="X415" i="14"/>
  <c r="N416" i="15"/>
  <c r="X416" i="14"/>
  <c r="N417" i="15"/>
  <c r="X417" i="14"/>
  <c r="N418" i="15"/>
  <c r="X418" i="14"/>
  <c r="N419" i="15"/>
  <c r="X419" i="14"/>
  <c r="N420" i="15"/>
  <c r="X420" i="14"/>
  <c r="N421" i="15"/>
  <c r="X421" i="14"/>
  <c r="N422" i="15"/>
  <c r="X422" i="14"/>
  <c r="N423" i="15"/>
  <c r="X423" i="14"/>
  <c r="N424" i="15"/>
  <c r="X424" i="14"/>
  <c r="N425" i="15"/>
  <c r="X425" i="14"/>
  <c r="N426" i="15"/>
  <c r="X426" i="14"/>
  <c r="N427" i="15"/>
  <c r="X427" i="14"/>
  <c r="N428" i="15"/>
  <c r="X428" i="14"/>
  <c r="N429" i="15"/>
  <c r="X429" i="14"/>
  <c r="N430" i="15"/>
  <c r="X430" i="14"/>
  <c r="N431" i="15"/>
  <c r="X431" i="14"/>
  <c r="N432" i="15"/>
  <c r="X432" i="14"/>
  <c r="N433" i="15"/>
  <c r="X433" i="14"/>
  <c r="N434" i="15"/>
  <c r="X434" i="14"/>
  <c r="N435" i="15"/>
  <c r="X435" i="14"/>
  <c r="N436" i="15"/>
  <c r="X436" i="14"/>
  <c r="N437" i="15"/>
  <c r="X437" i="14"/>
  <c r="N438" i="15"/>
  <c r="X438" i="14"/>
  <c r="N439" i="15"/>
  <c r="X439" i="14"/>
  <c r="N440" i="15"/>
  <c r="X440" i="14"/>
  <c r="N441" i="15"/>
  <c r="X441" i="14"/>
  <c r="N442" i="15"/>
  <c r="X442" i="14"/>
  <c r="N443" i="15"/>
  <c r="X443" i="14"/>
  <c r="N444" i="15"/>
  <c r="X444" i="14"/>
  <c r="N445" i="15"/>
  <c r="X445" i="14"/>
  <c r="N446" i="15"/>
  <c r="X446" i="14"/>
  <c r="N447" i="15"/>
  <c r="X447" i="14"/>
  <c r="N448" i="15"/>
  <c r="X448" i="14"/>
  <c r="N449" i="15"/>
  <c r="X449" i="14"/>
  <c r="N450" i="15"/>
  <c r="X450" i="14"/>
  <c r="N451" i="15"/>
  <c r="X451" i="14"/>
  <c r="N452" i="15"/>
  <c r="X452" i="14"/>
  <c r="N453" i="15"/>
  <c r="X453" i="14"/>
  <c r="N454" i="15"/>
  <c r="X454" i="14"/>
  <c r="N455" i="15"/>
  <c r="X455" i="14"/>
  <c r="N456" i="15"/>
  <c r="X456" i="14"/>
  <c r="N457" i="15"/>
  <c r="X457" i="14"/>
  <c r="N458" i="15"/>
  <c r="X458" i="14"/>
  <c r="N459" i="15"/>
  <c r="X459" i="14"/>
  <c r="N460" i="15"/>
  <c r="X460" i="14"/>
  <c r="N461" i="15"/>
  <c r="X461" i="14"/>
  <c r="N462" i="15"/>
  <c r="X462" i="14"/>
  <c r="N463" i="15"/>
  <c r="X463" i="14"/>
  <c r="N464" i="15"/>
  <c r="X464" i="14"/>
  <c r="N465" i="15"/>
  <c r="X465" i="14"/>
  <c r="N466" i="15"/>
  <c r="X466" i="14"/>
  <c r="N467" i="15"/>
  <c r="X467" i="14"/>
  <c r="N468" i="15"/>
  <c r="X468" i="14"/>
  <c r="N469" i="15"/>
  <c r="X469" i="14"/>
  <c r="N470" i="15"/>
  <c r="X470" i="14"/>
  <c r="N471" i="15"/>
  <c r="X471" i="14"/>
  <c r="N472" i="15"/>
  <c r="X472" i="14"/>
  <c r="N473" i="15"/>
  <c r="X473" i="14"/>
  <c r="N474" i="15"/>
  <c r="X474" i="14"/>
  <c r="N475" i="15"/>
  <c r="X475" i="14"/>
  <c r="N476" i="15"/>
  <c r="X476" i="14"/>
  <c r="N477" i="15"/>
  <c r="X477" i="14"/>
  <c r="N478" i="15"/>
  <c r="X478" i="14"/>
  <c r="N479" i="15"/>
  <c r="X479" i="14"/>
  <c r="N480" i="15"/>
  <c r="X480" i="14"/>
  <c r="N481" i="15"/>
  <c r="X481" i="14"/>
  <c r="N482" i="15"/>
  <c r="X482" i="14"/>
  <c r="N483" i="15"/>
  <c r="X483" i="14"/>
  <c r="N484" i="15"/>
  <c r="X484" i="14"/>
  <c r="N485" i="15"/>
  <c r="X485" i="14"/>
  <c r="N486" i="15"/>
  <c r="X486" i="14"/>
  <c r="N487" i="15"/>
  <c r="X487" i="14"/>
  <c r="N488" i="15"/>
  <c r="X488" i="14"/>
  <c r="N489" i="15"/>
  <c r="X489" i="14"/>
  <c r="N490" i="15"/>
  <c r="X490" i="14"/>
  <c r="N491" i="15"/>
  <c r="X491" i="14"/>
  <c r="N492" i="15"/>
  <c r="X492" i="14"/>
  <c r="N493" i="15"/>
  <c r="X493" i="14"/>
  <c r="N494" i="15"/>
  <c r="X494" i="14"/>
  <c r="N495" i="15"/>
  <c r="X495" i="14"/>
  <c r="N496" i="15"/>
  <c r="X496" i="14"/>
  <c r="N497" i="15"/>
  <c r="X497" i="14"/>
  <c r="N498" i="15"/>
  <c r="X498" i="14"/>
  <c r="N499" i="15"/>
  <c r="X499" i="14"/>
  <c r="N500" i="15"/>
  <c r="X500" i="14"/>
  <c r="N501" i="15"/>
  <c r="X501" i="14"/>
  <c r="N502" i="15"/>
  <c r="X502" i="14"/>
  <c r="N503" i="15"/>
  <c r="X503" i="14"/>
  <c r="D15" i="13"/>
  <c r="S2" i="15"/>
  <c r="S3" i="15"/>
  <c r="T4" i="15"/>
  <c r="S4" i="15"/>
  <c r="S5" i="15"/>
  <c r="T5" i="15" s="1"/>
  <c r="S6" i="15"/>
  <c r="S7" i="15"/>
  <c r="S8" i="15"/>
  <c r="T8" i="15" s="1"/>
  <c r="S9" i="15"/>
  <c r="T10" i="15"/>
  <c r="S10" i="15"/>
  <c r="S11" i="15"/>
  <c r="S12" i="15"/>
  <c r="S13" i="15"/>
  <c r="S14" i="15"/>
  <c r="T14" i="15" s="1"/>
  <c r="S15" i="15"/>
  <c r="S16" i="15"/>
  <c r="S17" i="15"/>
  <c r="S18" i="15"/>
  <c r="T19" i="15"/>
  <c r="S19" i="15"/>
  <c r="S20" i="15"/>
  <c r="S21" i="15"/>
  <c r="S22" i="15"/>
  <c r="S23" i="15"/>
  <c r="T23" i="15" s="1"/>
  <c r="S24" i="15"/>
  <c r="T25" i="15"/>
  <c r="S25" i="15"/>
  <c r="S26" i="15"/>
  <c r="T27" i="15"/>
  <c r="S27" i="15"/>
  <c r="S28" i="15"/>
  <c r="T28" i="15" s="1"/>
  <c r="S29" i="15"/>
  <c r="S30" i="15"/>
  <c r="S31" i="15"/>
  <c r="S32" i="15"/>
  <c r="T32" i="15" s="1"/>
  <c r="S33" i="15"/>
  <c r="T34" i="15"/>
  <c r="S34" i="15"/>
  <c r="S35" i="15"/>
  <c r="T36" i="15"/>
  <c r="S36" i="15"/>
  <c r="S37" i="15"/>
  <c r="T37" i="15" s="1"/>
  <c r="S38" i="15"/>
  <c r="T38" i="15" s="1"/>
  <c r="T39" i="15"/>
  <c r="S39" i="15"/>
  <c r="T40" i="15"/>
  <c r="S40" i="15"/>
  <c r="S41" i="15"/>
  <c r="T41" i="15" s="1"/>
  <c r="T42" i="15"/>
  <c r="S42" i="15"/>
  <c r="T43" i="15"/>
  <c r="S43" i="15"/>
  <c r="S44" i="15"/>
  <c r="T44" i="15" s="1"/>
  <c r="T45" i="15"/>
  <c r="S45" i="15"/>
  <c r="S46" i="15"/>
  <c r="T46" i="15" s="1"/>
  <c r="S47" i="15"/>
  <c r="T47" i="15" s="1"/>
  <c r="T48" i="15"/>
  <c r="S48" i="15"/>
  <c r="T49" i="15"/>
  <c r="S49" i="15"/>
  <c r="S50" i="15"/>
  <c r="T50" i="15" s="1"/>
  <c r="T51" i="15"/>
  <c r="S51" i="15"/>
  <c r="T52" i="15"/>
  <c r="S52" i="15"/>
  <c r="S53" i="15"/>
  <c r="T53" i="15" s="1"/>
  <c r="T54" i="15"/>
  <c r="S54" i="15"/>
  <c r="S55" i="15"/>
  <c r="T55" i="15" s="1"/>
  <c r="S56" i="15"/>
  <c r="T56" i="15" s="1"/>
  <c r="T57" i="15"/>
  <c r="S57" i="15"/>
  <c r="T58" i="15"/>
  <c r="S58" i="15"/>
  <c r="S59" i="15"/>
  <c r="T59" i="15" s="1"/>
  <c r="T60" i="15"/>
  <c r="S60" i="15"/>
  <c r="T61" i="15"/>
  <c r="S61" i="15"/>
  <c r="S62" i="15"/>
  <c r="T62" i="15" s="1"/>
  <c r="T63" i="15"/>
  <c r="S63" i="15"/>
  <c r="S64" i="15"/>
  <c r="T64" i="15" s="1"/>
  <c r="S65" i="15"/>
  <c r="T65" i="15" s="1"/>
  <c r="T66" i="15"/>
  <c r="S66" i="15"/>
  <c r="T67" i="15"/>
  <c r="S67" i="15"/>
  <c r="S68" i="15"/>
  <c r="T68" i="15" s="1"/>
  <c r="T69" i="15"/>
  <c r="S69" i="15"/>
  <c r="T70" i="15"/>
  <c r="S70" i="15"/>
  <c r="S71" i="15"/>
  <c r="T71" i="15" s="1"/>
  <c r="T72" i="15"/>
  <c r="S72" i="15"/>
  <c r="S73" i="15"/>
  <c r="T73" i="15" s="1"/>
  <c r="S74" i="15"/>
  <c r="T74" i="15" s="1"/>
  <c r="T75" i="15"/>
  <c r="S75" i="15"/>
  <c r="T76" i="15"/>
  <c r="S76" i="15"/>
  <c r="S77" i="15"/>
  <c r="T77" i="15" s="1"/>
  <c r="T78" i="15"/>
  <c r="S78" i="15"/>
  <c r="T79" i="15"/>
  <c r="S79" i="15"/>
  <c r="S80" i="15"/>
  <c r="T80" i="15" s="1"/>
  <c r="T81" i="15"/>
  <c r="S81" i="15"/>
  <c r="S82" i="15"/>
  <c r="T82" i="15" s="1"/>
  <c r="S83" i="15"/>
  <c r="T83" i="15" s="1"/>
  <c r="T84" i="15"/>
  <c r="S84" i="15"/>
  <c r="T85" i="15"/>
  <c r="S85" i="15"/>
  <c r="S86" i="15"/>
  <c r="T86" i="15" s="1"/>
  <c r="T87" i="15"/>
  <c r="S87" i="15"/>
  <c r="T88" i="15"/>
  <c r="S88" i="15"/>
  <c r="S89" i="15"/>
  <c r="T89" i="15" s="1"/>
  <c r="T90" i="15"/>
  <c r="S90" i="15"/>
  <c r="S91" i="15"/>
  <c r="T91" i="15" s="1"/>
  <c r="S92" i="15"/>
  <c r="T92" i="15" s="1"/>
  <c r="T93" i="15"/>
  <c r="S93" i="15"/>
  <c r="T94" i="15"/>
  <c r="S94" i="15"/>
  <c r="S95" i="15"/>
  <c r="T95" i="15" s="1"/>
  <c r="T96" i="15"/>
  <c r="S96" i="15"/>
  <c r="T97" i="15"/>
  <c r="S97" i="15"/>
  <c r="S98" i="15"/>
  <c r="T98" i="15" s="1"/>
  <c r="T99" i="15"/>
  <c r="S99" i="15"/>
  <c r="S100" i="15"/>
  <c r="T100" i="15" s="1"/>
  <c r="S101" i="15"/>
  <c r="T101" i="15" s="1"/>
  <c r="T102" i="15"/>
  <c r="S102" i="15"/>
  <c r="S103" i="15"/>
  <c r="T103" i="15" s="1"/>
  <c r="S104" i="15"/>
  <c r="T104" i="15" s="1"/>
  <c r="T105" i="15"/>
  <c r="S105" i="15"/>
  <c r="T106" i="15"/>
  <c r="S106" i="15"/>
  <c r="S107" i="15"/>
  <c r="T107" i="15" s="1"/>
  <c r="T108" i="15"/>
  <c r="S108" i="15"/>
  <c r="S109" i="15"/>
  <c r="T109" i="15" s="1"/>
  <c r="S110" i="15"/>
  <c r="T110" i="15" s="1"/>
  <c r="T111" i="15"/>
  <c r="S111" i="15"/>
  <c r="S112" i="15"/>
  <c r="T112" i="15" s="1"/>
  <c r="S113" i="15"/>
  <c r="T113" i="15" s="1"/>
  <c r="T114" i="15"/>
  <c r="S114" i="15"/>
  <c r="T115" i="15"/>
  <c r="S115" i="15"/>
  <c r="S116" i="15"/>
  <c r="T116" i="15" s="1"/>
  <c r="T117" i="15"/>
  <c r="S117" i="15"/>
  <c r="S118" i="15"/>
  <c r="T118" i="15" s="1"/>
  <c r="S119" i="15"/>
  <c r="T119" i="15" s="1"/>
  <c r="T120" i="15"/>
  <c r="S120" i="15"/>
  <c r="S121" i="15"/>
  <c r="T121" i="15" s="1"/>
  <c r="S122" i="15"/>
  <c r="T122" i="15" s="1"/>
  <c r="T123" i="15"/>
  <c r="S123" i="15"/>
  <c r="T124" i="15"/>
  <c r="S124" i="15"/>
  <c r="S125" i="15"/>
  <c r="T125" i="15" s="1"/>
  <c r="T126" i="15"/>
  <c r="S126" i="15"/>
  <c r="S127" i="15"/>
  <c r="T127" i="15" s="1"/>
  <c r="S128" i="15"/>
  <c r="T128" i="15" s="1"/>
  <c r="T129" i="15"/>
  <c r="S129" i="15"/>
  <c r="S130" i="15"/>
  <c r="T130" i="15" s="1"/>
  <c r="S131" i="15"/>
  <c r="T131" i="15" s="1"/>
  <c r="T132" i="15"/>
  <c r="S132" i="15"/>
  <c r="T133" i="15"/>
  <c r="S133" i="15"/>
  <c r="S134" i="15"/>
  <c r="T134" i="15" s="1"/>
  <c r="T135" i="15"/>
  <c r="S135" i="15"/>
  <c r="S136" i="15"/>
  <c r="T136" i="15" s="1"/>
  <c r="S137" i="15"/>
  <c r="T137" i="15" s="1"/>
  <c r="T138" i="15"/>
  <c r="S138" i="15"/>
  <c r="S139" i="15"/>
  <c r="T139" i="15" s="1"/>
  <c r="S140" i="15"/>
  <c r="T140" i="15" s="1"/>
  <c r="T141" i="15"/>
  <c r="S141" i="15"/>
  <c r="T142" i="15"/>
  <c r="S142" i="15"/>
  <c r="S143" i="15"/>
  <c r="T143" i="15" s="1"/>
  <c r="T144" i="15"/>
  <c r="S144" i="15"/>
  <c r="S145" i="15"/>
  <c r="T145" i="15" s="1"/>
  <c r="S146" i="15"/>
  <c r="T146" i="15" s="1"/>
  <c r="T147" i="15"/>
  <c r="S147" i="15"/>
  <c r="S148" i="15"/>
  <c r="T148" i="15" s="1"/>
  <c r="S149" i="15"/>
  <c r="T149" i="15" s="1"/>
  <c r="T150" i="15"/>
  <c r="S150" i="15"/>
  <c r="T151" i="15"/>
  <c r="S151" i="15"/>
  <c r="S152" i="15"/>
  <c r="T152" i="15" s="1"/>
  <c r="T153" i="15"/>
  <c r="S153" i="15"/>
  <c r="S154" i="15"/>
  <c r="T154" i="15" s="1"/>
  <c r="S155" i="15"/>
  <c r="T155" i="15" s="1"/>
  <c r="T156" i="15"/>
  <c r="S156" i="15"/>
  <c r="S157" i="15"/>
  <c r="T157" i="15" s="1"/>
  <c r="S158" i="15"/>
  <c r="T158" i="15" s="1"/>
  <c r="T159" i="15"/>
  <c r="S159" i="15"/>
  <c r="T160" i="15"/>
  <c r="S160" i="15"/>
  <c r="S161" i="15"/>
  <c r="T161" i="15" s="1"/>
  <c r="T162" i="15"/>
  <c r="S162" i="15"/>
  <c r="S163" i="15"/>
  <c r="T163" i="15" s="1"/>
  <c r="S164" i="15"/>
  <c r="T164" i="15" s="1"/>
  <c r="T165" i="15"/>
  <c r="S165" i="15"/>
  <c r="S166" i="15"/>
  <c r="T166" i="15" s="1"/>
  <c r="S167" i="15"/>
  <c r="T167" i="15" s="1"/>
  <c r="T168" i="15"/>
  <c r="S168" i="15"/>
  <c r="T169" i="15"/>
  <c r="S169" i="15"/>
  <c r="S170" i="15"/>
  <c r="T170" i="15" s="1"/>
  <c r="T171" i="15"/>
  <c r="S171" i="15"/>
  <c r="S172" i="15"/>
  <c r="T172" i="15" s="1"/>
  <c r="S173" i="15"/>
  <c r="T173" i="15" s="1"/>
  <c r="T174" i="15"/>
  <c r="S174" i="15"/>
  <c r="S175" i="15"/>
  <c r="T175" i="15" s="1"/>
  <c r="S176" i="15"/>
  <c r="T176" i="15" s="1"/>
  <c r="T177" i="15"/>
  <c r="S177" i="15"/>
  <c r="T178" i="15"/>
  <c r="S178" i="15"/>
  <c r="S179" i="15"/>
  <c r="T179" i="15" s="1"/>
  <c r="T180" i="15"/>
  <c r="S180" i="15"/>
  <c r="S181" i="15"/>
  <c r="T181" i="15" s="1"/>
  <c r="S182" i="15"/>
  <c r="T182" i="15" s="1"/>
  <c r="T183" i="15"/>
  <c r="S183" i="15"/>
  <c r="S184" i="15"/>
  <c r="T184" i="15" s="1"/>
  <c r="S185" i="15"/>
  <c r="T185" i="15" s="1"/>
  <c r="T186" i="15"/>
  <c r="S186" i="15"/>
  <c r="T187" i="15"/>
  <c r="S187" i="15"/>
  <c r="S188" i="15"/>
  <c r="T188" i="15" s="1"/>
  <c r="T189" i="15"/>
  <c r="S189" i="15"/>
  <c r="S190" i="15"/>
  <c r="T190" i="15" s="1"/>
  <c r="S191" i="15"/>
  <c r="T191" i="15" s="1"/>
  <c r="T192" i="15"/>
  <c r="S192" i="15"/>
  <c r="S193" i="15"/>
  <c r="T193" i="15" s="1"/>
  <c r="S194" i="15"/>
  <c r="T194" i="15" s="1"/>
  <c r="T195" i="15"/>
  <c r="S195" i="15"/>
  <c r="T196" i="15"/>
  <c r="S196" i="15"/>
  <c r="S197" i="15"/>
  <c r="T197" i="15" s="1"/>
  <c r="T198" i="15"/>
  <c r="S198" i="15"/>
  <c r="S199" i="15"/>
  <c r="T199" i="15" s="1"/>
  <c r="S200" i="15"/>
  <c r="T200" i="15" s="1"/>
  <c r="T201" i="15"/>
  <c r="S201" i="15"/>
  <c r="S202" i="15"/>
  <c r="T202" i="15" s="1"/>
  <c r="S203" i="15"/>
  <c r="T203" i="15" s="1"/>
  <c r="T204" i="15"/>
  <c r="S204" i="15"/>
  <c r="T205" i="15"/>
  <c r="S205" i="15"/>
  <c r="S206" i="15"/>
  <c r="T206" i="15" s="1"/>
  <c r="T207" i="15"/>
  <c r="S207" i="15"/>
  <c r="S208" i="15"/>
  <c r="T208" i="15" s="1"/>
  <c r="S209" i="15"/>
  <c r="T209" i="15" s="1"/>
  <c r="T210" i="15"/>
  <c r="S210" i="15"/>
  <c r="S211" i="15"/>
  <c r="T211" i="15" s="1"/>
  <c r="S212" i="15"/>
  <c r="T212" i="15" s="1"/>
  <c r="T213" i="15"/>
  <c r="S213" i="15"/>
  <c r="T214" i="15"/>
  <c r="S214" i="15"/>
  <c r="S215" i="15"/>
  <c r="T215" i="15" s="1"/>
  <c r="T216" i="15"/>
  <c r="S216" i="15"/>
  <c r="S217" i="15"/>
  <c r="T217" i="15" s="1"/>
  <c r="S218" i="15"/>
  <c r="T218" i="15" s="1"/>
  <c r="T219" i="15"/>
  <c r="S219" i="15"/>
  <c r="S220" i="15"/>
  <c r="T220" i="15" s="1"/>
  <c r="S221" i="15"/>
  <c r="T221" i="15" s="1"/>
  <c r="T222" i="15"/>
  <c r="S222" i="15"/>
  <c r="T223" i="15"/>
  <c r="S223" i="15"/>
  <c r="S224" i="15"/>
  <c r="T224" i="15" s="1"/>
  <c r="T225" i="15"/>
  <c r="S225" i="15"/>
  <c r="S226" i="15"/>
  <c r="T226" i="15" s="1"/>
  <c r="S227" i="15"/>
  <c r="T227" i="15" s="1"/>
  <c r="T228" i="15"/>
  <c r="S228" i="15"/>
  <c r="S229" i="15"/>
  <c r="T229" i="15" s="1"/>
  <c r="S230" i="15"/>
  <c r="T230" i="15" s="1"/>
  <c r="T231" i="15"/>
  <c r="S231" i="15"/>
  <c r="T232" i="15"/>
  <c r="S232" i="15"/>
  <c r="S233" i="15"/>
  <c r="T233" i="15" s="1"/>
  <c r="T234" i="15"/>
  <c r="S234" i="15"/>
  <c r="S235" i="15"/>
  <c r="T235" i="15" s="1"/>
  <c r="S236" i="15"/>
  <c r="T236" i="15" s="1"/>
  <c r="T237" i="15"/>
  <c r="S237" i="15"/>
  <c r="S238" i="15"/>
  <c r="T238" i="15" s="1"/>
  <c r="S239" i="15"/>
  <c r="T239" i="15" s="1"/>
  <c r="T240" i="15"/>
  <c r="S240" i="15"/>
  <c r="T241" i="15"/>
  <c r="S241" i="15"/>
  <c r="S242" i="15"/>
  <c r="T242" i="15" s="1"/>
  <c r="T243" i="15"/>
  <c r="S243" i="15"/>
  <c r="S244" i="15"/>
  <c r="T244" i="15" s="1"/>
  <c r="S245" i="15"/>
  <c r="T245" i="15" s="1"/>
  <c r="T246" i="15"/>
  <c r="S246" i="15"/>
  <c r="S247" i="15"/>
  <c r="T247" i="15" s="1"/>
  <c r="S248" i="15"/>
  <c r="T248" i="15" s="1"/>
  <c r="T249" i="15"/>
  <c r="S249" i="15"/>
  <c r="T250" i="15"/>
  <c r="S250" i="15"/>
  <c r="S251" i="15"/>
  <c r="T251" i="15" s="1"/>
  <c r="T252" i="15"/>
  <c r="S252" i="15"/>
  <c r="S253" i="15"/>
  <c r="T253" i="15" s="1"/>
  <c r="S254" i="15"/>
  <c r="T254" i="15" s="1"/>
  <c r="S255" i="15"/>
  <c r="T255" i="15" s="1"/>
  <c r="S256" i="15"/>
  <c r="T256" i="15" s="1"/>
  <c r="T257" i="15"/>
  <c r="S257" i="15"/>
  <c r="S258" i="15"/>
  <c r="T258" i="15" s="1"/>
  <c r="S259" i="15"/>
  <c r="T259" i="15" s="1"/>
  <c r="T260" i="15"/>
  <c r="S260" i="15"/>
  <c r="S261" i="15"/>
  <c r="T261" i="15" s="1"/>
  <c r="S262" i="15"/>
  <c r="T262" i="15" s="1"/>
  <c r="T263" i="15"/>
  <c r="S263" i="15"/>
  <c r="S264" i="15"/>
  <c r="T264" i="15" s="1"/>
  <c r="S265" i="15"/>
  <c r="T265" i="15" s="1"/>
  <c r="T266" i="15"/>
  <c r="S266" i="15"/>
  <c r="S267" i="15"/>
  <c r="T267" i="15" s="1"/>
  <c r="S268" i="15"/>
  <c r="T268" i="15" s="1"/>
  <c r="T269" i="15"/>
  <c r="S269" i="15"/>
  <c r="S270" i="15"/>
  <c r="T270" i="15" s="1"/>
  <c r="S271" i="15"/>
  <c r="T271" i="15" s="1"/>
  <c r="T272" i="15"/>
  <c r="S272" i="15"/>
  <c r="S273" i="15"/>
  <c r="T273" i="15" s="1"/>
  <c r="S274" i="15"/>
  <c r="T274" i="15" s="1"/>
  <c r="T275" i="15"/>
  <c r="S275" i="15"/>
  <c r="S276" i="15"/>
  <c r="T276" i="15" s="1"/>
  <c r="S277" i="15"/>
  <c r="T277" i="15" s="1"/>
  <c r="T278" i="15"/>
  <c r="S278" i="15"/>
  <c r="S279" i="15"/>
  <c r="T279" i="15" s="1"/>
  <c r="S280" i="15"/>
  <c r="T280" i="15" s="1"/>
  <c r="T281" i="15"/>
  <c r="S281" i="15"/>
  <c r="S282" i="15"/>
  <c r="T282" i="15" s="1"/>
  <c r="S283" i="15"/>
  <c r="T283" i="15" s="1"/>
  <c r="T284" i="15"/>
  <c r="S284" i="15"/>
  <c r="S285" i="15"/>
  <c r="T285" i="15" s="1"/>
  <c r="S286" i="15"/>
  <c r="T286" i="15" s="1"/>
  <c r="T287" i="15"/>
  <c r="S287" i="15"/>
  <c r="S288" i="15"/>
  <c r="T288" i="15" s="1"/>
  <c r="S289" i="15"/>
  <c r="T289" i="15" s="1"/>
  <c r="T290" i="15"/>
  <c r="S290" i="15"/>
  <c r="S291" i="15"/>
  <c r="T291" i="15" s="1"/>
  <c r="S292" i="15"/>
  <c r="T292" i="15" s="1"/>
  <c r="T293" i="15"/>
  <c r="S293" i="15"/>
  <c r="S294" i="15"/>
  <c r="T294" i="15" s="1"/>
  <c r="S295" i="15"/>
  <c r="T295" i="15" s="1"/>
  <c r="T296" i="15"/>
  <c r="S296" i="15"/>
  <c r="S297" i="15"/>
  <c r="T297" i="15" s="1"/>
  <c r="S298" i="15"/>
  <c r="T298" i="15" s="1"/>
  <c r="T299" i="15"/>
  <c r="S299" i="15"/>
  <c r="S300" i="15"/>
  <c r="T300" i="15" s="1"/>
  <c r="S301" i="15"/>
  <c r="T301" i="15" s="1"/>
  <c r="T302" i="15"/>
  <c r="S302" i="15"/>
  <c r="S303" i="15"/>
  <c r="T303" i="15" s="1"/>
  <c r="S304" i="15"/>
  <c r="T304" i="15" s="1"/>
  <c r="T305" i="15"/>
  <c r="S305" i="15"/>
  <c r="S306" i="15"/>
  <c r="T306" i="15" s="1"/>
  <c r="S307" i="15"/>
  <c r="T307" i="15" s="1"/>
  <c r="T308" i="15"/>
  <c r="S308" i="15"/>
  <c r="S309" i="15"/>
  <c r="T309" i="15" s="1"/>
  <c r="S310" i="15"/>
  <c r="T310" i="15" s="1"/>
  <c r="T311" i="15"/>
  <c r="S311" i="15"/>
  <c r="S312" i="15"/>
  <c r="T312" i="15" s="1"/>
  <c r="S313" i="15"/>
  <c r="T313" i="15" s="1"/>
  <c r="T314" i="15"/>
  <c r="S314" i="15"/>
  <c r="S315" i="15"/>
  <c r="T315" i="15" s="1"/>
  <c r="S316" i="15"/>
  <c r="T316" i="15" s="1"/>
  <c r="T317" i="15"/>
  <c r="S317" i="15"/>
  <c r="S318" i="15"/>
  <c r="T318" i="15" s="1"/>
  <c r="S319" i="15"/>
  <c r="T319" i="15" s="1"/>
  <c r="T320" i="15"/>
  <c r="S320" i="15"/>
  <c r="S321" i="15"/>
  <c r="T321" i="15" s="1"/>
  <c r="S322" i="15"/>
  <c r="T322" i="15" s="1"/>
  <c r="T323" i="15"/>
  <c r="S323" i="15"/>
  <c r="S324" i="15"/>
  <c r="T324" i="15" s="1"/>
  <c r="S325" i="15"/>
  <c r="T325" i="15" s="1"/>
  <c r="T326" i="15"/>
  <c r="S326" i="15"/>
  <c r="S327" i="15"/>
  <c r="T327" i="15" s="1"/>
  <c r="S328" i="15"/>
  <c r="T328" i="15" s="1"/>
  <c r="T329" i="15"/>
  <c r="S329" i="15"/>
  <c r="S330" i="15"/>
  <c r="T330" i="15" s="1"/>
  <c r="S331" i="15"/>
  <c r="T331" i="15" s="1"/>
  <c r="T332" i="15"/>
  <c r="S332" i="15"/>
  <c r="S333" i="15"/>
  <c r="T333" i="15" s="1"/>
  <c r="S334" i="15"/>
  <c r="T334" i="15" s="1"/>
  <c r="T335" i="15"/>
  <c r="S335" i="15"/>
  <c r="S336" i="15"/>
  <c r="T336" i="15" s="1"/>
  <c r="S337" i="15"/>
  <c r="T337" i="15" s="1"/>
  <c r="T338" i="15"/>
  <c r="S338" i="15"/>
  <c r="S339" i="15"/>
  <c r="T339" i="15" s="1"/>
  <c r="S340" i="15"/>
  <c r="T340" i="15" s="1"/>
  <c r="T341" i="15"/>
  <c r="S341" i="15"/>
  <c r="S342" i="15"/>
  <c r="T342" i="15" s="1"/>
  <c r="S343" i="15"/>
  <c r="T343" i="15" s="1"/>
  <c r="T344" i="15"/>
  <c r="S344" i="15"/>
  <c r="S345" i="15"/>
  <c r="T345" i="15" s="1"/>
  <c r="T346" i="15"/>
  <c r="S346" i="15"/>
  <c r="T347" i="15"/>
  <c r="S347" i="15"/>
  <c r="S348" i="15"/>
  <c r="T348" i="15" s="1"/>
  <c r="T349" i="15"/>
  <c r="S349" i="15"/>
  <c r="T350" i="15"/>
  <c r="S350" i="15"/>
  <c r="S351" i="15"/>
  <c r="T351" i="15" s="1"/>
  <c r="T352" i="15"/>
  <c r="S352" i="15"/>
  <c r="T353" i="15"/>
  <c r="S353" i="15"/>
  <c r="S354" i="15"/>
  <c r="T354" i="15" s="1"/>
  <c r="T355" i="15"/>
  <c r="S355" i="15"/>
  <c r="T356" i="15"/>
  <c r="S356" i="15"/>
  <c r="S357" i="15"/>
  <c r="T357" i="15" s="1"/>
  <c r="T358" i="15"/>
  <c r="S358" i="15"/>
  <c r="T359" i="15"/>
  <c r="S359" i="15"/>
  <c r="S360" i="15"/>
  <c r="T360" i="15" s="1"/>
  <c r="T361" i="15"/>
  <c r="S361" i="15"/>
  <c r="T362" i="15"/>
  <c r="S362" i="15"/>
  <c r="S363" i="15"/>
  <c r="T363" i="15" s="1"/>
  <c r="T364" i="15"/>
  <c r="S364" i="15"/>
  <c r="T365" i="15"/>
  <c r="S365" i="15"/>
  <c r="S366" i="15"/>
  <c r="T366" i="15" s="1"/>
  <c r="T367" i="15"/>
  <c r="S367" i="15"/>
  <c r="T368" i="15"/>
  <c r="S368" i="15"/>
  <c r="S369" i="15"/>
  <c r="T369" i="15" s="1"/>
  <c r="T370" i="15"/>
  <c r="S370" i="15"/>
  <c r="T371" i="15"/>
  <c r="S371" i="15"/>
  <c r="S372" i="15"/>
  <c r="T372" i="15" s="1"/>
  <c r="T373" i="15"/>
  <c r="S373" i="15"/>
  <c r="T374" i="15"/>
  <c r="S374" i="15"/>
  <c r="S375" i="15"/>
  <c r="T375" i="15" s="1"/>
  <c r="T376" i="15"/>
  <c r="S376" i="15"/>
  <c r="T377" i="15"/>
  <c r="S377" i="15"/>
  <c r="S378" i="15"/>
  <c r="T378" i="15" s="1"/>
  <c r="T379" i="15"/>
  <c r="S379" i="15"/>
  <c r="T380" i="15"/>
  <c r="S380" i="15"/>
  <c r="S381" i="15"/>
  <c r="T381" i="15" s="1"/>
  <c r="T382" i="15"/>
  <c r="S382" i="15"/>
  <c r="T383" i="15"/>
  <c r="S383" i="15"/>
  <c r="S384" i="15"/>
  <c r="T384" i="15" s="1"/>
  <c r="T385" i="15"/>
  <c r="S385" i="15"/>
  <c r="T386" i="15"/>
  <c r="S386" i="15"/>
  <c r="S387" i="15"/>
  <c r="T387" i="15" s="1"/>
  <c r="T388" i="15"/>
  <c r="S388" i="15"/>
  <c r="T389" i="15"/>
  <c r="S389" i="15"/>
  <c r="S390" i="15"/>
  <c r="T390" i="15" s="1"/>
  <c r="T391" i="15"/>
  <c r="S391" i="15"/>
  <c r="T392" i="15"/>
  <c r="S392" i="15"/>
  <c r="S393" i="15"/>
  <c r="T393" i="15" s="1"/>
  <c r="T394" i="15"/>
  <c r="S394" i="15"/>
  <c r="S395" i="15"/>
  <c r="T395" i="15" s="1"/>
  <c r="S396" i="15"/>
  <c r="T396" i="15" s="1"/>
  <c r="T397" i="15"/>
  <c r="S397" i="15"/>
  <c r="T398" i="15"/>
  <c r="S398" i="15"/>
  <c r="S399" i="15"/>
  <c r="T399" i="15" s="1"/>
  <c r="T400" i="15"/>
  <c r="S400" i="15"/>
  <c r="S401" i="15"/>
  <c r="T401" i="15" s="1"/>
  <c r="S402" i="15"/>
  <c r="T402" i="15" s="1"/>
  <c r="T403" i="15"/>
  <c r="S403" i="15"/>
  <c r="S404" i="15"/>
  <c r="T404" i="15" s="1"/>
  <c r="S405" i="15"/>
  <c r="T405" i="15" s="1"/>
  <c r="S406" i="15"/>
  <c r="T406" i="15" s="1"/>
  <c r="T407" i="15"/>
  <c r="S407" i="15"/>
  <c r="S408" i="15"/>
  <c r="T408" i="15" s="1"/>
  <c r="S409" i="15"/>
  <c r="T409" i="15" s="1"/>
  <c r="T410" i="15"/>
  <c r="S410" i="15"/>
  <c r="S411" i="15"/>
  <c r="T411" i="15" s="1"/>
  <c r="S412" i="15"/>
  <c r="T412" i="15" s="1"/>
  <c r="T413" i="15"/>
  <c r="S413" i="15"/>
  <c r="S414" i="15"/>
  <c r="T414" i="15" s="1"/>
  <c r="S415" i="15"/>
  <c r="T415" i="15" s="1"/>
  <c r="T416" i="15"/>
  <c r="S416" i="15"/>
  <c r="S417" i="15"/>
  <c r="T417" i="15" s="1"/>
  <c r="S418" i="15"/>
  <c r="T418" i="15" s="1"/>
  <c r="T419" i="15"/>
  <c r="S419" i="15"/>
  <c r="S420" i="15"/>
  <c r="T420" i="15" s="1"/>
  <c r="S421" i="15"/>
  <c r="T421" i="15" s="1"/>
  <c r="T422" i="15"/>
  <c r="S422" i="15"/>
  <c r="S423" i="15"/>
  <c r="T423" i="15" s="1"/>
  <c r="S424" i="15"/>
  <c r="T424" i="15" s="1"/>
  <c r="T425" i="15"/>
  <c r="S425" i="15"/>
  <c r="S426" i="15"/>
  <c r="T426" i="15" s="1"/>
  <c r="S427" i="15"/>
  <c r="T427" i="15" s="1"/>
  <c r="T428" i="15"/>
  <c r="S428" i="15"/>
  <c r="S429" i="15"/>
  <c r="T429" i="15" s="1"/>
  <c r="S430" i="15"/>
  <c r="T430" i="15" s="1"/>
  <c r="T431" i="15"/>
  <c r="S431" i="15"/>
  <c r="S432" i="15"/>
  <c r="T432" i="15" s="1"/>
  <c r="S433" i="15"/>
  <c r="T433" i="15" s="1"/>
  <c r="T434" i="15"/>
  <c r="S434" i="15"/>
  <c r="S435" i="15"/>
  <c r="T435" i="15" s="1"/>
  <c r="S436" i="15"/>
  <c r="T436" i="15" s="1"/>
  <c r="T437" i="15"/>
  <c r="S437" i="15"/>
  <c r="S438" i="15"/>
  <c r="T438" i="15" s="1"/>
  <c r="S439" i="15"/>
  <c r="T439" i="15" s="1"/>
  <c r="T440" i="15"/>
  <c r="S440" i="15"/>
  <c r="S441" i="15"/>
  <c r="T441" i="15" s="1"/>
  <c r="S442" i="15"/>
  <c r="T442" i="15" s="1"/>
  <c r="T443" i="15"/>
  <c r="S443" i="15"/>
  <c r="S444" i="15"/>
  <c r="T444" i="15" s="1"/>
  <c r="S445" i="15"/>
  <c r="T445" i="15" s="1"/>
  <c r="T446" i="15"/>
  <c r="S446" i="15"/>
  <c r="S447" i="15"/>
  <c r="T447" i="15" s="1"/>
  <c r="S448" i="15"/>
  <c r="T448" i="15" s="1"/>
  <c r="T449" i="15"/>
  <c r="S449" i="15"/>
  <c r="S450" i="15"/>
  <c r="T450" i="15" s="1"/>
  <c r="S451" i="15"/>
  <c r="T451" i="15" s="1"/>
  <c r="T452" i="15"/>
  <c r="S452" i="15"/>
  <c r="S453" i="15"/>
  <c r="T453" i="15" s="1"/>
  <c r="S454" i="15"/>
  <c r="T454" i="15" s="1"/>
  <c r="T455" i="15"/>
  <c r="S455" i="15"/>
  <c r="S456" i="15"/>
  <c r="T456" i="15" s="1"/>
  <c r="S457" i="15"/>
  <c r="T457" i="15" s="1"/>
  <c r="T458" i="15"/>
  <c r="S458" i="15"/>
  <c r="S459" i="15"/>
  <c r="T459" i="15" s="1"/>
  <c r="S460" i="15"/>
  <c r="T460" i="15" s="1"/>
  <c r="T461" i="15"/>
  <c r="S461" i="15"/>
  <c r="S462" i="15"/>
  <c r="T462" i="15" s="1"/>
  <c r="S463" i="15"/>
  <c r="T463" i="15" s="1"/>
  <c r="T464" i="15"/>
  <c r="S464" i="15"/>
  <c r="S465" i="15"/>
  <c r="T465" i="15" s="1"/>
  <c r="S466" i="15"/>
  <c r="T466" i="15" s="1"/>
  <c r="T467" i="15"/>
  <c r="S467" i="15"/>
  <c r="S468" i="15"/>
  <c r="T468" i="15" s="1"/>
  <c r="S469" i="15"/>
  <c r="T469" i="15" s="1"/>
  <c r="T470" i="15"/>
  <c r="S470" i="15"/>
  <c r="S471" i="15"/>
  <c r="T471" i="15" s="1"/>
  <c r="S472" i="15"/>
  <c r="T472" i="15" s="1"/>
  <c r="T473" i="15"/>
  <c r="S473" i="15"/>
  <c r="S474" i="15"/>
  <c r="T474" i="15" s="1"/>
  <c r="S475" i="15"/>
  <c r="T475" i="15" s="1"/>
  <c r="T476" i="15"/>
  <c r="S476" i="15"/>
  <c r="S477" i="15"/>
  <c r="T477" i="15" s="1"/>
  <c r="S478" i="15"/>
  <c r="T478" i="15" s="1"/>
  <c r="T479" i="15"/>
  <c r="S479" i="15"/>
  <c r="S480" i="15"/>
  <c r="T480" i="15" s="1"/>
  <c r="S481" i="15"/>
  <c r="T481" i="15" s="1"/>
  <c r="T482" i="15"/>
  <c r="S482" i="15"/>
  <c r="S483" i="15"/>
  <c r="T483" i="15" s="1"/>
  <c r="S484" i="15"/>
  <c r="T484" i="15" s="1"/>
  <c r="T485" i="15"/>
  <c r="S485" i="15"/>
  <c r="S486" i="15"/>
  <c r="T486" i="15" s="1"/>
  <c r="S487" i="15"/>
  <c r="T487" i="15" s="1"/>
  <c r="T488" i="15"/>
  <c r="S488" i="15"/>
  <c r="S489" i="15"/>
  <c r="T489" i="15" s="1"/>
  <c r="S490" i="15"/>
  <c r="T490" i="15" s="1"/>
  <c r="T491" i="15"/>
  <c r="S491" i="15"/>
  <c r="S492" i="15"/>
  <c r="T492" i="15" s="1"/>
  <c r="S493" i="15"/>
  <c r="T493" i="15" s="1"/>
  <c r="T494" i="15"/>
  <c r="S494" i="15"/>
  <c r="S495" i="15"/>
  <c r="T495" i="15" s="1"/>
  <c r="S496" i="15"/>
  <c r="T496" i="15" s="1"/>
  <c r="T497" i="15"/>
  <c r="S497" i="15"/>
  <c r="S498" i="15"/>
  <c r="T498" i="15" s="1"/>
  <c r="S499" i="15"/>
  <c r="T499" i="15" s="1"/>
  <c r="T500" i="15"/>
  <c r="S500" i="15"/>
  <c r="S501" i="15"/>
  <c r="T501" i="15" s="1"/>
  <c r="S502" i="15"/>
  <c r="T502" i="15" s="1"/>
  <c r="T503" i="15"/>
  <c r="S503" i="15"/>
  <c r="B21" i="23" l="1"/>
  <c r="O2" i="15"/>
  <c r="B20" i="23" a="1"/>
  <c r="B20" i="23" s="1"/>
  <c r="B19" i="23" a="1"/>
  <c r="B19" i="23" s="1"/>
  <c r="T35" i="15"/>
  <c r="T26" i="15"/>
  <c r="T20" i="15"/>
  <c r="T11" i="15"/>
  <c r="T2" i="15"/>
  <c r="T29" i="15"/>
  <c r="T17" i="15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M528" i="12"/>
  <c r="BL528" i="12"/>
  <c r="F528" i="12"/>
  <c r="E528" i="12"/>
  <c r="BM527" i="12"/>
  <c r="F527" i="12"/>
  <c r="E527" i="12"/>
  <c r="D527" i="12"/>
  <c r="BM526" i="12"/>
  <c r="F526" i="12"/>
  <c r="E526" i="12"/>
  <c r="D526" i="12"/>
  <c r="BM525" i="12"/>
  <c r="F525" i="12"/>
  <c r="E525" i="12"/>
  <c r="D525" i="12"/>
  <c r="BM524" i="12"/>
  <c r="F524" i="12"/>
  <c r="E524" i="12"/>
  <c r="D524" i="12"/>
  <c r="BM523" i="12"/>
  <c r="F523" i="12"/>
  <c r="E523" i="12"/>
  <c r="D523" i="12"/>
  <c r="BM522" i="12"/>
  <c r="F522" i="12"/>
  <c r="D522" i="12"/>
  <c r="BM521" i="12"/>
  <c r="F521" i="12"/>
  <c r="D521" i="12"/>
  <c r="BM520" i="12"/>
  <c r="F520" i="12"/>
  <c r="D520" i="12"/>
  <c r="BM519" i="12"/>
  <c r="F519" i="12"/>
  <c r="D519" i="12"/>
  <c r="BM518" i="12"/>
  <c r="F518" i="12"/>
  <c r="D518" i="12"/>
  <c r="BM517" i="12"/>
  <c r="F517" i="12"/>
  <c r="D517" i="12"/>
  <c r="BM516" i="12"/>
  <c r="F516" i="12"/>
  <c r="D516" i="12"/>
  <c r="BM515" i="12"/>
  <c r="F515" i="12"/>
  <c r="D515" i="12"/>
  <c r="BM514" i="12"/>
  <c r="F514" i="12"/>
  <c r="D514" i="12"/>
  <c r="BM513" i="12"/>
  <c r="F513" i="12"/>
  <c r="D513" i="12"/>
  <c r="BM512" i="12"/>
  <c r="F512" i="12"/>
  <c r="D512" i="12"/>
  <c r="BM511" i="12"/>
  <c r="F511" i="12"/>
  <c r="D511" i="12"/>
  <c r="BM510" i="12"/>
  <c r="F510" i="12"/>
  <c r="D510" i="12"/>
  <c r="BM509" i="12"/>
  <c r="F509" i="12"/>
  <c r="D509" i="12"/>
  <c r="BM508" i="12"/>
  <c r="F508" i="12"/>
  <c r="D508" i="12"/>
  <c r="BM507" i="12"/>
  <c r="F507" i="12"/>
  <c r="D507" i="12"/>
  <c r="BM506" i="12"/>
  <c r="F506" i="12"/>
  <c r="D506" i="12"/>
  <c r="BM505" i="12"/>
  <c r="F505" i="12"/>
  <c r="D505" i="12"/>
  <c r="BR504" i="12"/>
  <c r="BM504" i="12"/>
  <c r="F504" i="12"/>
  <c r="D504" i="12"/>
  <c r="BR503" i="12"/>
  <c r="BM503" i="12"/>
  <c r="F503" i="12"/>
  <c r="D503" i="12"/>
  <c r="BR502" i="12"/>
  <c r="BM502" i="12"/>
  <c r="F502" i="12"/>
  <c r="D502" i="12"/>
  <c r="BR501" i="12"/>
  <c r="BM501" i="12"/>
  <c r="F501" i="12"/>
  <c r="D501" i="12"/>
  <c r="BR500" i="12"/>
  <c r="BM500" i="12"/>
  <c r="F500" i="12"/>
  <c r="D500" i="12"/>
  <c r="BR499" i="12"/>
  <c r="BM499" i="12"/>
  <c r="F499" i="12"/>
  <c r="D499" i="12"/>
  <c r="BR498" i="12"/>
  <c r="BM498" i="12"/>
  <c r="F498" i="12"/>
  <c r="D498" i="12"/>
  <c r="BR497" i="12"/>
  <c r="BM497" i="12"/>
  <c r="F497" i="12"/>
  <c r="D497" i="12"/>
  <c r="BR496" i="12"/>
  <c r="BM496" i="12"/>
  <c r="F496" i="12"/>
  <c r="D496" i="12"/>
  <c r="BR495" i="12"/>
  <c r="BM495" i="12"/>
  <c r="F495" i="12"/>
  <c r="D495" i="12"/>
  <c r="BR494" i="12"/>
  <c r="BM494" i="12"/>
  <c r="F494" i="12"/>
  <c r="D494" i="12"/>
  <c r="BR493" i="12"/>
  <c r="BM493" i="12"/>
  <c r="F493" i="12"/>
  <c r="D493" i="12"/>
  <c r="BR492" i="12"/>
  <c r="BM492" i="12"/>
  <c r="F492" i="12"/>
  <c r="D492" i="12"/>
  <c r="BR491" i="12"/>
  <c r="BM491" i="12"/>
  <c r="F491" i="12"/>
  <c r="D491" i="12"/>
  <c r="BR490" i="12"/>
  <c r="BM490" i="12"/>
  <c r="F490" i="12"/>
  <c r="D490" i="12"/>
  <c r="BR489" i="12"/>
  <c r="BM489" i="12"/>
  <c r="F489" i="12"/>
  <c r="D489" i="12"/>
  <c r="BR488" i="12"/>
  <c r="BM488" i="12"/>
  <c r="F488" i="12"/>
  <c r="D488" i="12"/>
  <c r="BR487" i="12"/>
  <c r="BM487" i="12"/>
  <c r="F487" i="12"/>
  <c r="D487" i="12"/>
  <c r="BR486" i="12"/>
  <c r="BM486" i="12"/>
  <c r="F486" i="12"/>
  <c r="D486" i="12"/>
  <c r="BR485" i="12"/>
  <c r="BM485" i="12"/>
  <c r="F485" i="12"/>
  <c r="D485" i="12"/>
  <c r="BR484" i="12"/>
  <c r="BM484" i="12"/>
  <c r="F484" i="12"/>
  <c r="D484" i="12"/>
  <c r="BR483" i="12"/>
  <c r="BM483" i="12"/>
  <c r="F483" i="12"/>
  <c r="D483" i="12"/>
  <c r="BR482" i="12"/>
  <c r="BM482" i="12"/>
  <c r="F482" i="12"/>
  <c r="D482" i="12"/>
  <c r="BR481" i="12"/>
  <c r="BM481" i="12"/>
  <c r="F481" i="12"/>
  <c r="D481" i="12"/>
  <c r="BR480" i="12"/>
  <c r="BM480" i="12"/>
  <c r="F480" i="12"/>
  <c r="D480" i="12"/>
  <c r="BR479" i="12"/>
  <c r="BM479" i="12"/>
  <c r="F479" i="12"/>
  <c r="D479" i="12"/>
  <c r="BR478" i="12"/>
  <c r="BM478" i="12"/>
  <c r="F478" i="12"/>
  <c r="D478" i="12"/>
  <c r="BR477" i="12"/>
  <c r="BM477" i="12"/>
  <c r="F477" i="12"/>
  <c r="D477" i="12"/>
  <c r="BR476" i="12"/>
  <c r="BM476" i="12"/>
  <c r="F476" i="12"/>
  <c r="D476" i="12"/>
  <c r="BR475" i="12"/>
  <c r="BM475" i="12"/>
  <c r="F475" i="12"/>
  <c r="D475" i="12"/>
  <c r="BR474" i="12"/>
  <c r="BM474" i="12"/>
  <c r="F474" i="12"/>
  <c r="D474" i="12"/>
  <c r="BR473" i="12"/>
  <c r="BM473" i="12"/>
  <c r="F473" i="12"/>
  <c r="D473" i="12"/>
  <c r="BR472" i="12"/>
  <c r="BM472" i="12"/>
  <c r="F472" i="12"/>
  <c r="D472" i="12"/>
  <c r="BR471" i="12"/>
  <c r="BM471" i="12"/>
  <c r="F471" i="12"/>
  <c r="D471" i="12"/>
  <c r="BR470" i="12"/>
  <c r="BM470" i="12"/>
  <c r="F470" i="12"/>
  <c r="D470" i="12"/>
  <c r="BR469" i="12"/>
  <c r="BM469" i="12"/>
  <c r="F469" i="12"/>
  <c r="D469" i="12"/>
  <c r="BR468" i="12"/>
  <c r="BM468" i="12"/>
  <c r="F468" i="12"/>
  <c r="D468" i="12"/>
  <c r="BR467" i="12"/>
  <c r="BM467" i="12"/>
  <c r="F467" i="12"/>
  <c r="D467" i="12"/>
  <c r="BR466" i="12"/>
  <c r="BM466" i="12"/>
  <c r="F466" i="12"/>
  <c r="D466" i="12"/>
  <c r="BR465" i="12"/>
  <c r="BM465" i="12"/>
  <c r="F465" i="12"/>
  <c r="D465" i="12"/>
  <c r="BR464" i="12"/>
  <c r="BM464" i="12"/>
  <c r="F464" i="12"/>
  <c r="D464" i="12"/>
  <c r="BR463" i="12"/>
  <c r="BM463" i="12"/>
  <c r="F463" i="12"/>
  <c r="D463" i="12"/>
  <c r="BR462" i="12"/>
  <c r="BM462" i="12"/>
  <c r="F462" i="12"/>
  <c r="D462" i="12"/>
  <c r="BR461" i="12"/>
  <c r="BM461" i="12"/>
  <c r="F461" i="12"/>
  <c r="D461" i="12"/>
  <c r="BR460" i="12"/>
  <c r="BM460" i="12"/>
  <c r="F460" i="12"/>
  <c r="D460" i="12"/>
  <c r="BR459" i="12"/>
  <c r="BM459" i="12"/>
  <c r="F459" i="12"/>
  <c r="D459" i="12"/>
  <c r="BR458" i="12"/>
  <c r="BM458" i="12"/>
  <c r="F458" i="12"/>
  <c r="D458" i="12"/>
  <c r="BR457" i="12"/>
  <c r="BM457" i="12"/>
  <c r="F457" i="12"/>
  <c r="D457" i="12"/>
  <c r="BR456" i="12"/>
  <c r="BM456" i="12"/>
  <c r="F456" i="12"/>
  <c r="D456" i="12"/>
  <c r="BR455" i="12"/>
  <c r="BM455" i="12"/>
  <c r="F455" i="12"/>
  <c r="D455" i="12"/>
  <c r="BR454" i="12"/>
  <c r="BM454" i="12"/>
  <c r="F454" i="12"/>
  <c r="D454" i="12"/>
  <c r="BR453" i="12"/>
  <c r="BM453" i="12"/>
  <c r="F453" i="12"/>
  <c r="D453" i="12"/>
  <c r="BR452" i="12"/>
  <c r="BM452" i="12"/>
  <c r="F452" i="12"/>
  <c r="D452" i="12"/>
  <c r="BR451" i="12"/>
  <c r="BM451" i="12"/>
  <c r="F451" i="12"/>
  <c r="D451" i="12"/>
  <c r="BR450" i="12"/>
  <c r="BM450" i="12"/>
  <c r="F450" i="12"/>
  <c r="D450" i="12"/>
  <c r="BR449" i="12"/>
  <c r="BM449" i="12"/>
  <c r="F449" i="12"/>
  <c r="D449" i="12"/>
  <c r="BR448" i="12"/>
  <c r="BM448" i="12"/>
  <c r="F448" i="12"/>
  <c r="D448" i="12"/>
  <c r="BR447" i="12"/>
  <c r="BM447" i="12"/>
  <c r="F447" i="12"/>
  <c r="D447" i="12"/>
  <c r="BR446" i="12"/>
  <c r="BM446" i="12"/>
  <c r="F446" i="12"/>
  <c r="D446" i="12"/>
  <c r="BR445" i="12"/>
  <c r="BM445" i="12"/>
  <c r="F445" i="12"/>
  <c r="D445" i="12"/>
  <c r="BR444" i="12"/>
  <c r="BM444" i="12"/>
  <c r="F444" i="12"/>
  <c r="D444" i="12"/>
  <c r="BR443" i="12"/>
  <c r="BM443" i="12"/>
  <c r="F443" i="12"/>
  <c r="D443" i="12"/>
  <c r="BR442" i="12"/>
  <c r="BM442" i="12"/>
  <c r="F442" i="12"/>
  <c r="D442" i="12"/>
  <c r="BR441" i="12"/>
  <c r="BM441" i="12"/>
  <c r="F441" i="12"/>
  <c r="D441" i="12"/>
  <c r="BR440" i="12"/>
  <c r="BM440" i="12"/>
  <c r="F440" i="12"/>
  <c r="D440" i="12"/>
  <c r="BR439" i="12"/>
  <c r="BM439" i="12"/>
  <c r="F439" i="12"/>
  <c r="D439" i="12"/>
  <c r="BR438" i="12"/>
  <c r="BM438" i="12"/>
  <c r="F438" i="12"/>
  <c r="D438" i="12"/>
  <c r="BR437" i="12"/>
  <c r="BM437" i="12"/>
  <c r="F437" i="12"/>
  <c r="D437" i="12"/>
  <c r="BR436" i="12"/>
  <c r="BM436" i="12"/>
  <c r="F436" i="12"/>
  <c r="D436" i="12"/>
  <c r="BR435" i="12"/>
  <c r="BM435" i="12"/>
  <c r="F435" i="12"/>
  <c r="D435" i="12"/>
  <c r="BR434" i="12"/>
  <c r="BM434" i="12"/>
  <c r="F434" i="12"/>
  <c r="D434" i="12"/>
  <c r="BR433" i="12"/>
  <c r="BM433" i="12"/>
  <c r="F433" i="12"/>
  <c r="D433" i="12"/>
  <c r="BR432" i="12"/>
  <c r="BM432" i="12"/>
  <c r="F432" i="12"/>
  <c r="D432" i="12"/>
  <c r="BR431" i="12"/>
  <c r="BM431" i="12"/>
  <c r="F431" i="12"/>
  <c r="D431" i="12"/>
  <c r="BR430" i="12"/>
  <c r="BM430" i="12"/>
  <c r="F430" i="12"/>
  <c r="D430" i="12"/>
  <c r="BR429" i="12"/>
  <c r="BM429" i="12"/>
  <c r="F429" i="12"/>
  <c r="D429" i="12"/>
  <c r="BR428" i="12"/>
  <c r="BM428" i="12"/>
  <c r="F428" i="12"/>
  <c r="D428" i="12"/>
  <c r="BR427" i="12"/>
  <c r="BM427" i="12"/>
  <c r="F427" i="12"/>
  <c r="D427" i="12"/>
  <c r="BR426" i="12"/>
  <c r="BM426" i="12"/>
  <c r="F426" i="12"/>
  <c r="D426" i="12"/>
  <c r="BR425" i="12"/>
  <c r="BM425" i="12"/>
  <c r="F425" i="12"/>
  <c r="D425" i="12"/>
  <c r="BR424" i="12"/>
  <c r="BM424" i="12"/>
  <c r="F424" i="12"/>
  <c r="D424" i="12"/>
  <c r="BR423" i="12"/>
  <c r="BM423" i="12"/>
  <c r="F423" i="12"/>
  <c r="D423" i="12"/>
  <c r="BR422" i="12"/>
  <c r="BM422" i="12"/>
  <c r="F422" i="12"/>
  <c r="D422" i="12"/>
  <c r="BR421" i="12"/>
  <c r="BM421" i="12"/>
  <c r="F421" i="12"/>
  <c r="D421" i="12"/>
  <c r="BR420" i="12"/>
  <c r="BM420" i="12"/>
  <c r="F420" i="12"/>
  <c r="D420" i="12"/>
  <c r="BR419" i="12"/>
  <c r="BM419" i="12"/>
  <c r="F419" i="12"/>
  <c r="D419" i="12"/>
  <c r="BR418" i="12"/>
  <c r="BM418" i="12"/>
  <c r="F418" i="12"/>
  <c r="D418" i="12"/>
  <c r="BR417" i="12"/>
  <c r="BM417" i="12"/>
  <c r="F417" i="12"/>
  <c r="D417" i="12"/>
  <c r="BR416" i="12"/>
  <c r="BM416" i="12"/>
  <c r="F416" i="12"/>
  <c r="D416" i="12"/>
  <c r="BR415" i="12"/>
  <c r="BM415" i="12"/>
  <c r="F415" i="12"/>
  <c r="D415" i="12"/>
  <c r="BR414" i="12"/>
  <c r="BM414" i="12"/>
  <c r="F414" i="12"/>
  <c r="D414" i="12"/>
  <c r="BR413" i="12"/>
  <c r="BM413" i="12"/>
  <c r="F413" i="12"/>
  <c r="D413" i="12"/>
  <c r="BR412" i="12"/>
  <c r="BM412" i="12"/>
  <c r="F412" i="12"/>
  <c r="D412" i="12"/>
  <c r="BR411" i="12"/>
  <c r="BM411" i="12"/>
  <c r="F411" i="12"/>
  <c r="D411" i="12"/>
  <c r="BR410" i="12"/>
  <c r="BM410" i="12"/>
  <c r="F410" i="12"/>
  <c r="D410" i="12"/>
  <c r="BR409" i="12"/>
  <c r="BM409" i="12"/>
  <c r="F409" i="12"/>
  <c r="D409" i="12"/>
  <c r="BR408" i="12"/>
  <c r="BM408" i="12"/>
  <c r="F408" i="12"/>
  <c r="D408" i="12"/>
  <c r="BR407" i="12"/>
  <c r="BM407" i="12"/>
  <c r="F407" i="12"/>
  <c r="D407" i="12"/>
  <c r="BR406" i="12"/>
  <c r="BM406" i="12"/>
  <c r="F406" i="12"/>
  <c r="D406" i="12"/>
  <c r="BR405" i="12"/>
  <c r="BM405" i="12"/>
  <c r="F405" i="12"/>
  <c r="D405" i="12"/>
  <c r="BR404" i="12"/>
  <c r="BM404" i="12"/>
  <c r="F404" i="12"/>
  <c r="D404" i="12"/>
  <c r="BR403" i="12"/>
  <c r="BM403" i="12"/>
  <c r="F403" i="12"/>
  <c r="D403" i="12"/>
  <c r="BR402" i="12"/>
  <c r="BM402" i="12"/>
  <c r="F402" i="12"/>
  <c r="D402" i="12"/>
  <c r="BR401" i="12"/>
  <c r="BM401" i="12"/>
  <c r="F401" i="12"/>
  <c r="D401" i="12"/>
  <c r="BR400" i="12"/>
  <c r="BM400" i="12"/>
  <c r="F400" i="12"/>
  <c r="D400" i="12"/>
  <c r="BR399" i="12"/>
  <c r="BM399" i="12"/>
  <c r="F399" i="12"/>
  <c r="D399" i="12"/>
  <c r="BR398" i="12"/>
  <c r="BM398" i="12"/>
  <c r="F398" i="12"/>
  <c r="D398" i="12"/>
  <c r="BR397" i="12"/>
  <c r="BM397" i="12"/>
  <c r="F397" i="12"/>
  <c r="D397" i="12"/>
  <c r="BR396" i="12"/>
  <c r="BM396" i="12"/>
  <c r="F396" i="12"/>
  <c r="D396" i="12"/>
  <c r="BR395" i="12"/>
  <c r="BM395" i="12"/>
  <c r="F395" i="12"/>
  <c r="D395" i="12"/>
  <c r="BR394" i="12"/>
  <c r="BM394" i="12"/>
  <c r="F394" i="12"/>
  <c r="D394" i="12"/>
  <c r="BR393" i="12"/>
  <c r="BM393" i="12"/>
  <c r="F393" i="12"/>
  <c r="D393" i="12"/>
  <c r="BR392" i="12"/>
  <c r="BM392" i="12"/>
  <c r="F392" i="12"/>
  <c r="D392" i="12"/>
  <c r="BR391" i="12"/>
  <c r="BM391" i="12"/>
  <c r="F391" i="12"/>
  <c r="D391" i="12"/>
  <c r="BR390" i="12"/>
  <c r="BM390" i="12"/>
  <c r="F390" i="12"/>
  <c r="D390" i="12"/>
  <c r="BR389" i="12"/>
  <c r="BM389" i="12"/>
  <c r="F389" i="12"/>
  <c r="D389" i="12"/>
  <c r="BR388" i="12"/>
  <c r="BM388" i="12"/>
  <c r="F388" i="12"/>
  <c r="D388" i="12"/>
  <c r="BR387" i="12"/>
  <c r="BM387" i="12"/>
  <c r="F387" i="12"/>
  <c r="D387" i="12"/>
  <c r="BR386" i="12"/>
  <c r="BM386" i="12"/>
  <c r="F386" i="12"/>
  <c r="D386" i="12"/>
  <c r="BR385" i="12"/>
  <c r="BM385" i="12"/>
  <c r="F385" i="12"/>
  <c r="D385" i="12"/>
  <c r="BR384" i="12"/>
  <c r="BM384" i="12"/>
  <c r="F384" i="12"/>
  <c r="D384" i="12"/>
  <c r="BR383" i="12"/>
  <c r="BM383" i="12"/>
  <c r="F383" i="12"/>
  <c r="D383" i="12"/>
  <c r="BR382" i="12"/>
  <c r="BM382" i="12"/>
  <c r="F382" i="12"/>
  <c r="D382" i="12"/>
  <c r="BR381" i="12"/>
  <c r="BM381" i="12"/>
  <c r="F381" i="12"/>
  <c r="D381" i="12"/>
  <c r="BR380" i="12"/>
  <c r="BM380" i="12"/>
  <c r="F380" i="12"/>
  <c r="D380" i="12"/>
  <c r="BR379" i="12"/>
  <c r="BM379" i="12"/>
  <c r="F379" i="12"/>
  <c r="D379" i="12"/>
  <c r="BR378" i="12"/>
  <c r="BM378" i="12"/>
  <c r="F378" i="12"/>
  <c r="D378" i="12"/>
  <c r="BR377" i="12"/>
  <c r="BM377" i="12"/>
  <c r="F377" i="12"/>
  <c r="D377" i="12"/>
  <c r="BR376" i="12"/>
  <c r="BM376" i="12"/>
  <c r="F376" i="12"/>
  <c r="D376" i="12"/>
  <c r="BR375" i="12"/>
  <c r="BM375" i="12"/>
  <c r="F375" i="12"/>
  <c r="D375" i="12"/>
  <c r="BR374" i="12"/>
  <c r="BM374" i="12"/>
  <c r="F374" i="12"/>
  <c r="D374" i="12"/>
  <c r="BR373" i="12"/>
  <c r="BM373" i="12"/>
  <c r="F373" i="12"/>
  <c r="D373" i="12"/>
  <c r="BR372" i="12"/>
  <c r="BM372" i="12"/>
  <c r="F372" i="12"/>
  <c r="D372" i="12"/>
  <c r="BR371" i="12"/>
  <c r="BM371" i="12"/>
  <c r="F371" i="12"/>
  <c r="D371" i="12"/>
  <c r="BR370" i="12"/>
  <c r="BM370" i="12"/>
  <c r="F370" i="12"/>
  <c r="D370" i="12"/>
  <c r="BR369" i="12"/>
  <c r="BM369" i="12"/>
  <c r="F369" i="12"/>
  <c r="D369" i="12"/>
  <c r="BR368" i="12"/>
  <c r="BM368" i="12"/>
  <c r="F368" i="12"/>
  <c r="D368" i="12"/>
  <c r="BR367" i="12"/>
  <c r="BM367" i="12"/>
  <c r="F367" i="12"/>
  <c r="D367" i="12"/>
  <c r="BR366" i="12"/>
  <c r="BM366" i="12"/>
  <c r="F366" i="12"/>
  <c r="D366" i="12"/>
  <c r="BR365" i="12"/>
  <c r="BM365" i="12"/>
  <c r="F365" i="12"/>
  <c r="D365" i="12"/>
  <c r="BR364" i="12"/>
  <c r="BM364" i="12"/>
  <c r="F364" i="12"/>
  <c r="D364" i="12"/>
  <c r="BR363" i="12"/>
  <c r="BM363" i="12"/>
  <c r="F363" i="12"/>
  <c r="D363" i="12"/>
  <c r="BR362" i="12"/>
  <c r="BM362" i="12"/>
  <c r="F362" i="12"/>
  <c r="D362" i="12"/>
  <c r="BR361" i="12"/>
  <c r="BM361" i="12"/>
  <c r="F361" i="12"/>
  <c r="D361" i="12"/>
  <c r="BR360" i="12"/>
  <c r="BM360" i="12"/>
  <c r="F360" i="12"/>
  <c r="D360" i="12"/>
  <c r="BR359" i="12"/>
  <c r="BM359" i="12"/>
  <c r="F359" i="12"/>
  <c r="D359" i="12"/>
  <c r="BR358" i="12"/>
  <c r="BM358" i="12"/>
  <c r="F358" i="12"/>
  <c r="D358" i="12"/>
  <c r="BR357" i="12"/>
  <c r="BM357" i="12"/>
  <c r="F357" i="12"/>
  <c r="D357" i="12"/>
  <c r="BR356" i="12"/>
  <c r="BM356" i="12"/>
  <c r="F356" i="12"/>
  <c r="D356" i="12"/>
  <c r="BR355" i="12"/>
  <c r="BM355" i="12"/>
  <c r="F355" i="12"/>
  <c r="D355" i="12"/>
  <c r="BR354" i="12"/>
  <c r="BM354" i="12"/>
  <c r="F354" i="12"/>
  <c r="D354" i="12"/>
  <c r="BR353" i="12"/>
  <c r="BM353" i="12"/>
  <c r="F353" i="12"/>
  <c r="D353" i="12"/>
  <c r="BR352" i="12"/>
  <c r="BM352" i="12"/>
  <c r="F352" i="12"/>
  <c r="D352" i="12"/>
  <c r="BR351" i="12"/>
  <c r="BM351" i="12"/>
  <c r="F351" i="12"/>
  <c r="D351" i="12"/>
  <c r="BR350" i="12"/>
  <c r="BM350" i="12"/>
  <c r="F350" i="12"/>
  <c r="D350" i="12"/>
  <c r="BR349" i="12"/>
  <c r="BM349" i="12"/>
  <c r="F349" i="12"/>
  <c r="D349" i="12"/>
  <c r="BR348" i="12"/>
  <c r="BM348" i="12"/>
  <c r="F348" i="12"/>
  <c r="D348" i="12"/>
  <c r="BR347" i="12"/>
  <c r="BM347" i="12"/>
  <c r="F347" i="12"/>
  <c r="D347" i="12"/>
  <c r="BR346" i="12"/>
  <c r="BM346" i="12"/>
  <c r="F346" i="12"/>
  <c r="D346" i="12"/>
  <c r="BR345" i="12"/>
  <c r="BM345" i="12"/>
  <c r="F345" i="12"/>
  <c r="D345" i="12"/>
  <c r="BR344" i="12"/>
  <c r="BM344" i="12"/>
  <c r="F344" i="12"/>
  <c r="D344" i="12"/>
  <c r="BR343" i="12"/>
  <c r="BM343" i="12"/>
  <c r="F343" i="12"/>
  <c r="D343" i="12"/>
  <c r="BR342" i="12"/>
  <c r="BM342" i="12"/>
  <c r="F342" i="12"/>
  <c r="D342" i="12"/>
  <c r="BR341" i="12"/>
  <c r="BM341" i="12"/>
  <c r="F341" i="12"/>
  <c r="D341" i="12"/>
  <c r="BR340" i="12"/>
  <c r="BM340" i="12"/>
  <c r="F340" i="12"/>
  <c r="D340" i="12"/>
  <c r="BR339" i="12"/>
  <c r="BM339" i="12"/>
  <c r="F339" i="12"/>
  <c r="D339" i="12"/>
  <c r="BR338" i="12"/>
  <c r="BM338" i="12"/>
  <c r="F338" i="12"/>
  <c r="D338" i="12"/>
  <c r="BR337" i="12"/>
  <c r="BM337" i="12"/>
  <c r="F337" i="12"/>
  <c r="D337" i="12"/>
  <c r="BR336" i="12"/>
  <c r="BM336" i="12"/>
  <c r="F336" i="12"/>
  <c r="D336" i="12"/>
  <c r="BR335" i="12"/>
  <c r="BM335" i="12"/>
  <c r="F335" i="12"/>
  <c r="D335" i="12"/>
  <c r="BR334" i="12"/>
  <c r="BM334" i="12"/>
  <c r="F334" i="12"/>
  <c r="D334" i="12"/>
  <c r="BR333" i="12"/>
  <c r="BM333" i="12"/>
  <c r="F333" i="12"/>
  <c r="D333" i="12"/>
  <c r="BR332" i="12"/>
  <c r="BM332" i="12"/>
  <c r="F332" i="12"/>
  <c r="D332" i="12"/>
  <c r="BR331" i="12"/>
  <c r="BM331" i="12"/>
  <c r="F331" i="12"/>
  <c r="D331" i="12"/>
  <c r="BR330" i="12"/>
  <c r="BM330" i="12"/>
  <c r="F330" i="12"/>
  <c r="D330" i="12"/>
  <c r="BR329" i="12"/>
  <c r="BM329" i="12"/>
  <c r="F329" i="12"/>
  <c r="D329" i="12"/>
  <c r="BR328" i="12"/>
  <c r="BM328" i="12"/>
  <c r="F328" i="12"/>
  <c r="D328" i="12"/>
  <c r="BR327" i="12"/>
  <c r="BM327" i="12"/>
  <c r="F327" i="12"/>
  <c r="D327" i="12"/>
  <c r="BR326" i="12"/>
  <c r="BM326" i="12"/>
  <c r="F326" i="12"/>
  <c r="D326" i="12"/>
  <c r="BR325" i="12"/>
  <c r="BM325" i="12"/>
  <c r="F325" i="12"/>
  <c r="D325" i="12"/>
  <c r="BR324" i="12"/>
  <c r="BM324" i="12"/>
  <c r="F324" i="12"/>
  <c r="D324" i="12"/>
  <c r="BR323" i="12"/>
  <c r="BM323" i="12"/>
  <c r="F323" i="12"/>
  <c r="D323" i="12"/>
  <c r="BR322" i="12"/>
  <c r="BM322" i="12"/>
  <c r="F322" i="12"/>
  <c r="D322" i="12"/>
  <c r="BR321" i="12"/>
  <c r="BM321" i="12"/>
  <c r="F321" i="12"/>
  <c r="D321" i="12"/>
  <c r="BR320" i="12"/>
  <c r="BM320" i="12"/>
  <c r="F320" i="12"/>
  <c r="D320" i="12"/>
  <c r="BR319" i="12"/>
  <c r="BM319" i="12"/>
  <c r="F319" i="12"/>
  <c r="D319" i="12"/>
  <c r="BR318" i="12"/>
  <c r="BM318" i="12"/>
  <c r="F318" i="12"/>
  <c r="D318" i="12"/>
  <c r="BR317" i="12"/>
  <c r="BM317" i="12"/>
  <c r="F317" i="12"/>
  <c r="D317" i="12"/>
  <c r="BR316" i="12"/>
  <c r="BM316" i="12"/>
  <c r="F316" i="12"/>
  <c r="D316" i="12"/>
  <c r="BR315" i="12"/>
  <c r="BM315" i="12"/>
  <c r="F315" i="12"/>
  <c r="D315" i="12"/>
  <c r="BR314" i="12"/>
  <c r="BM314" i="12"/>
  <c r="F314" i="12"/>
  <c r="D314" i="12"/>
  <c r="BR313" i="12"/>
  <c r="BM313" i="12"/>
  <c r="F313" i="12"/>
  <c r="D313" i="12"/>
  <c r="BR312" i="12"/>
  <c r="BM312" i="12"/>
  <c r="F312" i="12"/>
  <c r="D312" i="12"/>
  <c r="BR311" i="12"/>
  <c r="BM311" i="12"/>
  <c r="F311" i="12"/>
  <c r="D311" i="12"/>
  <c r="BR310" i="12"/>
  <c r="BM310" i="12"/>
  <c r="F310" i="12"/>
  <c r="D310" i="12"/>
  <c r="BR309" i="12"/>
  <c r="BM309" i="12"/>
  <c r="F309" i="12"/>
  <c r="D309" i="12"/>
  <c r="BR308" i="12"/>
  <c r="BM308" i="12"/>
  <c r="F308" i="12"/>
  <c r="D308" i="12"/>
  <c r="BR307" i="12"/>
  <c r="BM307" i="12"/>
  <c r="F307" i="12"/>
  <c r="D307" i="12"/>
  <c r="BR306" i="12"/>
  <c r="BM306" i="12"/>
  <c r="F306" i="12"/>
  <c r="D306" i="12"/>
  <c r="BR305" i="12"/>
  <c r="BM305" i="12"/>
  <c r="F305" i="12"/>
  <c r="D305" i="12"/>
  <c r="BR304" i="12"/>
  <c r="BM304" i="12"/>
  <c r="F304" i="12"/>
  <c r="D304" i="12"/>
  <c r="BR303" i="12"/>
  <c r="BM303" i="12"/>
  <c r="F303" i="12"/>
  <c r="D303" i="12"/>
  <c r="BR302" i="12"/>
  <c r="BM302" i="12"/>
  <c r="F302" i="12"/>
  <c r="D302" i="12"/>
  <c r="BR301" i="12"/>
  <c r="BM301" i="12"/>
  <c r="F301" i="12"/>
  <c r="D301" i="12"/>
  <c r="BR300" i="12"/>
  <c r="BM300" i="12"/>
  <c r="F300" i="12"/>
  <c r="D300" i="12"/>
  <c r="BR299" i="12"/>
  <c r="BM299" i="12"/>
  <c r="F299" i="12"/>
  <c r="D299" i="12"/>
  <c r="BR298" i="12"/>
  <c r="BM298" i="12"/>
  <c r="F298" i="12"/>
  <c r="D298" i="12"/>
  <c r="BR297" i="12"/>
  <c r="BM297" i="12"/>
  <c r="F297" i="12"/>
  <c r="D297" i="12"/>
  <c r="BR296" i="12"/>
  <c r="BM296" i="12"/>
  <c r="F296" i="12"/>
  <c r="D296" i="12"/>
  <c r="BR295" i="12"/>
  <c r="BM295" i="12"/>
  <c r="F295" i="12"/>
  <c r="D295" i="12"/>
  <c r="BR294" i="12"/>
  <c r="BM294" i="12"/>
  <c r="F294" i="12"/>
  <c r="D294" i="12"/>
  <c r="BR293" i="12"/>
  <c r="BM293" i="12"/>
  <c r="F293" i="12"/>
  <c r="D293" i="12"/>
  <c r="BR292" i="12"/>
  <c r="BM292" i="12"/>
  <c r="F292" i="12"/>
  <c r="D292" i="12"/>
  <c r="BR291" i="12"/>
  <c r="BM291" i="12"/>
  <c r="F291" i="12"/>
  <c r="D291" i="12"/>
  <c r="BR290" i="12"/>
  <c r="BM290" i="12"/>
  <c r="F290" i="12"/>
  <c r="D290" i="12"/>
  <c r="BR289" i="12"/>
  <c r="BM289" i="12"/>
  <c r="F289" i="12"/>
  <c r="D289" i="12"/>
  <c r="BR288" i="12"/>
  <c r="BM288" i="12"/>
  <c r="F288" i="12"/>
  <c r="D288" i="12"/>
  <c r="BR287" i="12"/>
  <c r="BM287" i="12"/>
  <c r="F287" i="12"/>
  <c r="D287" i="12"/>
  <c r="BR286" i="12"/>
  <c r="BM286" i="12"/>
  <c r="F286" i="12"/>
  <c r="D286" i="12"/>
  <c r="BR285" i="12"/>
  <c r="BM285" i="12"/>
  <c r="F285" i="12"/>
  <c r="D285" i="12"/>
  <c r="BR284" i="12"/>
  <c r="BM284" i="12"/>
  <c r="F284" i="12"/>
  <c r="D284" i="12"/>
  <c r="BR283" i="12"/>
  <c r="BM283" i="12"/>
  <c r="F283" i="12"/>
  <c r="D283" i="12"/>
  <c r="BR282" i="12"/>
  <c r="BM282" i="12"/>
  <c r="F282" i="12"/>
  <c r="D282" i="12"/>
  <c r="BR281" i="12"/>
  <c r="BM281" i="12"/>
  <c r="F281" i="12"/>
  <c r="D281" i="12"/>
  <c r="BR280" i="12"/>
  <c r="BM280" i="12"/>
  <c r="F280" i="12"/>
  <c r="D280" i="12"/>
  <c r="BR279" i="12"/>
  <c r="BM279" i="12"/>
  <c r="F279" i="12"/>
  <c r="D279" i="12"/>
  <c r="BR278" i="12"/>
  <c r="BM278" i="12"/>
  <c r="F278" i="12"/>
  <c r="D278" i="12"/>
  <c r="BR277" i="12"/>
  <c r="BM277" i="12"/>
  <c r="F277" i="12"/>
  <c r="D277" i="12"/>
  <c r="BR276" i="12"/>
  <c r="BM276" i="12"/>
  <c r="F276" i="12"/>
  <c r="D276" i="12"/>
  <c r="BR275" i="12"/>
  <c r="BM275" i="12"/>
  <c r="F275" i="12"/>
  <c r="D275" i="12"/>
  <c r="BR274" i="12"/>
  <c r="BM274" i="12"/>
  <c r="F274" i="12"/>
  <c r="D274" i="12"/>
  <c r="BR273" i="12"/>
  <c r="BM273" i="12"/>
  <c r="F273" i="12"/>
  <c r="D273" i="12"/>
  <c r="BR272" i="12"/>
  <c r="BM272" i="12"/>
  <c r="F272" i="12"/>
  <c r="D272" i="12"/>
  <c r="BR271" i="12"/>
  <c r="BM271" i="12"/>
  <c r="F271" i="12"/>
  <c r="D271" i="12"/>
  <c r="BR270" i="12"/>
  <c r="BM270" i="12"/>
  <c r="F270" i="12"/>
  <c r="D270" i="12"/>
  <c r="BR269" i="12"/>
  <c r="BM269" i="12"/>
  <c r="F269" i="12"/>
  <c r="D269" i="12"/>
  <c r="BR268" i="12"/>
  <c r="BM268" i="12"/>
  <c r="F268" i="12"/>
  <c r="D268" i="12"/>
  <c r="BR267" i="12"/>
  <c r="BM267" i="12"/>
  <c r="F267" i="12"/>
  <c r="D267" i="12"/>
  <c r="BR266" i="12"/>
  <c r="BM266" i="12"/>
  <c r="F266" i="12"/>
  <c r="D266" i="12"/>
  <c r="BR265" i="12"/>
  <c r="BM265" i="12"/>
  <c r="F265" i="12"/>
  <c r="D265" i="12"/>
  <c r="BR264" i="12"/>
  <c r="BM264" i="12"/>
  <c r="F264" i="12"/>
  <c r="D264" i="12"/>
  <c r="BR263" i="12"/>
  <c r="BM263" i="12"/>
  <c r="F263" i="12"/>
  <c r="D263" i="12"/>
  <c r="BR262" i="12"/>
  <c r="BM262" i="12"/>
  <c r="F262" i="12"/>
  <c r="D262" i="12"/>
  <c r="BR261" i="12"/>
  <c r="BM261" i="12"/>
  <c r="F261" i="12"/>
  <c r="D261" i="12"/>
  <c r="BR260" i="12"/>
  <c r="BM260" i="12"/>
  <c r="F260" i="12"/>
  <c r="D260" i="12"/>
  <c r="BR259" i="12"/>
  <c r="BM259" i="12"/>
  <c r="F259" i="12"/>
  <c r="D259" i="12"/>
  <c r="BR258" i="12"/>
  <c r="BM258" i="12"/>
  <c r="F258" i="12"/>
  <c r="D258" i="12"/>
  <c r="BR257" i="12"/>
  <c r="BM257" i="12"/>
  <c r="F257" i="12"/>
  <c r="D257" i="12"/>
  <c r="BR256" i="12"/>
  <c r="BM256" i="12"/>
  <c r="F256" i="12"/>
  <c r="D256" i="12"/>
  <c r="BR255" i="12"/>
  <c r="BM255" i="12"/>
  <c r="F255" i="12"/>
  <c r="D255" i="12"/>
  <c r="BR254" i="12"/>
  <c r="BM254" i="12"/>
  <c r="F254" i="12"/>
  <c r="D254" i="12"/>
  <c r="BR253" i="12"/>
  <c r="BM253" i="12"/>
  <c r="F253" i="12"/>
  <c r="D253" i="12"/>
  <c r="BR252" i="12"/>
  <c r="BM252" i="12"/>
  <c r="F252" i="12"/>
  <c r="D252" i="12"/>
  <c r="BR251" i="12"/>
  <c r="BM251" i="12"/>
  <c r="F251" i="12"/>
  <c r="D251" i="12"/>
  <c r="BR250" i="12"/>
  <c r="BM250" i="12"/>
  <c r="F250" i="12"/>
  <c r="D250" i="12"/>
  <c r="BR249" i="12"/>
  <c r="BM249" i="12"/>
  <c r="F249" i="12"/>
  <c r="D249" i="12"/>
  <c r="BR248" i="12"/>
  <c r="BM248" i="12"/>
  <c r="F248" i="12"/>
  <c r="D248" i="12"/>
  <c r="BR247" i="12"/>
  <c r="BM247" i="12"/>
  <c r="F247" i="12"/>
  <c r="D247" i="12"/>
  <c r="BR246" i="12"/>
  <c r="BM246" i="12"/>
  <c r="F246" i="12"/>
  <c r="D246" i="12"/>
  <c r="BR245" i="12"/>
  <c r="BM245" i="12"/>
  <c r="F245" i="12"/>
  <c r="D245" i="12"/>
  <c r="BR244" i="12"/>
  <c r="BM244" i="12"/>
  <c r="F244" i="12"/>
  <c r="D244" i="12"/>
  <c r="BR243" i="12"/>
  <c r="BM243" i="12"/>
  <c r="F243" i="12"/>
  <c r="D243" i="12"/>
  <c r="BR242" i="12"/>
  <c r="BM242" i="12"/>
  <c r="F242" i="12"/>
  <c r="D242" i="12"/>
  <c r="BR241" i="12"/>
  <c r="BM241" i="12"/>
  <c r="F241" i="12"/>
  <c r="D241" i="12"/>
  <c r="BR240" i="12"/>
  <c r="BM240" i="12"/>
  <c r="F240" i="12"/>
  <c r="D240" i="12"/>
  <c r="BR239" i="12"/>
  <c r="BM239" i="12"/>
  <c r="F239" i="12"/>
  <c r="D239" i="12"/>
  <c r="BR238" i="12"/>
  <c r="BM238" i="12"/>
  <c r="F238" i="12"/>
  <c r="D238" i="12"/>
  <c r="BR237" i="12"/>
  <c r="BM237" i="12"/>
  <c r="F237" i="12"/>
  <c r="D237" i="12"/>
  <c r="BR236" i="12"/>
  <c r="BM236" i="12"/>
  <c r="F236" i="12"/>
  <c r="D236" i="12"/>
  <c r="BR235" i="12"/>
  <c r="BM235" i="12"/>
  <c r="F235" i="12"/>
  <c r="D235" i="12"/>
  <c r="BR234" i="12"/>
  <c r="BM234" i="12"/>
  <c r="F234" i="12"/>
  <c r="D234" i="12"/>
  <c r="BR233" i="12"/>
  <c r="BM233" i="12"/>
  <c r="F233" i="12"/>
  <c r="D233" i="12"/>
  <c r="BR232" i="12"/>
  <c r="BM232" i="12"/>
  <c r="F232" i="12"/>
  <c r="D232" i="12"/>
  <c r="BR231" i="12"/>
  <c r="BM231" i="12"/>
  <c r="F231" i="12"/>
  <c r="D231" i="12"/>
  <c r="BR230" i="12"/>
  <c r="BM230" i="12"/>
  <c r="F230" i="12"/>
  <c r="D230" i="12"/>
  <c r="BR229" i="12"/>
  <c r="BM229" i="12"/>
  <c r="F229" i="12"/>
  <c r="D229" i="12"/>
  <c r="BR228" i="12"/>
  <c r="BM228" i="12"/>
  <c r="F228" i="12"/>
  <c r="D228" i="12"/>
  <c r="BR227" i="12"/>
  <c r="BM227" i="12"/>
  <c r="F227" i="12"/>
  <c r="D227" i="12"/>
  <c r="BR226" i="12"/>
  <c r="BM226" i="12"/>
  <c r="F226" i="12"/>
  <c r="D226" i="12"/>
  <c r="BR225" i="12"/>
  <c r="BM225" i="12"/>
  <c r="F225" i="12"/>
  <c r="D225" i="12"/>
  <c r="BR224" i="12"/>
  <c r="BM224" i="12"/>
  <c r="F224" i="12"/>
  <c r="D224" i="12"/>
  <c r="BR223" i="12"/>
  <c r="BM223" i="12"/>
  <c r="F223" i="12"/>
  <c r="D223" i="12"/>
  <c r="BR222" i="12"/>
  <c r="BM222" i="12"/>
  <c r="F222" i="12"/>
  <c r="D222" i="12"/>
  <c r="BR221" i="12"/>
  <c r="BM221" i="12"/>
  <c r="F221" i="12"/>
  <c r="D221" i="12"/>
  <c r="BR220" i="12"/>
  <c r="BM220" i="12"/>
  <c r="F220" i="12"/>
  <c r="D220" i="12"/>
  <c r="BR219" i="12"/>
  <c r="BM219" i="12"/>
  <c r="F219" i="12"/>
  <c r="D219" i="12"/>
  <c r="BR218" i="12"/>
  <c r="BM218" i="12"/>
  <c r="F218" i="12"/>
  <c r="D218" i="12"/>
  <c r="BR217" i="12"/>
  <c r="BM217" i="12"/>
  <c r="F217" i="12"/>
  <c r="D217" i="12"/>
  <c r="BR216" i="12"/>
  <c r="BM216" i="12"/>
  <c r="F216" i="12"/>
  <c r="D216" i="12"/>
  <c r="BR215" i="12"/>
  <c r="BM215" i="12"/>
  <c r="F215" i="12"/>
  <c r="D215" i="12"/>
  <c r="BR214" i="12"/>
  <c r="BM214" i="12"/>
  <c r="F214" i="12"/>
  <c r="D214" i="12"/>
  <c r="BR213" i="12"/>
  <c r="BM213" i="12"/>
  <c r="F213" i="12"/>
  <c r="D213" i="12"/>
  <c r="BR212" i="12"/>
  <c r="BM212" i="12"/>
  <c r="F212" i="12"/>
  <c r="D212" i="12"/>
  <c r="BR211" i="12"/>
  <c r="BM211" i="12"/>
  <c r="F211" i="12"/>
  <c r="D211" i="12"/>
  <c r="BR210" i="12"/>
  <c r="BM210" i="12"/>
  <c r="F210" i="12"/>
  <c r="D210" i="12"/>
  <c r="BR209" i="12"/>
  <c r="BM209" i="12"/>
  <c r="F209" i="12"/>
  <c r="D209" i="12"/>
  <c r="BR208" i="12"/>
  <c r="BM208" i="12"/>
  <c r="F208" i="12"/>
  <c r="D208" i="12"/>
  <c r="BR207" i="12"/>
  <c r="BM207" i="12"/>
  <c r="F207" i="12"/>
  <c r="D207" i="12"/>
  <c r="BR206" i="12"/>
  <c r="BM206" i="12"/>
  <c r="F206" i="12"/>
  <c r="D206" i="12"/>
  <c r="BR205" i="12"/>
  <c r="BM205" i="12"/>
  <c r="F205" i="12"/>
  <c r="D205" i="12"/>
  <c r="BR204" i="12"/>
  <c r="BM204" i="12"/>
  <c r="F204" i="12"/>
  <c r="D204" i="12"/>
  <c r="BR203" i="12"/>
  <c r="BM203" i="12"/>
  <c r="F203" i="12"/>
  <c r="D203" i="12"/>
  <c r="BR202" i="12"/>
  <c r="BM202" i="12"/>
  <c r="F202" i="12"/>
  <c r="D202" i="12"/>
  <c r="BR201" i="12"/>
  <c r="BM201" i="12"/>
  <c r="F201" i="12"/>
  <c r="D201" i="12"/>
  <c r="BR200" i="12"/>
  <c r="BM200" i="12"/>
  <c r="F200" i="12"/>
  <c r="D200" i="12"/>
  <c r="BR199" i="12"/>
  <c r="BM199" i="12"/>
  <c r="F199" i="12"/>
  <c r="D199" i="12"/>
  <c r="BR198" i="12"/>
  <c r="BM198" i="12"/>
  <c r="F198" i="12"/>
  <c r="D198" i="12"/>
  <c r="BR197" i="12"/>
  <c r="BM197" i="12"/>
  <c r="F197" i="12"/>
  <c r="D197" i="12"/>
  <c r="BR196" i="12"/>
  <c r="BM196" i="12"/>
  <c r="F196" i="12"/>
  <c r="D196" i="12"/>
  <c r="BR195" i="12"/>
  <c r="BM195" i="12"/>
  <c r="F195" i="12"/>
  <c r="D195" i="12"/>
  <c r="BR194" i="12"/>
  <c r="BM194" i="12"/>
  <c r="F194" i="12"/>
  <c r="D194" i="12"/>
  <c r="BR193" i="12"/>
  <c r="BM193" i="12"/>
  <c r="F193" i="12"/>
  <c r="D193" i="12"/>
  <c r="BR192" i="12"/>
  <c r="BM192" i="12"/>
  <c r="F192" i="12"/>
  <c r="D192" i="12"/>
  <c r="BR191" i="12"/>
  <c r="BM191" i="12"/>
  <c r="F191" i="12"/>
  <c r="D191" i="12"/>
  <c r="BR190" i="12"/>
  <c r="BM190" i="12"/>
  <c r="F190" i="12"/>
  <c r="D190" i="12"/>
  <c r="BR189" i="12"/>
  <c r="BM189" i="12"/>
  <c r="F189" i="12"/>
  <c r="D189" i="12"/>
  <c r="BR188" i="12"/>
  <c r="BM188" i="12"/>
  <c r="F188" i="12"/>
  <c r="D188" i="12"/>
  <c r="BR187" i="12"/>
  <c r="BM187" i="12"/>
  <c r="F187" i="12"/>
  <c r="D187" i="12"/>
  <c r="BR186" i="12"/>
  <c r="BM186" i="12"/>
  <c r="F186" i="12"/>
  <c r="D186" i="12"/>
  <c r="BR185" i="12"/>
  <c r="BM185" i="12"/>
  <c r="F185" i="12"/>
  <c r="D185" i="12"/>
  <c r="BR184" i="12"/>
  <c r="BM184" i="12"/>
  <c r="F184" i="12"/>
  <c r="D184" i="12"/>
  <c r="BR183" i="12"/>
  <c r="BM183" i="12"/>
  <c r="F183" i="12"/>
  <c r="D183" i="12"/>
  <c r="BR182" i="12"/>
  <c r="BM182" i="12"/>
  <c r="F182" i="12"/>
  <c r="D182" i="12"/>
  <c r="BR181" i="12"/>
  <c r="BM181" i="12"/>
  <c r="F181" i="12"/>
  <c r="D181" i="12"/>
  <c r="BR180" i="12"/>
  <c r="BM180" i="12"/>
  <c r="F180" i="12"/>
  <c r="D180" i="12"/>
  <c r="BR179" i="12"/>
  <c r="BM179" i="12"/>
  <c r="F179" i="12"/>
  <c r="D179" i="12"/>
  <c r="BR178" i="12"/>
  <c r="BM178" i="12"/>
  <c r="F178" i="12"/>
  <c r="D178" i="12"/>
  <c r="BR177" i="12"/>
  <c r="BM177" i="12"/>
  <c r="F177" i="12"/>
  <c r="D177" i="12"/>
  <c r="BR176" i="12"/>
  <c r="BM176" i="12"/>
  <c r="F176" i="12"/>
  <c r="D176" i="12"/>
  <c r="BR175" i="12"/>
  <c r="BM175" i="12"/>
  <c r="F175" i="12"/>
  <c r="D175" i="12"/>
  <c r="BR174" i="12"/>
  <c r="BM174" i="12"/>
  <c r="F174" i="12"/>
  <c r="D174" i="12"/>
  <c r="BR173" i="12"/>
  <c r="BM173" i="12"/>
  <c r="F173" i="12"/>
  <c r="D173" i="12"/>
  <c r="BR172" i="12"/>
  <c r="BM172" i="12"/>
  <c r="F172" i="12"/>
  <c r="D172" i="12"/>
  <c r="BR171" i="12"/>
  <c r="BM171" i="12"/>
  <c r="F171" i="12"/>
  <c r="D171" i="12"/>
  <c r="BR170" i="12"/>
  <c r="BM170" i="12"/>
  <c r="F170" i="12"/>
  <c r="D170" i="12"/>
  <c r="BR169" i="12"/>
  <c r="BM169" i="12"/>
  <c r="F169" i="12"/>
  <c r="D169" i="12"/>
  <c r="BR168" i="12"/>
  <c r="BM168" i="12"/>
  <c r="F168" i="12"/>
  <c r="D168" i="12"/>
  <c r="BR167" i="12"/>
  <c r="BM167" i="12"/>
  <c r="F167" i="12"/>
  <c r="D167" i="12"/>
  <c r="BR166" i="12"/>
  <c r="BM166" i="12"/>
  <c r="F166" i="12"/>
  <c r="D166" i="12"/>
  <c r="BR165" i="12"/>
  <c r="BM165" i="12"/>
  <c r="F165" i="12"/>
  <c r="D165" i="12"/>
  <c r="BR164" i="12"/>
  <c r="BM164" i="12"/>
  <c r="F164" i="12"/>
  <c r="D164" i="12"/>
  <c r="BR163" i="12"/>
  <c r="BM163" i="12"/>
  <c r="F163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BR149" i="12"/>
  <c r="BM149" i="12"/>
  <c r="F149" i="12"/>
  <c r="D149" i="12"/>
  <c r="BR148" i="12"/>
  <c r="BM148" i="12"/>
  <c r="F148" i="12"/>
  <c r="BR147" i="12"/>
  <c r="BM147" i="12"/>
  <c r="F147" i="12"/>
  <c r="BR146" i="12"/>
  <c r="BM146" i="12"/>
  <c r="F146" i="12"/>
  <c r="BR145" i="12"/>
  <c r="BM145" i="12"/>
  <c r="F145" i="12"/>
  <c r="BR144" i="12"/>
  <c r="BM144" i="12"/>
  <c r="F144" i="12"/>
  <c r="BR143" i="12"/>
  <c r="BM143" i="12"/>
  <c r="F143" i="12"/>
  <c r="BR142" i="12"/>
  <c r="BM142" i="12"/>
  <c r="F142" i="12"/>
  <c r="BR141" i="12"/>
  <c r="BM141" i="12"/>
  <c r="F141" i="12"/>
  <c r="BR140" i="12"/>
  <c r="BM140" i="12"/>
  <c r="F140" i="12"/>
  <c r="BR139" i="12"/>
  <c r="BM139" i="12"/>
  <c r="F139" i="12"/>
  <c r="BM138" i="12"/>
  <c r="F138" i="12"/>
  <c r="BR137" i="12"/>
  <c r="BM137" i="12"/>
  <c r="F137" i="12"/>
  <c r="BR136" i="12"/>
  <c r="BM136" i="12"/>
  <c r="F136" i="12"/>
  <c r="BR135" i="12"/>
  <c r="BM135" i="12"/>
  <c r="F135" i="12"/>
  <c r="BR134" i="12"/>
  <c r="BM134" i="12"/>
  <c r="F134" i="12"/>
  <c r="BR133" i="12"/>
  <c r="BM133" i="12"/>
  <c r="F133" i="12"/>
  <c r="BR132" i="12"/>
  <c r="BM132" i="12"/>
  <c r="F132" i="12"/>
  <c r="BR131" i="12"/>
  <c r="BM131" i="12"/>
  <c r="F131" i="12"/>
  <c r="BR130" i="12"/>
  <c r="BM130" i="12"/>
  <c r="F130" i="12"/>
  <c r="BR129" i="12"/>
  <c r="BM129" i="12"/>
  <c r="F129" i="12"/>
  <c r="BR128" i="12"/>
  <c r="BM128" i="12"/>
  <c r="F128" i="12"/>
  <c r="BR127" i="12"/>
  <c r="BM127" i="12"/>
  <c r="F127" i="12"/>
  <c r="BR126" i="12"/>
  <c r="BM126" i="12"/>
  <c r="F126" i="12"/>
  <c r="BR125" i="12"/>
  <c r="BM125" i="12"/>
  <c r="F125" i="12"/>
  <c r="BR124" i="12"/>
  <c r="BM124" i="12"/>
  <c r="F124" i="12"/>
  <c r="BR123" i="12"/>
  <c r="BM123" i="12"/>
  <c r="F123" i="12"/>
  <c r="BR122" i="12"/>
  <c r="BM122" i="12"/>
  <c r="F122" i="12"/>
  <c r="BR121" i="12"/>
  <c r="BM121" i="12"/>
  <c r="F121" i="12"/>
  <c r="BR120" i="12"/>
  <c r="BM120" i="12"/>
  <c r="F120" i="12"/>
  <c r="BR119" i="12"/>
  <c r="BM119" i="12"/>
  <c r="F119" i="12"/>
  <c r="BR118" i="12"/>
  <c r="BM118" i="12"/>
  <c r="F118" i="12"/>
  <c r="BR117" i="12"/>
  <c r="BM117" i="12"/>
  <c r="F117" i="12"/>
  <c r="BR116" i="12"/>
  <c r="BM116" i="12"/>
  <c r="F116" i="12"/>
  <c r="BR115" i="12"/>
  <c r="BM115" i="12"/>
  <c r="F115" i="12"/>
  <c r="BR114" i="12"/>
  <c r="BM114" i="12"/>
  <c r="F114" i="12"/>
  <c r="BR113" i="12"/>
  <c r="BM113" i="12"/>
  <c r="F113" i="12"/>
  <c r="BR112" i="12"/>
  <c r="BM112" i="12"/>
  <c r="F112" i="12"/>
  <c r="BR111" i="12"/>
  <c r="BM111" i="12"/>
  <c r="F111" i="12"/>
  <c r="BR110" i="12"/>
  <c r="BM110" i="12"/>
  <c r="F110" i="12"/>
  <c r="BR109" i="12"/>
  <c r="BM109" i="12"/>
  <c r="F109" i="12"/>
  <c r="BR108" i="12"/>
  <c r="BM108" i="12"/>
  <c r="F108" i="12"/>
  <c r="BR107" i="12"/>
  <c r="BM107" i="12"/>
  <c r="F107" i="12"/>
  <c r="BR106" i="12"/>
  <c r="BM106" i="12"/>
  <c r="F106" i="12"/>
  <c r="BR105" i="12"/>
  <c r="BM105" i="12"/>
  <c r="F105" i="12"/>
  <c r="BR104" i="12"/>
  <c r="BM104" i="12"/>
  <c r="F104" i="12"/>
  <c r="BR103" i="12"/>
  <c r="BM103" i="12"/>
  <c r="F103" i="12"/>
  <c r="BR102" i="12"/>
  <c r="BM102" i="12"/>
  <c r="F102" i="12"/>
  <c r="BR101" i="12"/>
  <c r="BM101" i="12"/>
  <c r="F101" i="12"/>
  <c r="BR100" i="12"/>
  <c r="BM100" i="12"/>
  <c r="F100" i="12"/>
  <c r="BR99" i="12"/>
  <c r="BM99" i="12"/>
  <c r="F99" i="12"/>
  <c r="BR98" i="12"/>
  <c r="BM98" i="12"/>
  <c r="F98" i="12"/>
  <c r="BR97" i="12"/>
  <c r="BM97" i="12"/>
  <c r="F97" i="12"/>
  <c r="BR96" i="12"/>
  <c r="BM96" i="12"/>
  <c r="F96" i="12"/>
  <c r="BR95" i="12"/>
  <c r="BM95" i="12"/>
  <c r="F95" i="12"/>
  <c r="BR94" i="12"/>
  <c r="BM94" i="12"/>
  <c r="F94" i="12"/>
  <c r="BR93" i="12"/>
  <c r="BM93" i="12"/>
  <c r="F93" i="12"/>
  <c r="BR92" i="12"/>
  <c r="BM92" i="12"/>
  <c r="F92" i="12"/>
  <c r="BR91" i="12"/>
  <c r="BM91" i="12"/>
  <c r="F91" i="12"/>
  <c r="BR90" i="12"/>
  <c r="BM90" i="12"/>
  <c r="F90" i="12"/>
  <c r="BR89" i="12"/>
  <c r="BM89" i="12"/>
  <c r="F89" i="12"/>
  <c r="BR88" i="12"/>
  <c r="BM88" i="12"/>
  <c r="F88" i="12"/>
  <c r="BR87" i="12"/>
  <c r="BM87" i="12"/>
  <c r="F87" i="12"/>
  <c r="BR86" i="12"/>
  <c r="BM86" i="12"/>
  <c r="F86" i="12"/>
  <c r="BR85" i="12"/>
  <c r="BM85" i="12"/>
  <c r="F85" i="12"/>
  <c r="BR84" i="12"/>
  <c r="BM84" i="12"/>
  <c r="F84" i="12"/>
  <c r="BR83" i="12"/>
  <c r="BM83" i="12"/>
  <c r="F83" i="12"/>
  <c r="BR82" i="12"/>
  <c r="BM82" i="12"/>
  <c r="F82" i="12"/>
  <c r="BR81" i="12"/>
  <c r="BM81" i="12"/>
  <c r="F81" i="12"/>
  <c r="BR80" i="12"/>
  <c r="BM80" i="12"/>
  <c r="F80" i="12"/>
  <c r="BR79" i="12"/>
  <c r="BM79" i="12"/>
  <c r="F79" i="12"/>
  <c r="BR78" i="12"/>
  <c r="BM78" i="12"/>
  <c r="F78" i="12"/>
  <c r="BR77" i="12"/>
  <c r="BM77" i="12"/>
  <c r="F77" i="12"/>
  <c r="BR76" i="12"/>
  <c r="BM76" i="12"/>
  <c r="F76" i="12"/>
  <c r="BR75" i="12"/>
  <c r="BM75" i="12"/>
  <c r="F75" i="12"/>
  <c r="BR74" i="12"/>
  <c r="BM74" i="12"/>
  <c r="F74" i="12"/>
  <c r="BR73" i="12"/>
  <c r="BM73" i="12"/>
  <c r="F73" i="12"/>
  <c r="BR72" i="12"/>
  <c r="BM72" i="12"/>
  <c r="F72" i="12"/>
  <c r="BR71" i="12"/>
  <c r="BM71" i="12"/>
  <c r="F71" i="12"/>
  <c r="BR70" i="12"/>
  <c r="BM70" i="12"/>
  <c r="F70" i="12"/>
  <c r="BR69" i="12"/>
  <c r="BM69" i="12"/>
  <c r="F69" i="12"/>
  <c r="BR68" i="12"/>
  <c r="BM68" i="12"/>
  <c r="F68" i="12"/>
  <c r="BR67" i="12"/>
  <c r="BM67" i="12"/>
  <c r="F67" i="12"/>
  <c r="BR66" i="12"/>
  <c r="BM66" i="12"/>
  <c r="F66" i="12"/>
  <c r="BR65" i="12"/>
  <c r="BM65" i="12"/>
  <c r="F65" i="12"/>
  <c r="BR64" i="12"/>
  <c r="BM64" i="12"/>
  <c r="F64" i="12"/>
  <c r="BR63" i="12"/>
  <c r="BM63" i="12"/>
  <c r="F63" i="12"/>
  <c r="BR62" i="12"/>
  <c r="BM62" i="12"/>
  <c r="F62" i="12"/>
  <c r="BR61" i="12"/>
  <c r="BM61" i="12"/>
  <c r="F61" i="12"/>
  <c r="BR60" i="12"/>
  <c r="BM60" i="12"/>
  <c r="F60" i="12"/>
  <c r="BR59" i="12"/>
  <c r="BM59" i="12"/>
  <c r="F59" i="12"/>
  <c r="BR58" i="12"/>
  <c r="BM58" i="12"/>
  <c r="F58" i="12"/>
  <c r="BR57" i="12"/>
  <c r="BM57" i="12"/>
  <c r="F57" i="12"/>
  <c r="BR56" i="12"/>
  <c r="BM56" i="12"/>
  <c r="F56" i="12"/>
  <c r="BR55" i="12"/>
  <c r="BM55" i="12"/>
  <c r="F55" i="12"/>
  <c r="BR54" i="12"/>
  <c r="BM54" i="12"/>
  <c r="F54" i="12"/>
  <c r="BR53" i="12"/>
  <c r="BM53" i="12"/>
  <c r="F53" i="12"/>
  <c r="BR52" i="12"/>
  <c r="BM52" i="12"/>
  <c r="F52" i="12"/>
  <c r="BR51" i="12"/>
  <c r="BM51" i="12"/>
  <c r="F51" i="12"/>
  <c r="BR50" i="12"/>
  <c r="BM50" i="12"/>
  <c r="F50" i="12"/>
  <c r="BR49" i="12"/>
  <c r="BM49" i="12"/>
  <c r="F49" i="12"/>
  <c r="BR48" i="12"/>
  <c r="BM48" i="12"/>
  <c r="F48" i="12"/>
  <c r="BR47" i="12"/>
  <c r="BM47" i="12"/>
  <c r="F47" i="12"/>
  <c r="BR46" i="12"/>
  <c r="BM46" i="12"/>
  <c r="F46" i="12"/>
  <c r="BR45" i="12"/>
  <c r="BM45" i="12"/>
  <c r="F45" i="12"/>
  <c r="BR44" i="12"/>
  <c r="BM44" i="12"/>
  <c r="F44" i="12"/>
  <c r="BR43" i="12"/>
  <c r="BM43" i="12"/>
  <c r="F43" i="12"/>
  <c r="BR42" i="12"/>
  <c r="BM42" i="12"/>
  <c r="F42" i="12"/>
  <c r="BR41" i="12"/>
  <c r="BM41" i="12"/>
  <c r="F41" i="12"/>
  <c r="BR40" i="12"/>
  <c r="BM40" i="12"/>
  <c r="F40" i="12"/>
  <c r="BR39" i="12"/>
  <c r="BM39" i="12"/>
  <c r="F39" i="12"/>
  <c r="BR38" i="12"/>
  <c r="BM38" i="12"/>
  <c r="F38" i="12"/>
  <c r="BR37" i="12"/>
  <c r="BM37" i="12"/>
  <c r="F37" i="12"/>
  <c r="BR36" i="12"/>
  <c r="BM36" i="12"/>
  <c r="F36" i="12"/>
  <c r="BR35" i="12"/>
  <c r="BM35" i="12"/>
  <c r="F35" i="12"/>
  <c r="BR34" i="12"/>
  <c r="BM34" i="12"/>
  <c r="F34" i="12"/>
  <c r="BR33" i="12"/>
  <c r="BM33" i="12"/>
  <c r="F33" i="12"/>
  <c r="BR32" i="12"/>
  <c r="BM32" i="12"/>
  <c r="F32" i="12"/>
  <c r="BR31" i="12"/>
  <c r="BM31" i="12"/>
  <c r="F31" i="12"/>
  <c r="BR30" i="12"/>
  <c r="BM30" i="12"/>
  <c r="F30" i="12"/>
  <c r="BR29" i="12"/>
  <c r="BM29" i="12"/>
  <c r="F29" i="12"/>
  <c r="BR28" i="12"/>
  <c r="BM28" i="12"/>
  <c r="F28" i="12"/>
  <c r="BR27" i="12"/>
  <c r="BM27" i="12"/>
  <c r="F27" i="12"/>
  <c r="BR26" i="12"/>
  <c r="BM26" i="12"/>
  <c r="F26" i="12"/>
  <c r="BR25" i="12"/>
  <c r="BM25" i="12"/>
  <c r="F25" i="12"/>
  <c r="BR24" i="12"/>
  <c r="BM24" i="12"/>
  <c r="F24" i="12"/>
  <c r="BR23" i="12"/>
  <c r="BM23" i="12"/>
  <c r="F23" i="12"/>
  <c r="BR22" i="12"/>
  <c r="BM22" i="12"/>
  <c r="F22" i="12"/>
  <c r="BR21" i="12"/>
  <c r="BM21" i="12"/>
  <c r="F21" i="12"/>
  <c r="BR20" i="12"/>
  <c r="BM20" i="12"/>
  <c r="F20" i="12"/>
  <c r="BR19" i="12"/>
  <c r="BM19" i="12"/>
  <c r="F19" i="12"/>
  <c r="BR18" i="12"/>
  <c r="BM18" i="12"/>
  <c r="F18" i="12"/>
  <c r="BR17" i="12"/>
  <c r="BM17" i="12"/>
  <c r="F17" i="12"/>
  <c r="BR16" i="12"/>
  <c r="BM16" i="12"/>
  <c r="F16" i="12"/>
  <c r="BR15" i="12"/>
  <c r="BM15" i="12"/>
  <c r="F15" i="12"/>
  <c r="BR14" i="12"/>
  <c r="BM14" i="12"/>
  <c r="F14" i="12"/>
  <c r="BR13" i="12"/>
  <c r="BM13" i="12"/>
  <c r="F13" i="12"/>
  <c r="BR12" i="12"/>
  <c r="BM12" i="12"/>
  <c r="F12" i="12"/>
  <c r="BR11" i="12"/>
  <c r="BM11" i="12"/>
  <c r="F11" i="12"/>
  <c r="BR10" i="12"/>
  <c r="BM10" i="12"/>
  <c r="F10" i="12"/>
  <c r="BR9" i="12"/>
  <c r="BM9" i="12"/>
  <c r="F9" i="12"/>
  <c r="BR8" i="12"/>
  <c r="BM8" i="12"/>
  <c r="F8" i="12"/>
  <c r="BR7" i="12"/>
  <c r="BM7" i="12"/>
  <c r="F7" i="12"/>
  <c r="BR6" i="12"/>
  <c r="BM6" i="12"/>
  <c r="F6" i="12"/>
  <c r="BR5" i="12"/>
  <c r="BM5" i="12"/>
  <c r="F5" i="12"/>
  <c r="BR4" i="12"/>
  <c r="BM4" i="12"/>
  <c r="F4" i="12"/>
  <c r="BR3" i="12"/>
  <c r="BM3" i="12"/>
  <c r="F3" i="12"/>
  <c r="BR2" i="12"/>
  <c r="BM2" i="12"/>
  <c r="F2" i="12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</calcChain>
</file>

<file path=xl/sharedStrings.xml><?xml version="1.0" encoding="utf-8"?>
<sst xmlns="http://schemas.openxmlformats.org/spreadsheetml/2006/main" count="8612" uniqueCount="2397">
  <si>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</si>
  <si>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</si>
  <si>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</si>
  <si>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</si>
  <si>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</si>
  <si>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</si>
  <si>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</si>
  <si>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</si>
  <si>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</si>
  <si>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</si>
  <si>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</si>
  <si>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</si>
  <si>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</si>
  <si>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</si>
  <si>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AppliesTo</t>
  </si>
  <si>
    <t>FirstHeader</t>
  </si>
  <si>
    <t>LastHeader</t>
  </si>
  <si>
    <t>Priority</t>
  </si>
  <si>
    <t>Type</t>
  </si>
  <si>
    <t>StopIfTrue</t>
  </si>
  <si>
    <t>Formula</t>
  </si>
  <si>
    <t>Notes</t>
  </si>
  <si>
    <t>12 - Device_Configuration</t>
  </si>
  <si>
    <t>CC2:CC527</t>
  </si>
  <si>
    <t>expression</t>
  </si>
  <si>
    <t>None</t>
  </si>
  <si>
    <t>AND(INDEX(tblDeviceConfig[Deployed],ROW()-1)="Yes",UPPER(TRIM(INDEX(tblDeviceConfig[PERIPH | GCX Arm Deployed],ROW()-1)))="YES")</t>
  </si>
  <si>
    <t>CD2:CD527</t>
  </si>
  <si>
    <t>AND(INDEX(tblDeviceConfig[Deployed],ROW()-1)="Yes",UPPER(TRIM(INDEX(tblDeviceConfig[PERIPH | Has Keyboard],ROW()-1)))="YES")</t>
  </si>
  <si>
    <t>CE2:CE527</t>
  </si>
  <si>
    <t>AND(INDEX(tblDeviceConfig[Deployed],ROW()-1)="Yes",UPPER(TRIM(INDEX(tblDeviceConfig[PERIPH | Has Mouse],ROW()-1)))="YES")</t>
  </si>
  <si>
    <t>CF2:CF527</t>
  </si>
  <si>
    <t>AND(INDEX(tblDeviceConfig[Deployed],ROW()-1)="Yes",UPPER(TRIM(INDEX(tblDeviceConfig[PERIPH | Has Barcode Scanner],ROW()-1)))="YES")</t>
  </si>
  <si>
    <t>CG2:CG527</t>
  </si>
  <si>
    <t>AND(INDEX(tblDeviceConfig[Deployed],ROW()-1)="Yes",UPPER(TRIM(INDEX(tblDeviceConfig[PERIPH | Has Badge Scanner],ROW()-1)))="YES")</t>
  </si>
  <si>
    <t>CH2:CH527</t>
  </si>
  <si>
    <t>AND(INDEX(tblDeviceConfig[Deployed],ROW()-1)="Yes",UPPER(TRIM(INDEX(tblDeviceConfig[PERIPH | Battery Present],ROW()-1)))="YES")</t>
  </si>
  <si>
    <t>CI2:CI527</t>
  </si>
  <si>
    <t>AND(INDEX(tblDeviceConfig[Deployed],ROW()-1)="Yes",UPPER(TRIM(INDEX(tblDeviceConfig[PERIPH | Neuron Power Cable Present],ROW()-1)))="YES")</t>
  </si>
  <si>
    <t>CJ2:CJ527</t>
  </si>
  <si>
    <t>AND(INDEX(tblDeviceConfig[Deployed],ROW()-1)="Yes",UPPER(TRIM(INDEX(tblDeviceConfig[PERIPH | Has New Ethernet],ROW()-1)))="YES")</t>
  </si>
  <si>
    <t>CK2:CK527</t>
  </si>
  <si>
    <t>AND(INDEX(tblDeviceConfig[Deployed],ROW()-1)="Yes",UPPER(TRIM(INDEX(tblDeviceConfig[PERIPH | Has New Breakaway],ROW()-1)))="YES")</t>
  </si>
  <si>
    <t>A2:CB527</t>
  </si>
  <si>
    <t>False</t>
  </si>
  <si>
    <t>A Secret Next Thing</t>
  </si>
  <si>
    <t>INDEX(tblDeviceConfig[DupDeployed],ROW()-1)="Yes"</t>
  </si>
  <si>
    <t>B2:B527</t>
  </si>
  <si>
    <t>AND(INDEX(tblDeviceConfig[Device Type],ROW()-1)&lt;&gt;"",INDEX(tblDeviceConfig[Deployed],ROW()-1)="No")</t>
  </si>
  <si>
    <t>G2:H527</t>
  </si>
  <si>
    <t>AND(INDEX(tblDeviceConfig[Deployed],ROW()-1)="Yes",LEN(TRIM(INDEX(tblDeviceConfig[Current Building],ROW()-1)))&gt;0,LEN(TRIM(INDEX(tblDeviceConfig[Install Building],ROW()-1)))&gt;0,INDEX(tblDeviceConfig[Current Building],ROW()-1)&lt;&gt;INDEX(tblDeviceConfig[Install Building],ROW()-1))</t>
  </si>
  <si>
    <t>Current Building</t>
  </si>
  <si>
    <t>Install Building</t>
  </si>
  <si>
    <t>I2:I527</t>
  </si>
  <si>
    <t>AND(INDEX(tblDeviceConfig[Deployed],ROW()-1)="Yes",INDEX(tblDeviceConfig[Device Type],ROW()-1)="Cybernet",LEN(TRIM(INDEX(tblDeviceConfig[PI_Use_Case],ROW()-1)))=0)</t>
  </si>
  <si>
    <t>PI_Use_Case</t>
  </si>
  <si>
    <t>R2:R527</t>
  </si>
  <si>
    <t>AND(INDEX(tblDeviceConfig[Deployed],ROW()-1)="Yes",INDEX(tblDeviceConfig[Device Type],ROW()-1)="Cybernet",LEN(TRIM(INDEX(tblDeviceConfig[Cybernet Hostname],ROW()-1)))=0)</t>
  </si>
  <si>
    <t>S2:S527</t>
  </si>
  <si>
    <t>AND(INDEX(tblDeviceConfig[Deployed],ROW()-1)="Yes",INDEX(tblDeviceConfig[Device Type],ROW()-1)="Neuron",LEN(TRIM(INDEX(tblDeviceConfig[Neuron Hostname],ROW()-1)))=0)</t>
  </si>
  <si>
    <t>AND(INDEX(tblDeviceConfig[Deployed],ROW()-1)="Yes",INDEX(tblDeviceConfig[Device Type],ROW()-1)="Cybernet",LEN(TRIM(INDEX(tblDeviceConfig[Cybernet Hostname],ROW()-1)))&gt;0)</t>
  </si>
  <si>
    <t>AND(INDEX(tblDeviceConfig[Deployed],ROW()-1)="Yes",INDEX(tblDeviceConfig[Device Type],ROW()-1)="Neuron",LEN(TRIM(INDEX(tblDeviceConfig[Neuron Hostname],ROW()-1)))&gt;0)</t>
  </si>
  <si>
    <t>BH2:BH527</t>
  </si>
  <si>
    <t>AND(INDEX(tblDeviceConfig[Deployed],ROW()-1)="Yes",INDEX(tblDeviceConfig[Device Type],ROW()-1)="Cybernet",LEN(TRIM(INDEX(tblDeviceConfig[Software List],ROW()-1)))=0)</t>
  </si>
  <si>
    <t>AND(INDEX(tblDeviceConfig[Deployed],ROW()-1)="Yes",INDEX(tblDeviceConfig[Device Type],ROW()-1)="Cybernet",LEN(TRIM(INDEX(tblDeviceConfig[Software List],ROW()-1)))&gt;0)</t>
  </si>
  <si>
    <t>P2:P527</t>
  </si>
  <si>
    <t>AND(INDEX(tblDeviceConfig[Deployed],ROW()-1)="Yes",LEN(TRIM(INDEX(tblDeviceConfig[PI_Result],ROW()-1)))&gt;0,LEN(TRIM(INDEX(tblDeviceConfig[PI_Validated_By],ROW()-1)))=0)</t>
  </si>
  <si>
    <t>Q2:Q527</t>
  </si>
  <si>
    <t>AND(INDEX(tblDeviceConfig[Deployed],ROW()-1)="Yes",LEN(TRIM(INDEX(tblDeviceConfig[PI_Result],ROW()-1)))&gt;0,LEN(TRIM(INDEX(tblDeviceConfig[PI_Validated_By],ROW()-1)))&gt;0,LEN(TRIM(INDEX(tblDeviceConfig[PI_Validated_Date],ROW()-1)))=0)</t>
  </si>
  <si>
    <t>AND(INDEX(tblDeviceConfig[Deployed],ROW()-1)="Yes",LEN(TRIM(INDEX(tblDeviceConfig[PI_Result],ROW()-1)))&gt;0,LEN(TRIM(INDEX(tblDeviceConfig[PI_Validated_By],ROW()-1)))&gt;0)</t>
  </si>
  <si>
    <t>AND(INDEX(tblDeviceConfig[Deployed],ROW()-1)="Yes",LEN(TRIM(INDEX(tblDeviceConfig[PI_Result],ROW()-1)))&gt;0,LEN(TRIM(INDEX(tblDeviceConfig[PI_Validated_Date],ROW()-1)))&gt;0)</t>
  </si>
  <si>
    <t>T2:T527</t>
  </si>
  <si>
    <t>AND(INDEX(tblDeviceConfig[Device Type],ROW()-1)="Neuron",INDEX(tblDeviceConfig[Deployed],ROW()-1)="Yes",LEN(TRIM(INDEX(tblDeviceConfig[Neuron MAC],ROW()-1)))&gt;0,LOWER(TRIM(INDEX(tblDeviceConfig[Neuron MAC],ROW()-1)))&lt;&gt;"n/a",COUNTIFS(tblDeviceConfig[Neuron MAC],INDEX(tblDeviceConfig[Neuron MAC],ROW()-1),tblDeviceConfig[Deployed],"Yes",tblDeviceConfig[Device Type],"Neuron")&gt;1)</t>
  </si>
  <si>
    <t>AND(INDEX(tblDeviceConfig[Device Type],ROW()-1)="Neuron",INDEX(tblDeviceConfig[Deployed],ROW()-1)="Yes",LEN(TRIM(INDEX(tblDeviceConfig[Neuron MAC],ROW()-1)))&gt;0,LOWER(TRIM(INDEX(tblDeviceConfig[Neuron MAC],ROW()-1)))&lt;&gt;"n/a")</t>
  </si>
  <si>
    <t>U2:U527</t>
  </si>
  <si>
    <t>AND(INDEX(tblDeviceConfig[Device Type],ROW()-1)="Neuron",INDEX(tblDeviceConfig[Deployed],ROW()-1)="Yes",LEN(TRIM(INDEX(tblDeviceConfig[Neuron IP],ROW()-1)))&gt;0,LOWER(TRIM(INDEX(tblDeviceConfig[Neuron IP],ROW()-1)))&lt;&gt;"n/a",COUNTIFS(tblDeviceConfig[Neuron IP],INDEX(tblDeviceConfig[Neuron IP],ROW()-1),tblDeviceConfig[Deployed],"Yes",tblDeviceConfig[Device Type],"Neuron")&gt;1)</t>
  </si>
  <si>
    <t>AND(INDEX(tblDeviceConfig[Device Type],ROW()-1)="Neuron",INDEX(tblDeviceConfig[Deployed],ROW()-1)="Yes",LEN(TRIM(INDEX(tblDeviceConfig[Neuron IP],ROW()-1)))&gt;0,LOWER(TRIM(INDEX(tblDeviceConfig[Neuron IP],ROW()-1)))&lt;&gt;"n/a")</t>
  </si>
  <si>
    <t>W2:W527</t>
  </si>
  <si>
    <t>AND(INDEX(tblDeviceConfig[Device Type],ROW()-1)="Neuron",INDEX(tblDeviceConfig[Deployed],ROW()-1)="Yes",LEN(TRIM(INDEX(tblDeviceConfig[Neuron S/N],ROW()-1)))&gt;0,LOWER(TRIM(INDEX(tblDeviceConfig[Neuron S/N],ROW()-1)))&lt;&gt;"n/a",COUNTIFS(tblDeviceConfig[Neuron S/N],INDEX(tblDeviceConfig[Neuron S/N],ROW()-1),tblDeviceConfig[Deployed],"Yes",tblDeviceConfig[Device Type],"Neuron")&gt;1)</t>
  </si>
  <si>
    <t>AND(INDEX(tblDeviceConfig[Device Type],ROW()-1)="Neuron",INDEX(tblDeviceConfig[Deployed],ROW()-1)="Yes",LEN(TRIM(INDEX(tblDeviceConfig[Neuron S/N],ROW()-1)))&gt;0,LOWER(TRIM(INDEX(tblDeviceConfig[Neuron S/N],ROW()-1)))&lt;&gt;"n/a")</t>
  </si>
  <si>
    <t>Y2:Y527</t>
  </si>
  <si>
    <t>AND(INDEX(tblDeviceConfig[Device Type],ROW()-1)="Cybernet",INDEX(tblDeviceConfig[Deployed],ROW()-1)="Yes",LEN(TRIM(INDEX(tblDeviceConfig[Cybernet Serial],ROW()-1)))&gt;0,LOWER(TRIM(INDEX(tblDeviceConfig[Cybernet Serial],ROW()-1)))&lt;&gt;"n/a",COUNTIFS(tblDeviceConfig[Cybernet Serial],INDEX(tblDeviceConfig[Cybernet Serial],ROW()-1),tblDeviceConfig[Deployed],"Yes",tblDeviceConfig[Device Type],"Cybernet")&gt;1)</t>
  </si>
  <si>
    <t>AND(INDEX(tblDeviceConfig[Device Type],ROW()-1)="Cybernet",INDEX(tblDeviceConfig[Deployed],ROW()-1)="Yes",LEN(TRIM(INDEX(tblDeviceConfig[Cybernet Serial],ROW()-1)))&gt;0,LOWER(TRIM(INDEX(tblDeviceConfig[Cybernet Serial],ROW()-1)))&lt;&gt;"n/a")</t>
  </si>
  <si>
    <t>Z2:Z527</t>
  </si>
  <si>
    <t>AND(INDEX(tblDeviceConfig[Device Type],ROW()-1)="Cybernet",INDEX(tblDeviceConfig[Deployed],ROW()-1)="Yes",LEN(TRIM(INDEX(tblDeviceConfig[Cybernet MAC],ROW()-1)))&gt;0,LOWER(TRIM(INDEX(tblDeviceConfig[Cybernet MAC],ROW()-1)))&lt;&gt;"n/a",COUNTIFS(tblDeviceConfig[Cybernet MAC],INDEX(tblDeviceConfig[Cybernet MAC],ROW()-1),tblDeviceConfig[Deployed],"Yes",tblDeviceConfig[Device Type],"Cybernet")&gt;1)</t>
  </si>
  <si>
    <t>AND(INDEX(tblDeviceConfig[Device Type],ROW()-1)="Cybernet",INDEX(tblDeviceConfig[Deployed],ROW()-1)="Yes",LEN(TRIM(INDEX(tblDeviceConfig[Cybernet MAC],ROW()-1)))&gt;0,LOWER(TRIM(INDEX(tblDeviceConfig[Cybernet MAC],ROW()-1)))&lt;&gt;"n/a")</t>
  </si>
  <si>
    <t>AB2:AB527</t>
  </si>
  <si>
    <t>AND(INDEX(tblDeviceConfig[Deployed],ROW()-1)="Yes",LEN(TRIM(INDEX(tblDeviceConfig[Dialysis S/N],ROW()-1)))&gt;0,LOWER(TRIM(INDEX(tblDeviceConfig[Dialysis S/N],ROW()-1)))&lt;&gt;"n/a",COUNTIFS(tblDeviceConfig[Dialysis S/N],INDEX(tblDeviceConfig[Dialysis S/N],ROW()-1),tblDeviceConfig[Deployed],"Yes")&gt;1)</t>
  </si>
  <si>
    <t>AND(INDEX(tblDeviceConfig[Deployed],ROW()-1)="Yes",LEN(TRIM(INDEX(tblDeviceConfig[Dialysis S/N],ROW()-1)))&gt;0,LOWER(TRIM(INDEX(tblDeviceConfig[Dialysis S/N],ROW()-1)))&lt;&gt;"n/a")</t>
  </si>
  <si>
    <t>AC2:AC527</t>
  </si>
  <si>
    <t>AND(INDEX(tblDeviceConfig[Deployed],ROW()-1)="Yes",LEN(TRIM(INDEX(tblDeviceConfig[Anesthesia S/N],ROW()-1)))&gt;0,LOWER(TRIM(INDEX(tblDeviceConfig[Anesthesia S/N],ROW()-1)))&lt;&gt;"n/a",COUNTIFS(tblDeviceConfig[Anesthesia S/N],INDEX(tblDeviceConfig[Anesthesia S/N],ROW()-1),tblDeviceConfig[Deployed],"Yes")&gt;1)</t>
  </si>
  <si>
    <t>AND(INDEX(tblDeviceConfig[Deployed],ROW()-1)="Yes",LEN(TRIM(INDEX(tblDeviceConfig[Anesthesia S/N],ROW()-1)))&gt;0,LOWER(TRIM(INDEX(tblDeviceConfig[Anesthesia S/N],ROW()-1)))&lt;&gt;"n/a")</t>
  </si>
  <si>
    <t>AK2:AK527</t>
  </si>
  <si>
    <t>AND(INDEX(tblDeviceConfig[Deployed],ROW()-1)="Yes",LEN(TRIM(INDEX(tblDeviceConfig[Medical Device ID],ROW()-1)))&gt;0,LOWER(TRIM(INDEX(tblDeviceConfig[Medical Device ID],ROW()-1)))&lt;&gt;"n/a",COUNTIFS(tblDeviceConfig[Medical Device ID],INDEX(tblDeviceConfig[Medical Device ID],ROW()-1),tblDeviceConfig[Deployed],"Yes")&gt;1)</t>
  </si>
  <si>
    <t>AND(INDEX(tblDeviceConfig[Deployed],ROW()-1)="Yes",LEN(TRIM(INDEX(tblDeviceConfig[Medical Device ID],ROW()-1)))&gt;0,LOWER(TRIM(INDEX(tblDeviceConfig[Medical Device ID],ROW()-1)))&lt;&gt;"n/a")</t>
  </si>
  <si>
    <t>AV2:AV527</t>
  </si>
  <si>
    <t>AND(INDEX(tblDeviceConfig[Deployed],ROW()-1)="Yes",UPPER(TRIM(INDEX(tblDeviceConfig[Neuron Power Cable Present],ROW()-1)))="YES")</t>
  </si>
  <si>
    <t>AW2:AW527</t>
  </si>
  <si>
    <t>AND(INDEX(tblDeviceConfig[Deployed],ROW()-1)="Yes",UPPER(TRIM(INDEX(tblDeviceConfig[Battery Present],ROW()-1)))="YES")</t>
  </si>
  <si>
    <t>AX2:AX527</t>
  </si>
  <si>
    <t>AND(INDEX(tblDeviceConfig[Deployed],ROW()-1)="Yes",UPPER(TRIM(INDEX(tblDeviceConfig[Has Barcode Scanner],ROW()-1)))="YES")</t>
  </si>
  <si>
    <t>AY2:AY527</t>
  </si>
  <si>
    <t>AND(INDEX(tblDeviceConfig[Deployed],ROW()-1)="Yes",UPPER(TRIM(INDEX(tblDeviceConfig[Has Badge Scanner],ROW()-1)))="YES")</t>
  </si>
  <si>
    <t>BR2:BR527</t>
  </si>
  <si>
    <t>AND(INDEX(tblDeviceConfig[Deployed],ROW()-1)="Yes",UPPER(TRIM(INDEX(tblDeviceConfig[Has Mouse],ROW()-1)))="YES")</t>
  </si>
  <si>
    <t>BS2:BS527</t>
  </si>
  <si>
    <t>AND(INDEX(tblDeviceConfig[Deployed],ROW()-1)="Yes",UPPER(TRIM(INDEX(tblDeviceConfig[Has Keyboard],ROW()-1)))="YES")</t>
  </si>
  <si>
    <t>BT2:BT527</t>
  </si>
  <si>
    <t>AND(INDEX(tblDeviceConfig[Deployed],ROW()-1)="Yes",UPPER(TRIM(INDEX(tblDeviceConfig[Has New Ethernet],ROW()-1)))="YES")</t>
  </si>
  <si>
    <t>BU2:BU527</t>
  </si>
  <si>
    <t>AND(INDEX(tblDeviceConfig[Deployed],ROW()-1)="Yes",UPPER(TRIM(INDEX(tblDeviceConfig[Has New Breakaway],ROW()-1)))="YES")</t>
  </si>
  <si>
    <t>BV2:BV527</t>
  </si>
  <si>
    <t>AND(INDEX(tblDeviceConfig[Deployed],ROW()-1)="Yes",UPPER(TRIM(INDEX(tblDeviceConfig[GCX Arm Deployed],ROW()-1)))="YES")</t>
  </si>
  <si>
    <t>BL2:BL527</t>
  </si>
  <si>
    <t>ISNUMBER(SEARCH("Blocked",INDEX(tblDeviceConfig[Readiness (Auto)],ROW()-1)))</t>
  </si>
  <si>
    <t>ISNUMBER(SEARCH("Ready",INDEX(tblDeviceConfig[Readiness (Auto)],ROW()-1)))</t>
  </si>
  <si>
    <t>ISNUMBER(SEARCH("Pending",INDEX(tblDeviceConfig[Readiness (Auto)],ROW()-1)))</t>
  </si>
  <si>
    <t>Date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</si>
  <si>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</si>
  <si>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</si>
  <si>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</si>
  <si>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</si>
  <si>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</si>
  <si>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</si>
  <si>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01_Warehouse_Ledger</t>
  </si>
  <si>
    <t>A,B,C,E,F,G,I,J,K,L</t>
  </si>
  <si>
    <t>One row per pallet. Do NOT type in CurrentLocationCode / LastMove fields (AUTO).</t>
  </si>
  <si>
    <t>Move a pallet</t>
  </si>
  <si>
    <t>03_Warehouse_Movements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</si>
  <si>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</si>
  <si>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</si>
  <si>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</si>
  <si>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02_Warehouse_Locations</t>
  </si>
  <si>
    <t>A–G,I</t>
  </si>
  <si>
    <t>One row per warehouse slot. QR_Payload auto = LocationCode.</t>
  </si>
  <si>
    <t>Print QR labels</t>
  </si>
  <si>
    <t>04_Label_Export</t>
  </si>
  <si>
    <t>Nothing (auto list)</t>
  </si>
  <si>
    <t>Print LOCATION labels (top section) and PALLET labels (starts at row 505). QR payload stays minimal (LocationCode / PalletID).</t>
  </si>
  <si>
    <t>Find where a pallet is</t>
  </si>
  <si>
    <t>05_Scan_Lookup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</si>
  <si>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</si>
  <si>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</si>
  <si>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</si>
  <si>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</si>
  <si>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</si>
  <si>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</si>
  <si>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</si>
  <si>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</si>
  <si>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</si>
  <si>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</si>
  <si>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</si>
  <si>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</si>
  <si>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</si>
  <si>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</si>
  <si>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</si>
  <si>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</si>
  <si>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</si>
  <si>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</si>
  <si>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</si>
  <si>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</si>
  <si>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</si>
  <si>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</si>
  <si>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</si>
  <si>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</si>
  <si>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</si>
  <si>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</si>
  <si>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</si>
  <si>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</si>
  <si>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</si>
  <si>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</si>
  <si>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</si>
  <si>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</si>
  <si>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</si>
  <si>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</si>
  <si>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</si>
  <si>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</si>
  <si>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</si>
  <si>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</si>
  <si>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</si>
  <si>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</si>
  <si>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</si>
  <si>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</si>
  <si>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</si>
  <si>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_xludf., _xlfn., _xlpm.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</si>
  <si>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</si>
  <si>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</si>
  <si>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</si>
  <si>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</si>
  <si>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</si>
  <si>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</si>
  <si>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</si>
  <si>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</si>
  <si>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</si>
  <si>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</si>
  <si>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</si>
  <si>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</si>
  <si>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</si>
  <si>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</si>
  <si>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</si>
  <si>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</si>
  <si>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</si>
  <si>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</si>
  <si>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</si>
  <si>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</si>
  <si>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</si>
  <si>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</si>
  <si>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</si>
  <si>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</si>
  <si>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</si>
  <si>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</si>
  <si>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</si>
  <si>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</si>
  <si>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</si>
  <si>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</si>
  <si>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</si>
  <si>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</si>
  <si>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</si>
  <si>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</si>
  <si>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</si>
  <si>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</si>
  <si>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</si>
  <si>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</si>
  <si>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</si>
  <si>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</si>
  <si>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</si>
  <si>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</si>
  <si>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</si>
  <si>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</si>
  <si>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</si>
  <si>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</si>
  <si>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</si>
  <si>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</si>
  <si>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</si>
  <si>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</si>
  <si>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</si>
  <si>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</si>
  <si>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</si>
  <si>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</si>
  <si>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</si>
  <si>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</si>
  <si>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</si>
  <si>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</si>
  <si>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</si>
  <si>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</si>
  <si>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</si>
  <si>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</si>
  <si>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</si>
  <si>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</si>
  <si>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</si>
  <si>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</si>
  <si>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</si>
  <si>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</si>
  <si>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</si>
  <si>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</si>
  <si>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</si>
  <si>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</si>
  <si>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</si>
  <si>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</si>
  <si>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</si>
  <si>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</si>
  <si>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</si>
  <si>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</si>
  <si>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</si>
  <si>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</si>
  <si>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</si>
  <si>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</si>
  <si>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</si>
  <si>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</si>
  <si>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</si>
  <si>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</si>
  <si>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</si>
  <si>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</si>
  <si>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</si>
  <si>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</si>
  <si>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</si>
  <si>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</si>
  <si>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</si>
  <si>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</si>
  <si>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</si>
  <si>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</si>
  <si>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</si>
  <si>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</si>
  <si>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</si>
  <si>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</si>
  <si>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</si>
  <si>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</si>
  <si>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</si>
  <si>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</si>
  <si>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</si>
  <si>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</si>
  <si>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</si>
  <si>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</si>
  <si>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</si>
  <si>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</si>
  <si>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</si>
  <si>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</si>
  <si>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</si>
  <si>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</si>
  <si>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</si>
  <si>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</si>
  <si>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</si>
  <si>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</si>
  <si>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</si>
  <si>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</si>
  <si>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</si>
  <si>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</si>
  <si>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</si>
  <si>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</si>
  <si>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</si>
  <si>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</si>
  <si>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</si>
  <si>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</si>
  <si>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</si>
  <si>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</si>
  <si>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</si>
  <si>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</si>
  <si>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</si>
  <si>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</si>
  <si>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</si>
  <si>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</si>
  <si>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</si>
  <si>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</si>
  <si>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</si>
  <si>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</si>
  <si>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</si>
  <si>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</si>
  <si>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</si>
  <si>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</si>
  <si>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</si>
  <si>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</si>
  <si>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</si>
  <si>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</si>
  <si>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</si>
  <si>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</si>
  <si>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</si>
  <si>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</si>
  <si>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</si>
  <si>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</si>
  <si>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</si>
  <si>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</si>
  <si>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</si>
  <si>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</si>
  <si>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</si>
  <si>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</si>
  <si>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</si>
  <si>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</si>
  <si>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</si>
  <si>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</si>
  <si>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</si>
  <si>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</si>
  <si>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</si>
  <si>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</si>
  <si>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</si>
  <si>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</si>
  <si>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</si>
  <si>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</si>
  <si>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</si>
  <si>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</si>
  <si>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</si>
  <si>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</si>
  <si>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</si>
  <si>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</si>
  <si>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</si>
  <si>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</si>
  <si>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</si>
  <si>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</si>
  <si>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</si>
  <si>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</si>
  <si>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</si>
  <si>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</si>
  <si>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</si>
  <si>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</si>
  <si>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</si>
  <si>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</si>
  <si>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</si>
  <si>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</si>
  <si>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</si>
  <si>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</si>
  <si>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</si>
  <si>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</si>
  <si>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</si>
  <si>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</si>
  <si>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</si>
  <si>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</si>
  <si>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</si>
  <si>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</si>
  <si>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</si>
  <si>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</si>
  <si>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</si>
  <si>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</si>
  <si>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</si>
  <si>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</si>
  <si>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</si>
  <si>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</si>
  <si>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</si>
  <si>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</si>
  <si>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</si>
  <si>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</si>
  <si>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</si>
  <si>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</si>
  <si>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</si>
  <si>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</si>
  <si>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</si>
  <si>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</si>
  <si>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</si>
  <si>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</si>
  <si>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</si>
  <si>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</si>
  <si>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</si>
  <si>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</si>
  <si>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</si>
  <si>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</si>
  <si>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</si>
  <si>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</si>
  <si>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</si>
  <si>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</si>
  <si>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</si>
  <si>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</si>
  <si>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</si>
  <si>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</si>
  <si>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</si>
  <si>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</si>
  <si>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</si>
  <si>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</si>
  <si>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</si>
  <si>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</si>
  <si>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</si>
  <si>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</si>
  <si>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</si>
  <si>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</si>
  <si>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</si>
  <si>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</si>
  <si>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</si>
  <si>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</si>
  <si>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</si>
  <si>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</si>
  <si>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</si>
  <si>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</si>
  <si>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</si>
  <si>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</si>
  <si>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</si>
  <si>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</si>
  <si>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</si>
  <si>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</si>
  <si>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</si>
  <si>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</si>
  <si>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</si>
  <si>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</si>
  <si>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</si>
  <si>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</si>
  <si>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</si>
  <si>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</si>
  <si>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</si>
  <si>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</si>
  <si>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</si>
  <si>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</si>
  <si>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</si>
  <si>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</si>
  <si>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</si>
  <si>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</si>
  <si>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</si>
  <si>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</si>
  <si>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</si>
  <si>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</si>
  <si>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</si>
  <si>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</si>
  <si>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</si>
  <si>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</si>
  <si>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</si>
  <si>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</si>
  <si>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</si>
  <si>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</si>
  <si>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</si>
  <si>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</si>
  <si>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</si>
  <si>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</si>
  <si>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</si>
  <si>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</si>
  <si>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</si>
  <si>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</si>
  <si>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</si>
  <si>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</si>
  <si>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</si>
  <si>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</si>
  <si>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</si>
  <si>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</si>
  <si>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</si>
  <si>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</si>
  <si>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</si>
  <si>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</si>
  <si>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</si>
  <si>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</si>
  <si>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</si>
  <si>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</si>
  <si>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</si>
  <si>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</si>
  <si>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</si>
  <si>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</si>
  <si>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</si>
  <si>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</si>
  <si>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</si>
  <si>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</si>
  <si>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</si>
  <si>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</si>
  <si>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</si>
  <si>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</si>
  <si>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</si>
  <si>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</si>
  <si>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</si>
  <si>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</si>
  <si>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</si>
  <si>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</si>
  <si>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</si>
  <si>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</si>
  <si>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</si>
  <si>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</si>
  <si>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</si>
  <si>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</si>
  <si>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</si>
  <si>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</si>
  <si>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</si>
  <si>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</si>
  <si>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</si>
  <si>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</si>
  <si>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</si>
  <si>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</si>
  <si>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</si>
  <si>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</si>
  <si>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</si>
  <si>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</si>
  <si>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</si>
  <si>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</si>
  <si>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</si>
  <si>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</si>
  <si>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</si>
  <si>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</si>
  <si>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</si>
  <si>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</si>
  <si>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</si>
  <si>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</si>
  <si>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</si>
  <si>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</si>
  <si>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</si>
  <si>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</si>
  <si>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</si>
  <si>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</si>
  <si>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</si>
  <si>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</si>
  <si>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</si>
  <si>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</si>
  <si>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</si>
  <si>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</si>
  <si>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</si>
  <si>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</si>
  <si>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</si>
  <si>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</si>
  <si>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</si>
  <si>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</si>
  <si>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</si>
  <si>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</si>
  <si>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</si>
  <si>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</si>
  <si>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</si>
  <si>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</si>
  <si>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</si>
  <si>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</si>
  <si>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</si>
  <si>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</si>
  <si>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</si>
  <si>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</si>
  <si>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</si>
  <si>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</si>
  <si>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</si>
  <si>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</si>
  <si>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</si>
  <si>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</si>
  <si>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</si>
  <si>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</si>
  <si>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</si>
  <si>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</si>
  <si>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</si>
  <si>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</si>
  <si>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</si>
  <si>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</si>
  <si>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</si>
  <si>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</si>
  <si>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</si>
  <si>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</si>
  <si>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</si>
  <si>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</si>
  <si>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</si>
  <si>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</si>
  <si>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</si>
  <si>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</si>
  <si>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</si>
  <si>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</si>
  <si>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</si>
  <si>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</si>
  <si>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</si>
  <si>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</si>
  <si>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</si>
  <si>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</si>
  <si>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</si>
  <si>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</si>
  <si>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</si>
  <si>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</si>
  <si>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</si>
  <si>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</si>
  <si>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</si>
  <si>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</si>
  <si>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</si>
  <si>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</si>
  <si>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</si>
  <si>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</si>
  <si>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</si>
  <si>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</si>
  <si>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</si>
  <si>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</si>
  <si>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</si>
  <si>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</si>
  <si>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</si>
  <si>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</si>
  <si>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</si>
  <si>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</si>
  <si>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</si>
  <si>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</si>
  <si>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</si>
  <si>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</si>
  <si>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</si>
  <si>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</si>
  <si>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</si>
  <si>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</si>
  <si>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</si>
  <si>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</si>
  <si>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</si>
  <si>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</si>
  <si>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</si>
  <si>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</si>
  <si>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</si>
  <si>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</si>
  <si>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</si>
  <si>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</si>
  <si>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</si>
  <si>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</si>
  <si>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</si>
  <si>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</si>
  <si>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</si>
  <si>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</si>
  <si>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</si>
  <si>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</si>
  <si>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</si>
  <si>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</si>
  <si>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</si>
  <si>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</si>
  <si>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</si>
  <si>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</si>
  <si>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</si>
  <si>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</si>
  <si>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</si>
  <si>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</si>
  <si>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</si>
  <si>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</si>
  <si>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</si>
  <si>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</si>
  <si>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</si>
  <si>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</si>
  <si>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</si>
  <si>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</si>
  <si>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</si>
  <si>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</si>
  <si>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</si>
  <si>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</si>
  <si>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</si>
  <si>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</si>
  <si>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</si>
  <si>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</si>
  <si>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</si>
  <si>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</si>
  <si>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</si>
  <si>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</si>
  <si>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</si>
  <si>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</si>
  <si>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</si>
  <si>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</si>
  <si>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</si>
  <si>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</si>
  <si>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</si>
  <si>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</si>
  <si>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</si>
  <si>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</si>
  <si>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</si>
  <si>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</si>
  <si>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</si>
  <si>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</si>
  <si>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</si>
  <si>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</si>
  <si>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</si>
  <si>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</si>
  <si>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</si>
  <si>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</si>
  <si>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</si>
  <si>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</si>
  <si>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</si>
  <si>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</si>
  <si>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</si>
  <si>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</si>
  <si>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</si>
  <si>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</si>
  <si>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</si>
  <si>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</si>
  <si>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</si>
  <si>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</si>
  <si>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</si>
  <si>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</si>
  <si>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</si>
  <si>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</si>
  <si>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</si>
  <si>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</si>
  <si>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</si>
  <si>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</si>
  <si>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</si>
  <si>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</si>
  <si>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</si>
  <si>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</si>
  <si>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</si>
  <si>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</si>
  <si>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</si>
  <si>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</si>
  <si>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</si>
  <si>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</si>
  <si>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</si>
  <si>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</si>
  <si>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</si>
  <si>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</si>
  <si>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</si>
  <si>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</si>
  <si>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</si>
  <si>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</si>
  <si>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</si>
  <si>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</si>
  <si>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</si>
  <si>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</si>
  <si>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</si>
  <si>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</si>
  <si>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</si>
  <si>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</si>
  <si>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</si>
  <si>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</si>
  <si>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</si>
  <si>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</si>
  <si>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</si>
  <si>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</si>
  <si>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</si>
  <si>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</si>
  <si>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</si>
  <si>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</si>
  <si>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</si>
  <si>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</si>
  <si>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</si>
  <si>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</si>
  <si>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</si>
  <si>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</si>
  <si>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</si>
  <si>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</si>
  <si>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</si>
  <si>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</si>
  <si>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</si>
  <si>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</si>
  <si>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</si>
  <si>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</si>
  <si>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</si>
  <si>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</si>
  <si>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</si>
  <si>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</si>
  <si>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</si>
  <si>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</si>
  <si>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</si>
  <si>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</si>
  <si>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</si>
  <si>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</si>
  <si>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</si>
  <si>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</si>
  <si>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</si>
  <si>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</si>
  <si>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</si>
  <si>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</si>
  <si>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</si>
  <si>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</si>
  <si>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</si>
  <si>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</si>
  <si>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</si>
  <si>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</si>
  <si>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</si>
  <si>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</si>
  <si>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</si>
  <si>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</si>
  <si>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</si>
  <si>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</si>
  <si>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</si>
  <si>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</si>
  <si>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</si>
  <si>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</si>
  <si>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</si>
  <si>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</si>
  <si>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</si>
  <si>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</si>
  <si>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</si>
  <si>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</si>
  <si>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</si>
  <si>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</si>
  <si>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</si>
  <si>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</si>
  <si>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</si>
  <si>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</si>
  <si>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</si>
  <si>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</si>
  <si>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</si>
  <si>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</si>
  <si>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</si>
  <si>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</si>
  <si>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</si>
  <si>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</si>
  <si>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</si>
  <si>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</si>
  <si>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</si>
  <si>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</si>
  <si>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</si>
  <si>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</si>
  <si>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</si>
  <si>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</si>
  <si>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</si>
  <si>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</si>
  <si>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</si>
  <si>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</si>
  <si>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</si>
  <si>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</si>
  <si>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</si>
  <si>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</si>
  <si>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</si>
  <si>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</si>
  <si>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</si>
  <si>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</si>
  <si>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</si>
  <si>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</si>
  <si>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</si>
  <si>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</si>
  <si>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</si>
  <si>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</si>
  <si>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</si>
  <si>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</si>
  <si>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</si>
  <si>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</si>
  <si>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</si>
  <si>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</si>
  <si>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</si>
  <si>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</si>
  <si>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</si>
  <si>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</si>
  <si>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</si>
  <si>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</si>
  <si>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</si>
  <si>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</si>
  <si>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</si>
  <si>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</si>
  <si>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</si>
  <si>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</si>
  <si>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</si>
  <si>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</si>
  <si>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</si>
  <si>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</si>
  <si>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</si>
  <si>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</si>
  <si>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</si>
  <si>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</si>
  <si>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</si>
  <si>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</si>
  <si>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</si>
  <si>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</si>
  <si>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</si>
  <si>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</si>
  <si>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</si>
  <si>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</si>
  <si>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</si>
  <si>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</si>
  <si>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</si>
  <si>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</si>
  <si>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</si>
  <si>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</si>
  <si>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</si>
  <si>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</si>
  <si>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</si>
  <si>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</si>
  <si>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</si>
  <si>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</si>
  <si>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</si>
  <si>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</si>
  <si>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</si>
  <si>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</si>
  <si>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</si>
  <si>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</si>
  <si>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</si>
  <si>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</si>
  <si>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</si>
  <si>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</si>
  <si>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</si>
  <si>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</si>
  <si>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</si>
  <si>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</si>
  <si>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</si>
  <si>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</si>
  <si>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</si>
  <si>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</si>
  <si>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</si>
  <si>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</si>
  <si>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</si>
  <si>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</si>
  <si>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</si>
  <si>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</si>
  <si>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</si>
  <si>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</si>
  <si>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</si>
  <si>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</si>
  <si>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</si>
  <si>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</si>
  <si>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</si>
  <si>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</si>
  <si>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</si>
  <si>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</si>
  <si>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</si>
  <si>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</si>
  <si>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</si>
  <si>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</si>
  <si>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</si>
  <si>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</si>
  <si>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</si>
  <si>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</si>
  <si>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</si>
  <si>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</si>
  <si>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</si>
  <si>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</si>
  <si>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</si>
  <si>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</si>
  <si>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</si>
  <si>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</si>
  <si>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</si>
  <si>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</si>
  <si>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</si>
  <si>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</si>
  <si>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</si>
  <si>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</si>
  <si>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</si>
  <si>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</si>
  <si>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</si>
  <si>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</si>
  <si>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</si>
  <si>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</si>
  <si>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</si>
  <si>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</si>
  <si>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</si>
  <si>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</si>
  <si>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</si>
  <si>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</si>
  <si>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</si>
  <si>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</si>
  <si>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</si>
  <si>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</si>
  <si>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</si>
  <si>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</si>
  <si>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</si>
  <si>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</si>
  <si>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</si>
  <si>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</si>
  <si>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</si>
  <si>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</si>
  <si>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</si>
  <si>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</si>
  <si>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</si>
  <si>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</si>
  <si>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</si>
  <si>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</si>
  <si>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</si>
  <si>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</si>
  <si>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</si>
  <si>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</si>
  <si>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</si>
  <si>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</si>
  <si>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</si>
  <si>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</si>
  <si>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</si>
  <si>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</si>
  <si>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</si>
  <si>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</si>
  <si>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</si>
  <si>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</si>
  <si>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</si>
  <si>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</si>
  <si>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</si>
  <si>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</si>
  <si>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</si>
  <si>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</si>
  <si>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</si>
  <si>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</si>
  <si>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</si>
  <si>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</si>
  <si>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</si>
  <si>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</si>
  <si>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</si>
  <si>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</si>
  <si>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</si>
  <si>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</si>
  <si>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</si>
  <si>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</si>
  <si>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</si>
  <si>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</si>
  <si>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</si>
  <si>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</si>
  <si>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</si>
  <si>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</si>
  <si>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</si>
  <si>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</si>
  <si>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</si>
  <si>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</si>
  <si>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</si>
  <si>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</si>
  <si>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</si>
  <si>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</si>
  <si>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</si>
  <si>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</si>
  <si>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</si>
  <si>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</si>
  <si>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</si>
  <si>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</si>
  <si>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</si>
  <si>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</si>
  <si>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</si>
  <si>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</si>
  <si>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</si>
  <si>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</si>
  <si>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</si>
  <si>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</si>
  <si>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</si>
  <si>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</si>
  <si>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</si>
  <si>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</si>
  <si>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</si>
  <si>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</si>
  <si>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</si>
  <si>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</si>
  <si>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</si>
  <si>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</si>
  <si>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</si>
  <si>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</si>
  <si>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</si>
  <si>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</si>
  <si>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</si>
  <si>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</si>
  <si>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</si>
  <si>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</si>
  <si>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</si>
  <si>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</si>
  <si>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</si>
  <si>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</si>
  <si>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</si>
  <si>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</si>
  <si>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</si>
  <si>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</si>
  <si>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</si>
  <si>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</si>
  <si>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</si>
  <si>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</si>
  <si>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</si>
  <si>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</si>
  <si>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</si>
  <si>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</si>
  <si>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</si>
  <si>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</si>
  <si>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</si>
  <si>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</si>
  <si>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</si>
  <si>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</si>
  <si>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</si>
  <si>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</si>
  <si>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</si>
  <si>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</si>
  <si>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</si>
  <si>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</si>
  <si>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</si>
  <si>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</si>
  <si>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</si>
  <si>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</si>
  <si>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</si>
  <si>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</si>
  <si>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</si>
  <si>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</si>
  <si>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</si>
  <si>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</si>
  <si>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</si>
  <si>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</si>
  <si>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</si>
  <si>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</si>
  <si>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</si>
  <si>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</si>
  <si>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</si>
  <si>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</si>
  <si>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</si>
  <si>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</si>
  <si>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</si>
  <si>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</si>
  <si>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</si>
  <si>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</si>
  <si>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</si>
  <si>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</si>
  <si>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</si>
  <si>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</si>
  <si>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</si>
  <si>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</si>
  <si>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</si>
  <si>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</si>
  <si>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</si>
  <si>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</si>
  <si>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</si>
  <si>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</si>
  <si>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</si>
  <si>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</si>
  <si>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</si>
  <si>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</si>
  <si>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</si>
  <si>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</si>
  <si>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</si>
  <si>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</si>
  <si>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</si>
  <si>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</si>
  <si>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</si>
  <si>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</si>
  <si>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</si>
  <si>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</si>
  <si>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</si>
  <si>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</si>
  <si>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</si>
  <si>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</si>
  <si>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</si>
  <si>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</si>
  <si>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</si>
  <si>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</si>
  <si>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</si>
  <si>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</si>
  <si>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</si>
  <si>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</si>
  <si>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</si>
  <si>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</si>
  <si>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</si>
  <si>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</si>
  <si>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</si>
  <si>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</si>
  <si>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</si>
  <si>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</si>
  <si>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</si>
  <si>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</si>
  <si>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</si>
  <si>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</si>
  <si>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</si>
  <si>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</si>
  <si>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</si>
  <si>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</si>
  <si>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</si>
  <si>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</si>
  <si>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</si>
  <si>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</si>
  <si>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</si>
  <si>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</si>
  <si>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</si>
  <si>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</si>
  <si>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</si>
  <si>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</si>
  <si>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</si>
  <si>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</si>
  <si>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</si>
  <si>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</si>
  <si>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</si>
  <si>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</si>
  <si>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</si>
  <si>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</si>
  <si>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</si>
  <si>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</si>
  <si>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</si>
  <si>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</si>
  <si>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</si>
  <si>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</si>
  <si>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</si>
  <si>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</si>
  <si>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</si>
  <si>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</si>
  <si>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</si>
  <si>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</si>
  <si>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</si>
  <si>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</si>
  <si>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</si>
  <si>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</si>
  <si>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</si>
  <si>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</si>
  <si>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</si>
  <si>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</si>
  <si>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</si>
  <si>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</si>
  <si>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</si>
  <si>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</si>
  <si>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</si>
  <si>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</si>
  <si>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</si>
  <si>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</si>
  <si>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</si>
  <si>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</si>
  <si>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</si>
  <si>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</si>
  <si>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</si>
  <si>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</si>
  <si>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</si>
  <si>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</si>
  <si>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</si>
  <si>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</si>
  <si>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</si>
  <si>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</si>
  <si>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</si>
  <si>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</si>
  <si>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</si>
  <si>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</si>
  <si>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</si>
  <si>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</si>
  <si>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</si>
  <si>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</si>
  <si>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</si>
  <si>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</si>
  <si>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</si>
  <si>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</si>
  <si>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</si>
  <si>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</si>
  <si>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</si>
  <si>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</si>
  <si>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</si>
  <si>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</si>
  <si>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</si>
  <si>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</si>
  <si>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</si>
  <si>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</si>
  <si>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</si>
  <si>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</si>
  <si>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</si>
  <si>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</si>
  <si>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</si>
  <si>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</si>
  <si>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</si>
  <si>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</si>
  <si>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</si>
  <si>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</si>
  <si>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</si>
  <si>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</si>
  <si>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</si>
  <si>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</si>
  <si>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</si>
  <si>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</si>
  <si>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</si>
  <si>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</si>
  <si>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</si>
  <si>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</si>
  <si>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</si>
  <si>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</si>
  <si>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</si>
  <si>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</si>
  <si>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</si>
  <si>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</si>
  <si>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</si>
  <si>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</si>
  <si>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</si>
  <si>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</si>
  <si>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</si>
  <si>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</si>
  <si>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</si>
  <si>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</si>
  <si>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</si>
  <si>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</si>
  <si>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</si>
  <si>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</si>
  <si>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</si>
  <si>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</si>
  <si>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</si>
  <si>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</si>
  <si>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</si>
  <si>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</si>
  <si>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</si>
  <si>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</si>
  <si>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</si>
  <si>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</si>
  <si>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</si>
  <si>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</si>
  <si>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</si>
  <si>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</si>
  <si>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</si>
  <si>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</si>
  <si>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</si>
  <si>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</si>
  <si>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</si>
  <si>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</si>
  <si>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</si>
  <si>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</si>
  <si>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</si>
  <si>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</si>
  <si>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</si>
  <si>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</si>
  <si>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</si>
  <si>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</si>
  <si>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</si>
  <si>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</si>
  <si>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</si>
  <si>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</si>
  <si>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</si>
  <si>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</si>
  <si>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</si>
  <si>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</si>
  <si>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</si>
  <si>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</si>
  <si>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</si>
  <si>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</si>
  <si>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</si>
  <si>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</si>
  <si>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</si>
  <si>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</si>
  <si>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</si>
  <si>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</si>
  <si>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</si>
  <si>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</si>
  <si>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</si>
  <si>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</si>
  <si>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</si>
  <si>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</si>
  <si>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</si>
  <si>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</si>
  <si>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</si>
  <si>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</si>
  <si>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</si>
  <si>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</si>
  <si>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</si>
  <si>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</si>
  <si>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</si>
  <si>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</si>
  <si>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</si>
  <si>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</si>
  <si>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</si>
  <si>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</si>
  <si>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</si>
  <si>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</si>
  <si>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</si>
  <si>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</si>
  <si>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</si>
  <si>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</si>
  <si>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</si>
  <si>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</si>
  <si>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</si>
  <si>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</si>
  <si>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</si>
  <si>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</si>
  <si>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</si>
  <si>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</si>
  <si>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</si>
  <si>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</si>
  <si>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</si>
  <si>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</si>
  <si>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</si>
  <si>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</si>
  <si>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</si>
  <si>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</si>
  <si>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</si>
  <si>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</si>
  <si>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</si>
  <si>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</si>
  <si>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</si>
  <si>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</si>
  <si>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</si>
  <si>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</si>
  <si>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</si>
  <si>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</si>
  <si>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
Class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</si>
  <si>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</si>
  <si>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</si>
  <si>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</si>
  <si>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</si>
  <si>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</si>
  <si>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</si>
  <si>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</si>
  <si>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</si>
  <si>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
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</si>
  <si>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</si>
  <si>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</si>
  <si>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</si>
  <si>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</si>
  <si>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</si>
  <si>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</si>
  <si>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</si>
  <si>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</si>
  <si>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</si>
  <si>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</si>
  <si>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</si>
  <si>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</si>
  <si>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</si>
  <si>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</si>
  <si>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</si>
  <si>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</si>
  <si>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</si>
  <si>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</si>
  <si>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</si>
  <si>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</si>
  <si>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</si>
  <si>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</si>
  <si>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</si>
  <si>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</si>
  <si>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</si>
  <si>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</si>
  <si>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</si>
  <si>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</si>
  <si>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</si>
  <si>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</si>
  <si>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</si>
  <si>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</si>
  <si>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</si>
  <si>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</si>
  <si>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</si>
  <si>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</si>
  <si>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</si>
  <si>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</si>
  <si>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</si>
  <si>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</si>
  <si>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</si>
  <si>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PERIPH | GCX Arm Deployed</t>
  </si>
  <si>
    <t>PERIPH | Has Keyboard</t>
  </si>
  <si>
    <t>PERIPH | Has Mouse</t>
  </si>
  <si>
    <t>PERIPH | Has Barcode Scanner</t>
  </si>
  <si>
    <t>PERIPH | Has Badge Scanner</t>
  </si>
  <si>
    <t>PERIPH | Battery Present</t>
  </si>
  <si>
    <t>PERIPH | Neuron Power Cable Present</t>
  </si>
  <si>
    <t>PERIPH | Has New Ethernet</t>
  </si>
  <si>
    <t>PERIPH | Has New Breakaway</t>
  </si>
  <si>
    <t>Yes</t>
  </si>
  <si>
    <t>LIJ SDF</t>
  </si>
  <si>
    <t>Describe the environment in which we're deploying:
For ex, input:
"
OR iPro Cybernet Workstation
"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</si>
  <si>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</si>
  <si>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</si>
  <si>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</si>
  <si>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</si>
  <si>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</si>
  <si>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</si>
  <si>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</si>
  <si>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</si>
  <si>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</si>
  <si>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</si>
  <si>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</si>
  <si>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</si>
  <si>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</si>
  <si>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</si>
  <si>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</si>
  <si>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test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</si>
  <si>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</si>
  <si>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</si>
  <si>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</si>
  <si>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</si>
  <si>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</si>
  <si>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</si>
  <si>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</si>
  <si>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</si>
  <si>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</si>
  <si>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</si>
  <si>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</si>
  <si>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</si>
  <si>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</si>
  <si>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</si>
  <si>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</si>
  <si>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</si>
  <si>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</si>
  <si>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</si>
  <si>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</si>
  <si>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</si>
  <si>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</si>
  <si>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</si>
  <si>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</si>
  <si>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</si>
  <si>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</si>
  <si>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</si>
  <si>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</si>
  <si>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</si>
  <si>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</si>
  <si>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</si>
  <si>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</si>
  <si>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</si>
  <si>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</si>
  <si>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</si>
  <si>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</si>
  <si>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</si>
  <si>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</si>
  <si>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</si>
  <si>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</si>
  <si>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</si>
  <si>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</si>
  <si>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</si>
  <si>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</si>
  <si>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</si>
  <si>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</si>
  <si>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</si>
  <si>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</si>
  <si>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</si>
  <si>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</si>
  <si>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</si>
  <si>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</si>
  <si>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</si>
  <si>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</si>
  <si>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</si>
  <si>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</si>
  <si>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</si>
  <si>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</si>
  <si>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</si>
  <si>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</si>
  <si>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</si>
  <si>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</si>
  <si>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</si>
  <si>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</si>
  <si>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</si>
  <si>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</si>
  <si>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</si>
  <si>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</si>
  <si>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</si>
  <si>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</si>
  <si>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</si>
  <si>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</si>
  <si>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</si>
  <si>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</si>
  <si>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</si>
  <si>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</si>
  <si>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</si>
  <si>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</si>
  <si>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</si>
  <si>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</si>
  <si>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</si>
  <si>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</si>
  <si>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</si>
  <si>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</si>
  <si>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</si>
  <si>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</si>
  <si>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</si>
  <si>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</si>
  <si>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</si>
  <si>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</si>
  <si>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</si>
  <si>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</si>
  <si>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</si>
  <si>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</si>
  <si>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</si>
  <si>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</si>
  <si>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</si>
  <si>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</si>
  <si>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</si>
  <si>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</si>
  <si>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</si>
  <si>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</si>
  <si>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</si>
  <si>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</si>
  <si>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</si>
  <si>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</si>
  <si>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</si>
  <si>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</si>
  <si>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</si>
  <si>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</si>
  <si>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</si>
  <si>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</si>
  <si>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</si>
  <si>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</si>
  <si>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</si>
  <si>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</si>
  <si>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</si>
  <si>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</si>
  <si>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</si>
  <si>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</si>
  <si>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</si>
  <si>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</si>
  <si>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</si>
  <si>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</si>
  <si>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</si>
  <si>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</si>
  <si>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</si>
  <si>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</si>
  <si>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</si>
  <si>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</si>
  <si>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</si>
  <si>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</si>
  <si>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</si>
  <si>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</si>
  <si>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</si>
  <si>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</si>
  <si>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</si>
  <si>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</si>
  <si>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</si>
  <si>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</si>
  <si>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</si>
  <si>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</si>
  <si>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</si>
  <si>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</si>
  <si>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</si>
  <si>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</si>
  <si>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</si>
  <si>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</si>
  <si>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</si>
  <si>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</si>
  <si>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</si>
  <si>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</si>
  <si>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</si>
  <si>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</si>
  <si>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</si>
  <si>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</si>
  <si>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</si>
  <si>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</si>
  <si>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</si>
  <si>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</si>
  <si>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</si>
  <si>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</si>
  <si>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</si>
  <si>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</si>
  <si>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</si>
  <si>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</si>
  <si>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</si>
  <si>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</si>
  <si>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</si>
  <si>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</si>
  <si>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</si>
  <si>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</si>
  <si>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</si>
  <si>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</si>
  <si>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</si>
  <si>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</si>
  <si>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</si>
  <si>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</si>
  <si>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</si>
  <si>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</si>
  <si>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</si>
  <si>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</si>
  <si>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</si>
  <si>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</si>
  <si>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</si>
  <si>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</si>
  <si>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</si>
  <si>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</si>
  <si>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</si>
  <si>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</si>
  <si>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</si>
  <si>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</si>
  <si>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</si>
  <si>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</si>
  <si>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</si>
  <si>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</si>
  <si>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</si>
  <si>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</si>
  <si>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</si>
  <si>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</si>
  <si>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</si>
  <si>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</si>
  <si>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</si>
  <si>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</si>
  <si>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</si>
  <si>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</si>
  <si>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</si>
  <si>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</si>
  <si>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</si>
  <si>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</si>
  <si>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</si>
  <si>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</si>
  <si>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</si>
  <si>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</si>
  <si>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</si>
  <si>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</si>
  <si>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</si>
  <si>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</si>
  <si>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</si>
  <si>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</si>
  <si>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</si>
  <si>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</si>
  <si>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</si>
  <si>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</si>
  <si>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</si>
  <si>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</si>
  <si>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</si>
  <si>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</si>
  <si>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</si>
  <si>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</si>
  <si>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</si>
  <si>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</si>
  <si>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</si>
  <si>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</si>
  <si>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</si>
  <si>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</si>
  <si>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</si>
  <si>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</si>
  <si>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</si>
  <si>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</si>
  <si>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</si>
  <si>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</si>
  <si>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</si>
  <si>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</si>
  <si>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</si>
  <si>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</si>
  <si>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</si>
  <si>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</si>
  <si>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</si>
  <si>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</si>
  <si>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</si>
  <si>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</si>
  <si>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</si>
  <si>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</si>
  <si>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</si>
  <si>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</si>
  <si>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</si>
  <si>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</si>
  <si>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</si>
  <si>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</si>
  <si>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</si>
  <si>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</si>
  <si>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</si>
  <si>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</si>
  <si>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</si>
  <si>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</si>
  <si>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</si>
  <si>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</si>
  <si>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</si>
  <si>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</si>
  <si>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</si>
  <si>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</si>
  <si>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</si>
  <si>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</si>
  <si>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</si>
  <si>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</si>
  <si>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</si>
  <si>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</si>
  <si>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</si>
  <si>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</si>
  <si>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</si>
  <si>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</si>
  <si>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</si>
  <si>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</si>
  <si>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</si>
  <si>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</si>
  <si>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</si>
  <si>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</si>
  <si>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</si>
  <si>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</si>
  <si>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</si>
  <si>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</si>
  <si>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</si>
  <si>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</si>
  <si>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</si>
  <si>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</si>
  <si>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</si>
  <si>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</si>
  <si>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</si>
  <si>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</si>
  <si>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</si>
  <si>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</si>
  <si>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</si>
  <si>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</si>
  <si>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</si>
  <si>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</si>
  <si>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</si>
  <si>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</si>
  <si>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</si>
  <si>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</si>
  <si>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</si>
  <si>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</si>
  <si>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</si>
  <si>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</si>
  <si>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</si>
  <si>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</si>
  <si>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</si>
  <si>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</si>
  <si>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</si>
  <si>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</si>
  <si>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</si>
  <si>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</si>
  <si>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</si>
  <si>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</si>
  <si>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</si>
  <si>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</si>
  <si>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</si>
  <si>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</si>
  <si>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</si>
  <si>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</si>
  <si>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</si>
  <si>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</si>
  <si>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</si>
  <si>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</si>
  <si>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</si>
  <si>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</si>
  <si>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</si>
  <si>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</si>
  <si>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</si>
  <si>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</si>
  <si>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</si>
  <si>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</si>
  <si>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</si>
  <si>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</si>
  <si>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</si>
  <si>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</si>
  <si>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</si>
  <si>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</si>
  <si>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</si>
  <si>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</si>
  <si>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</si>
  <si>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</si>
  <si>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</si>
  <si>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</si>
  <si>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</si>
  <si>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</si>
  <si>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</si>
  <si>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</si>
  <si>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</si>
  <si>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</si>
  <si>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</si>
  <si>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</si>
  <si>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</si>
  <si>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</si>
  <si>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</si>
  <si>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</si>
  <si>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</si>
  <si>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</si>
  <si>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</si>
  <si>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</si>
  <si>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</si>
  <si>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Other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</si>
  <si>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</si>
  <si>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</si>
  <si>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</si>
  <si>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</si>
  <si>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</si>
  <si>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</si>
  <si>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</si>
  <si>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</si>
  <si>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</si>
  <si>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</si>
  <si>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</si>
  <si>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</si>
  <si>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</si>
  <si>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</si>
  <si>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</si>
  <si>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</si>
  <si>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</si>
  <si>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</si>
  <si>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</si>
  <si>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</si>
  <si>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</si>
  <si>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</si>
  <si>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</si>
  <si>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</si>
  <si>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</si>
  <si>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</si>
  <si>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</si>
  <si>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</si>
  <si>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</si>
  <si>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</si>
  <si>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</si>
  <si>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</si>
  <si>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</si>
  <si>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WNH270OPR413</t>
  </si>
  <si>
    <t>MEDSG2425F-3319</t>
  </si>
  <si>
    <t>00:0D:05:0A:B6:a7</t>
  </si>
  <si>
    <t>WNH270OPR414</t>
  </si>
  <si>
    <t>MEDSG2425F-3168</t>
  </si>
  <si>
    <t>00:0D:05:0A:B0:CD</t>
  </si>
  <si>
    <t>WNH270OPR415</t>
  </si>
  <si>
    <t>MEDSG2425F-3131</t>
  </si>
  <si>
    <t>00:0D:05:0A:B3:b7</t>
  </si>
  <si>
    <t>WNH270OPR416</t>
  </si>
  <si>
    <t>MEDSG2425F-0019</t>
  </si>
  <si>
    <t>00:0D:05:0A:A8:29</t>
  </si>
  <si>
    <t>WNH270OPR417</t>
  </si>
  <si>
    <t>MEDSG2425F-0083</t>
  </si>
  <si>
    <t>00:0D:05:0A:A8:57</t>
  </si>
  <si>
    <t>WNH270OPR418</t>
  </si>
  <si>
    <t>MEDSG2425F-0060</t>
  </si>
  <si>
    <t>00:0D:05:0A:A5:b7</t>
  </si>
  <si>
    <t>WNH270OPR419</t>
  </si>
  <si>
    <t>MEDSG2425F-0094</t>
  </si>
  <si>
    <t>00:0D:05:0A:A7:8f</t>
  </si>
  <si>
    <t>WNH270OPR420</t>
  </si>
  <si>
    <t>MEDSG2425F-0068</t>
  </si>
  <si>
    <t>00:0D:05:0A:A7:f7</t>
  </si>
  <si>
    <t>WNH270OPR421</t>
  </si>
  <si>
    <t>MEDSG2425F-0146</t>
  </si>
  <si>
    <t>00:0D:05:0A:A5:FF</t>
  </si>
  <si>
    <t>LIJ - OR</t>
  </si>
  <si>
    <t>WNH270OPR422</t>
  </si>
  <si>
    <t>MEDSG2425F-0076</t>
  </si>
  <si>
    <t>00:0D:05:0A:A5:35</t>
  </si>
  <si>
    <t>WNH270OPR423</t>
  </si>
  <si>
    <t>MEDSG2425F-0166</t>
  </si>
  <si>
    <t>00:0D:05:0A:A6:c3</t>
  </si>
  <si>
    <t>WNH270OPR424</t>
  </si>
  <si>
    <t>MEDSG2425F-0172</t>
  </si>
  <si>
    <t>00:0D:05:0A:A6:BD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</si>
  <si>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</si>
  <si>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</si>
  <si>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</si>
  <si>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</si>
  <si>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</si>
  <si>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</si>
  <si>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</si>
  <si>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</si>
  <si>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</si>
  <si>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</si>
  <si>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</si>
  <si>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</si>
  <si>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</si>
  <si>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MEDSG2425F-3310</t>
  </si>
  <si>
    <t>00:0D:05:0A:B1:73</t>
  </si>
  <si>
    <t>WNH270OPR430</t>
  </si>
  <si>
    <t>MEDSG2425F-3183</t>
  </si>
  <si>
    <t>00:0D:05:0A:B1:6b</t>
  </si>
  <si>
    <t>WNH270OPR431</t>
  </si>
  <si>
    <t>MEDSG2425F-3304</t>
  </si>
  <si>
    <t>00:0D:05:0A:B0:AF</t>
  </si>
  <si>
    <t>WNH270OPR432</t>
  </si>
  <si>
    <t>MEDSG2425E-3291</t>
  </si>
  <si>
    <t>00:0D:05:0A:B0:BB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</si>
  <si>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</si>
  <si>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</si>
  <si>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</si>
  <si>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</si>
  <si>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</si>
  <si>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</si>
  <si>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</si>
  <si>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MEDSG2425E-3749</t>
  </si>
  <si>
    <t>00:0D:05:0A:B0:F3</t>
  </si>
  <si>
    <t>WNH270OPR436</t>
  </si>
  <si>
    <t>MEDSG2425E-3219</t>
  </si>
  <si>
    <t>00:0D:05:0A:B6:59</t>
  </si>
  <si>
    <t>WNH270OPR437</t>
  </si>
  <si>
    <t>MEDSG2425E-3209</t>
  </si>
  <si>
    <t>00:0D:05:0A:B4:81</t>
  </si>
  <si>
    <t>WNH270OPR438</t>
  </si>
  <si>
    <t>MEDSG2425E-3050</t>
  </si>
  <si>
    <t>00:0D:05:0A:B2:4D</t>
  </si>
  <si>
    <t>WNH270OPR439</t>
  </si>
  <si>
    <t>MEDSG2425E-3206</t>
  </si>
  <si>
    <t>00:0D:05:0A:B3:3D</t>
  </si>
  <si>
    <t>WNH270OPR440</t>
  </si>
  <si>
    <t>MEDSG2425E-3210</t>
  </si>
  <si>
    <t>00:0D:05:0A:B6:e7</t>
  </si>
  <si>
    <t>WNH270OPR441</t>
  </si>
  <si>
    <t>MEDSG2425E-0173</t>
  </si>
  <si>
    <t>00:0D:05:0A:A6:C7</t>
  </si>
  <si>
    <t>WNH270OPR442</t>
  </si>
  <si>
    <t>MEDSG2425E-0026</t>
  </si>
  <si>
    <t>00:0D:05:0A:A8:3F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</si>
  <si>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</si>
  <si>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</si>
  <si>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</si>
  <si>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</si>
  <si>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</si>
  <si>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</si>
  <si>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</si>
  <si>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WNH270OPR450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</si>
  <si>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</si>
  <si>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</si>
  <si>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</si>
  <si>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</si>
  <si>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</si>
  <si>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</si>
  <si>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</si>
  <si>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</si>
  <si>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</si>
  <si>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</si>
  <si>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</si>
  <si>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</si>
  <si>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</si>
  <si>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</si>
  <si>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</si>
  <si>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</si>
  <si>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</si>
  <si>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</si>
  <si>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</si>
  <si>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OR 7</t>
  </si>
  <si>
    <t>Drager Apollo</t>
  </si>
  <si>
    <t>Phillips</t>
  </si>
  <si>
    <t>WVS900OPR026</t>
  </si>
  <si>
    <t>A0F5097FA52B</t>
  </si>
  <si>
    <t>WA23C03907</t>
  </si>
  <si>
    <t>MEDNG2425E-3698</t>
  </si>
  <si>
    <t>OR 1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</si>
  <si>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</si>
  <si>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</si>
  <si>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</si>
  <si>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</si>
  <si>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</si>
  <si>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</si>
  <si>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OR 2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</si>
  <si>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</si>
  <si>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</si>
  <si>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</si>
  <si>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</si>
  <si>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</si>
  <si>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</si>
  <si>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</si>
  <si>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OR 5</t>
  </si>
  <si>
    <t>RAN AL / DIDNT PROGRAM SCANNER</t>
  </si>
  <si>
    <t>WVS900OPR024</t>
  </si>
  <si>
    <t>A0F5097FA58A</t>
  </si>
  <si>
    <t>WA23C03908</t>
  </si>
  <si>
    <t>MEDNG2425E-3059</t>
  </si>
  <si>
    <t>OR 6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</si>
  <si>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</si>
  <si>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</si>
  <si>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</si>
  <si>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</si>
  <si>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</si>
  <si>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</si>
  <si>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</si>
  <si>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OR 3</t>
  </si>
  <si>
    <t>PHILLIP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</si>
  <si>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</si>
  <si>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</si>
  <si>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</si>
  <si>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</si>
  <si>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</si>
  <si>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</si>
  <si>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</si>
  <si>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</si>
  <si>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</si>
  <si>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</si>
  <si>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</si>
  <si>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</si>
  <si>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</si>
  <si>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</si>
  <si>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</si>
  <si>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</si>
  <si>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</si>
  <si>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</si>
  <si>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</si>
  <si>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</si>
  <si>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</si>
  <si>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</si>
  <si>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</si>
  <si>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</si>
  <si>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</si>
  <si>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</si>
  <si>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</si>
  <si>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</si>
  <si>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</si>
  <si>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</si>
  <si>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</si>
  <si>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</si>
  <si>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</si>
  <si>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</si>
  <si>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</si>
  <si>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</si>
  <si>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</si>
  <si>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</si>
  <si>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</si>
  <si>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</si>
  <si>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</si>
  <si>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</si>
  <si>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</si>
  <si>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</si>
  <si>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</si>
  <si>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</si>
  <si>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</si>
  <si>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</si>
  <si>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</si>
  <si>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</si>
  <si>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</si>
  <si>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</si>
  <si>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</si>
  <si>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</si>
  <si>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</si>
  <si>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</si>
  <si>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</si>
  <si>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</si>
  <si>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</si>
  <si>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</si>
  <si>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</si>
  <si>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</si>
  <si>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</si>
  <si>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</si>
  <si>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</si>
  <si>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</si>
  <si>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</si>
  <si>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</si>
  <si>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</si>
  <si>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</si>
  <si>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</si>
  <si>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</si>
  <si>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</si>
  <si>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</si>
  <si>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</si>
  <si>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</si>
  <si>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</si>
  <si>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</si>
  <si>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</si>
  <si>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</si>
  <si>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</si>
  <si>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</si>
  <si>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</si>
  <si>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</si>
  <si>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</si>
  <si>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</si>
  <si>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</si>
  <si>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</si>
  <si>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</si>
  <si>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</si>
  <si>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</si>
  <si>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</si>
  <si>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</si>
  <si>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</si>
  <si>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</si>
  <si>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</si>
  <si>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</si>
  <si>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</si>
  <si>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</si>
  <si>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</si>
  <si>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</si>
  <si>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</si>
  <si>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</si>
  <si>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</si>
  <si>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</si>
  <si>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</si>
  <si>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</si>
  <si>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</si>
  <si>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</si>
  <si>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</si>
  <si>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</si>
  <si>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</si>
  <si>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</si>
  <si>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</si>
  <si>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</si>
  <si>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</si>
  <si>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</si>
  <si>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</si>
  <si>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</si>
  <si>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</si>
  <si>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</si>
  <si>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</si>
  <si>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</si>
  <si>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</si>
  <si>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</si>
  <si>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</si>
  <si>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</si>
  <si>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</si>
  <si>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</si>
  <si>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</si>
  <si>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</si>
  <si>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</si>
  <si>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</si>
  <si>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</si>
  <si>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</si>
  <si>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</si>
  <si>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</si>
  <si>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</si>
  <si>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</si>
  <si>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</si>
  <si>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</si>
  <si>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</si>
  <si>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</si>
  <si>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</si>
  <si>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</si>
  <si>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</si>
  <si>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</si>
  <si>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</si>
  <si>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</si>
  <si>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</si>
  <si>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</si>
  <si>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</si>
  <si>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Yellow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</si>
  <si>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</si>
  <si>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</si>
  <si>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</si>
  <si>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</si>
  <si>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</si>
  <si>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</si>
  <si>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</si>
  <si>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</si>
  <si>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</si>
  <si>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</si>
  <si>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</si>
  <si>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</si>
  <si>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</si>
  <si>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</si>
  <si>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</si>
  <si>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</si>
  <si>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</si>
  <si>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</si>
  <si>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</si>
  <si>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</si>
  <si>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</si>
  <si>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</si>
  <si>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</si>
  <si>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</si>
  <si>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</si>
  <si>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</si>
  <si>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</si>
  <si>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</si>
  <si>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</si>
  <si>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</si>
  <si>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</si>
  <si>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</si>
  <si>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</si>
  <si>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</si>
  <si>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</si>
  <si>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</si>
  <si>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</si>
  <si>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</si>
  <si>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</si>
  <si>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</si>
  <si>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</si>
  <si>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</si>
  <si>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</si>
  <si>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</si>
  <si>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</si>
  <si>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</si>
  <si>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</si>
  <si>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</si>
  <si>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</si>
  <si>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</si>
  <si>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</si>
  <si>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</si>
  <si>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</si>
  <si>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</si>
  <si>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</si>
  <si>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</si>
  <si>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</si>
  <si>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</si>
  <si>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</si>
  <si>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</si>
  <si>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</si>
  <si>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</si>
  <si>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</si>
  <si>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</si>
  <si>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</si>
  <si>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</si>
  <si>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</si>
  <si>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</si>
  <si>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</si>
  <si>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</si>
  <si>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</si>
  <si>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</si>
  <si>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</si>
  <si>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</si>
  <si>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</si>
  <si>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</si>
  <si>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</si>
  <si>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</si>
  <si>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$F2="Yes"</t>
  </si>
  <si>
    <t>$L2=0</t>
  </si>
  <si>
    <t>$L2&gt;0</t>
  </si>
  <si>
    <t>00_Error_Log_Device_Config</t>
  </si>
  <si>
    <t>10 | 20</t>
  </si>
  <si>
    <t>100%</t>
  </si>
  <si>
    <t>14 - Config Log</t>
  </si>
  <si>
    <t xml:space="preserve">15 - Imaging Progress </t>
  </si>
  <si>
    <t>2</t>
  </si>
  <si>
    <t>20</t>
  </si>
  <si>
    <t>3 | 5</t>
  </si>
  <si>
    <t>6 | 9</t>
  </si>
  <si>
    <t>A133</t>
  </si>
  <si>
    <t>A2:I132 A134:I2002</t>
  </si>
  <si>
    <t>A2:J500</t>
  </si>
  <si>
    <t>A2:R7 A8:B8 A9:R2002 D8:R8</t>
  </si>
  <si>
    <t>A3:D1005</t>
  </si>
  <si>
    <t>AND($A2="Cybernet",$B2="Yes",$C2&lt;&gt;"Yes",LEN(TRIM(BH2))=0)</t>
  </si>
  <si>
    <t>AND($A2="Cybernet",$B2="Yes",$C2&lt;&gt;"Yes",LEN(TRIM(R2))=0)</t>
  </si>
  <si>
    <t>AND($A2="Neuron",$B2="Yes",$C2&lt;&gt;"Yes",LEN(TRIM(S2))=0)</t>
  </si>
  <si>
    <t>AND($B2&lt;&gt;"",OR($A2="",TRIM($C2)="",TRIM($E2)=""))</t>
  </si>
  <si>
    <t>AND($C2="Yes",LEN(TRIM(I2))=0)</t>
  </si>
  <si>
    <t>AND($I2&lt;&gt;"",NOT(OR($K2="Yes",$J2="PM Approved")))</t>
  </si>
  <si>
    <t>AND($I2&lt;&gt;"",OR($K2="Yes",$J2="PM Approved"))</t>
  </si>
  <si>
    <t>AND(OR($A3="LOCATION",$A3="PALLET"),TRIM($B3)&lt;&gt;"",TRIM($C3)="")</t>
  </si>
  <si>
    <t>AND(T2&lt;&gt;"",T2&lt;&gt;"OK")</t>
  </si>
  <si>
    <t>AND(T2&lt;&gt;"",T2="OK")</t>
  </si>
  <si>
    <t>AND(TRIM(#REF!)&lt;&gt;"",COUNTIF($A$2:$A$2002,#REF!)&gt;1)</t>
  </si>
  <si>
    <t>AND(TRIM(#REF!)="",OR($B133&lt;&gt;"",$C133&lt;&gt;"",$D133&lt;&gt;"",$E133&lt;&gt;"",$F133&lt;&gt;"",$I133&lt;&gt;""))</t>
  </si>
  <si>
    <t>AND(TRIM($A133)&lt;&gt;"",COUNTIF($A$2:$A$2002,$A133)&gt;1)</t>
  </si>
  <si>
    <t>AND(TRIM($A133)="",OR($B133&lt;&gt;"",$C133&lt;&gt;"",$D133&lt;&gt;"",$E133&lt;&gt;"",$F133&lt;&gt;"",$I133&lt;&gt;""))</t>
  </si>
  <si>
    <t>AND(TRIM($A2)&lt;&gt;"",$C2&lt;&gt;"",$D2&lt;&gt;"",$D2&lt;&gt;"0",$C2&lt;&gt;$D2)</t>
  </si>
  <si>
    <t>AND(TRIM($A2)&lt;&gt;"",COUNTIF($A$2:$A$2002,$A2)&gt;1)</t>
  </si>
  <si>
    <t>AND(TRIM($A2)&lt;&gt;"",NOT(AND(LEFT($A2,4)="PAL-",LEN($A2)=11,ISNUMBER(--MID($A2,5,7)))))</t>
  </si>
  <si>
    <t>AND(TRIM($A2)="",OR($B2&lt;&gt;"",$C2&lt;&gt;"",$D2&lt;&gt;"",$E2&lt;&gt;"",$F2&lt;&gt;"",$I2&lt;&gt;""))</t>
  </si>
  <si>
    <t>AND(TRIM($A2)="",OR($B2&lt;&gt;"",$C2&lt;&gt;"",$D2&lt;&gt;"",$E2&lt;&gt;"",$I2&lt;&gt;"",$J2&lt;&gt;""))</t>
  </si>
  <si>
    <t>AND(TRIM($A3)&lt;&gt;"",$C3&lt;&gt;"",$D3&lt;&gt;"",$D3&lt;&gt;"0",$C3&lt;&gt;$D3)</t>
  </si>
  <si>
    <t>AND(TRIM($A3)&lt;&gt;"",COUNTIF($A$2:$A$2002,$A3)&gt;1)</t>
  </si>
  <si>
    <t>AND(TRIM($A3)&lt;&gt;"",NOT(AND(LEFT($A3,4)="PAL-",LEN($A3)=11,ISNUMBER(--MID($A3,5,7)))))</t>
  </si>
  <si>
    <t>AND(TRIM($A3)="",OR($B3&lt;&gt;"",$C3&lt;&gt;"",$D3&lt;&gt;"",$E3&lt;&gt;"",$I3&lt;&gt;"",$J3&lt;&gt;""))</t>
  </si>
  <si>
    <t>AND(TRIM($A8)&lt;&gt;"",COUNTIF($A$2:$A$2002,$A8)&gt;1)</t>
  </si>
  <si>
    <t>AND(TRIM($A8)="",OR($B8&lt;&gt;"",$C8&lt;&gt;"",$D8&lt;&gt;"",$E8&lt;&gt;"",$F8&lt;&gt;"",$I8&lt;&gt;""))</t>
  </si>
  <si>
    <t>AND(TRIM($C2)&lt;&gt;"",TRIM($E2)&lt;&gt;"",$D2="")</t>
  </si>
  <si>
    <t>B133:I133</t>
  </si>
  <si>
    <t>B2:C527 F2:F527 H2:H527 AE2:AF527 R2:S527</t>
  </si>
  <si>
    <t>B3</t>
  </si>
  <si>
    <t>C8</t>
  </si>
  <si>
    <t>Color/category</t>
  </si>
  <si>
    <t>Config snapshot highlight</t>
  </si>
  <si>
    <t>D1:D1048576</t>
  </si>
  <si>
    <t>DeviceConfigErrorLog</t>
  </si>
  <si>
    <t>Duplicates/conflicts (DupDeployed=Yes)</t>
  </si>
  <si>
    <t>Error log severity highlight</t>
  </si>
  <si>
    <t>F2:F14</t>
  </si>
  <si>
    <t>F2:F15</t>
  </si>
  <si>
    <t>Green</t>
  </si>
  <si>
    <t>I2:I503</t>
  </si>
  <si>
    <t>I2:Q527</t>
  </si>
  <si>
    <t>Imaging progress highlight</t>
  </si>
  <si>
    <t>L2:L527</t>
  </si>
  <si>
    <t>Legacy CF rule</t>
  </si>
  <si>
    <t>M2:M527</t>
  </si>
  <si>
    <t>Orange</t>
  </si>
  <si>
    <t>Purple</t>
  </si>
  <si>
    <t>Purpose</t>
  </si>
  <si>
    <t>Q2:Q503</t>
  </si>
  <si>
    <t>Q2&lt;&gt;""</t>
  </si>
  <si>
    <t>R2:R503</t>
  </si>
  <si>
    <t>R2&lt;&gt;""</t>
  </si>
  <si>
    <t>Red</t>
  </si>
  <si>
    <t>Required: Cybernet Hostname (pre-install)</t>
  </si>
  <si>
    <t>Required: Neuron Hostname (pre-install)</t>
  </si>
  <si>
    <t>Required: PI fields (post-install)</t>
  </si>
  <si>
    <t>Required: Software List (Cybernet only, pre-install)</t>
  </si>
  <si>
    <t>RuleType</t>
  </si>
  <si>
    <t>S2:S503</t>
  </si>
  <si>
    <t>S2&lt;&gt;""</t>
  </si>
  <si>
    <t>Scan lookup highlight</t>
  </si>
  <si>
    <t>T2:T503</t>
  </si>
  <si>
    <t>Table</t>
  </si>
  <si>
    <t>Tan</t>
  </si>
  <si>
    <t>Warehouse tracker highlight</t>
  </si>
  <si>
    <t>cellIs</t>
  </si>
  <si>
    <t>dxfId</t>
  </si>
  <si>
    <t>tblConfigSnapshot</t>
  </si>
  <si>
    <t>tblDeviceConfig</t>
  </si>
  <si>
    <t>Asset Tag</t>
  </si>
  <si>
    <t>OR Cybernet</t>
  </si>
  <si>
    <t>WRI130OPR045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</si>
  <si>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</si>
  <si>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</si>
  <si>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</si>
  <si>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</si>
  <si>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</si>
  <si>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</si>
  <si>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</si>
  <si>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WNH270OPR020</t>
  </si>
  <si>
    <t>gather from Tim's spreadsheet</t>
  </si>
  <si>
    <t>MEDNG2425E-3046</t>
  </si>
  <si>
    <t>8605505-08106008076502</t>
  </si>
  <si>
    <t>Floor 1</t>
  </si>
  <si>
    <t>OR 4</t>
  </si>
  <si>
    <t>APOLLO</t>
  </si>
  <si>
    <t>Anesthesia Tech 10783</t>
  </si>
  <si>
    <t>Philips Intellivue MX800</t>
  </si>
  <si>
    <t>WNH270OPR021</t>
  </si>
  <si>
    <t>MEDNG2425E-3235</t>
  </si>
  <si>
    <t>8605505-08106008076500</t>
  </si>
  <si>
    <t/>
  </si>
  <si>
    <t>WNH270OPR017</t>
  </si>
  <si>
    <t>MEDNG2425E-3097</t>
  </si>
  <si>
    <t>8605505-08106008075761</t>
  </si>
  <si>
    <t>WNH270OPR018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</si>
  <si>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</si>
  <si>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</si>
  <si>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</si>
  <si>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</si>
  <si>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</si>
  <si>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</si>
  <si>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</si>
  <si>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</si>
  <si>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OR 8</t>
  </si>
  <si>
    <t>MEDNG2425E-3222</t>
  </si>
  <si>
    <t>8605505-08106008075769</t>
  </si>
  <si>
    <t>WNH270OPR022</t>
  </si>
  <si>
    <t>MEDNG2425E-?</t>
  </si>
  <si>
    <t>ASPB0089</t>
  </si>
  <si>
    <t>IR 11</t>
  </si>
  <si>
    <t>A2:B528 F2:F528 AE2:AF528 R2:S528</t>
  </si>
  <si>
    <t>AND($C2="Yes",LEN(TRIM(INDEX($1:$1048576,ROW(),COLUMN())))=0)</t>
  </si>
  <si>
    <t>BH2:BH528</t>
  </si>
  <si>
    <t>Cybernet Hostname required (pre-install)</t>
  </si>
  <si>
    <t>Error flag (error count &gt; 0)</t>
  </si>
  <si>
    <t>FFF8CBAD</t>
  </si>
  <si>
    <t>FFFFE699</t>
  </si>
  <si>
    <t>FFFFF2CC</t>
  </si>
  <si>
    <t>I2:I528 N2:N528 P2:Q528</t>
  </si>
  <si>
    <t>L2:L528</t>
  </si>
  <si>
    <t>M2:M528</t>
  </si>
  <si>
    <t>Missing config (data gap)</t>
  </si>
  <si>
    <t>Neuron Hostname required (pre-install)</t>
  </si>
  <si>
    <t>No errors (error count = 0)</t>
  </si>
  <si>
    <t>PI required fields (post-install: Installed=Yes)</t>
  </si>
  <si>
    <t>R2:R528</t>
  </si>
  <si>
    <t>S2:S528</t>
  </si>
  <si>
    <t>Software_List required for Cybernet (pre-install)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</si>
</sst>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yyyy\-mm\-dd"/>
    <numFmt numFmtId="165" formatCode="00000"/>
    <numFmt numFmtId="166" formatCode="0.0%"/>
    <numFmt numFmtId="167" formatCode="yyyy\-mm\-dd\ hh:mm"/>
    <numFmt numFmtId="168" formatCode="yyyy\-mm\-dd\ h:mm:ss"/>
  </numFmts>
  <fonts count="19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2"/>
      <name val="Calibri"/>
    </font>
    <font>
      <sz val="11"/>
      <color rgb="FF000000"/>
      <name val="Calibri"/>
      <family val="2"/>
      <charset val="1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BE03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10" fillId="4" borderId="0" xfId="0" applyFont="1" applyFill="1" applyAlignment="1">
      <alignment wrapText="1"/>
    </xf>
    <xf numFmtId="0" fontId="11" fillId="0" borderId="0" xfId="0" applyFont="1"/>
    <xf numFmtId="0" fontId="11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7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7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top" wrapText="1"/>
    </xf>
    <xf numFmtId="0" fontId="13" fillId="8" borderId="6" xfId="0" applyFont="1" applyFill="1" applyBorder="1"/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vertical="top" wrapText="1"/>
    </xf>
    <xf numFmtId="0" fontId="13" fillId="9" borderId="6" xfId="0" applyFont="1" applyFill="1" applyBorder="1"/>
    <xf numFmtId="0" fontId="0" fillId="9" borderId="6" xfId="0" applyFill="1" applyBorder="1"/>
    <xf numFmtId="0" fontId="0" fillId="8" borderId="6" xfId="0" applyFill="1" applyBorder="1"/>
    <xf numFmtId="0" fontId="16" fillId="6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top" wrapText="1"/>
    </xf>
    <xf numFmtId="0" fontId="0" fillId="10" borderId="0" xfId="0" applyFill="1"/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 vertical="top" wrapText="1"/>
    </xf>
    <xf numFmtId="164" fontId="0" fillId="10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top" wrapText="1"/>
    </xf>
    <xf numFmtId="0" fontId="0" fillId="12" borderId="0" xfId="0" applyFill="1"/>
    <xf numFmtId="0" fontId="0" fillId="12" borderId="0" xfId="0" applyFill="1" applyAlignment="1">
      <alignment horizontal="center"/>
    </xf>
    <xf numFmtId="0" fontId="17" fillId="12" borderId="0" xfId="0" applyFont="1" applyFill="1"/>
    <xf numFmtId="0" fontId="17" fillId="12" borderId="0" xfId="0" applyFont="1" applyFill="1" applyAlignment="1">
      <alignment horizontal="center"/>
    </xf>
    <xf numFmtId="0" fontId="18" fillId="0" borderId="0" xfId="0" applyFont="1"/>
    <xf numFmtId="0" fontId="11" fillId="0" borderId="0" xfId="0" applyFont="1" applyAlignment="1">
      <alignment horizontal="center"/>
    </xf>
    <xf numFmtId="0" fontId="0" fillId="9" borderId="0" xfId="0" applyFill="1"/>
    <xf numFmtId="0" fontId="0" fillId="8" borderId="0" xfId="0" applyFill="1"/>
    <xf numFmtId="0" fontId="15" fillId="0" borderId="0" xfId="0" applyFont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vertical="top" wrapText="1"/>
    </xf>
    <xf numFmtId="167" fontId="0" fillId="0" borderId="0" xfId="0" applyNumberFormat="1"/>
    <xf numFmtId="168" fontId="0" fillId="0" borderId="0" xfId="0" applyNumberFormat="1"/>
    <xf numFmtId="44" fontId="0" fillId="0" borderId="1" xfId="0" applyNumberFormat="1" applyBorder="1" applyAlignment="1">
      <alignment horizontal="center" vertical="top" wrapText="1"/>
    </xf>
    <xf numFmtId="166" fontId="0" fillId="0" borderId="0" xfId="0" applyNumberFormat="1"/>
    <xf numFmtId="166" fontId="11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4" fillId="6" borderId="0" xfId="0" applyFont="1" applyFill="1" applyAlignment="1">
      <alignment horizontal="center" vertical="center" wrapText="1"/>
    </xf>
    <xf numFmtId="0" fontId="15" fillId="0" borderId="0" xfId="0" applyFont="1" applyAlignment="1">
      <alignment vertical="top" wrapText="1"/>
    </xf>
    <xf numFmtId="0" fontId="16" fillId="6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51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alignment horizontal="center"/>
    </dxf>
    <dxf>
      <numFmt numFmtId="0" formatCode="General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7030A0"/>
          <bgColor indexed="64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180</c:v>
                </c:pt>
                <c:pt idx="5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28">
  <autoFilter ref="A1:M528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22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21"/>
    <tableColumn id="6" xr3:uid="{00000000-0010-0000-0200-000006000000}" name="Site Locations" dataDxfId="20"/>
    <tableColumn id="8" xr3:uid="{00000000-0010-0000-0200-000008000000}" name="Area" dataDxfId="19"/>
    <tableColumn id="5" xr3:uid="{00000000-0010-0000-0200-000005000000}" name="Subarea" dataDxfId="18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eviceConfig" displayName="tblDeviceConfig" ref="A1:CK528">
  <autoFilter ref="A1:CK528" xr:uid="{00000000-0009-0000-0100-000004000000}"/>
  <tableColumns count="89">
    <tableColumn id="2" xr3:uid="{00000000-0010-0000-0300-000002000000}" name="Device Type"/>
    <tableColumn id="8" xr3:uid="{00000000-0010-0000-0300-000008000000}" name="Deployed"/>
    <tableColumn id="64" xr3:uid="{00000000-0010-0000-0300-000040000000}" name="Installed" dataDxfId="17"/>
    <tableColumn id="65" xr3:uid="{00000000-0010-0000-0300-000041000000}" name="Spare" dataDxfId="16"/>
    <tableColumn id="66" xr3:uid="{00000000-0010-0000-0300-000042000000}" name="DesignationChanged" dataDxfId="15">
      <calculatedColumnFormula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K2&lt;&gt;"",LOWER(TRIM($AK2))&lt;&gt;"n/a",COUNTIF($AK$2:$AK$528,$AK2)&gt;1),"Yes","No"))))</calculatedColumnFormula>
    </tableColumn>
    <tableColumn id="67" xr3:uid="{00000000-0010-0000-0300-000043000000}" name="DupDeployed" dataDxfId="14">
      <calculatedColumnFormula>IF($B2&lt;&gt;"Yes","",IF($A2="Neuron",IF(OR(AND($S2&lt;&gt;"",LOWER(TRIM($S2))&lt;&gt;"n/a",COUNTIFS($B$2:$B$528,"Yes",$A$2:$A$528,"Neuron",$S$2:$S$528,$S2)&gt;1),AND($T2&lt;&gt;"",LOWER(TRIM($T2))&lt;&gt;"n/a",COUNTIFS($B$2:$B$528,"Yes",$A$2:$A$528,"Neuron",$T$2:$T$528,$T2)&gt;1),AND($W2&lt;&gt;"",LOWER(TRIM($W2))&lt;&gt;"n/a",COUNTIFS($B$2:$B$528,"Yes",$A$2:$A$528,"Neuron",$W$2:$W$528,$W2)&gt;1)),"Yes","No"),IF($A2="Cybernet",IF(OR(AND($Y2&lt;&gt;"",LOWER(TRIM($Y2))&lt;&gt;"n/a",COUNTIFS($B$2:$B$528,"Yes",$A$2:$A$528,"Cybernet",$Y$2:$Y$528,$Y2)&gt;1),AND($Z2&lt;&gt;"",LOWER(TRIM($Z2))&lt;&gt;"n/a",COUNTIFS($B$2:$B$528,"Yes",$A$2:$A$528,"Cybernet",$Z$2:$Z$528,$Z2)&gt;1)),"Yes","No"),IF(AND($AK2&lt;&gt;"",LOWER(TRIM($AK2))&lt;&gt;"n/a"),IF(COUNTIFS($B$2:$B$528,"Yes",$A$2:$A$528,$A2,$AK$2:$AK$528,$AK2)&gt;1,"Yes","No"),"No"))))</calculatedColumnFormula>
    </tableColumn>
    <tableColumn id="4" xr3:uid="{00000000-0010-0000-0300-000004000000}" name="Current Building"/>
    <tableColumn id="29" xr3:uid="{00000000-0010-0000-0300-00001D000000}" name="Install Building"/>
    <tableColumn id="52" xr3:uid="{00000000-0010-0000-0300-000034000000}" name="PI_Use_Case"/>
    <tableColumn id="53" xr3:uid="{00000000-0010-0000-0300-000035000000}" name="PI_Config_Shared"/>
    <tableColumn id="54" xr3:uid="{00000000-0010-0000-0300-000036000000}" name="PI_Config_Autologon"/>
    <tableColumn id="55" xr3:uid="{00000000-0010-0000-0300-000037000000}" name="PI_Imprivata"/>
    <tableColumn id="80" xr3:uid="{00000000-0010-0000-0300-000050000000}" name="PI_Imprivata_Type"/>
    <tableColumn id="56" xr3:uid="{00000000-0010-0000-0300-000038000000}" name="PI_Result"/>
    <tableColumn id="57" xr3:uid="{00000000-0010-0000-0300-000039000000}" name="PI_Rejection_Reason"/>
    <tableColumn id="58" xr3:uid="{00000000-0010-0000-0300-00003A000000}" name="PI_Validated_By"/>
    <tableColumn id="44" xr3:uid="{00000000-0010-0000-0300-00002C000000}" name="PI_Validated_Date"/>
    <tableColumn id="74" xr3:uid="{00000000-0010-0000-0300-00004A000000}" name="Cybernet Hostname"/>
    <tableColumn id="21" xr3:uid="{00000000-0010-0000-0300-000015000000}" name="Neuron Hostname"/>
    <tableColumn id="1" xr3:uid="{00000000-0010-0000-0300-000001000000}" name="Neuron MAC"/>
    <tableColumn id="22" xr3:uid="{00000000-0010-0000-0300-000016000000}" name="Neuron IP"/>
    <tableColumn id="24" xr3:uid="{00000000-0010-0000-0300-000018000000}" name="Neuron Renamed"/>
    <tableColumn id="18" xr3:uid="{00000000-0010-0000-0300-000012000000}" name="Neuron S/N"/>
    <tableColumn id="25" xr3:uid="{00000000-0010-0000-0300-000019000000}" name="Neuron Profile"/>
    <tableColumn id="19" xr3:uid="{00000000-0010-0000-0300-000013000000}" name="Cybernet Serial"/>
    <tableColumn id="31" xr3:uid="{00000000-0010-0000-0300-00001F000000}" name="Cybernet MAC"/>
    <tableColumn id="28" xr3:uid="{00000000-0010-0000-0300-00001C000000}" name="Medical Device_x000a_Class"/>
    <tableColumn id="27" xr3:uid="{00000000-0010-0000-0300-00001B000000}" name="Dialysis S/N"/>
    <tableColumn id="20" xr3:uid="{00000000-0010-0000-0300-000014000000}" name="Anesthesia S/N"/>
    <tableColumn id="3" xr3:uid="{00000000-0010-0000-0300-000003000000}" name="Wave/PO"/>
    <tableColumn id="33" xr3:uid="{00000000-0010-0000-0300-000021000000}" name="Area/Unit"/>
    <tableColumn id="34" xr3:uid="{00000000-0010-0000-0300-000022000000}" name="Room"/>
    <tableColumn id="35" xr3:uid="{00000000-0010-0000-0300-000023000000}" name="Bay" dataDxfId="13"/>
    <tableColumn id="26" xr3:uid="{00000000-0010-0000-0300-00001A000000}" name="Port No."/>
    <tableColumn id="37" xr3:uid="{00000000-0010-0000-0300-000025000000}" name="Manufacturer"/>
    <tableColumn id="32" xr3:uid="{00000000-0010-0000-0300-000020000000}" name="Medical Device_x000a_Model"/>
    <tableColumn id="38" xr3:uid="{00000000-0010-0000-0300-000026000000}" name="Medical Device ID"/>
    <tableColumn id="39" xr3:uid="{00000000-0010-0000-0300-000027000000}" name="Serial Connector Cable 1"/>
    <tableColumn id="40" xr3:uid="{00000000-0010-0000-0300-000028000000}" name="Serial Connector Cable 2"/>
    <tableColumn id="41" xr3:uid="{00000000-0010-0000-0300-000029000000}" name="Serial Connector Cable 3"/>
    <tableColumn id="42" xr3:uid="{00000000-0010-0000-0300-00002A000000}" name="Serial Connector Cable 4"/>
    <tableColumn id="36" xr3:uid="{00000000-0010-0000-0300-000024000000}" name="Serial Connector Cable 5"/>
    <tableColumn id="46" xr3:uid="{00000000-0010-0000-0300-00002E000000}" name="Medical Peripheral 1"/>
    <tableColumn id="47" xr3:uid="{00000000-0010-0000-0300-00002F000000}" name="Medical Peripheral 2"/>
    <tableColumn id="48" xr3:uid="{00000000-0010-0000-0300-000030000000}" name="Medical Peripheral 3"/>
    <tableColumn id="49" xr3:uid="{00000000-0010-0000-0300-000031000000}" name="Medical Peripheral 4"/>
    <tableColumn id="50" xr3:uid="{00000000-0010-0000-0300-000032000000}" name="Medical Peripheral 5"/>
    <tableColumn id="5" xr3:uid="{00000000-0010-0000-0300-000005000000}" name="Neuron Power Cable Present"/>
    <tableColumn id="6" xr3:uid="{00000000-0010-0000-0300-000006000000}" name="Battery Present"/>
    <tableColumn id="45" xr3:uid="{00000000-0010-0000-0300-00002D000000}" name="Has Barcode Scanner"/>
    <tableColumn id="51" xr3:uid="{00000000-0010-0000-0300-000033000000}" name="Has Badge Scanner"/>
    <tableColumn id="9" xr3:uid="{00000000-0010-0000-0300-000009000000}" name="Configuration Date"/>
    <tableColumn id="10" xr3:uid="{00000000-0010-0000-0300-00000A000000}" name="Ready for Deployment"/>
    <tableColumn id="11" xr3:uid="{00000000-0010-0000-0300-00000B000000}" name="Notes"/>
    <tableColumn id="23" xr3:uid="{00000000-0010-0000-0300-000017000000}" name="IT Device Status"/>
    <tableColumn id="12" xr3:uid="{00000000-0010-0000-0300-00000C000000}" name="Firmware Downloaded"/>
    <tableColumn id="13" xr3:uid="{00000000-0010-0000-0300-00000D000000}" name="Firmware Installed"/>
    <tableColumn id="7" xr3:uid="{00000000-0010-0000-0300-000007000000}" name="Software Downloaded"/>
    <tableColumn id="30" xr3:uid="{00000000-0010-0000-0300-00001E000000}" name="Software Installed"/>
    <tableColumn id="59" xr3:uid="{00000000-0010-0000-0300-00003B000000}" name="Software List"/>
    <tableColumn id="14" xr3:uid="{00000000-0010-0000-0300-00000E000000}" name="Device ID Assigned"/>
    <tableColumn id="15" xr3:uid="{00000000-0010-0000-0300-00000F000000}" name="Epic Beans Data Sent"/>
    <tableColumn id="16" xr3:uid="{00000000-0010-0000-0300-000010000000}" name="Blocker Reason">
      <calculatedColumnFormula>IF($T2="","",IF((IF(AND($AV2&lt;&gt;"Yes",$AV2&lt;&gt;"N/A"),"Power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",""))="","",LEFT(IF(AND($AV2&lt;&gt;"Yes",$AV2&lt;&gt;"N/A"),"Power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",""),LEN(IF(AND($AV2&lt;&gt;"Yes",$AV2&lt;&gt;"N/A"),"Power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",""))-2)))</calculatedColumnFormula>
    </tableColumn>
    <tableColumn id="17" xr3:uid="{00000000-0010-0000-0300-000011000000}" name="Readiness (Auto)">
      <calculatedColumnFormula>IF($T2="","",IF($BK2="","Yes","Blocked"))</calculatedColumnFormula>
    </tableColumn>
    <tableColumn id="43" xr3:uid="{00000000-0010-0000-0300-00002B000000}" name="Column1"/>
    <tableColumn id="60" xr3:uid="{00000000-0010-0000-0300-00003C000000}" name="PalletID (Manual)"/>
    <tableColumn id="61" xr3:uid="{00000000-0010-0000-0300-00003D000000}" name="Warehouse Location (AUTO)"/>
    <tableColumn id="62" xr3:uid="{00000000-0010-0000-0300-00003E000000}" name="Pallet Status (AUTO)"/>
    <tableColumn id="63" xr3:uid="{00000000-0010-0000-0300-00003F000000}" name="Last Move TS (AUTO)"/>
    <tableColumn id="68" xr3:uid="{00000000-0010-0000-0300-000044000000}" name="Has Mouse"/>
    <tableColumn id="69" xr3:uid="{00000000-0010-0000-0300-000045000000}" name="Has Keyboard"/>
    <tableColumn id="70" xr3:uid="{00000000-0010-0000-0300-000046000000}" name="Has New Ethernet"/>
    <tableColumn id="71" xr3:uid="{00000000-0010-0000-0300-000047000000}" name="Has New Breakaway"/>
    <tableColumn id="78" xr3:uid="{00000000-0010-0000-0300-00004E000000}" name="GCX Arm Deployed"/>
    <tableColumn id="73" xr3:uid="{00000000-0010-0000-0300-000049000000}" name="Baud Rate"/>
    <tableColumn id="75" xr3:uid="{00000000-0010-0000-0300-00004B000000}" name="Part Numbers"/>
    <tableColumn id="76" xr3:uid="{00000000-0010-0000-0300-00004C000000}" name="GCX Arm Part Numbers"/>
    <tableColumn id="72" xr3:uid="{00000000-0010-0000-0300-000048000000}" name="Pallet Association"/>
    <tableColumn id="79" xr3:uid="{00000000-0010-0000-0300-00004F000000}" name="Column2"/>
    <tableColumn id="77" xr3:uid="{00000000-0010-0000-0300-00004D000000}" name="A Secret Next Thing"/>
    <tableColumn id="81" xr3:uid="{00000000-0010-0000-0300-000051000000}" name="PERIPH | GCX Arm Deployed"/>
    <tableColumn id="82" xr3:uid="{00000000-0010-0000-0300-000052000000}" name="PERIPH | Has Keyboard"/>
    <tableColumn id="83" xr3:uid="{00000000-0010-0000-0300-000053000000}" name="PERIPH | Has Mouse"/>
    <tableColumn id="84" xr3:uid="{00000000-0010-0000-0300-000054000000}" name="PERIPH | Has Barcode Scanner"/>
    <tableColumn id="85" xr3:uid="{00000000-0010-0000-0300-000055000000}" name="PERIPH | Has Badge Scanner"/>
    <tableColumn id="86" xr3:uid="{00000000-0010-0000-0300-000056000000}" name="PERIPH | Battery Present"/>
    <tableColumn id="87" xr3:uid="{00000000-0010-0000-0300-000057000000}" name="PERIPH | Neuron Power Cable Present"/>
    <tableColumn id="88" xr3:uid="{00000000-0010-0000-0300-000058000000}" name="PERIPH | Has New Ethernet"/>
    <tableColumn id="89" xr3:uid="{00000000-0010-0000-0300-000059000000}" name="PERIPH | Has New Breakawa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test</v>
      </c>
      <c r="H2" t="str">
        <f>IFERROR(INDEX(tblDeviceConfig[PI_Use_Case],ROW()-1),"")</f>
        <v>Describe the environment in which we're deploying:
For ex, input:
"
OR iPro Cybernet Workstation
"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>
        <f>IFERROR(INDEX(tblDeviceConfig[Cybernet Hostname],ROW()-1),"")</f>
        <v>0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>
        <f>IFERROR(INDEX(tblDeviceConfig[PI_Use_Case],ROW()-1),"")</f>
        <v>0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>
        <f>IFERROR(INDEX(tblDeviceConfig[Cybernet Hostname],ROW()-1),"")</f>
        <v>0</v>
      </c>
      <c r="F50" t="str">
        <f>IFERROR(INDEX(tblDeviceConfig[Neuron Hostname],ROW()-1),"")</f>
        <v>WNH270INR001</v>
      </c>
      <c r="G50">
        <f>IFERROR(INDEX(tblDeviceConfig[Software List],ROW()-1),"")</f>
        <v>0</v>
      </c>
      <c r="H50">
        <f>IFERROR(INDEX(tblDeviceConfig[PI_Use_Case],ROW()-1),"")</f>
        <v>0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>
        <f>IFERROR(INDEX(tblDeviceConfig[Cybernet Hostname],ROW()-1),"")</f>
        <v>0</v>
      </c>
      <c r="F51" t="str">
        <f>IFERROR(INDEX(tblDeviceConfig[Neuron Hostname],ROW()-1),"")</f>
        <v>WNH270INR002</v>
      </c>
      <c r="G51">
        <f>IFERROR(INDEX(tblDeviceConfig[Software List],ROW()-1),"")</f>
        <v>0</v>
      </c>
      <c r="H51">
        <f>IFERROR(INDEX(tblDeviceConfig[PI_Use_Case],ROW()-1),"")</f>
        <v>0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>
        <f>IFERROR(INDEX(tblDeviceConfig[Cybernet Hostname],ROW()-1),"")</f>
        <v>0</v>
      </c>
      <c r="F52" t="str">
        <f>IFERROR(INDEX(tblDeviceConfig[Neuron Hostname],ROW()-1),"")</f>
        <v>WNY210OPR053</v>
      </c>
      <c r="G52">
        <f>IFERROR(INDEX(tblDeviceConfig[Software List],ROW()-1),"")</f>
        <v>0</v>
      </c>
      <c r="H52">
        <f>IFERROR(INDEX(tblDeviceConfig[PI_Use_Case],ROW()-1),"")</f>
        <v>0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>
        <f>IFERROR(INDEX(tblDeviceConfig[Cybernet Hostname],ROW()-1),"")</f>
        <v>0</v>
      </c>
      <c r="F53" t="str">
        <f>IFERROR(INDEX(tblDeviceConfig[Neuron Hostname],ROW()-1),"")</f>
        <v>WNY210OPR054</v>
      </c>
      <c r="G53">
        <f>IFERROR(INDEX(tblDeviceConfig[Software List],ROW()-1),"")</f>
        <v>0</v>
      </c>
      <c r="H53">
        <f>IFERROR(INDEX(tblDeviceConfig[PI_Use_Case],ROW()-1),"")</f>
        <v>0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>
        <f>IFERROR(INDEX(tblDeviceConfig[Cybernet Hostname],ROW()-1),"")</f>
        <v>0</v>
      </c>
      <c r="F54" t="str">
        <f>IFERROR(INDEX(tblDeviceConfig[Neuron Hostname],ROW()-1),"")</f>
        <v>WMH300OPR336</v>
      </c>
      <c r="G54">
        <f>IFERROR(INDEX(tblDeviceConfig[Software List],ROW()-1),"")</f>
        <v>0</v>
      </c>
      <c r="H54">
        <f>IFERROR(INDEX(tblDeviceConfig[PI_Use_Case],ROW()-1),"")</f>
        <v>0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>
        <f>IFERROR(INDEX(tblDeviceConfig[Cybernet Hostname],ROW()-1),"")</f>
        <v>0</v>
      </c>
      <c r="F55" t="str">
        <f>IFERROR(INDEX(tblDeviceConfig[Neuron Hostname],ROW()-1),"")</f>
        <v>WMH300OPR337</v>
      </c>
      <c r="G55">
        <f>IFERROR(INDEX(tblDeviceConfig[Software List],ROW()-1),"")</f>
        <v>0</v>
      </c>
      <c r="H55">
        <f>IFERROR(INDEX(tblDeviceConfig[PI_Use_Case],ROW()-1),"")</f>
        <v>0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>
        <f>IFERROR(INDEX(tblDeviceConfig[Cybernet Hostname],ROW()-1),"")</f>
        <v>0</v>
      </c>
      <c r="F56" t="str">
        <f>IFERROR(INDEX(tblDeviceConfig[Neuron Hostname],ROW()-1),"")</f>
        <v>WMH300OPR338</v>
      </c>
      <c r="G56">
        <f>IFERROR(INDEX(tblDeviceConfig[Software List],ROW()-1),"")</f>
        <v>0</v>
      </c>
      <c r="H56">
        <f>IFERROR(INDEX(tblDeviceConfig[PI_Use_Case],ROW()-1),"")</f>
        <v>0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>
        <f>IFERROR(INDEX(tblDeviceConfig[Cybernet Hostname],ROW()-1),"")</f>
        <v>0</v>
      </c>
      <c r="F57" t="str">
        <f>IFERROR(INDEX(tblDeviceConfig[Neuron Hostname],ROW()-1),"")</f>
        <v>WMH300OPR339</v>
      </c>
      <c r="G57">
        <f>IFERROR(INDEX(tblDeviceConfig[Software List],ROW()-1),"")</f>
        <v>0</v>
      </c>
      <c r="H57">
        <f>IFERROR(INDEX(tblDeviceConfig[PI_Use_Case],ROW()-1),"")</f>
        <v>0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>
        <f>IFERROR(INDEX(tblDeviceConfig[Cybernet Hostname],ROW()-1),"")</f>
        <v>0</v>
      </c>
      <c r="F58" t="str">
        <f>IFERROR(INDEX(tblDeviceConfig[Neuron Hostname],ROW()-1),"")</f>
        <v>WMH300OPR340</v>
      </c>
      <c r="G58">
        <f>IFERROR(INDEX(tblDeviceConfig[Software List],ROW()-1),"")</f>
        <v>0</v>
      </c>
      <c r="H58">
        <f>IFERROR(INDEX(tblDeviceConfig[PI_Use_Case],ROW()-1),"")</f>
        <v>0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>
        <f>IFERROR(INDEX(tblDeviceConfig[Cybernet Hostname],ROW()-1),"")</f>
        <v>0</v>
      </c>
      <c r="F59" t="str">
        <f>IFERROR(INDEX(tblDeviceConfig[Neuron Hostname],ROW()-1),"")</f>
        <v>WMH300OPR341</v>
      </c>
      <c r="G59">
        <f>IFERROR(INDEX(tblDeviceConfig[Software List],ROW()-1),"")</f>
        <v>0</v>
      </c>
      <c r="H59">
        <f>IFERROR(INDEX(tblDeviceConfig[PI_Use_Case],ROW()-1),"")</f>
        <v>0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>
        <f>IFERROR(INDEX(tblDeviceConfig[Cybernet Hostname],ROW()-1),"")</f>
        <v>0</v>
      </c>
      <c r="F60" t="str">
        <f>IFERROR(INDEX(tblDeviceConfig[Neuron Hostname],ROW()-1),"")</f>
        <v>WMH300OPR342</v>
      </c>
      <c r="G60">
        <f>IFERROR(INDEX(tblDeviceConfig[Software List],ROW()-1),"")</f>
        <v>0</v>
      </c>
      <c r="H60">
        <f>IFERROR(INDEX(tblDeviceConfig[PI_Use_Case],ROW()-1),"")</f>
        <v>0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>
        <f>IFERROR(INDEX(tblDeviceConfig[Cybernet Hostname],ROW()-1),"")</f>
        <v>0</v>
      </c>
      <c r="F61" t="str">
        <f>IFERROR(INDEX(tblDeviceConfig[Neuron Hostname],ROW()-1),"")</f>
        <v>WMH300OPR343</v>
      </c>
      <c r="G61">
        <f>IFERROR(INDEX(tblDeviceConfig[Software List],ROW()-1),"")</f>
        <v>0</v>
      </c>
      <c r="H61">
        <f>IFERROR(INDEX(tblDeviceConfig[PI_Use_Case],ROW()-1),"")</f>
        <v>0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>
        <f>IFERROR(INDEX(tblDeviceConfig[Cybernet Hostname],ROW()-1),"")</f>
        <v>0</v>
      </c>
      <c r="F62" t="str">
        <f>IFERROR(INDEX(tblDeviceConfig[Neuron Hostname],ROW()-1),"")</f>
        <v>WMH300OPR344</v>
      </c>
      <c r="G62">
        <f>IFERROR(INDEX(tblDeviceConfig[Software List],ROW()-1),"")</f>
        <v>0</v>
      </c>
      <c r="H62">
        <f>IFERROR(INDEX(tblDeviceConfig[PI_Use_Case],ROW()-1),"")</f>
        <v>0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>
        <f>IFERROR(INDEX(tblDeviceConfig[Cybernet Hostname],ROW()-1),"")</f>
        <v>0</v>
      </c>
      <c r="F63" t="str">
        <f>IFERROR(INDEX(tblDeviceConfig[Neuron Hostname],ROW()-1),"")</f>
        <v>WMH300OPR345</v>
      </c>
      <c r="G63">
        <f>IFERROR(INDEX(tblDeviceConfig[Software List],ROW()-1),"")</f>
        <v>0</v>
      </c>
      <c r="H63">
        <f>IFERROR(INDEX(tblDeviceConfig[PI_Use_Case],ROW()-1),"")</f>
        <v>0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>
        <f>IFERROR(INDEX(tblDeviceConfig[Cybernet Hostname],ROW()-1),"")</f>
        <v>0</v>
      </c>
      <c r="F64" t="str">
        <f>IFERROR(INDEX(tblDeviceConfig[Neuron Hostname],ROW()-1),"")</f>
        <v>WMH300OPR346</v>
      </c>
      <c r="G64">
        <f>IFERROR(INDEX(tblDeviceConfig[Software List],ROW()-1),"")</f>
        <v>0</v>
      </c>
      <c r="H64">
        <f>IFERROR(INDEX(tblDeviceConfig[PI_Use_Case],ROW()-1),"")</f>
        <v>0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>
        <f>IFERROR(INDEX(tblDeviceConfig[Cybernet Hostname],ROW()-1),"")</f>
        <v>0</v>
      </c>
      <c r="F65" t="str">
        <f>IFERROR(INDEX(tblDeviceConfig[Neuron Hostname],ROW()-1),"")</f>
        <v>WMH300OPR347</v>
      </c>
      <c r="G65">
        <f>IFERROR(INDEX(tblDeviceConfig[Software List],ROW()-1),"")</f>
        <v>0</v>
      </c>
      <c r="H65">
        <f>IFERROR(INDEX(tblDeviceConfig[PI_Use_Case],ROW()-1),"")</f>
        <v>0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>
        <f>IFERROR(INDEX(tblDeviceConfig[Cybernet Hostname],ROW()-1),"")</f>
        <v>0</v>
      </c>
      <c r="F66" t="str">
        <f>IFERROR(INDEX(tblDeviceConfig[Neuron Hostname],ROW()-1),"")</f>
        <v>WMH300OPR348</v>
      </c>
      <c r="G66">
        <f>IFERROR(INDEX(tblDeviceConfig[Software List],ROW()-1),"")</f>
        <v>0</v>
      </c>
      <c r="H66">
        <f>IFERROR(INDEX(tblDeviceConfig[PI_Use_Case],ROW()-1),"")</f>
        <v>0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>
        <f>IFERROR(INDEX(tblDeviceConfig[Cybernet Hostname],ROW()-1),"")</f>
        <v>0</v>
      </c>
      <c r="F67" t="str">
        <f>IFERROR(INDEX(tblDeviceConfig[Neuron Hostname],ROW()-1),"")</f>
        <v>WMH300OPR349</v>
      </c>
      <c r="G67">
        <f>IFERROR(INDEX(tblDeviceConfig[Software List],ROW()-1),"")</f>
        <v>0</v>
      </c>
      <c r="H67">
        <f>IFERROR(INDEX(tblDeviceConfig[PI_Use_Case],ROW()-1),"")</f>
        <v>0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>
        <f>IFERROR(INDEX(tblDeviceConfig[Cybernet Hostname],ROW()-1),"")</f>
        <v>0</v>
      </c>
      <c r="F68" t="str">
        <f>IFERROR(INDEX(tblDeviceConfig[Neuron Hostname],ROW()-1),"")</f>
        <v>WMH300OPR350</v>
      </c>
      <c r="G68">
        <f>IFERROR(INDEX(tblDeviceConfig[Software List],ROW()-1),"")</f>
        <v>0</v>
      </c>
      <c r="H68">
        <f>IFERROR(INDEX(tblDeviceConfig[PI_Use_Case],ROW()-1),"")</f>
        <v>0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>
        <f>IFERROR(INDEX(tblDeviceConfig[Cybernet Hostname],ROW()-1),"")</f>
        <v>0</v>
      </c>
      <c r="F69" t="str">
        <f>IFERROR(INDEX(tblDeviceConfig[Neuron Hostname],ROW()-1),"")</f>
        <v>WNH269OPR013</v>
      </c>
      <c r="G69">
        <f>IFERROR(INDEX(tblDeviceConfig[Software List],ROW()-1),"")</f>
        <v>0</v>
      </c>
      <c r="H69">
        <f>IFERROR(INDEX(tblDeviceConfig[PI_Use_Case],ROW()-1),"")</f>
        <v>0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No</v>
      </c>
      <c r="D70" t="str">
        <f>IFERROR(INDEX(tblDeviceConfig[Installed],ROW()-1),"")</f>
        <v>No</v>
      </c>
      <c r="E70">
        <f>IFERROR(INDEX(tblDeviceConfig[Cybernet Hostname],ROW()-1),"")</f>
        <v>0</v>
      </c>
      <c r="F70" t="str">
        <f>IFERROR(INDEX(tblDeviceConfig[Neuron Hostname],ROW()-1),"")</f>
        <v>WNH269OPR014</v>
      </c>
      <c r="G70">
        <f>IFERROR(INDEX(tblDeviceConfig[Software List],ROW()-1),"")</f>
        <v>0</v>
      </c>
      <c r="H70">
        <f>IFERROR(INDEX(tblDeviceConfig[PI_Use_Case],ROW()-1),"")</f>
        <v>0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No</v>
      </c>
      <c r="D71" t="str">
        <f>IFERROR(INDEX(tblDeviceConfig[Installed],ROW()-1),"")</f>
        <v>No</v>
      </c>
      <c r="E71">
        <f>IFERROR(INDEX(tblDeviceConfig[Cybernet Hostname],ROW()-1),"")</f>
        <v>0</v>
      </c>
      <c r="F71" t="str">
        <f>IFERROR(INDEX(tblDeviceConfig[Neuron Hostname],ROW()-1),"")</f>
        <v>WNH269OPR015</v>
      </c>
      <c r="G71">
        <f>IFERROR(INDEX(tblDeviceConfig[Software List],ROW()-1),"")</f>
        <v>0</v>
      </c>
      <c r="H71">
        <f>IFERROR(INDEX(tblDeviceConfig[PI_Use_Case],ROW()-1),"")</f>
        <v>0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No</v>
      </c>
      <c r="D72" t="str">
        <f>IFERROR(INDEX(tblDeviceConfig[Installed],ROW()-1),"")</f>
        <v>No</v>
      </c>
      <c r="E72">
        <f>IFERROR(INDEX(tblDeviceConfig[Cybernet Hostname],ROW()-1),"")</f>
        <v>0</v>
      </c>
      <c r="F72" t="str">
        <f>IFERROR(INDEX(tblDeviceConfig[Neuron Hostname],ROW()-1),"")</f>
        <v>WNH269OPR016</v>
      </c>
      <c r="G72">
        <f>IFERROR(INDEX(tblDeviceConfig[Software List],ROW()-1),"")</f>
        <v>0</v>
      </c>
      <c r="H72">
        <f>IFERROR(INDEX(tblDeviceConfig[PI_Use_Case],ROW()-1),"")</f>
        <v>0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No</v>
      </c>
      <c r="D73" t="str">
        <f>IFERROR(INDEX(tblDeviceConfig[Installed],ROW()-1),"")</f>
        <v>No</v>
      </c>
      <c r="E73">
        <f>IFERROR(INDEX(tblDeviceConfig[Cybernet Hostname],ROW()-1),"")</f>
        <v>0</v>
      </c>
      <c r="F73" t="str">
        <f>IFERROR(INDEX(tblDeviceConfig[Neuron Hostname],ROW()-1),"")</f>
        <v>WNH269OPR017</v>
      </c>
      <c r="G73">
        <f>IFERROR(INDEX(tblDeviceConfig[Software List],ROW()-1),"")</f>
        <v>0</v>
      </c>
      <c r="H73">
        <f>IFERROR(INDEX(tblDeviceConfig[PI_Use_Case],ROW()-1),"")</f>
        <v>0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No</v>
      </c>
      <c r="D74" t="str">
        <f>IFERROR(INDEX(tblDeviceConfig[Installed],ROW()-1),"")</f>
        <v>No</v>
      </c>
      <c r="E74">
        <f>IFERROR(INDEX(tblDeviceConfig[Cybernet Hostname],ROW()-1),"")</f>
        <v>0</v>
      </c>
      <c r="F74" t="str">
        <f>IFERROR(INDEX(tblDeviceConfig[Neuron Hostname],ROW()-1),"")</f>
        <v>WNH269OPR018</v>
      </c>
      <c r="G74">
        <f>IFERROR(INDEX(tblDeviceConfig[Software List],ROW()-1),"")</f>
        <v>0</v>
      </c>
      <c r="H74">
        <f>IFERROR(INDEX(tblDeviceConfig[PI_Use_Case],ROW()-1),"")</f>
        <v>0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No</v>
      </c>
      <c r="D75" t="str">
        <f>IFERROR(INDEX(tblDeviceConfig[Installed],ROW()-1),"")</f>
        <v>No</v>
      </c>
      <c r="E75">
        <f>IFERROR(INDEX(tblDeviceConfig[Cybernet Hostname],ROW()-1),"")</f>
        <v>0</v>
      </c>
      <c r="F75" t="str">
        <f>IFERROR(INDEX(tblDeviceConfig[Neuron Hostname],ROW()-1),"")</f>
        <v>WNH269OPR019</v>
      </c>
      <c r="G75">
        <f>IFERROR(INDEX(tblDeviceConfig[Software List],ROW()-1),"")</f>
        <v>0</v>
      </c>
      <c r="H75">
        <f>IFERROR(INDEX(tblDeviceConfig[PI_Use_Case],ROW()-1),"")</f>
        <v>0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No</v>
      </c>
      <c r="D76" t="str">
        <f>IFERROR(INDEX(tblDeviceConfig[Installed],ROW()-1),"")</f>
        <v>No</v>
      </c>
      <c r="E76">
        <f>IFERROR(INDEX(tblDeviceConfig[Cybernet Hostname],ROW()-1),"")</f>
        <v>0</v>
      </c>
      <c r="F76" t="str">
        <f>IFERROR(INDEX(tblDeviceConfig[Neuron Hostname],ROW()-1),"")</f>
        <v>WNH269OPR020</v>
      </c>
      <c r="G76">
        <f>IFERROR(INDEX(tblDeviceConfig[Software List],ROW()-1),"")</f>
        <v>0</v>
      </c>
      <c r="H76">
        <f>IFERROR(INDEX(tblDeviceConfig[PI_Use_Case],ROW()-1),"")</f>
        <v>0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No</v>
      </c>
      <c r="D77" t="str">
        <f>IFERROR(INDEX(tblDeviceConfig[Installed],ROW()-1),"")</f>
        <v>No</v>
      </c>
      <c r="E77">
        <f>IFERROR(INDEX(tblDeviceConfig[Cybernet Hostname],ROW()-1),"")</f>
        <v>0</v>
      </c>
      <c r="F77" t="str">
        <f>IFERROR(INDEX(tblDeviceConfig[Neuron Hostname],ROW()-1),"")</f>
        <v>WNH269OPR021</v>
      </c>
      <c r="G77">
        <f>IFERROR(INDEX(tblDeviceConfig[Software List],ROW()-1),"")</f>
        <v>0</v>
      </c>
      <c r="H77">
        <f>IFERROR(INDEX(tblDeviceConfig[PI_Use_Case],ROW()-1),"")</f>
        <v>0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>
        <f>IFERROR(INDEX(tblDeviceConfig[Deployed],ROW()-1),"")</f>
        <v>0</v>
      </c>
      <c r="D78" t="str">
        <f>IFERROR(INDEX(tblDeviceConfig[Installed],ROW()-1),"")</f>
        <v>No</v>
      </c>
      <c r="E78">
        <f>IFERROR(INDEX(tblDeviceConfig[Cybernet Hostname],ROW()-1),"")</f>
        <v>0</v>
      </c>
      <c r="F78" t="str">
        <f>IFERROR(INDEX(tblDeviceConfig[Neuron Hostname],ROW()-1),"")</f>
        <v>WLS450OPR001</v>
      </c>
      <c r="G78">
        <f>IFERROR(INDEX(tblDeviceConfig[Software List],ROW()-1),"")</f>
        <v>0</v>
      </c>
      <c r="H78">
        <f>IFERROR(INDEX(tblDeviceConfig[PI_Use_Case],ROW()-1),"")</f>
        <v>0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>
        <f>IFERROR(INDEX(tblDeviceConfig[Deployed],ROW()-1),"")</f>
        <v>0</v>
      </c>
      <c r="D79" t="str">
        <f>IFERROR(INDEX(tblDeviceConfig[Installed],ROW()-1),"")</f>
        <v>No</v>
      </c>
      <c r="E79">
        <f>IFERROR(INDEX(tblDeviceConfig[Cybernet Hostname],ROW()-1),"")</f>
        <v>0</v>
      </c>
      <c r="F79" t="str">
        <f>IFERROR(INDEX(tblDeviceConfig[Neuron Hostname],ROW()-1),"")</f>
        <v>WLS450OPR002</v>
      </c>
      <c r="G79">
        <f>IFERROR(INDEX(tblDeviceConfig[Software List],ROW()-1),"")</f>
        <v>0</v>
      </c>
      <c r="H79">
        <f>IFERROR(INDEX(tblDeviceConfig[PI_Use_Case],ROW()-1),"")</f>
        <v>0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>
        <f>IFERROR(INDEX(tblDeviceConfig[Deployed],ROW()-1),"")</f>
        <v>0</v>
      </c>
      <c r="D80" t="str">
        <f>IFERROR(INDEX(tblDeviceConfig[Installed],ROW()-1),"")</f>
        <v>No</v>
      </c>
      <c r="E80">
        <f>IFERROR(INDEX(tblDeviceConfig[Cybernet Hostname],ROW()-1),"")</f>
        <v>0</v>
      </c>
      <c r="F80" t="str">
        <f>IFERROR(INDEX(tblDeviceConfig[Neuron Hostname],ROW()-1),"")</f>
        <v>WLS450OPR003</v>
      </c>
      <c r="G80">
        <f>IFERROR(INDEX(tblDeviceConfig[Software List],ROW()-1),"")</f>
        <v>0</v>
      </c>
      <c r="H80">
        <f>IFERROR(INDEX(tblDeviceConfig[PI_Use_Case],ROW()-1),"")</f>
        <v>0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>
        <f>IFERROR(INDEX(tblDeviceConfig[Deployed],ROW()-1),"")</f>
        <v>0</v>
      </c>
      <c r="D81" t="str">
        <f>IFERROR(INDEX(tblDeviceConfig[Installed],ROW()-1),"")</f>
        <v>No</v>
      </c>
      <c r="E81">
        <f>IFERROR(INDEX(tblDeviceConfig[Cybernet Hostname],ROW()-1),"")</f>
        <v>0</v>
      </c>
      <c r="F81" t="str">
        <f>IFERROR(INDEX(tblDeviceConfig[Neuron Hostname],ROW()-1),"")</f>
        <v>WLS450OPR004</v>
      </c>
      <c r="G81">
        <f>IFERROR(INDEX(tblDeviceConfig[Software List],ROW()-1),"")</f>
        <v>0</v>
      </c>
      <c r="H81">
        <f>IFERROR(INDEX(tblDeviceConfig[PI_Use_Case],ROW()-1),"")</f>
        <v>0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>
        <f>IFERROR(INDEX(tblDeviceConfig[Deployed],ROW()-1),"")</f>
        <v>0</v>
      </c>
      <c r="D82" t="str">
        <f>IFERROR(INDEX(tblDeviceConfig[Installed],ROW()-1),"")</f>
        <v>No</v>
      </c>
      <c r="E82">
        <f>IFERROR(INDEX(tblDeviceConfig[Cybernet Hostname],ROW()-1),"")</f>
        <v>0</v>
      </c>
      <c r="F82" t="str">
        <f>IFERROR(INDEX(tblDeviceConfig[Neuron Hostname],ROW()-1),"")</f>
        <v>WLS450OPR005</v>
      </c>
      <c r="G82">
        <f>IFERROR(INDEX(tblDeviceConfig[Software List],ROW()-1),"")</f>
        <v>0</v>
      </c>
      <c r="H82">
        <f>IFERROR(INDEX(tblDeviceConfig[PI_Use_Case],ROW()-1),"")</f>
        <v>0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>
        <f>IFERROR(INDEX(tblDeviceConfig[Deployed],ROW()-1),"")</f>
        <v>0</v>
      </c>
      <c r="D83" t="str">
        <f>IFERROR(INDEX(tblDeviceConfig[Installed],ROW()-1),"")</f>
        <v>No</v>
      </c>
      <c r="E83">
        <f>IFERROR(INDEX(tblDeviceConfig[Cybernet Hostname],ROW()-1),"")</f>
        <v>0</v>
      </c>
      <c r="F83" t="str">
        <f>IFERROR(INDEX(tblDeviceConfig[Neuron Hostname],ROW()-1),"")</f>
        <v>WLS450OPR006</v>
      </c>
      <c r="G83">
        <f>IFERROR(INDEX(tblDeviceConfig[Software List],ROW()-1),"")</f>
        <v>0</v>
      </c>
      <c r="H83">
        <f>IFERROR(INDEX(tblDeviceConfig[PI_Use_Case],ROW()-1),"")</f>
        <v>0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>
        <f>IFERROR(INDEX(tblDeviceConfig[Deployed],ROW()-1),"")</f>
        <v>0</v>
      </c>
      <c r="D84" t="str">
        <f>IFERROR(INDEX(tblDeviceConfig[Installed],ROW()-1),"")</f>
        <v>No</v>
      </c>
      <c r="E84">
        <f>IFERROR(INDEX(tblDeviceConfig[Cybernet Hostname],ROW()-1),"")</f>
        <v>0</v>
      </c>
      <c r="F84" t="str">
        <f>IFERROR(INDEX(tblDeviceConfig[Neuron Hostname],ROW()-1),"")</f>
        <v>WLS450OPR007</v>
      </c>
      <c r="G84">
        <f>IFERROR(INDEX(tblDeviceConfig[Software List],ROW()-1),"")</f>
        <v>0</v>
      </c>
      <c r="H84">
        <f>IFERROR(INDEX(tblDeviceConfig[PI_Use_Case],ROW()-1),"")</f>
        <v>0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>
        <f>IFERROR(INDEX(tblDeviceConfig[Cybernet Hostname],ROW()-1),"")</f>
        <v>0</v>
      </c>
      <c r="F85" t="str">
        <f>IFERROR(INDEX(tblDeviceConfig[Neuron Hostname],ROW()-1),"")</f>
        <v>WNH269OPR022</v>
      </c>
      <c r="G85">
        <f>IFERROR(INDEX(tblDeviceConfig[Software List],ROW()-1),"")</f>
        <v>0</v>
      </c>
      <c r="H85">
        <f>IFERROR(INDEX(tblDeviceConfig[PI_Use_Case],ROW()-1),"")</f>
        <v>0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>
        <f>IFERROR(INDEX(tblDeviceConfig[Cybernet Hostname],ROW()-1),"")</f>
        <v>0</v>
      </c>
      <c r="F86" t="str">
        <f>IFERROR(INDEX(tblDeviceConfig[Neuron Hostname],ROW()-1),"")</f>
        <v>WNH269OPR023</v>
      </c>
      <c r="G86">
        <f>IFERROR(INDEX(tblDeviceConfig[Software List],ROW()-1),"")</f>
        <v>0</v>
      </c>
      <c r="H86">
        <f>IFERROR(INDEX(tblDeviceConfig[PI_Use_Case],ROW()-1),"")</f>
        <v>0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>
        <f>IFERROR(INDEX(tblDeviceConfig[Cybernet Hostname],ROW()-1),"")</f>
        <v>0</v>
      </c>
      <c r="F87" t="str">
        <f>IFERROR(INDEX(tblDeviceConfig[Neuron Hostname],ROW()-1),"")</f>
        <v>WNH269OPR024</v>
      </c>
      <c r="G87">
        <f>IFERROR(INDEX(tblDeviceConfig[Software List],ROW()-1),"")</f>
        <v>0</v>
      </c>
      <c r="H87">
        <f>IFERROR(INDEX(tblDeviceConfig[PI_Use_Case],ROW()-1),"")</f>
        <v>0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>
        <f>IFERROR(INDEX(tblDeviceConfig[Cybernet Hostname],ROW()-1),"")</f>
        <v>0</v>
      </c>
      <c r="F88" t="str">
        <f>IFERROR(INDEX(tblDeviceConfig[Neuron Hostname],ROW()-1),"")</f>
        <v>WNH269OPR025</v>
      </c>
      <c r="G88">
        <f>IFERROR(INDEX(tblDeviceConfig[Software List],ROW()-1),"")</f>
        <v>0</v>
      </c>
      <c r="H88">
        <f>IFERROR(INDEX(tblDeviceConfig[PI_Use_Case],ROW()-1),"")</f>
        <v>0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>
        <f>IFERROR(INDEX(tblDeviceConfig[Cybernet Hostname],ROW()-1),"")</f>
        <v>0</v>
      </c>
      <c r="F89" t="str">
        <f>IFERROR(INDEX(tblDeviceConfig[Neuron Hostname],ROW()-1),"")</f>
        <v>WNH269OPR026</v>
      </c>
      <c r="G89">
        <f>IFERROR(INDEX(tblDeviceConfig[Software List],ROW()-1),"")</f>
        <v>0</v>
      </c>
      <c r="H89">
        <f>IFERROR(INDEX(tblDeviceConfig[PI_Use_Case],ROW()-1),"")</f>
        <v>0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>
        <f>IFERROR(INDEX(tblDeviceConfig[Deployed],ROW()-1),"")</f>
        <v>0</v>
      </c>
      <c r="D90" t="str">
        <f>IFERROR(INDEX(tblDeviceConfig[Installed],ROW()-1),"")</f>
        <v>No</v>
      </c>
      <c r="E90">
        <f>IFERROR(INDEX(tblDeviceConfig[Cybernet Hostname],ROW()-1),"")</f>
        <v>0</v>
      </c>
      <c r="F90" t="str">
        <f>IFERROR(INDEX(tblDeviceConfig[Neuron Hostname],ROW()-1),"")</f>
        <v>WNH270OPR403</v>
      </c>
      <c r="G90">
        <f>IFERROR(INDEX(tblDeviceConfig[Software List],ROW()-1),"")</f>
        <v>0</v>
      </c>
      <c r="H90">
        <f>IFERROR(INDEX(tblDeviceConfig[PI_Use_Case],ROW()-1),"")</f>
        <v>0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>
        <f>IFERROR(INDEX(tblDeviceConfig[Deployed],ROW()-1),"")</f>
        <v>0</v>
      </c>
      <c r="D91" t="str">
        <f>IFERROR(INDEX(tblDeviceConfig[Installed],ROW()-1),"")</f>
        <v>No</v>
      </c>
      <c r="E91">
        <f>IFERROR(INDEX(tblDeviceConfig[Cybernet Hostname],ROW()-1),"")</f>
        <v>0</v>
      </c>
      <c r="F91" t="str">
        <f>IFERROR(INDEX(tblDeviceConfig[Neuron Hostname],ROW()-1),"")</f>
        <v>WNH270OPR404</v>
      </c>
      <c r="G91">
        <f>IFERROR(INDEX(tblDeviceConfig[Software List],ROW()-1),"")</f>
        <v>0</v>
      </c>
      <c r="H91">
        <f>IFERROR(INDEX(tblDeviceConfig[PI_Use_Case],ROW()-1),"")</f>
        <v>0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>
        <f>IFERROR(INDEX(tblDeviceConfig[Deployed],ROW()-1),"")</f>
        <v>0</v>
      </c>
      <c r="D92" t="str">
        <f>IFERROR(INDEX(tblDeviceConfig[Installed],ROW()-1),"")</f>
        <v>No</v>
      </c>
      <c r="E92">
        <f>IFERROR(INDEX(tblDeviceConfig[Cybernet Hostname],ROW()-1),"")</f>
        <v>0</v>
      </c>
      <c r="F92" t="str">
        <f>IFERROR(INDEX(tblDeviceConfig[Neuron Hostname],ROW()-1),"")</f>
        <v>WNH270OPR405</v>
      </c>
      <c r="G92">
        <f>IFERROR(INDEX(tblDeviceConfig[Software List],ROW()-1),"")</f>
        <v>0</v>
      </c>
      <c r="H92">
        <f>IFERROR(INDEX(tblDeviceConfig[PI_Use_Case],ROW()-1),"")</f>
        <v>0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>
        <f>IFERROR(INDEX(tblDeviceConfig[Deployed],ROW()-1),"")</f>
        <v>0</v>
      </c>
      <c r="D93" t="str">
        <f>IFERROR(INDEX(tblDeviceConfig[Installed],ROW()-1),"")</f>
        <v>No</v>
      </c>
      <c r="E93">
        <f>IFERROR(INDEX(tblDeviceConfig[Cybernet Hostname],ROW()-1),"")</f>
        <v>0</v>
      </c>
      <c r="F93" t="str">
        <f>IFERROR(INDEX(tblDeviceConfig[Neuron Hostname],ROW()-1),"")</f>
        <v>WNH270OPR406</v>
      </c>
      <c r="G93">
        <f>IFERROR(INDEX(tblDeviceConfig[Software List],ROW()-1),"")</f>
        <v>0</v>
      </c>
      <c r="H93">
        <f>IFERROR(INDEX(tblDeviceConfig[PI_Use_Case],ROW()-1),"")</f>
        <v>0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>
        <f>IFERROR(INDEX(tblDeviceConfig[Deployed],ROW()-1),"")</f>
        <v>0</v>
      </c>
      <c r="D94" t="str">
        <f>IFERROR(INDEX(tblDeviceConfig[Installed],ROW()-1),"")</f>
        <v>No</v>
      </c>
      <c r="E94">
        <f>IFERROR(INDEX(tblDeviceConfig[Cybernet Hostname],ROW()-1),"")</f>
        <v>0</v>
      </c>
      <c r="F94" t="str">
        <f>IFERROR(INDEX(tblDeviceConfig[Neuron Hostname],ROW()-1),"")</f>
        <v>WNH270OPR407</v>
      </c>
      <c r="G94">
        <f>IFERROR(INDEX(tblDeviceConfig[Software List],ROW()-1),"")</f>
        <v>0</v>
      </c>
      <c r="H94">
        <f>IFERROR(INDEX(tblDeviceConfig[PI_Use_Case],ROW()-1),"")</f>
        <v>0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>
        <f>IFERROR(INDEX(tblDeviceConfig[Deployed],ROW()-1),"")</f>
        <v>0</v>
      </c>
      <c r="D95" t="str">
        <f>IFERROR(INDEX(tblDeviceConfig[Installed],ROW()-1),"")</f>
        <v>No</v>
      </c>
      <c r="E95">
        <f>IFERROR(INDEX(tblDeviceConfig[Cybernet Hostname],ROW()-1),"")</f>
        <v>0</v>
      </c>
      <c r="F95" t="str">
        <f>IFERROR(INDEX(tblDeviceConfig[Neuron Hostname],ROW()-1),"")</f>
        <v>WNH270OPR408</v>
      </c>
      <c r="G95">
        <f>IFERROR(INDEX(tblDeviceConfig[Software List],ROW()-1),"")</f>
        <v>0</v>
      </c>
      <c r="H95">
        <f>IFERROR(INDEX(tblDeviceConfig[PI_Use_Case],ROW()-1),"")</f>
        <v>0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>
        <f>IFERROR(INDEX(tblDeviceConfig[Deployed],ROW()-1),"")</f>
        <v>0</v>
      </c>
      <c r="D96" t="str">
        <f>IFERROR(INDEX(tblDeviceConfig[Installed],ROW()-1),"")</f>
        <v>No</v>
      </c>
      <c r="E96">
        <f>IFERROR(INDEX(tblDeviceConfig[Cybernet Hostname],ROW()-1),"")</f>
        <v>0</v>
      </c>
      <c r="F96" t="str">
        <f>IFERROR(INDEX(tblDeviceConfig[Neuron Hostname],ROW()-1),"")</f>
        <v>WNH270OPR409</v>
      </c>
      <c r="G96">
        <f>IFERROR(INDEX(tblDeviceConfig[Software List],ROW()-1),"")</f>
        <v>0</v>
      </c>
      <c r="H96">
        <f>IFERROR(INDEX(tblDeviceConfig[PI_Use_Case],ROW()-1),"")</f>
        <v>0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>
        <f>IFERROR(INDEX(tblDeviceConfig[Deployed],ROW()-1),"")</f>
        <v>0</v>
      </c>
      <c r="D97" t="str">
        <f>IFERROR(INDEX(tblDeviceConfig[Installed],ROW()-1),"")</f>
        <v>No</v>
      </c>
      <c r="E97">
        <f>IFERROR(INDEX(tblDeviceConfig[Cybernet Hostname],ROW()-1),"")</f>
        <v>0</v>
      </c>
      <c r="F97" t="str">
        <f>IFERROR(INDEX(tblDeviceConfig[Neuron Hostname],ROW()-1),"")</f>
        <v>WNH270OPR410</v>
      </c>
      <c r="G97">
        <f>IFERROR(INDEX(tblDeviceConfig[Software List],ROW()-1),"")</f>
        <v>0</v>
      </c>
      <c r="H97">
        <f>IFERROR(INDEX(tblDeviceConfig[PI_Use_Case],ROW()-1),"")</f>
        <v>0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>
        <f>IFERROR(INDEX(tblDeviceConfig[Deployed],ROW()-1),"")</f>
        <v>0</v>
      </c>
      <c r="D98" t="str">
        <f>IFERROR(INDEX(tblDeviceConfig[Installed],ROW()-1),"")</f>
        <v>No</v>
      </c>
      <c r="E98">
        <f>IFERROR(INDEX(tblDeviceConfig[Cybernet Hostname],ROW()-1),"")</f>
        <v>0</v>
      </c>
      <c r="F98" t="str">
        <f>IFERROR(INDEX(tblDeviceConfig[Neuron Hostname],ROW()-1),"")</f>
        <v>WNH270OPR411</v>
      </c>
      <c r="G98">
        <f>IFERROR(INDEX(tblDeviceConfig[Software List],ROW()-1),"")</f>
        <v>0</v>
      </c>
      <c r="H98">
        <f>IFERROR(INDEX(tblDeviceConfig[PI_Use_Case],ROW()-1),"")</f>
        <v>0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>
        <f>IFERROR(INDEX(tblDeviceConfig[Deployed],ROW()-1),"")</f>
        <v>0</v>
      </c>
      <c r="D99" t="str">
        <f>IFERROR(INDEX(tblDeviceConfig[Installed],ROW()-1),"")</f>
        <v>No</v>
      </c>
      <c r="E99">
        <f>IFERROR(INDEX(tblDeviceConfig[Cybernet Hostname],ROW()-1),"")</f>
        <v>0</v>
      </c>
      <c r="F99" t="str">
        <f>IFERROR(INDEX(tblDeviceConfig[Neuron Hostname],ROW()-1),"")</f>
        <v>WNH270OPR412</v>
      </c>
      <c r="G99">
        <f>IFERROR(INDEX(tblDeviceConfig[Software List],ROW()-1),"")</f>
        <v>0</v>
      </c>
      <c r="H99">
        <f>IFERROR(INDEX(tblDeviceConfig[PI_Use_Case],ROW()-1),"")</f>
        <v>0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>
        <f>IFERROR(INDEX(tblDeviceConfig[Deployed],ROW()-1),"")</f>
        <v>0</v>
      </c>
      <c r="D100" t="str">
        <f>IFERROR(INDEX(tblDeviceConfig[Installed],ROW()-1),"")</f>
        <v>No</v>
      </c>
      <c r="E100">
        <f>IFERROR(INDEX(tblDeviceConfig[Cybernet Hostname],ROW()-1),"")</f>
        <v>0</v>
      </c>
      <c r="F100" t="str">
        <f>IFERROR(INDEX(tblDeviceConfig[Neuron Hostname],ROW()-1),"")</f>
        <v>BROKEN - Bluescreen@boot</v>
      </c>
      <c r="G100">
        <f>IFERROR(INDEX(tblDeviceConfig[Software List],ROW()-1),"")</f>
        <v>0</v>
      </c>
      <c r="H100">
        <f>IFERROR(INDEX(tblDeviceConfig[PI_Use_Case],ROW()-1),"")</f>
        <v>0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>
        <f>IFERROR(INDEX(tblDeviceConfig[Deployed],ROW()-1),"")</f>
        <v>0</v>
      </c>
      <c r="D101" t="str">
        <f>IFERROR(INDEX(tblDeviceConfig[Installed],ROW()-1),"")</f>
        <v>No</v>
      </c>
      <c r="E101">
        <f>IFERROR(INDEX(tblDeviceConfig[Cybernet Hostname],ROW()-1),"")</f>
        <v>0</v>
      </c>
      <c r="F101" t="str">
        <f>IFERROR(INDEX(tblDeviceConfig[Neuron Hostname],ROW()-1),"")</f>
        <v>WNH270OPR413</v>
      </c>
      <c r="G101">
        <f>IFERROR(INDEX(tblDeviceConfig[Software List],ROW()-1),"")</f>
        <v>0</v>
      </c>
      <c r="H101">
        <f>IFERROR(INDEX(tblDeviceConfig[PI_Use_Case],ROW()-1),"")</f>
        <v>0</v>
      </c>
      <c r="I101">
        <f>IFERROR(INDEX(tblDeviceConfig[PI_Result],ROW()-1),"")</f>
        <v>0</v>
      </c>
      <c r="J101">
        <f>IFERROR(INDEX(tblDeviceConfig[PI_Validated_By],ROW()-1),"")</f>
        <v>0</v>
      </c>
      <c r="K101">
        <f>IFERROR(INDEX(tblDeviceConfig[PI_Validated_Date],ROW()-1),"")</f>
        <v>0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>
        <f>IFERROR(INDEX(tblDeviceConfig[Deployed],ROW()-1),"")</f>
        <v>0</v>
      </c>
      <c r="D102" t="str">
        <f>IFERROR(INDEX(tblDeviceConfig[Installed],ROW()-1),"")</f>
        <v>No</v>
      </c>
      <c r="E102">
        <f>IFERROR(INDEX(tblDeviceConfig[Cybernet Hostname],ROW()-1),"")</f>
        <v>0</v>
      </c>
      <c r="F102" t="str">
        <f>IFERROR(INDEX(tblDeviceConfig[Neuron Hostname],ROW()-1),"")</f>
        <v>WNH270OPR414</v>
      </c>
      <c r="G102">
        <f>IFERROR(INDEX(tblDeviceConfig[Software List],ROW()-1),"")</f>
        <v>0</v>
      </c>
      <c r="H102">
        <f>IFERROR(INDEX(tblDeviceConfig[PI_Use_Case],ROW()-1),"")</f>
        <v>0</v>
      </c>
      <c r="I102">
        <f>IFERROR(INDEX(tblDeviceConfig[PI_Result],ROW()-1),"")</f>
        <v>0</v>
      </c>
      <c r="J102">
        <f>IFERROR(INDEX(tblDeviceConfig[PI_Validated_By],ROW()-1),"")</f>
        <v>0</v>
      </c>
      <c r="K102">
        <f>IFERROR(INDEX(tblDeviceConfig[PI_Validated_Date],ROW()-1),"")</f>
        <v>0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>
        <f>IFERROR(INDEX(tblDeviceConfig[Deployed],ROW()-1),"")</f>
        <v>0</v>
      </c>
      <c r="D103" t="str">
        <f>IFERROR(INDEX(tblDeviceConfig[Installed],ROW()-1),"")</f>
        <v>No</v>
      </c>
      <c r="E103">
        <f>IFERROR(INDEX(tblDeviceConfig[Cybernet Hostname],ROW()-1),"")</f>
        <v>0</v>
      </c>
      <c r="F103" t="str">
        <f>IFERROR(INDEX(tblDeviceConfig[Neuron Hostname],ROW()-1),"")</f>
        <v>WNH270OPR415</v>
      </c>
      <c r="G103">
        <f>IFERROR(INDEX(tblDeviceConfig[Software List],ROW()-1),"")</f>
        <v>0</v>
      </c>
      <c r="H103">
        <f>IFERROR(INDEX(tblDeviceConfig[PI_Use_Case],ROW()-1),"")</f>
        <v>0</v>
      </c>
      <c r="I103">
        <f>IFERROR(INDEX(tblDeviceConfig[PI_Result],ROW()-1),"")</f>
        <v>0</v>
      </c>
      <c r="J103">
        <f>IFERROR(INDEX(tblDeviceConfig[PI_Validated_By],ROW()-1),"")</f>
        <v>0</v>
      </c>
      <c r="K103">
        <f>IFERROR(INDEX(tblDeviceConfig[PI_Validated_Date],ROW()-1),"")</f>
        <v>0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>
        <f>IFERROR(INDEX(tblDeviceConfig[Deployed],ROW()-1),"")</f>
        <v>0</v>
      </c>
      <c r="D104" t="str">
        <f>IFERROR(INDEX(tblDeviceConfig[Installed],ROW()-1),"")</f>
        <v>No</v>
      </c>
      <c r="E104">
        <f>IFERROR(INDEX(tblDeviceConfig[Cybernet Hostname],ROW()-1),"")</f>
        <v>0</v>
      </c>
      <c r="F104" t="str">
        <f>IFERROR(INDEX(tblDeviceConfig[Neuron Hostname],ROW()-1),"")</f>
        <v>WNH270OPR416</v>
      </c>
      <c r="G104">
        <f>IFERROR(INDEX(tblDeviceConfig[Software List],ROW()-1),"")</f>
        <v>0</v>
      </c>
      <c r="H104">
        <f>IFERROR(INDEX(tblDeviceConfig[PI_Use_Case],ROW()-1),"")</f>
        <v>0</v>
      </c>
      <c r="I104">
        <f>IFERROR(INDEX(tblDeviceConfig[PI_Result],ROW()-1),"")</f>
        <v>0</v>
      </c>
      <c r="J104">
        <f>IFERROR(INDEX(tblDeviceConfig[PI_Validated_By],ROW()-1),"")</f>
        <v>0</v>
      </c>
      <c r="K104">
        <f>IFERROR(INDEX(tblDeviceConfig[PI_Validated_Date],ROW()-1),"")</f>
        <v>0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>
        <f>IFERROR(INDEX(tblDeviceConfig[Deployed],ROW()-1),"")</f>
        <v>0</v>
      </c>
      <c r="D105" t="str">
        <f>IFERROR(INDEX(tblDeviceConfig[Installed],ROW()-1),"")</f>
        <v>No</v>
      </c>
      <c r="E105">
        <f>IFERROR(INDEX(tblDeviceConfig[Cybernet Hostname],ROW()-1),"")</f>
        <v>0</v>
      </c>
      <c r="F105" t="str">
        <f>IFERROR(INDEX(tblDeviceConfig[Neuron Hostname],ROW()-1),"")</f>
        <v>WNH270OPR417</v>
      </c>
      <c r="G105">
        <f>IFERROR(INDEX(tblDeviceConfig[Software List],ROW()-1),"")</f>
        <v>0</v>
      </c>
      <c r="H105">
        <f>IFERROR(INDEX(tblDeviceConfig[PI_Use_Case],ROW()-1),"")</f>
        <v>0</v>
      </c>
      <c r="I105">
        <f>IFERROR(INDEX(tblDeviceConfig[PI_Result],ROW()-1),"")</f>
        <v>0</v>
      </c>
      <c r="J105">
        <f>IFERROR(INDEX(tblDeviceConfig[PI_Validated_By],ROW()-1),"")</f>
        <v>0</v>
      </c>
      <c r="K105">
        <f>IFERROR(INDEX(tblDeviceConfig[PI_Validated_Date],ROW()-1),"")</f>
        <v>0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>
        <f>IFERROR(INDEX(tblDeviceConfig[Deployed],ROW()-1),"")</f>
        <v>0</v>
      </c>
      <c r="D106" t="str">
        <f>IFERROR(INDEX(tblDeviceConfig[Installed],ROW()-1),"")</f>
        <v>No</v>
      </c>
      <c r="E106">
        <f>IFERROR(INDEX(tblDeviceConfig[Cybernet Hostname],ROW()-1),"")</f>
        <v>0</v>
      </c>
      <c r="F106" t="str">
        <f>IFERROR(INDEX(tblDeviceConfig[Neuron Hostname],ROW()-1),"")</f>
        <v>WNH270OPR418</v>
      </c>
      <c r="G106">
        <f>IFERROR(INDEX(tblDeviceConfig[Software List],ROW()-1),"")</f>
        <v>0</v>
      </c>
      <c r="H106">
        <f>IFERROR(INDEX(tblDeviceConfig[PI_Use_Case],ROW()-1),"")</f>
        <v>0</v>
      </c>
      <c r="I106">
        <f>IFERROR(INDEX(tblDeviceConfig[PI_Result],ROW()-1),"")</f>
        <v>0</v>
      </c>
      <c r="J106">
        <f>IFERROR(INDEX(tblDeviceConfig[PI_Validated_By],ROW()-1),"")</f>
        <v>0</v>
      </c>
      <c r="K106">
        <f>IFERROR(INDEX(tblDeviceConfig[PI_Validated_Date],ROW()-1),"")</f>
        <v>0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>
        <f>IFERROR(INDEX(tblDeviceConfig[Deployed],ROW()-1),"")</f>
        <v>0</v>
      </c>
      <c r="D107" t="str">
        <f>IFERROR(INDEX(tblDeviceConfig[Installed],ROW()-1),"")</f>
        <v>No</v>
      </c>
      <c r="E107">
        <f>IFERROR(INDEX(tblDeviceConfig[Cybernet Hostname],ROW()-1),"")</f>
        <v>0</v>
      </c>
      <c r="F107" t="str">
        <f>IFERROR(INDEX(tblDeviceConfig[Neuron Hostname],ROW()-1),"")</f>
        <v>WNH270OPR419</v>
      </c>
      <c r="G107">
        <f>IFERROR(INDEX(tblDeviceConfig[Software List],ROW()-1),"")</f>
        <v>0</v>
      </c>
      <c r="H107">
        <f>IFERROR(INDEX(tblDeviceConfig[PI_Use_Case],ROW()-1),"")</f>
        <v>0</v>
      </c>
      <c r="I107">
        <f>IFERROR(INDEX(tblDeviceConfig[PI_Result],ROW()-1),"")</f>
        <v>0</v>
      </c>
      <c r="J107">
        <f>IFERROR(INDEX(tblDeviceConfig[PI_Validated_By],ROW()-1),"")</f>
        <v>0</v>
      </c>
      <c r="K107">
        <f>IFERROR(INDEX(tblDeviceConfig[PI_Validated_Date],ROW()-1),"")</f>
        <v>0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>
        <f>IFERROR(INDEX(tblDeviceConfig[Deployed],ROW()-1),"")</f>
        <v>0</v>
      </c>
      <c r="D108" t="str">
        <f>IFERROR(INDEX(tblDeviceConfig[Installed],ROW()-1),"")</f>
        <v>No</v>
      </c>
      <c r="E108">
        <f>IFERROR(INDEX(tblDeviceConfig[Cybernet Hostname],ROW()-1),"")</f>
        <v>0</v>
      </c>
      <c r="F108" t="str">
        <f>IFERROR(INDEX(tblDeviceConfig[Neuron Hostname],ROW()-1),"")</f>
        <v>WNH270OPR420</v>
      </c>
      <c r="G108">
        <f>IFERROR(INDEX(tblDeviceConfig[Software List],ROW()-1),"")</f>
        <v>0</v>
      </c>
      <c r="H108">
        <f>IFERROR(INDEX(tblDeviceConfig[PI_Use_Case],ROW()-1),"")</f>
        <v>0</v>
      </c>
      <c r="I108">
        <f>IFERROR(INDEX(tblDeviceConfig[PI_Result],ROW()-1),"")</f>
        <v>0</v>
      </c>
      <c r="J108">
        <f>IFERROR(INDEX(tblDeviceConfig[PI_Validated_By],ROW()-1),"")</f>
        <v>0</v>
      </c>
      <c r="K108">
        <f>IFERROR(INDEX(tblDeviceConfig[PI_Validated_Date],ROW()-1),"")</f>
        <v>0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>
        <f>IFERROR(INDEX(tblDeviceConfig[Deployed],ROW()-1),"")</f>
        <v>0</v>
      </c>
      <c r="D109" t="str">
        <f>IFERROR(INDEX(tblDeviceConfig[Installed],ROW()-1),"")</f>
        <v>No</v>
      </c>
      <c r="E109">
        <f>IFERROR(INDEX(tblDeviceConfig[Cybernet Hostname],ROW()-1),"")</f>
        <v>0</v>
      </c>
      <c r="F109" t="str">
        <f>IFERROR(INDEX(tblDeviceConfig[Neuron Hostname],ROW()-1),"")</f>
        <v>WNH270OPR421</v>
      </c>
      <c r="G109">
        <f>IFERROR(INDEX(tblDeviceConfig[Software List],ROW()-1),"")</f>
        <v>0</v>
      </c>
      <c r="H109">
        <f>IFERROR(INDEX(tblDeviceConfig[PI_Use_Case],ROW()-1),"")</f>
        <v>0</v>
      </c>
      <c r="I109">
        <f>IFERROR(INDEX(tblDeviceConfig[PI_Result],ROW()-1),"")</f>
        <v>0</v>
      </c>
      <c r="J109">
        <f>IFERROR(INDEX(tblDeviceConfig[PI_Validated_By],ROW()-1),"")</f>
        <v>0</v>
      </c>
      <c r="K109">
        <f>IFERROR(INDEX(tblDeviceConfig[PI_Validated_Date],ROW()-1),"")</f>
        <v>0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>
        <f>IFERROR(INDEX(tblDeviceConfig[Deployed],ROW()-1),"")</f>
        <v>0</v>
      </c>
      <c r="D110" t="str">
        <f>IFERROR(INDEX(tblDeviceConfig[Installed],ROW()-1),"")</f>
        <v>No</v>
      </c>
      <c r="E110">
        <f>IFERROR(INDEX(tblDeviceConfig[Cybernet Hostname],ROW()-1),"")</f>
        <v>0</v>
      </c>
      <c r="F110" t="str">
        <f>IFERROR(INDEX(tblDeviceConfig[Neuron Hostname],ROW()-1),"")</f>
        <v>WNH270OPR422</v>
      </c>
      <c r="G110">
        <f>IFERROR(INDEX(tblDeviceConfig[Software List],ROW()-1),"")</f>
        <v>0</v>
      </c>
      <c r="H110">
        <f>IFERROR(INDEX(tblDeviceConfig[PI_Use_Case],ROW()-1),"")</f>
        <v>0</v>
      </c>
      <c r="I110">
        <f>IFERROR(INDEX(tblDeviceConfig[PI_Result],ROW()-1),"")</f>
        <v>0</v>
      </c>
      <c r="J110">
        <f>IFERROR(INDEX(tblDeviceConfig[PI_Validated_By],ROW()-1),"")</f>
        <v>0</v>
      </c>
      <c r="K110">
        <f>IFERROR(INDEX(tblDeviceConfig[PI_Validated_Date],ROW()-1),"")</f>
        <v>0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>
        <f>IFERROR(INDEX(tblDeviceConfig[Deployed],ROW()-1),"")</f>
        <v>0</v>
      </c>
      <c r="D111" t="str">
        <f>IFERROR(INDEX(tblDeviceConfig[Installed],ROW()-1),"")</f>
        <v>No</v>
      </c>
      <c r="E111">
        <f>IFERROR(INDEX(tblDeviceConfig[Cybernet Hostname],ROW()-1),"")</f>
        <v>0</v>
      </c>
      <c r="F111" t="str">
        <f>IFERROR(INDEX(tblDeviceConfig[Neuron Hostname],ROW()-1),"")</f>
        <v>WNH270OPR423</v>
      </c>
      <c r="G111">
        <f>IFERROR(INDEX(tblDeviceConfig[Software List],ROW()-1),"")</f>
        <v>0</v>
      </c>
      <c r="H111">
        <f>IFERROR(INDEX(tblDeviceConfig[PI_Use_Case],ROW()-1),"")</f>
        <v>0</v>
      </c>
      <c r="I111">
        <f>IFERROR(INDEX(tblDeviceConfig[PI_Result],ROW()-1),"")</f>
        <v>0</v>
      </c>
      <c r="J111">
        <f>IFERROR(INDEX(tblDeviceConfig[PI_Validated_By],ROW()-1),"")</f>
        <v>0</v>
      </c>
      <c r="K111">
        <f>IFERROR(INDEX(tblDeviceConfig[PI_Validated_Date],ROW()-1),"")</f>
        <v>0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>
        <f>IFERROR(INDEX(tblDeviceConfig[Deployed],ROW()-1),"")</f>
        <v>0</v>
      </c>
      <c r="D112" t="str">
        <f>IFERROR(INDEX(tblDeviceConfig[Installed],ROW()-1),"")</f>
        <v>No</v>
      </c>
      <c r="E112">
        <f>IFERROR(INDEX(tblDeviceConfig[Cybernet Hostname],ROW()-1),"")</f>
        <v>0</v>
      </c>
      <c r="F112" t="str">
        <f>IFERROR(INDEX(tblDeviceConfig[Neuron Hostname],ROW()-1),"")</f>
        <v>WNH270OPR424</v>
      </c>
      <c r="G112">
        <f>IFERROR(INDEX(tblDeviceConfig[Software List],ROW()-1),"")</f>
        <v>0</v>
      </c>
      <c r="H112">
        <f>IFERROR(INDEX(tblDeviceConfig[PI_Use_Case],ROW()-1),"")</f>
        <v>0</v>
      </c>
      <c r="I112">
        <f>IFERROR(INDEX(tblDeviceConfig[PI_Result],ROW()-1),"")</f>
        <v>0</v>
      </c>
      <c r="J112">
        <f>IFERROR(INDEX(tblDeviceConfig[PI_Validated_By],ROW()-1),"")</f>
        <v>0</v>
      </c>
      <c r="K112">
        <f>IFERROR(INDEX(tblDeviceConfig[PI_Validated_Date],ROW()-1),"")</f>
        <v>0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>
        <f>IFERROR(INDEX(tblDeviceConfig[Deployed],ROW()-1),"")</f>
        <v>0</v>
      </c>
      <c r="D113" t="str">
        <f>IFERROR(INDEX(tblDeviceConfig[Installed],ROW()-1),"")</f>
        <v>No</v>
      </c>
      <c r="E113">
        <f>IFERROR(INDEX(tblDeviceConfig[Cybernet Hostname],ROW()-1),"")</f>
        <v>0</v>
      </c>
      <c r="F113" t="str">
        <f>IFERROR(INDEX(tblDeviceConfig[Neuron Hostname],ROW()-1),"")</f>
        <v>WNH270OPR425</v>
      </c>
      <c r="G113">
        <f>IFERROR(INDEX(tblDeviceConfig[Software List],ROW()-1),"")</f>
        <v>0</v>
      </c>
      <c r="H113">
        <f>IFERROR(INDEX(tblDeviceConfig[PI_Use_Case],ROW()-1),"")</f>
        <v>0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>
        <f>IFERROR(INDEX(tblDeviceConfig[Deployed],ROW()-1),"")</f>
        <v>0</v>
      </c>
      <c r="D114" t="str">
        <f>IFERROR(INDEX(tblDeviceConfig[Installed],ROW()-1),"")</f>
        <v>No</v>
      </c>
      <c r="E114">
        <f>IFERROR(INDEX(tblDeviceConfig[Cybernet Hostname],ROW()-1),"")</f>
        <v>0</v>
      </c>
      <c r="F114" t="str">
        <f>IFERROR(INDEX(tblDeviceConfig[Neuron Hostname],ROW()-1),"")</f>
        <v>WNH270OPR426</v>
      </c>
      <c r="G114">
        <f>IFERROR(INDEX(tblDeviceConfig[Software List],ROW()-1),"")</f>
        <v>0</v>
      </c>
      <c r="H114">
        <f>IFERROR(INDEX(tblDeviceConfig[PI_Use_Case],ROW()-1),"")</f>
        <v>0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>
        <f>IFERROR(INDEX(tblDeviceConfig[Deployed],ROW()-1),"")</f>
        <v>0</v>
      </c>
      <c r="D115" t="str">
        <f>IFERROR(INDEX(tblDeviceConfig[Installed],ROW()-1),"")</f>
        <v>No</v>
      </c>
      <c r="E115">
        <f>IFERROR(INDEX(tblDeviceConfig[Cybernet Hostname],ROW()-1),"")</f>
        <v>0</v>
      </c>
      <c r="F115" t="str">
        <f>IFERROR(INDEX(tblDeviceConfig[Neuron Hostname],ROW()-1),"")</f>
        <v>WNH270OPR427</v>
      </c>
      <c r="G115">
        <f>IFERROR(INDEX(tblDeviceConfig[Software List],ROW()-1),"")</f>
        <v>0</v>
      </c>
      <c r="H115">
        <f>IFERROR(INDEX(tblDeviceConfig[PI_Use_Case],ROW()-1),"")</f>
        <v>0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>
        <f>IFERROR(INDEX(tblDeviceConfig[Deployed],ROW()-1),"")</f>
        <v>0</v>
      </c>
      <c r="D116" t="str">
        <f>IFERROR(INDEX(tblDeviceConfig[Installed],ROW()-1),"")</f>
        <v>No</v>
      </c>
      <c r="E116">
        <f>IFERROR(INDEX(tblDeviceConfig[Cybernet Hostname],ROW()-1),"")</f>
        <v>0</v>
      </c>
      <c r="F116" t="str">
        <f>IFERROR(INDEX(tblDeviceConfig[Neuron Hostname],ROW()-1),"")</f>
        <v>WNH270OPR428</v>
      </c>
      <c r="G116">
        <f>IFERROR(INDEX(tblDeviceConfig[Software List],ROW()-1),"")</f>
        <v>0</v>
      </c>
      <c r="H116">
        <f>IFERROR(INDEX(tblDeviceConfig[PI_Use_Case],ROW()-1),"")</f>
        <v>0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>
        <f>IFERROR(INDEX(tblDeviceConfig[Deployed],ROW()-1),"")</f>
        <v>0</v>
      </c>
      <c r="D117" t="str">
        <f>IFERROR(INDEX(tblDeviceConfig[Installed],ROW()-1),"")</f>
        <v>No</v>
      </c>
      <c r="E117">
        <f>IFERROR(INDEX(tblDeviceConfig[Cybernet Hostname],ROW()-1),"")</f>
        <v>0</v>
      </c>
      <c r="F117" t="str">
        <f>IFERROR(INDEX(tblDeviceConfig[Neuron Hostname],ROW()-1),"")</f>
        <v>WNH270OPR429</v>
      </c>
      <c r="G117">
        <f>IFERROR(INDEX(tblDeviceConfig[Software List],ROW()-1),"")</f>
        <v>0</v>
      </c>
      <c r="H117">
        <f>IFERROR(INDEX(tblDeviceConfig[PI_Use_Case],ROW()-1),"")</f>
        <v>0</v>
      </c>
      <c r="I117">
        <f>IFERROR(INDEX(tblDeviceConfig[PI_Result],ROW()-1),"")</f>
        <v>0</v>
      </c>
      <c r="J117">
        <f>IFERROR(INDEX(tblDeviceConfig[PI_Validated_By],ROW()-1),"")</f>
        <v>0</v>
      </c>
      <c r="K117">
        <f>IFERROR(INDEX(tblDeviceConfig[PI_Validated_Date],ROW()-1),"")</f>
        <v>0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>
        <f>IFERROR(INDEX(tblDeviceConfig[Deployed],ROW()-1),"")</f>
        <v>0</v>
      </c>
      <c r="D118" t="str">
        <f>IFERROR(INDEX(tblDeviceConfig[Installed],ROW()-1),"")</f>
        <v>No</v>
      </c>
      <c r="E118">
        <f>IFERROR(INDEX(tblDeviceConfig[Cybernet Hostname],ROW()-1),"")</f>
        <v>0</v>
      </c>
      <c r="F118" t="str">
        <f>IFERROR(INDEX(tblDeviceConfig[Neuron Hostname],ROW()-1),"")</f>
        <v>WNH270OPR430</v>
      </c>
      <c r="G118">
        <f>IFERROR(INDEX(tblDeviceConfig[Software List],ROW()-1),"")</f>
        <v>0</v>
      </c>
      <c r="H118">
        <f>IFERROR(INDEX(tblDeviceConfig[PI_Use_Case],ROW()-1),"")</f>
        <v>0</v>
      </c>
      <c r="I118">
        <f>IFERROR(INDEX(tblDeviceConfig[PI_Result],ROW()-1),"")</f>
        <v>0</v>
      </c>
      <c r="J118">
        <f>IFERROR(INDEX(tblDeviceConfig[PI_Validated_By],ROW()-1),"")</f>
        <v>0</v>
      </c>
      <c r="K118">
        <f>IFERROR(INDEX(tblDeviceConfig[PI_Validated_Date],ROW()-1),"")</f>
        <v>0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>
        <f>IFERROR(INDEX(tblDeviceConfig[Deployed],ROW()-1),"")</f>
        <v>0</v>
      </c>
      <c r="D119" t="str">
        <f>IFERROR(INDEX(tblDeviceConfig[Installed],ROW()-1),"")</f>
        <v>No</v>
      </c>
      <c r="E119">
        <f>IFERROR(INDEX(tblDeviceConfig[Cybernet Hostname],ROW()-1),"")</f>
        <v>0</v>
      </c>
      <c r="F119" t="str">
        <f>IFERROR(INDEX(tblDeviceConfig[Neuron Hostname],ROW()-1),"")</f>
        <v>WNH270OPR431</v>
      </c>
      <c r="G119">
        <f>IFERROR(INDEX(tblDeviceConfig[Software List],ROW()-1),"")</f>
        <v>0</v>
      </c>
      <c r="H119">
        <f>IFERROR(INDEX(tblDeviceConfig[PI_Use_Case],ROW()-1),"")</f>
        <v>0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>
        <f>IFERROR(INDEX(tblDeviceConfig[Deployed],ROW()-1),"")</f>
        <v>0</v>
      </c>
      <c r="D120" t="str">
        <f>IFERROR(INDEX(tblDeviceConfig[Installed],ROW()-1),"")</f>
        <v>No</v>
      </c>
      <c r="E120">
        <f>IFERROR(INDEX(tblDeviceConfig[Cybernet Hostname],ROW()-1),"")</f>
        <v>0</v>
      </c>
      <c r="F120" t="str">
        <f>IFERROR(INDEX(tblDeviceConfig[Neuron Hostname],ROW()-1),"")</f>
        <v>WNH270OPR432</v>
      </c>
      <c r="G120">
        <f>IFERROR(INDEX(tblDeviceConfig[Software List],ROW()-1),"")</f>
        <v>0</v>
      </c>
      <c r="H120">
        <f>IFERROR(INDEX(tblDeviceConfig[PI_Use_Case],ROW()-1),"")</f>
        <v>0</v>
      </c>
      <c r="I120">
        <f>IFERROR(INDEX(tblDeviceConfig[PI_Result],ROW()-1),"")</f>
        <v>0</v>
      </c>
      <c r="J120">
        <f>IFERROR(INDEX(tblDeviceConfig[PI_Validated_By],ROW()-1),"")</f>
        <v>0</v>
      </c>
      <c r="K120">
        <f>IFERROR(INDEX(tblDeviceConfig[PI_Validated_Date],ROW()-1),"")</f>
        <v>0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>
        <f>IFERROR(INDEX(tblDeviceConfig[Deployed],ROW()-1),"")</f>
        <v>0</v>
      </c>
      <c r="D121" t="str">
        <f>IFERROR(INDEX(tblDeviceConfig[Installed],ROW()-1),"")</f>
        <v>No</v>
      </c>
      <c r="E121">
        <f>IFERROR(INDEX(tblDeviceConfig[Cybernet Hostname],ROW()-1),"")</f>
        <v>0</v>
      </c>
      <c r="F121" t="str">
        <f>IFERROR(INDEX(tblDeviceConfig[Neuron Hostname],ROW()-1),"")</f>
        <v>WNH270OPR433</v>
      </c>
      <c r="G121">
        <f>IFERROR(INDEX(tblDeviceConfig[Software List],ROW()-1),"")</f>
        <v>0</v>
      </c>
      <c r="H121">
        <f>IFERROR(INDEX(tblDeviceConfig[PI_Use_Case],ROW()-1),"")</f>
        <v>0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>
        <f>IFERROR(INDEX(tblDeviceConfig[Deployed],ROW()-1),"")</f>
        <v>0</v>
      </c>
      <c r="D122" t="str">
        <f>IFERROR(INDEX(tblDeviceConfig[Installed],ROW()-1),"")</f>
        <v>No</v>
      </c>
      <c r="E122">
        <f>IFERROR(INDEX(tblDeviceConfig[Cybernet Hostname],ROW()-1),"")</f>
        <v>0</v>
      </c>
      <c r="F122" t="str">
        <f>IFERROR(INDEX(tblDeviceConfig[Neuron Hostname],ROW()-1),"")</f>
        <v>WNH270OPR434</v>
      </c>
      <c r="G122">
        <f>IFERROR(INDEX(tblDeviceConfig[Software List],ROW()-1),"")</f>
        <v>0</v>
      </c>
      <c r="H122">
        <f>IFERROR(INDEX(tblDeviceConfig[PI_Use_Case],ROW()-1),"")</f>
        <v>0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>
        <f>IFERROR(INDEX(tblDeviceConfig[Deployed],ROW()-1),"")</f>
        <v>0</v>
      </c>
      <c r="D123" t="str">
        <f>IFERROR(INDEX(tblDeviceConfig[Installed],ROW()-1),"")</f>
        <v>No</v>
      </c>
      <c r="E123">
        <f>IFERROR(INDEX(tblDeviceConfig[Cybernet Hostname],ROW()-1),"")</f>
        <v>0</v>
      </c>
      <c r="F123" t="str">
        <f>IFERROR(INDEX(tblDeviceConfig[Neuron Hostname],ROW()-1),"")</f>
        <v>WNH270OPR435</v>
      </c>
      <c r="G123">
        <f>IFERROR(INDEX(tblDeviceConfig[Software List],ROW()-1),"")</f>
        <v>0</v>
      </c>
      <c r="H123">
        <f>IFERROR(INDEX(tblDeviceConfig[PI_Use_Case],ROW()-1),"")</f>
        <v>0</v>
      </c>
      <c r="I123">
        <f>IFERROR(INDEX(tblDeviceConfig[PI_Result],ROW()-1),"")</f>
        <v>0</v>
      </c>
      <c r="J123">
        <f>IFERROR(INDEX(tblDeviceConfig[PI_Validated_By],ROW()-1),"")</f>
        <v>0</v>
      </c>
      <c r="K123">
        <f>IFERROR(INDEX(tblDeviceConfig[PI_Validated_Date],ROW()-1),"")</f>
        <v>0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>
        <f>IFERROR(INDEX(tblDeviceConfig[Deployed],ROW()-1),"")</f>
        <v>0</v>
      </c>
      <c r="D124" t="str">
        <f>IFERROR(INDEX(tblDeviceConfig[Installed],ROW()-1),"")</f>
        <v>No</v>
      </c>
      <c r="E124">
        <f>IFERROR(INDEX(tblDeviceConfig[Cybernet Hostname],ROW()-1),"")</f>
        <v>0</v>
      </c>
      <c r="F124" t="str">
        <f>IFERROR(INDEX(tblDeviceConfig[Neuron Hostname],ROW()-1),"")</f>
        <v>WNH270OPR436</v>
      </c>
      <c r="G124">
        <f>IFERROR(INDEX(tblDeviceConfig[Software List],ROW()-1),"")</f>
        <v>0</v>
      </c>
      <c r="H124">
        <f>IFERROR(INDEX(tblDeviceConfig[PI_Use_Case],ROW()-1),"")</f>
        <v>0</v>
      </c>
      <c r="I124">
        <f>IFERROR(INDEX(tblDeviceConfig[PI_Result],ROW()-1),"")</f>
        <v>0</v>
      </c>
      <c r="J124">
        <f>IFERROR(INDEX(tblDeviceConfig[PI_Validated_By],ROW()-1),"")</f>
        <v>0</v>
      </c>
      <c r="K124">
        <f>IFERROR(INDEX(tblDeviceConfig[PI_Validated_Date],ROW()-1),"")</f>
        <v>0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>
        <f>IFERROR(INDEX(tblDeviceConfig[Deployed],ROW()-1),"")</f>
        <v>0</v>
      </c>
      <c r="D125" t="str">
        <f>IFERROR(INDEX(tblDeviceConfig[Installed],ROW()-1),"")</f>
        <v>No</v>
      </c>
      <c r="E125">
        <f>IFERROR(INDEX(tblDeviceConfig[Cybernet Hostname],ROW()-1),"")</f>
        <v>0</v>
      </c>
      <c r="F125" t="str">
        <f>IFERROR(INDEX(tblDeviceConfig[Neuron Hostname],ROW()-1),"")</f>
        <v>WNH270OPR437</v>
      </c>
      <c r="G125">
        <f>IFERROR(INDEX(tblDeviceConfig[Software List],ROW()-1),"")</f>
        <v>0</v>
      </c>
      <c r="H125">
        <f>IFERROR(INDEX(tblDeviceConfig[PI_Use_Case],ROW()-1),"")</f>
        <v>0</v>
      </c>
      <c r="I125">
        <f>IFERROR(INDEX(tblDeviceConfig[PI_Result],ROW()-1),"")</f>
        <v>0</v>
      </c>
      <c r="J125">
        <f>IFERROR(INDEX(tblDeviceConfig[PI_Validated_By],ROW()-1),"")</f>
        <v>0</v>
      </c>
      <c r="K125">
        <f>IFERROR(INDEX(tblDeviceConfig[PI_Validated_Date],ROW()-1),"")</f>
        <v>0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>
        <f>IFERROR(INDEX(tblDeviceConfig[Deployed],ROW()-1),"")</f>
        <v>0</v>
      </c>
      <c r="D126" t="str">
        <f>IFERROR(INDEX(tblDeviceConfig[Installed],ROW()-1),"")</f>
        <v>No</v>
      </c>
      <c r="E126">
        <f>IFERROR(INDEX(tblDeviceConfig[Cybernet Hostname],ROW()-1),"")</f>
        <v>0</v>
      </c>
      <c r="F126" t="str">
        <f>IFERROR(INDEX(tblDeviceConfig[Neuron Hostname],ROW()-1),"")</f>
        <v>WNH270OPR438</v>
      </c>
      <c r="G126">
        <f>IFERROR(INDEX(tblDeviceConfig[Software List],ROW()-1),"")</f>
        <v>0</v>
      </c>
      <c r="H126">
        <f>IFERROR(INDEX(tblDeviceConfig[PI_Use_Case],ROW()-1),"")</f>
        <v>0</v>
      </c>
      <c r="I126">
        <f>IFERROR(INDEX(tblDeviceConfig[PI_Result],ROW()-1),"")</f>
        <v>0</v>
      </c>
      <c r="J126">
        <f>IFERROR(INDEX(tblDeviceConfig[PI_Validated_By],ROW()-1),"")</f>
        <v>0</v>
      </c>
      <c r="K126">
        <f>IFERROR(INDEX(tblDeviceConfig[PI_Validated_Date],ROW()-1),"")</f>
        <v>0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No</v>
      </c>
      <c r="D127" t="str">
        <f>IFERROR(INDEX(tblDeviceConfig[Installed],ROW()-1),"")</f>
        <v>No</v>
      </c>
      <c r="E127">
        <f>IFERROR(INDEX(tblDeviceConfig[Cybernet Hostname],ROW()-1),"")</f>
        <v>0</v>
      </c>
      <c r="F127" t="str">
        <f>IFERROR(INDEX(tblDeviceConfig[Neuron Hostname],ROW()-1),"")</f>
        <v>WNH270OPR439</v>
      </c>
      <c r="G127">
        <f>IFERROR(INDEX(tblDeviceConfig[Software List],ROW()-1),"")</f>
        <v>0</v>
      </c>
      <c r="H127">
        <f>IFERROR(INDEX(tblDeviceConfig[PI_Use_Case],ROW()-1),"")</f>
        <v>0</v>
      </c>
      <c r="I127">
        <f>IFERROR(INDEX(tblDeviceConfig[PI_Result],ROW()-1),"")</f>
        <v>0</v>
      </c>
      <c r="J127">
        <f>IFERROR(INDEX(tblDeviceConfig[PI_Validated_By],ROW()-1),"")</f>
        <v>0</v>
      </c>
      <c r="K127">
        <f>IFERROR(INDEX(tblDeviceConfig[PI_Validated_Date],ROW()-1),"")</f>
        <v>0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>
        <f>IFERROR(INDEX(tblDeviceConfig[Deployed],ROW()-1),"")</f>
        <v>0</v>
      </c>
      <c r="D128" t="str">
        <f>IFERROR(INDEX(tblDeviceConfig[Installed],ROW()-1),"")</f>
        <v>No</v>
      </c>
      <c r="E128">
        <f>IFERROR(INDEX(tblDeviceConfig[Cybernet Hostname],ROW()-1),"")</f>
        <v>0</v>
      </c>
      <c r="F128" t="str">
        <f>IFERROR(INDEX(tblDeviceConfig[Neuron Hostname],ROW()-1),"")</f>
        <v>WNH270OPR440</v>
      </c>
      <c r="G128">
        <f>IFERROR(INDEX(tblDeviceConfig[Software List],ROW()-1),"")</f>
        <v>0</v>
      </c>
      <c r="H128">
        <f>IFERROR(INDEX(tblDeviceConfig[PI_Use_Case],ROW()-1),"")</f>
        <v>0</v>
      </c>
      <c r="I128">
        <f>IFERROR(INDEX(tblDeviceConfig[PI_Result],ROW()-1),"")</f>
        <v>0</v>
      </c>
      <c r="J128">
        <f>IFERROR(INDEX(tblDeviceConfig[PI_Validated_By],ROW()-1),"")</f>
        <v>0</v>
      </c>
      <c r="K128">
        <f>IFERROR(INDEX(tblDeviceConfig[PI_Validated_Date],ROW()-1),"")</f>
        <v>0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No</v>
      </c>
      <c r="D129" t="str">
        <f>IFERROR(INDEX(tblDeviceConfig[Installed],ROW()-1),"")</f>
        <v>No</v>
      </c>
      <c r="E129">
        <f>IFERROR(INDEX(tblDeviceConfig[Cybernet Hostname],ROW()-1),"")</f>
        <v>0</v>
      </c>
      <c r="F129" t="str">
        <f>IFERROR(INDEX(tblDeviceConfig[Neuron Hostname],ROW()-1),"")</f>
        <v>WNH270OPR441</v>
      </c>
      <c r="G129">
        <f>IFERROR(INDEX(tblDeviceConfig[Software List],ROW()-1),"")</f>
        <v>0</v>
      </c>
      <c r="H129">
        <f>IFERROR(INDEX(tblDeviceConfig[PI_Use_Case],ROW()-1),"")</f>
        <v>0</v>
      </c>
      <c r="I129">
        <f>IFERROR(INDEX(tblDeviceConfig[PI_Result],ROW()-1),"")</f>
        <v>0</v>
      </c>
      <c r="J129">
        <f>IFERROR(INDEX(tblDeviceConfig[PI_Validated_By],ROW()-1),"")</f>
        <v>0</v>
      </c>
      <c r="K129">
        <f>IFERROR(INDEX(tblDeviceConfig[PI_Validated_Date],ROW()-1),"")</f>
        <v>0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>
        <f>IFERROR(INDEX(tblDeviceConfig[Deployed],ROW()-1),"")</f>
        <v>0</v>
      </c>
      <c r="D130" t="str">
        <f>IFERROR(INDEX(tblDeviceConfig[Installed],ROW()-1),"")</f>
        <v>No</v>
      </c>
      <c r="E130">
        <f>IFERROR(INDEX(tblDeviceConfig[Cybernet Hostname],ROW()-1),"")</f>
        <v>0</v>
      </c>
      <c r="F130" t="str">
        <f>IFERROR(INDEX(tblDeviceConfig[Neuron Hostname],ROW()-1),"")</f>
        <v>WNH270OPR442</v>
      </c>
      <c r="G130">
        <f>IFERROR(INDEX(tblDeviceConfig[Software List],ROW()-1),"")</f>
        <v>0</v>
      </c>
      <c r="H130">
        <f>IFERROR(INDEX(tblDeviceConfig[PI_Use_Case],ROW()-1),"")</f>
        <v>0</v>
      </c>
      <c r="I130">
        <f>IFERROR(INDEX(tblDeviceConfig[PI_Result],ROW()-1),"")</f>
        <v>0</v>
      </c>
      <c r="J130">
        <f>IFERROR(INDEX(tblDeviceConfig[PI_Validated_By],ROW()-1),"")</f>
        <v>0</v>
      </c>
      <c r="K130">
        <f>IFERROR(INDEX(tblDeviceConfig[PI_Validated_Date],ROW()-1),"")</f>
        <v>0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>
        <f>IFERROR(INDEX(tblDeviceConfig[Deployed],ROW()-1),"")</f>
        <v>0</v>
      </c>
      <c r="D131" t="str">
        <f>IFERROR(INDEX(tblDeviceConfig[Installed],ROW()-1),"")</f>
        <v>No</v>
      </c>
      <c r="E131">
        <f>IFERROR(INDEX(tblDeviceConfig[Cybernet Hostname],ROW()-1),"")</f>
        <v>0</v>
      </c>
      <c r="F131" t="str">
        <f>IFERROR(INDEX(tblDeviceConfig[Neuron Hostname],ROW()-1),"")</f>
        <v>WNH270OPR443</v>
      </c>
      <c r="G131">
        <f>IFERROR(INDEX(tblDeviceConfig[Software List],ROW()-1),"")</f>
        <v>0</v>
      </c>
      <c r="H131">
        <f>IFERROR(INDEX(tblDeviceConfig[PI_Use_Case],ROW()-1),"")</f>
        <v>0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>
        <f>IFERROR(INDEX(tblDeviceConfig[Deployed],ROW()-1),"")</f>
        <v>0</v>
      </c>
      <c r="D132" t="str">
        <f>IFERROR(INDEX(tblDeviceConfig[Installed],ROW()-1),"")</f>
        <v>No</v>
      </c>
      <c r="E132">
        <f>IFERROR(INDEX(tblDeviceConfig[Cybernet Hostname],ROW()-1),"")</f>
        <v>0</v>
      </c>
      <c r="F132" t="str">
        <f>IFERROR(INDEX(tblDeviceConfig[Neuron Hostname],ROW()-1),"")</f>
        <v>WNH270OPR444</v>
      </c>
      <c r="G132">
        <f>IFERROR(INDEX(tblDeviceConfig[Software List],ROW()-1),"")</f>
        <v>0</v>
      </c>
      <c r="H132">
        <f>IFERROR(INDEX(tblDeviceConfig[PI_Use_Case],ROW()-1),"")</f>
        <v>0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>
        <f>IFERROR(INDEX(tblDeviceConfig[Deployed],ROW()-1),"")</f>
        <v>0</v>
      </c>
      <c r="D133" t="str">
        <f>IFERROR(INDEX(tblDeviceConfig[Installed],ROW()-1),"")</f>
        <v>No</v>
      </c>
      <c r="E133">
        <f>IFERROR(INDEX(tblDeviceConfig[Cybernet Hostname],ROW()-1),"")</f>
        <v>0</v>
      </c>
      <c r="F133" t="str">
        <f>IFERROR(INDEX(tblDeviceConfig[Neuron Hostname],ROW()-1),"")</f>
        <v>WNH270OPR445</v>
      </c>
      <c r="G133">
        <f>IFERROR(INDEX(tblDeviceConfig[Software List],ROW()-1),"")</f>
        <v>0</v>
      </c>
      <c r="H133">
        <f>IFERROR(INDEX(tblDeviceConfig[PI_Use_Case],ROW()-1),"")</f>
        <v>0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>
        <f>IFERROR(INDEX(tblDeviceConfig[Deployed],ROW()-1),"")</f>
        <v>0</v>
      </c>
      <c r="D134" t="str">
        <f>IFERROR(INDEX(tblDeviceConfig[Installed],ROW()-1),"")</f>
        <v>No</v>
      </c>
      <c r="E134">
        <f>IFERROR(INDEX(tblDeviceConfig[Cybernet Hostname],ROW()-1),"")</f>
        <v>0</v>
      </c>
      <c r="F134" t="str">
        <f>IFERROR(INDEX(tblDeviceConfig[Neuron Hostname],ROW()-1),"")</f>
        <v>WNH270OPR446</v>
      </c>
      <c r="G134">
        <f>IFERROR(INDEX(tblDeviceConfig[Software List],ROW()-1),"")</f>
        <v>0</v>
      </c>
      <c r="H134">
        <f>IFERROR(INDEX(tblDeviceConfig[PI_Use_Case],ROW()-1),"")</f>
        <v>0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>
        <f>IFERROR(INDEX(tblDeviceConfig[Deployed],ROW()-1),"")</f>
        <v>0</v>
      </c>
      <c r="D135" t="str">
        <f>IFERROR(INDEX(tblDeviceConfig[Installed],ROW()-1),"")</f>
        <v>No</v>
      </c>
      <c r="E135">
        <f>IFERROR(INDEX(tblDeviceConfig[Cybernet Hostname],ROW()-1),"")</f>
        <v>0</v>
      </c>
      <c r="F135" t="str">
        <f>IFERROR(INDEX(tblDeviceConfig[Neuron Hostname],ROW()-1),"")</f>
        <v>WNH270OPR447</v>
      </c>
      <c r="G135">
        <f>IFERROR(INDEX(tblDeviceConfig[Software List],ROW()-1),"")</f>
        <v>0</v>
      </c>
      <c r="H135">
        <f>IFERROR(INDEX(tblDeviceConfig[PI_Use_Case],ROW()-1),"")</f>
        <v>0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>
        <f>IFERROR(INDEX(tblDeviceConfig[Deployed],ROW()-1),"")</f>
        <v>0</v>
      </c>
      <c r="D136" t="str">
        <f>IFERROR(INDEX(tblDeviceConfig[Installed],ROW()-1),"")</f>
        <v>No</v>
      </c>
      <c r="E136">
        <f>IFERROR(INDEX(tblDeviceConfig[Cybernet Hostname],ROW()-1),"")</f>
        <v>0</v>
      </c>
      <c r="F136" t="str">
        <f>IFERROR(INDEX(tblDeviceConfig[Neuron Hostname],ROW()-1),"")</f>
        <v>WNH270OPR448</v>
      </c>
      <c r="G136">
        <f>IFERROR(INDEX(tblDeviceConfig[Software List],ROW()-1),"")</f>
        <v>0</v>
      </c>
      <c r="H136">
        <f>IFERROR(INDEX(tblDeviceConfig[PI_Use_Case],ROW()-1),"")</f>
        <v>0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>
        <f>IFERROR(INDEX(tblDeviceConfig[Deployed],ROW()-1),"")</f>
        <v>0</v>
      </c>
      <c r="D137" t="str">
        <f>IFERROR(INDEX(tblDeviceConfig[Installed],ROW()-1),"")</f>
        <v>No</v>
      </c>
      <c r="E137">
        <f>IFERROR(INDEX(tblDeviceConfig[Cybernet Hostname],ROW()-1),"")</f>
        <v>0</v>
      </c>
      <c r="F137" t="str">
        <f>IFERROR(INDEX(tblDeviceConfig[Neuron Hostname],ROW()-1),"")</f>
        <v>WNH270OPR449</v>
      </c>
      <c r="G137">
        <f>IFERROR(INDEX(tblDeviceConfig[Software List],ROW()-1),"")</f>
        <v>0</v>
      </c>
      <c r="H137">
        <f>IFERROR(INDEX(tblDeviceConfig[PI_Use_Case],ROW()-1),"")</f>
        <v>0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>
        <f>IFERROR(INDEX(tblDeviceConfig[Deployed],ROW()-1),"")</f>
        <v>0</v>
      </c>
      <c r="D138" t="str">
        <f>IFERROR(INDEX(tblDeviceConfig[Installed],ROW()-1),"")</f>
        <v>No</v>
      </c>
      <c r="E138">
        <f>IFERROR(INDEX(tblDeviceConfig[Cybernet Hostname],ROW()-1),"")</f>
        <v>0</v>
      </c>
      <c r="F138" t="str">
        <f>IFERROR(INDEX(tblDeviceConfig[Neuron Hostname],ROW()-1),"")</f>
        <v>WNH270OPR450</v>
      </c>
      <c r="G138">
        <f>IFERROR(INDEX(tblDeviceConfig[Software List],ROW()-1),"")</f>
        <v>0</v>
      </c>
      <c r="H138">
        <f>IFERROR(INDEX(tblDeviceConfig[PI_Use_Case],ROW()-1),"")</f>
        <v>0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Peripherals</v>
      </c>
      <c r="C139" t="str">
        <f>IFERROR(INDEX(tblDeviceConfig[Deployed],ROW()-1),"")</f>
        <v>Yes</v>
      </c>
      <c r="D139" t="str">
        <f>IFERROR(INDEX(tblDeviceConfig[Installed],ROW()-1),"")</f>
        <v>Yes</v>
      </c>
      <c r="E139">
        <f>IFERROR(INDEX(tblDeviceConfig[Cybernet Hostname],ROW()-1),"")</f>
        <v>0</v>
      </c>
      <c r="F139" t="str">
        <f>IFERROR(INDEX(tblDeviceConfig[Neuron Hostname],ROW()-1),"")</f>
        <v>WVS900OPR028</v>
      </c>
      <c r="G139">
        <f>IFERROR(INDEX(tblDeviceConfig[Software List],ROW()-1),"")</f>
        <v>0</v>
      </c>
      <c r="H139">
        <f>IFERROR(INDEX(tblDeviceConfig[PI_Use_Case],ROW()-1),"")</f>
        <v>0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Peripherals</v>
      </c>
      <c r="C140" t="str">
        <f>IFERROR(INDEX(tblDeviceConfig[Deployed],ROW()-1),"")</f>
        <v>Yes</v>
      </c>
      <c r="D140" t="str">
        <f>IFERROR(INDEX(tblDeviceConfig[Installed],ROW()-1),"")</f>
        <v>Yes</v>
      </c>
      <c r="E140">
        <f>IFERROR(INDEX(tblDeviceConfig[Cybernet Hostname],ROW()-1),"")</f>
        <v>0</v>
      </c>
      <c r="F140" t="str">
        <f>IFERROR(INDEX(tblDeviceConfig[Neuron Hostname],ROW()-1),"")</f>
        <v>WVS900OPR023</v>
      </c>
      <c r="G140">
        <f>IFERROR(INDEX(tblDeviceConfig[Software List],ROW()-1),"")</f>
        <v>0</v>
      </c>
      <c r="H140">
        <f>IFERROR(INDEX(tblDeviceConfig[PI_Use_Case],ROW()-1),"")</f>
        <v>0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Peripherals</v>
      </c>
      <c r="C141" t="str">
        <f>IFERROR(INDEX(tblDeviceConfig[Deployed],ROW()-1),"")</f>
        <v>Yes</v>
      </c>
      <c r="D141" t="str">
        <f>IFERROR(INDEX(tblDeviceConfig[Installed],ROW()-1),"")</f>
        <v>Yes</v>
      </c>
      <c r="E141">
        <f>IFERROR(INDEX(tblDeviceConfig[Cybernet Hostname],ROW()-1),"")</f>
        <v>0</v>
      </c>
      <c r="F141" t="str">
        <f>IFERROR(INDEX(tblDeviceConfig[Neuron Hostname],ROW()-1),"")</f>
        <v>WVS900OPR026</v>
      </c>
      <c r="G141">
        <f>IFERROR(INDEX(tblDeviceConfig[Software List],ROW()-1),"")</f>
        <v>0</v>
      </c>
      <c r="H141">
        <f>IFERROR(INDEX(tblDeviceConfig[PI_Use_Case],ROW()-1),"")</f>
        <v>0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Peripherals</v>
      </c>
      <c r="C142" t="str">
        <f>IFERROR(INDEX(tblDeviceConfig[Deployed],ROW()-1),"")</f>
        <v>Yes</v>
      </c>
      <c r="D142" t="str">
        <f>IFERROR(INDEX(tblDeviceConfig[Installed],ROW()-1),"")</f>
        <v>Yes</v>
      </c>
      <c r="E142">
        <f>IFERROR(INDEX(tblDeviceConfig[Cybernet Hostname],ROW()-1),"")</f>
        <v>0</v>
      </c>
      <c r="F142" t="str">
        <f>IFERROR(INDEX(tblDeviceConfig[Neuron Hostname],ROW()-1),"")</f>
        <v>WVS900OPR030</v>
      </c>
      <c r="G142">
        <f>IFERROR(INDEX(tblDeviceConfig[Software List],ROW()-1),"")</f>
        <v>0</v>
      </c>
      <c r="H142">
        <f>IFERROR(INDEX(tblDeviceConfig[PI_Use_Case],ROW()-1),"")</f>
        <v>0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>
        <f>IFERROR(INDEX(tblDeviceConfig[Cybernet Hostname],ROW()-1),"")</f>
        <v>0</v>
      </c>
      <c r="F143" t="str">
        <f>IFERROR(INDEX(tblDeviceConfig[Neuron Hostname],ROW()-1),"")</f>
        <v>WVS900OPR029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>
        <f>IFERROR(INDEX(tblDeviceConfig[Cybernet Hostname],ROW()-1),"")</f>
        <v>0</v>
      </c>
      <c r="F144" t="str">
        <f>IFERROR(INDEX(tblDeviceConfig[Neuron Hostname],ROW()-1),"")</f>
        <v>WVS900OPR024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>
        <f>IFERROR(INDEX(tblDeviceConfig[Cybernet Hostname],ROW()-1),"")</f>
        <v>0</v>
      </c>
      <c r="F145" t="str">
        <f>IFERROR(INDEX(tblDeviceConfig[Neuron Hostname],ROW()-1),"")</f>
        <v>WVS900OPR025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>
        <f>IFERROR(INDEX(tblDeviceConfig[Cybernet Hostname],ROW()-1),"")</f>
        <v>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>
        <f>IFERROR(INDEX(tblDeviceConfig[Cybernet Hostname],ROW()-1),"")</f>
        <v>0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>
        <f>IFERROR(INDEX(tblDeviceConfig[Cybernet Hostname],ROW()-1),"")</f>
        <v>0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>
        <f>IFERROR(INDEX(tblDeviceConfig[Device Type],ROW()-1),"")</f>
        <v>0</v>
      </c>
      <c r="C149">
        <f>IFERROR(INDEX(tblDeviceConfig[Deployed],ROW()-1),"")</f>
        <v>0</v>
      </c>
      <c r="D149">
        <f>IFERROR(INDEX(tblDeviceConfig[Installed],ROW()-1),"")</f>
        <v>0</v>
      </c>
      <c r="E149">
        <f>IFERROR(INDEX(tblDeviceConfig[Cybernet Hostname],ROW()-1),"")</f>
        <v>0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>
        <f>IFERROR(INDEX(tblDeviceConfig[Device Type],ROW()-1),"")</f>
        <v>0</v>
      </c>
      <c r="C150">
        <f>IFERROR(INDEX(tblDeviceConfig[Deployed],ROW()-1),"")</f>
        <v>0</v>
      </c>
      <c r="D150">
        <f>IFERROR(INDEX(tblDeviceConfig[Installed],ROW()-1),"")</f>
        <v>0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>
        <f>IFERROR(INDEX(tblDeviceConfig[Device Type],ROW()-1),"")</f>
        <v>0</v>
      </c>
      <c r="C151">
        <f>IFERROR(INDEX(tblDeviceConfig[Deployed],ROW()-1),"")</f>
        <v>0</v>
      </c>
      <c r="D151">
        <f>IFERROR(INDEX(tblDeviceConfig[Installed],ROW()-1),"")</f>
        <v>0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>
        <f>IFERROR(INDEX(tblDeviceConfig[Device Type],ROW()-1),"")</f>
        <v>0</v>
      </c>
      <c r="C152">
        <f>IFERROR(INDEX(tblDeviceConfig[Deployed],ROW()-1),"")</f>
        <v>0</v>
      </c>
      <c r="D152">
        <f>IFERROR(INDEX(tblDeviceConfig[Installed],ROW()-1),"")</f>
        <v>0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>
        <f>IFERROR(INDEX(tblDeviceConfig[Device Type],ROW()-1),"")</f>
        <v>0</v>
      </c>
      <c r="C153">
        <f>IFERROR(INDEX(tblDeviceConfig[Deployed],ROW()-1),"")</f>
        <v>0</v>
      </c>
      <c r="D153">
        <f>IFERROR(INDEX(tblDeviceConfig[Installed],ROW()-1),"")</f>
        <v>0</v>
      </c>
      <c r="E153">
        <f>IFERROR(INDEX(tblDeviceConfig[Cybernet Hostname],ROW()-1),"")</f>
        <v>0</v>
      </c>
      <c r="F153">
        <f>IFERROR(INDEX(tblDeviceConfig[Neuron Hostname],ROW()-1),"")</f>
        <v>0</v>
      </c>
      <c r="G153">
        <f>IFERROR(INDEX(tblDeviceConfig[Software List],ROW()-1),"")</f>
        <v>0</v>
      </c>
      <c r="H153">
        <f>IFERROR(INDEX(tblDeviceConfig[PI_Use_Case],ROW()-1),"")</f>
        <v>0</v>
      </c>
      <c r="I153">
        <f>IFERROR(INDEX(tblDeviceConfig[PI_Result],ROW()-1),"")</f>
        <v>0</v>
      </c>
      <c r="J153">
        <f>IFERROR(INDEX(tblDeviceConfig[PI_Validated_By],ROW()-1),"")</f>
        <v>0</v>
      </c>
      <c r="K153">
        <f>IFERROR(INDEX(tblDeviceConfig[PI_Validated_Date],ROW()-1),"")</f>
        <v>0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>
        <f>IFERROR(INDEX(tblDeviceConfig[Device Type],ROW()-1),"")</f>
        <v>0</v>
      </c>
      <c r="C154">
        <f>IFERROR(INDEX(tblDeviceConfig[Deployed],ROW()-1),"")</f>
        <v>0</v>
      </c>
      <c r="D154">
        <f>IFERROR(INDEX(tblDeviceConfig[Installed],ROW()-1),"")</f>
        <v>0</v>
      </c>
      <c r="E154">
        <f>IFERROR(INDEX(tblDeviceConfig[Cybernet Hostname],ROW()-1),"")</f>
        <v>0</v>
      </c>
      <c r="F154">
        <f>IFERROR(INDEX(tblDeviceConfig[Neuron Hostname],ROW()-1),"")</f>
        <v>0</v>
      </c>
      <c r="G154">
        <f>IFERROR(INDEX(tblDeviceConfig[Software List],ROW()-1),"")</f>
        <v>0</v>
      </c>
      <c r="H154">
        <f>IFERROR(INDEX(tblDeviceConfig[PI_Use_Case],ROW()-1),"")</f>
        <v>0</v>
      </c>
      <c r="I154">
        <f>IFERROR(INDEX(tblDeviceConfig[PI_Result],ROW()-1),"")</f>
        <v>0</v>
      </c>
      <c r="J154">
        <f>IFERROR(INDEX(tblDeviceConfig[PI_Validated_By],ROW()-1),"")</f>
        <v>0</v>
      </c>
      <c r="K154">
        <f>IFERROR(INDEX(tblDeviceConfig[PI_Validated_Date],ROW()-1),"")</f>
        <v>0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>
        <f>IFERROR(INDEX(tblDeviceConfig[Device Type],ROW()-1),"")</f>
        <v>0</v>
      </c>
      <c r="C155">
        <f>IFERROR(INDEX(tblDeviceConfig[Deployed],ROW()-1),"")</f>
        <v>0</v>
      </c>
      <c r="D155">
        <f>IFERROR(INDEX(tblDeviceConfig[Installed],ROW()-1),"")</f>
        <v>0</v>
      </c>
      <c r="E155">
        <f>IFERROR(INDEX(tblDeviceConfig[Cybernet Hostname],ROW()-1),"")</f>
        <v>0</v>
      </c>
      <c r="F155">
        <f>IFERROR(INDEX(tblDeviceConfig[Neuron Hostname],ROW()-1),"")</f>
        <v>0</v>
      </c>
      <c r="G155">
        <f>IFERROR(INDEX(tblDeviceConfig[Software List],ROW()-1),"")</f>
        <v>0</v>
      </c>
      <c r="H155">
        <f>IFERROR(INDEX(tblDeviceConfig[PI_Use_Case],ROW()-1),"")</f>
        <v>0</v>
      </c>
      <c r="I155">
        <f>IFERROR(INDEX(tblDeviceConfig[PI_Result],ROW()-1),"")</f>
        <v>0</v>
      </c>
      <c r="J155">
        <f>IFERROR(INDEX(tblDeviceConfig[PI_Validated_By],ROW()-1),"")</f>
        <v>0</v>
      </c>
      <c r="K155">
        <f>IFERROR(INDEX(tblDeviceConfig[PI_Validated_Date],ROW()-1),"")</f>
        <v>0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>
        <f>IFERROR(INDEX(tblDeviceConfig[Device Type],ROW()-1),"")</f>
        <v>0</v>
      </c>
      <c r="C156">
        <f>IFERROR(INDEX(tblDeviceConfig[Deployed],ROW()-1),"")</f>
        <v>0</v>
      </c>
      <c r="D156">
        <f>IFERROR(INDEX(tblDeviceConfig[Installed],ROW()-1),"")</f>
        <v>0</v>
      </c>
      <c r="E156">
        <f>IFERROR(INDEX(tblDeviceConfig[Cybernet Hostname],ROW()-1),"")</f>
        <v>0</v>
      </c>
      <c r="F156">
        <f>IFERROR(INDEX(tblDeviceConfig[Neuron Hostname],ROW()-1),"")</f>
        <v>0</v>
      </c>
      <c r="G156">
        <f>IFERROR(INDEX(tblDeviceConfig[Software List],ROW()-1),"")</f>
        <v>0</v>
      </c>
      <c r="H156">
        <f>IFERROR(INDEX(tblDeviceConfig[PI_Use_Case],ROW()-1),"")</f>
        <v>0</v>
      </c>
      <c r="I156">
        <f>IFERROR(INDEX(tblDeviceConfig[PI_Result],ROW()-1),"")</f>
        <v>0</v>
      </c>
      <c r="J156">
        <f>IFERROR(INDEX(tblDeviceConfig[PI_Validated_By],ROW()-1),"")</f>
        <v>0</v>
      </c>
      <c r="K156">
        <f>IFERROR(INDEX(tblDeviceConfig[PI_Validated_Date],ROW()-1),"")</f>
        <v>0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>
        <f>IFERROR(INDEX(tblDeviceConfig[Device Type],ROW()-1),"")</f>
        <v>0</v>
      </c>
      <c r="C157">
        <f>IFERROR(INDEX(tblDeviceConfig[Deployed],ROW()-1),"")</f>
        <v>0</v>
      </c>
      <c r="D157">
        <f>IFERROR(INDEX(tblDeviceConfig[Installed],ROW()-1),"")</f>
        <v>0</v>
      </c>
      <c r="E157">
        <f>IFERROR(INDEX(tblDeviceConfig[Cybernet Hostname],ROW()-1),"")</f>
        <v>0</v>
      </c>
      <c r="F157">
        <f>IFERROR(INDEX(tblDeviceConfig[Neuron Hostname],ROW()-1),"")</f>
        <v>0</v>
      </c>
      <c r="G157">
        <f>IFERROR(INDEX(tblDeviceConfig[Software List],ROW()-1),"")</f>
        <v>0</v>
      </c>
      <c r="H157">
        <f>IFERROR(INDEX(tblDeviceConfig[PI_Use_Case],ROW()-1),"")</f>
        <v>0</v>
      </c>
      <c r="I157">
        <f>IFERROR(INDEX(tblDeviceConfig[PI_Result],ROW()-1),"")</f>
        <v>0</v>
      </c>
      <c r="J157">
        <f>IFERROR(INDEX(tblDeviceConfig[PI_Validated_By],ROW()-1),"")</f>
        <v>0</v>
      </c>
      <c r="K157">
        <f>IFERROR(INDEX(tblDeviceConfig[PI_Validated_Date],ROW()-1),"")</f>
        <v>0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>
        <f>IFERROR(INDEX(tblDeviceConfig[Device Type],ROW()-1),"")</f>
        <v>0</v>
      </c>
      <c r="C158">
        <f>IFERROR(INDEX(tblDeviceConfig[Deployed],ROW()-1),"")</f>
        <v>0</v>
      </c>
      <c r="D158">
        <f>IFERROR(INDEX(tblDeviceConfig[Installed],ROW()-1),"")</f>
        <v>0</v>
      </c>
      <c r="E158">
        <f>IFERROR(INDEX(tblDeviceConfig[Cybernet Hostname],ROW()-1),"")</f>
        <v>0</v>
      </c>
      <c r="F158">
        <f>IFERROR(INDEX(tblDeviceConfig[Neuron Hostname],ROW()-1),"")</f>
        <v>0</v>
      </c>
      <c r="G158">
        <f>IFERROR(INDEX(tblDeviceConfig[Software List],ROW()-1),"")</f>
        <v>0</v>
      </c>
      <c r="H158">
        <f>IFERROR(INDEX(tblDeviceConfig[PI_Use_Case],ROW()-1),"")</f>
        <v>0</v>
      </c>
      <c r="I158">
        <f>IFERROR(INDEX(tblDeviceConfig[PI_Result],ROW()-1),"")</f>
        <v>0</v>
      </c>
      <c r="J158">
        <f>IFERROR(INDEX(tblDeviceConfig[PI_Validated_By],ROW()-1),"")</f>
        <v>0</v>
      </c>
      <c r="K158">
        <f>IFERROR(INDEX(tblDeviceConfig[PI_Validated_Date],ROW()-1),"")</f>
        <v>0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>
        <f>IFERROR(INDEX(tblDeviceConfig[Device Type],ROW()-1),"")</f>
        <v>0</v>
      </c>
      <c r="C159">
        <f>IFERROR(INDEX(tblDeviceConfig[Deployed],ROW()-1),"")</f>
        <v>0</v>
      </c>
      <c r="D159">
        <f>IFERROR(INDEX(tblDeviceConfig[Installed],ROW()-1),"")</f>
        <v>0</v>
      </c>
      <c r="E159">
        <f>IFERROR(INDEX(tblDeviceConfig[Cybernet Hostname],ROW()-1),"")</f>
        <v>0</v>
      </c>
      <c r="F159">
        <f>IFERROR(INDEX(tblDeviceConfig[Neuron Hostname],ROW()-1),"")</f>
        <v>0</v>
      </c>
      <c r="G159">
        <f>IFERROR(INDEX(tblDeviceConfig[Software List],ROW()-1),"")</f>
        <v>0</v>
      </c>
      <c r="H159">
        <f>IFERROR(INDEX(tblDeviceConfig[PI_Use_Case],ROW()-1),"")</f>
        <v>0</v>
      </c>
      <c r="I159">
        <f>IFERROR(INDEX(tblDeviceConfig[PI_Result],ROW()-1),"")</f>
        <v>0</v>
      </c>
      <c r="J159">
        <f>IFERROR(INDEX(tblDeviceConfig[PI_Validated_By],ROW()-1),"")</f>
        <v>0</v>
      </c>
      <c r="K159">
        <f>IFERROR(INDEX(tblDeviceConfig[PI_Validated_Date],ROW()-1),"")</f>
        <v>0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>
        <f>IFERROR(INDEX(tblDeviceConfig[Device Type],ROW()-1),"")</f>
        <v>0</v>
      </c>
      <c r="C160">
        <f>IFERROR(INDEX(tblDeviceConfig[Deployed],ROW()-1),"")</f>
        <v>0</v>
      </c>
      <c r="D160">
        <f>IFERROR(INDEX(tblDeviceConfig[Installed],ROW()-1),"")</f>
        <v>0</v>
      </c>
      <c r="E160">
        <f>IFERROR(INDEX(tblDeviceConfig[Cybernet Hostname],ROW()-1),"")</f>
        <v>0</v>
      </c>
      <c r="F160">
        <f>IFERROR(INDEX(tblDeviceConfig[Neuron Hostname],ROW()-1),"")</f>
        <v>0</v>
      </c>
      <c r="G160">
        <f>IFERROR(INDEX(tblDeviceConfig[Software List],ROW()-1),"")</f>
        <v>0</v>
      </c>
      <c r="H160">
        <f>IFERROR(INDEX(tblDeviceConfig[PI_Use_Case],ROW()-1),"")</f>
        <v>0</v>
      </c>
      <c r="I160">
        <f>IFERROR(INDEX(tblDeviceConfig[PI_Result],ROW()-1),"")</f>
        <v>0</v>
      </c>
      <c r="J160">
        <f>IFERROR(INDEX(tblDeviceConfig[PI_Validated_By],ROW()-1),"")</f>
        <v>0</v>
      </c>
      <c r="K160">
        <f>IFERROR(INDEX(tblDeviceConfig[PI_Validated_Date],ROW()-1),"")</f>
        <v>0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>
        <f>IFERROR(INDEX(tblDeviceConfig[Device Type],ROW()-1),"")</f>
        <v>0</v>
      </c>
      <c r="C161">
        <f>IFERROR(INDEX(tblDeviceConfig[Deployed],ROW()-1),"")</f>
        <v>0</v>
      </c>
      <c r="D161">
        <f>IFERROR(INDEX(tblDeviceConfig[Installed],ROW()-1),"")</f>
        <v>0</v>
      </c>
      <c r="E161">
        <f>IFERROR(INDEX(tblDeviceConfig[Cybernet Hostname],ROW()-1),"")</f>
        <v>0</v>
      </c>
      <c r="F161">
        <f>IFERROR(INDEX(tblDeviceConfig[Neuron Hostname],ROW()-1),"")</f>
        <v>0</v>
      </c>
      <c r="G161">
        <f>IFERROR(INDEX(tblDeviceConfig[Software List],ROW()-1),"")</f>
        <v>0</v>
      </c>
      <c r="H161">
        <f>IFERROR(INDEX(tblDeviceConfig[PI_Use_Case],ROW()-1),"")</f>
        <v>0</v>
      </c>
      <c r="I161">
        <f>IFERROR(INDEX(tblDeviceConfig[PI_Result],ROW()-1),"")</f>
        <v>0</v>
      </c>
      <c r="J161">
        <f>IFERROR(INDEX(tblDeviceConfig[PI_Validated_By],ROW()-1),"")</f>
        <v>0</v>
      </c>
      <c r="K161">
        <f>IFERROR(INDEX(tblDeviceConfig[PI_Validated_Date],ROW()-1),"")</f>
        <v>0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>
        <f>IFERROR(INDEX(tblDeviceConfig[Device Type],ROW()-1),"")</f>
        <v>0</v>
      </c>
      <c r="C162">
        <f>IFERROR(INDEX(tblDeviceConfig[Deployed],ROW()-1),"")</f>
        <v>0</v>
      </c>
      <c r="D162">
        <f>IFERROR(INDEX(tblDeviceConfig[Installed],ROW()-1),"")</f>
        <v>0</v>
      </c>
      <c r="E162">
        <f>IFERROR(INDEX(tblDeviceConfig[Cybernet Hostname],ROW()-1),"")</f>
        <v>0</v>
      </c>
      <c r="F162">
        <f>IFERROR(INDEX(tblDeviceConfig[Neuron Hostname],ROW()-1),"")</f>
        <v>0</v>
      </c>
      <c r="G162">
        <f>IFERROR(INDEX(tblDeviceConfig[Software List],ROW()-1),"")</f>
        <v>0</v>
      </c>
      <c r="H162">
        <f>IFERROR(INDEX(tblDeviceConfig[PI_Use_Case],ROW()-1),"")</f>
        <v>0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>
        <f>IFERROR(INDEX(tblDeviceConfig[Device Type],ROW()-1),"")</f>
        <v>0</v>
      </c>
      <c r="C163">
        <f>IFERROR(INDEX(tblDeviceConfig[Deployed],ROW()-1),"")</f>
        <v>0</v>
      </c>
      <c r="D163">
        <f>IFERROR(INDEX(tblDeviceConfig[Installed],ROW()-1),"")</f>
        <v>0</v>
      </c>
      <c r="E163">
        <f>IFERROR(INDEX(tblDeviceConfig[Cybernet Hostname],ROW()-1),"")</f>
        <v>0</v>
      </c>
      <c r="F163">
        <f>IFERROR(INDEX(tblDeviceConfig[Neuron Hostname],ROW()-1),"")</f>
        <v>0</v>
      </c>
      <c r="G163">
        <f>IFERROR(INDEX(tblDeviceConfig[Software List],ROW()-1),"")</f>
        <v>0</v>
      </c>
      <c r="H163">
        <f>IFERROR(INDEX(tblDeviceConfig[PI_Use_Case],ROW()-1),"")</f>
        <v>0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>
        <f>IFERROR(INDEX(tblDeviceConfig[Device Type],ROW()-1),"")</f>
        <v>0</v>
      </c>
      <c r="C164">
        <f>IFERROR(INDEX(tblDeviceConfig[Deployed],ROW()-1),"")</f>
        <v>0</v>
      </c>
      <c r="D164">
        <f>IFERROR(INDEX(tblDeviceConfig[Installed],ROW()-1),"")</f>
        <v>0</v>
      </c>
      <c r="E164">
        <f>IFERROR(INDEX(tblDeviceConfig[Cybernet Hostname],ROW()-1),"")</f>
        <v>0</v>
      </c>
      <c r="F164">
        <f>IFERROR(INDEX(tblDeviceConfig[Neuron Hostname],ROW()-1),"")</f>
        <v>0</v>
      </c>
      <c r="G164">
        <f>IFERROR(INDEX(tblDeviceConfig[Software List],ROW()-1),"")</f>
        <v>0</v>
      </c>
      <c r="H164">
        <f>IFERROR(INDEX(tblDeviceConfig[PI_Use_Case],ROW()-1),"")</f>
        <v>0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>
        <f>IFERROR(INDEX(tblDeviceConfig[Device Type],ROW()-1),"")</f>
        <v>0</v>
      </c>
      <c r="C165">
        <f>IFERROR(INDEX(tblDeviceConfig[Deployed],ROW()-1),"")</f>
        <v>0</v>
      </c>
      <c r="D165">
        <f>IFERROR(INDEX(tblDeviceConfig[Installed],ROW()-1),"")</f>
        <v>0</v>
      </c>
      <c r="E165">
        <f>IFERROR(INDEX(tblDeviceConfig[Cybernet Hostname],ROW()-1),"")</f>
        <v>0</v>
      </c>
      <c r="F165">
        <f>IFERROR(INDEX(tblDeviceConfig[Neuron Hostname],ROW()-1),"")</f>
        <v>0</v>
      </c>
      <c r="G165">
        <f>IFERROR(INDEX(tblDeviceConfig[Software List],ROW()-1),"")</f>
        <v>0</v>
      </c>
      <c r="H165">
        <f>IFERROR(INDEX(tblDeviceConfig[PI_Use_Case],ROW()-1),"")</f>
        <v>0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>
        <f>IFERROR(INDEX(tblDeviceConfig[Device Type],ROW()-1),"")</f>
        <v>0</v>
      </c>
      <c r="C166">
        <f>IFERROR(INDEX(tblDeviceConfig[Deployed],ROW()-1),"")</f>
        <v>0</v>
      </c>
      <c r="D166">
        <f>IFERROR(INDEX(tblDeviceConfig[Installed],ROW()-1),"")</f>
        <v>0</v>
      </c>
      <c r="E166">
        <f>IFERROR(INDEX(tblDeviceConfig[Cybernet Hostname],ROW()-1),"")</f>
        <v>0</v>
      </c>
      <c r="F166">
        <f>IFERROR(INDEX(tblDeviceConfig[Neuron Hostname],ROW()-1),"")</f>
        <v>0</v>
      </c>
      <c r="G166">
        <f>IFERROR(INDEX(tblDeviceConfig[Software List],ROW()-1),"")</f>
        <v>0</v>
      </c>
      <c r="H166">
        <f>IFERROR(INDEX(tblDeviceConfig[PI_Use_Case],ROW()-1),"")</f>
        <v>0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</sheetData>
  <conditionalFormatting sqref="L2:L528">
    <cfRule type="expression" dxfId="44" priority="2">
      <formula>$L2&gt;0</formula>
    </cfRule>
    <cfRule type="expression" dxfId="43" priority="3">
      <formula>$L2=0</formula>
    </cfRule>
  </conditionalFormatting>
  <conditionalFormatting sqref="M2:M528">
    <cfRule type="expression" dxfId="42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2330</v>
      </c>
      <c r="C1" t="s">
        <v>14</v>
      </c>
      <c r="D1" t="s">
        <v>2325</v>
      </c>
      <c r="E1">
        <v>Priority</v>
      </c>
      <c r="F1" t="s">
        <v>20</v>
      </c>
      <c r="G1">
        <v>dxfId</v>
      </c>
      <c r="H1" t="s">
        <v>2315</v>
      </c>
      <c r="I1" t="s">
        <v>2298</v>
      </c>
    </row>
    <row r="2" spans="1:9">
      <c r="A2" t="s">
        <v>2254</v>
      </c>
      <c r="B2" t="s">
        <v>2301</v>
      </c>
      <c r="C2" t="s">
        <v>2388</v>
      </c>
      <c r="D2" t="s">
        <v>24</v>
      </c>
      <c r="E2">
        <v>2</v>
      </c>
      <c r="F2" t="s">
        <v>2253</v>
      </c>
      <c r="G2">
        <v>44</v>
      </c>
      <c r="H2" t="s">
        <v>2383</v>
      </c>
      <c r="I2" t="s">
        <v>2320</v>
      </c>
    </row>
    <row r="3" spans="1:9">
      <c r="A3" t="s">
        <v>2254</v>
      </c>
      <c r="B3" t="s">
        <v>2301</v>
      </c>
      <c r="C3" t="s">
        <v>2388</v>
      </c>
      <c r="D3" t="s">
        <v>24</v>
      </c>
      <c r="E3">
        <v>3</v>
      </c>
      <c r="F3" t="s">
        <v>2252</v>
      </c>
      <c r="G3">
        <v>43</v>
      </c>
      <c r="H3" t="s">
        <v>2392</v>
      </c>
      <c r="I3" t="s">
        <v>2306</v>
      </c>
    </row>
    <row r="4" spans="1:9">
      <c r="A4" t="s">
        <v>2254</v>
      </c>
      <c r="B4" t="s">
        <v>2301</v>
      </c>
      <c r="C4" t="s">
        <v>2389</v>
      </c>
      <c r="D4" t="s">
        <v>24</v>
      </c>
      <c r="E4">
        <v>4</v>
      </c>
      <c r="F4" t="s">
        <v>2253</v>
      </c>
      <c r="G4">
        <v>42</v>
      </c>
      <c r="H4" t="s">
        <v>2390</v>
      </c>
      <c r="I4" t="s">
        <v>2172</v>
      </c>
    </row>
    <row r="5" spans="1:9">
      <c r="A5" t="s">
        <v>124</v>
      </c>
      <c r="B5"/>
      <c r="C5" t="s">
        <v>2297</v>
      </c>
      <c r="D5" t="s">
        <v>24</v>
      </c>
      <c r="E5">
        <v>1</v>
      </c>
      <c r="F5" t="s">
        <v>2292</v>
      </c>
      <c r="G5">
        <v>37</v>
      </c>
      <c r="H5"/>
      <c r="I5" t="s">
        <v>2384</v>
      </c>
    </row>
    <row r="6" spans="1:9">
      <c r="A6" t="s">
        <v>124</v>
      </c>
      <c r="B6"/>
      <c r="C6" t="s">
        <v>2297</v>
      </c>
      <c r="D6" t="s">
        <v>24</v>
      </c>
      <c r="E6">
        <v>2</v>
      </c>
      <c r="F6" t="s">
        <v>2291</v>
      </c>
      <c r="G6">
        <v>36</v>
      </c>
      <c r="H6"/>
      <c r="I6" t="s">
        <v>2384</v>
      </c>
    </row>
    <row r="7" spans="1:9">
      <c r="A7" t="s">
        <v>124</v>
      </c>
      <c r="B7"/>
      <c r="C7" t="s">
        <v>2266</v>
      </c>
      <c r="D7" t="s">
        <v>24</v>
      </c>
      <c r="E7">
        <v>3</v>
      </c>
      <c r="F7" t="s">
        <v>2286</v>
      </c>
      <c r="G7">
        <v>41</v>
      </c>
      <c r="H7"/>
      <c r="I7" t="s">
        <v>2384</v>
      </c>
    </row>
    <row r="8" spans="1:9">
      <c r="A8" t="s">
        <v>124</v>
      </c>
      <c r="B8"/>
      <c r="C8" t="s">
        <v>2266</v>
      </c>
      <c r="D8" t="s">
        <v>24</v>
      </c>
      <c r="E8">
        <v>4</v>
      </c>
      <c r="F8" t="s">
        <v>2284</v>
      </c>
      <c r="G8">
        <v>40</v>
      </c>
      <c r="H8"/>
      <c r="I8" t="s">
        <v>2384</v>
      </c>
    </row>
    <row r="9" spans="1:9">
      <c r="A9" t="s">
        <v>124</v>
      </c>
      <c r="B9"/>
      <c r="C9" t="s">
        <v>2266</v>
      </c>
      <c r="D9" t="s">
        <v>24</v>
      </c>
      <c r="E9">
        <v>5</v>
      </c>
      <c r="F9" t="s">
        <v>2283</v>
      </c>
      <c r="G9">
        <v>39</v>
      </c>
      <c r="H9"/>
      <c r="I9" t="s">
        <v>2384</v>
      </c>
    </row>
    <row r="10" spans="1:9">
      <c r="A10" t="s">
        <v>124</v>
      </c>
      <c r="B10"/>
      <c r="C10" t="s">
        <v>2266</v>
      </c>
      <c r="D10" t="s">
        <v>24</v>
      </c>
      <c r="E10">
        <v>6</v>
      </c>
      <c r="F10" t="s">
        <v>2282</v>
      </c>
      <c r="G10">
        <v>38</v>
      </c>
      <c r="H10"/>
      <c r="I10" t="s">
        <v>2386</v>
      </c>
    </row>
    <row r="11" spans="1:9">
      <c r="A11" t="s">
        <v>132</v>
      </c>
      <c r="B11"/>
      <c r="C11" t="s">
        <v>2263</v>
      </c>
      <c r="D11" t="s">
        <v>24</v>
      </c>
      <c r="E11">
        <v>1</v>
      </c>
      <c r="F11" t="s">
        <v>2281</v>
      </c>
      <c r="G11">
        <v>35</v>
      </c>
      <c r="H11"/>
      <c r="I11" t="s">
        <v>2384</v>
      </c>
    </row>
    <row r="12" spans="1:9">
      <c r="A12" t="s">
        <v>132</v>
      </c>
      <c r="B12"/>
      <c r="C12" t="s">
        <v>2263</v>
      </c>
      <c r="D12" t="s">
        <v>24</v>
      </c>
      <c r="E12">
        <v>2</v>
      </c>
      <c r="F12" t="s">
        <v>2280</v>
      </c>
      <c r="G12">
        <v>34</v>
      </c>
      <c r="H12"/>
      <c r="I12" t="s">
        <v>2384</v>
      </c>
    </row>
    <row r="13" spans="1:9">
      <c r="A13" t="s">
        <v>132</v>
      </c>
      <c r="B13"/>
      <c r="C13" t="s">
        <v>2264</v>
      </c>
      <c r="D13" t="s">
        <v>24</v>
      </c>
      <c r="E13">
        <v>3</v>
      </c>
      <c r="F13" t="s">
        <v>2285</v>
      </c>
      <c r="G13">
        <v>33</v>
      </c>
      <c r="H13"/>
      <c r="I13" t="s">
        <v>2384</v>
      </c>
    </row>
    <row r="14" spans="1:9">
      <c r="A14" t="s">
        <v>132</v>
      </c>
      <c r="B14"/>
      <c r="C14" t="s">
        <v>2264</v>
      </c>
      <c r="D14" t="s">
        <v>24</v>
      </c>
      <c r="E14">
        <v>4</v>
      </c>
      <c r="F14" t="s">
        <v>2283</v>
      </c>
      <c r="G14">
        <v>32</v>
      </c>
      <c r="H14"/>
      <c r="I14" t="s">
        <v>2384</v>
      </c>
    </row>
    <row r="15" spans="1:9">
      <c r="A15" t="s">
        <v>132</v>
      </c>
      <c r="B15"/>
      <c r="C15" t="s">
        <v>2294</v>
      </c>
      <c r="D15" t="s">
        <v>24</v>
      </c>
      <c r="E15">
        <v>116</v>
      </c>
      <c r="F15" t="s">
        <v>2279</v>
      </c>
      <c r="G15">
        <v>31</v>
      </c>
      <c r="H15"/>
      <c r="I15" t="s">
        <v>2384</v>
      </c>
    </row>
    <row r="16" spans="1:9">
      <c r="A16" t="s">
        <v>132</v>
      </c>
      <c r="B16"/>
      <c r="C16" t="s">
        <v>2294</v>
      </c>
      <c r="D16" t="s">
        <v>24</v>
      </c>
      <c r="E16">
        <v>117</v>
      </c>
      <c r="F16" t="s">
        <v>2278</v>
      </c>
      <c r="G16">
        <v>30</v>
      </c>
      <c r="H16"/>
      <c r="I16" t="s">
        <v>2384</v>
      </c>
    </row>
    <row r="17" spans="1:9">
      <c r="A17" t="s">
        <v>128</v>
      </c>
      <c r="B17"/>
      <c r="C17" t="s">
        <v>2265</v>
      </c>
      <c r="D17" t="s">
        <v>24</v>
      </c>
      <c r="E17">
        <v>1</v>
      </c>
      <c r="F17" t="s">
        <v>2271</v>
      </c>
      <c r="G17">
        <v>29</v>
      </c>
      <c r="H17"/>
      <c r="I17" t="s">
        <v>2384</v>
      </c>
    </row>
    <row r="18" spans="1:9">
      <c r="A18" t="s">
        <v>128</v>
      </c>
      <c r="B18"/>
      <c r="C18" t="s">
        <v>2265</v>
      </c>
      <c r="D18" t="s">
        <v>24</v>
      </c>
      <c r="E18">
        <v>4</v>
      </c>
      <c r="F18" t="s">
        <v>2293</v>
      </c>
      <c r="G18">
        <v>28</v>
      </c>
      <c r="H18"/>
      <c r="I18" t="s">
        <v>2386</v>
      </c>
    </row>
    <row r="19" spans="1:9">
      <c r="A19" t="s">
        <v>136</v>
      </c>
      <c r="B19"/>
      <c r="C19" t="s">
        <v>2267</v>
      </c>
      <c r="D19" t="s">
        <v>24</v>
      </c>
      <c r="E19">
        <v>3</v>
      </c>
      <c r="F19" t="s">
        <v>2275</v>
      </c>
      <c r="G19">
        <v>27</v>
      </c>
      <c r="H19"/>
      <c r="I19" t="s">
        <v>2386</v>
      </c>
    </row>
    <row r="20" spans="1:9">
      <c r="A20" t="s">
        <v>140</v>
      </c>
      <c r="B20"/>
      <c r="C20" t="s">
        <v>2296</v>
      </c>
      <c r="D20" t="s">
        <v>24</v>
      </c>
      <c r="E20">
        <v>1</v>
      </c>
      <c r="F20" t="s">
        <v>2290</v>
      </c>
      <c r="G20">
        <v>26</v>
      </c>
      <c r="H20"/>
      <c r="I20" t="s">
        <v>2384</v>
      </c>
    </row>
    <row r="21" spans="1:9">
      <c r="A21" t="s">
        <v>140</v>
      </c>
      <c r="B21"/>
      <c r="C21" t="s">
        <v>2296</v>
      </c>
      <c r="D21" t="s">
        <v>24</v>
      </c>
      <c r="E21">
        <v>2</v>
      </c>
      <c r="F21" t="s">
        <v>2289</v>
      </c>
      <c r="G21">
        <v>25</v>
      </c>
      <c r="H21"/>
      <c r="I21" t="s">
        <v>2384</v>
      </c>
    </row>
    <row r="22" spans="1:9">
      <c r="A22" t="s">
        <v>140</v>
      </c>
      <c r="B22"/>
      <c r="C22" t="s">
        <v>2296</v>
      </c>
      <c r="D22" t="s">
        <v>24</v>
      </c>
      <c r="E22">
        <v>3</v>
      </c>
      <c r="F22" t="s">
        <v>2288</v>
      </c>
      <c r="G22">
        <v>24</v>
      </c>
      <c r="H22"/>
      <c r="I22" t="s">
        <v>2384</v>
      </c>
    </row>
    <row r="23" spans="1:9">
      <c r="A23" t="s">
        <v>140</v>
      </c>
      <c r="B23"/>
      <c r="C23" t="s">
        <v>2296</v>
      </c>
      <c r="D23" t="s">
        <v>24</v>
      </c>
      <c r="E23">
        <v>4</v>
      </c>
      <c r="F23" t="s">
        <v>2287</v>
      </c>
      <c r="G23">
        <v>23</v>
      </c>
      <c r="H23"/>
      <c r="I23" t="s">
        <v>2386</v>
      </c>
    </row>
    <row r="24" spans="1:9">
      <c r="A24" t="s">
        <v>22</v>
      </c>
      <c r="B24" t="s">
        <v>2336</v>
      </c>
      <c r="C24" t="s">
        <v>2379</v>
      </c>
      <c r="D24" t="s">
        <v>24</v>
      </c>
      <c r="E24">
        <v>1</v>
      </c>
      <c r="F24" t="s">
        <v>2251</v>
      </c>
      <c r="G24">
        <v>0</v>
      </c>
      <c r="H24" t="s">
        <v>2302</v>
      </c>
      <c r="I24" t="s">
        <v>2320</v>
      </c>
    </row>
    <row r="25" spans="1:9">
      <c r="A25" t="s">
        <v>22</v>
      </c>
      <c r="B25" t="s">
        <v>2336</v>
      </c>
      <c r="C25" t="s">
        <v>2394</v>
      </c>
      <c r="D25" t="s">
        <v>24</v>
      </c>
      <c r="E25">
        <v>2</v>
      </c>
      <c r="F25" t="s">
        <v>2269</v>
      </c>
      <c r="G25">
        <v>5</v>
      </c>
      <c r="H25" t="s">
        <v>2382</v>
      </c>
      <c r="I25" t="s">
        <v>2172</v>
      </c>
    </row>
    <row r="26" spans="1:9">
      <c r="A26" t="s">
        <v>22</v>
      </c>
      <c r="B26" t="s">
        <v>2336</v>
      </c>
      <c r="C26" t="s">
        <v>2395</v>
      </c>
      <c r="D26" t="s">
        <v>24</v>
      </c>
      <c r="E26">
        <v>3</v>
      </c>
      <c r="F26" t="s">
        <v>2270</v>
      </c>
      <c r="G26">
        <v>5</v>
      </c>
      <c r="H26" t="s">
        <v>2391</v>
      </c>
      <c r="I26" t="s">
        <v>2172</v>
      </c>
    </row>
    <row r="27" spans="1:9">
      <c r="A27" t="s">
        <v>22</v>
      </c>
      <c r="B27" t="s">
        <v>2336</v>
      </c>
      <c r="C27" t="s">
        <v>2381</v>
      </c>
      <c r="D27" t="s">
        <v>24</v>
      </c>
      <c r="E27">
        <v>4</v>
      </c>
      <c r="F27" t="s">
        <v>2268</v>
      </c>
      <c r="G27">
        <v>5</v>
      </c>
      <c r="H27" t="s">
        <v>2396</v>
      </c>
      <c r="I27" t="s">
        <v>2172</v>
      </c>
    </row>
    <row r="28" spans="1:9">
      <c r="A28" t="s">
        <v>22</v>
      </c>
      <c r="B28" t="s">
        <v>2336</v>
      </c>
      <c r="C28" t="s">
        <v>2387</v>
      </c>
      <c r="D28" t="s">
        <v>24</v>
      </c>
      <c r="E28">
        <v>5</v>
      </c>
      <c r="F28" t="s">
        <v>2380</v>
      </c>
      <c r="G28">
        <v>45</v>
      </c>
      <c r="H28" t="s">
        <v>2393</v>
      </c>
      <c r="I28" t="s">
        <v>2314</v>
      </c>
    </row>
    <row r="29" spans="1:9">
      <c r="A29" t="s">
        <v>2257</v>
      </c>
      <c r="B29" t="s">
        <v>2335</v>
      </c>
      <c r="C29" t="s">
        <v>2307</v>
      </c>
      <c r="D29" t="s">
        <v>24</v>
      </c>
      <c r="E29">
        <v>8</v>
      </c>
      <c r="F29" t="s">
        <v>2274</v>
      </c>
      <c r="G29">
        <v>6</v>
      </c>
      <c r="H29"/>
      <c r="I29" t="s">
        <v>2306</v>
      </c>
    </row>
    <row r="30" spans="1:9">
      <c r="A30" t="s">
        <v>2257</v>
      </c>
      <c r="B30" t="s">
        <v>2335</v>
      </c>
      <c r="C30" t="s">
        <v>2307</v>
      </c>
      <c r="D30" t="s">
        <v>24</v>
      </c>
      <c r="E30">
        <v>9</v>
      </c>
      <c r="F30" t="s">
        <v>2273</v>
      </c>
      <c r="G30">
        <v>5</v>
      </c>
      <c r="H30"/>
      <c r="I30" t="s">
        <v>2172</v>
      </c>
    </row>
    <row r="31" spans="1:9">
      <c r="A31" t="s">
        <v>2257</v>
      </c>
      <c r="B31" t="s">
        <v>2335</v>
      </c>
      <c r="C31" t="s">
        <v>2316</v>
      </c>
      <c r="D31" t="s">
        <v>24</v>
      </c>
      <c r="E31">
        <v>10</v>
      </c>
      <c r="F31" t="s">
        <v>2317</v>
      </c>
      <c r="G31">
        <v>4</v>
      </c>
      <c r="H31"/>
      <c r="I31" t="s">
        <v>2320</v>
      </c>
    </row>
    <row r="32" spans="1:9">
      <c r="A32" t="s">
        <v>2257</v>
      </c>
      <c r="B32" t="s">
        <v>2335</v>
      </c>
      <c r="C32" t="s">
        <v>2318</v>
      </c>
      <c r="D32" t="s">
        <v>24</v>
      </c>
      <c r="E32">
        <v>11</v>
      </c>
      <c r="F32" t="s">
        <v>2319</v>
      </c>
      <c r="G32">
        <v>3</v>
      </c>
      <c r="H32"/>
      <c r="I32" t="s">
        <v>2385</v>
      </c>
    </row>
    <row r="33" spans="1:9">
      <c r="A33" t="s">
        <v>2257</v>
      </c>
      <c r="B33" t="s">
        <v>2335</v>
      </c>
      <c r="C33" t="s">
        <v>2326</v>
      </c>
      <c r="D33" t="s">
        <v>24</v>
      </c>
      <c r="E33">
        <v>12</v>
      </c>
      <c r="F33" t="s">
        <v>2327</v>
      </c>
      <c r="G33">
        <v>2</v>
      </c>
      <c r="H33"/>
      <c r="I33" t="s">
        <v>2385</v>
      </c>
    </row>
    <row r="34" spans="1:9">
      <c r="A34" t="s">
        <v>2257</v>
      </c>
      <c r="B34" t="s">
        <v>2335</v>
      </c>
      <c r="C34" t="s">
        <v>2329</v>
      </c>
      <c r="D34" t="s">
        <v>24</v>
      </c>
      <c r="E34">
        <v>13</v>
      </c>
      <c r="F34" t="s">
        <v>2277</v>
      </c>
      <c r="G34">
        <v>1</v>
      </c>
      <c r="H34"/>
      <c r="I34" t="s">
        <v>2306</v>
      </c>
    </row>
    <row r="35" spans="1:9">
      <c r="A35" t="s">
        <v>2257</v>
      </c>
      <c r="B35" t="s">
        <v>2335</v>
      </c>
      <c r="C35" t="s">
        <v>2329</v>
      </c>
      <c r="D35" t="s">
        <v>24</v>
      </c>
      <c r="E35">
        <v>14</v>
      </c>
      <c r="F35" t="s">
        <v>2276</v>
      </c>
      <c r="G35">
        <v>0</v>
      </c>
      <c r="H35"/>
      <c r="I35" t="s">
        <v>2320</v>
      </c>
    </row>
    <row r="36" spans="1:9">
      <c r="A36" t="s">
        <v>2258</v>
      </c>
      <c r="B36"/>
      <c r="C36" t="s">
        <v>2300</v>
      </c>
      <c r="D36" t="s">
        <v>2333</v>
      </c>
      <c r="E36">
        <v>1</v>
      </c>
      <c r="F36" t="s">
        <v>2256</v>
      </c>
      <c r="G36">
        <v>12</v>
      </c>
      <c r="H36"/>
      <c r="I36"/>
    </row>
    <row r="37" spans="1:9">
      <c r="A37" t="s">
        <v>2258</v>
      </c>
      <c r="B37"/>
      <c r="C37" t="s">
        <v>2304</v>
      </c>
      <c r="D37" t="s">
        <v>2333</v>
      </c>
      <c r="E37">
        <v>2</v>
      </c>
      <c r="F37" t="s">
        <v>2260</v>
      </c>
      <c r="G37">
        <v>11</v>
      </c>
      <c r="H37"/>
      <c r="I37"/>
    </row>
    <row r="38" spans="1:9">
      <c r="A38" t="s">
        <v>2258</v>
      </c>
      <c r="B38"/>
      <c r="C38" t="s">
        <v>2304</v>
      </c>
      <c r="D38" t="s">
        <v>2333</v>
      </c>
      <c r="E38">
        <v>3</v>
      </c>
      <c r="F38" t="s">
        <v>2259</v>
      </c>
      <c r="G38">
        <v>10</v>
      </c>
      <c r="H38"/>
      <c r="I38"/>
    </row>
    <row r="39" spans="1:9">
      <c r="A39" t="s">
        <v>2258</v>
      </c>
      <c r="B39"/>
      <c r="C39" t="s">
        <v>2304</v>
      </c>
      <c r="D39" t="s">
        <v>2333</v>
      </c>
      <c r="E39">
        <v>4</v>
      </c>
      <c r="F39" t="s">
        <v>2262</v>
      </c>
      <c r="G39">
        <v>9</v>
      </c>
      <c r="H39"/>
      <c r="I39"/>
    </row>
    <row r="40" spans="1:9">
      <c r="A40" t="s">
        <v>2258</v>
      </c>
      <c r="B40"/>
      <c r="C40" t="s">
        <v>2304</v>
      </c>
      <c r="D40" t="s">
        <v>2333</v>
      </c>
      <c r="E40">
        <v>5</v>
      </c>
      <c r="F40" t="s">
        <v>2261</v>
      </c>
      <c r="G40">
        <v>8</v>
      </c>
      <c r="H40"/>
      <c r="I40"/>
    </row>
    <row r="41" spans="1:9">
      <c r="A41" t="s">
        <v>2258</v>
      </c>
      <c r="B41"/>
      <c r="C41" t="s">
        <v>2305</v>
      </c>
      <c r="D41" t="s">
        <v>2333</v>
      </c>
      <c r="E41">
        <v>6</v>
      </c>
      <c r="F41" t="s">
        <v>2255</v>
      </c>
      <c r="G41">
        <v>7</v>
      </c>
      <c r="H41"/>
      <c r="I41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0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85" t="s">
        <v>118</v>
      </c>
      <c r="B1" s="90"/>
      <c r="C1" s="90"/>
      <c r="D1" s="90"/>
    </row>
    <row r="2" spans="1:4" ht="15" customHeight="1">
      <c r="A2" s="88" t="s">
        <v>119</v>
      </c>
      <c r="B2" s="90"/>
      <c r="C2" s="90"/>
      <c r="D2" s="90"/>
    </row>
    <row r="3" spans="1:4" ht="15" customHeight="1">
      <c r="A3" s="75"/>
      <c r="B3" s="75"/>
      <c r="C3" s="75"/>
      <c r="D3" s="75"/>
    </row>
    <row r="4" spans="1:4" ht="15.75" customHeight="1">
      <c r="A4" s="59" t="s">
        <v>120</v>
      </c>
      <c r="B4" s="59" t="s">
        <v>121</v>
      </c>
      <c r="C4" s="59" t="s">
        <v>122</v>
      </c>
      <c r="D4" s="59" t="s">
        <v>123</v>
      </c>
    </row>
    <row r="5" spans="1:4" ht="15" customHeight="1">
      <c r="A5" s="60" t="s">
        <v>124</v>
      </c>
      <c r="B5" s="60" t="s">
        <v>125</v>
      </c>
      <c r="C5" s="60" t="s">
        <v>126</v>
      </c>
      <c r="D5" s="60" t="s">
        <v>127</v>
      </c>
    </row>
    <row r="6" spans="1:4" ht="15" customHeight="1">
      <c r="A6" s="60" t="s">
        <v>128</v>
      </c>
      <c r="B6" s="60" t="s">
        <v>129</v>
      </c>
      <c r="C6" s="60" t="s">
        <v>130</v>
      </c>
      <c r="D6" s="60" t="s">
        <v>131</v>
      </c>
    </row>
    <row r="7" spans="1:4" ht="15" customHeight="1">
      <c r="A7" s="60" t="s">
        <v>132</v>
      </c>
      <c r="B7" s="60" t="s">
        <v>133</v>
      </c>
      <c r="C7" s="60" t="s">
        <v>134</v>
      </c>
      <c r="D7" s="60" t="s">
        <v>135</v>
      </c>
    </row>
    <row r="8" spans="1:4" ht="15" customHeight="1">
      <c r="A8" s="60" t="s">
        <v>136</v>
      </c>
      <c r="B8" s="60" t="s">
        <v>137</v>
      </c>
      <c r="C8" s="60" t="s">
        <v>138</v>
      </c>
      <c r="D8" s="60" t="s">
        <v>139</v>
      </c>
    </row>
    <row r="9" spans="1:4" ht="15" customHeight="1">
      <c r="A9" s="60" t="s">
        <v>140</v>
      </c>
      <c r="B9" s="60" t="s">
        <v>141</v>
      </c>
      <c r="C9" s="60" t="s">
        <v>142</v>
      </c>
      <c r="D9" s="60" t="s">
        <v>143</v>
      </c>
    </row>
    <row r="10" spans="1:4" ht="15" customHeight="1">
      <c r="A10" s="60" t="s">
        <v>144</v>
      </c>
      <c r="B10" s="60" t="s">
        <v>22</v>
      </c>
      <c r="C10" s="60" t="s">
        <v>145</v>
      </c>
      <c r="D10" s="60" t="s">
        <v>146</v>
      </c>
    </row>
    <row r="11" spans="1:4" ht="15" customHeight="1">
      <c r="A11" s="75"/>
      <c r="B11" s="75"/>
      <c r="C11" s="75"/>
      <c r="D11" s="75"/>
    </row>
    <row r="12" spans="1:4" ht="15" customHeight="1">
      <c r="A12" s="75"/>
      <c r="B12" s="75"/>
      <c r="C12" s="75"/>
      <c r="D12" s="75"/>
    </row>
    <row r="13" spans="1:4" ht="15.75" customHeight="1">
      <c r="A13" s="87" t="s">
        <v>147</v>
      </c>
      <c r="B13" s="90"/>
      <c r="C13" s="90"/>
      <c r="D13" s="90"/>
    </row>
    <row r="14" spans="1:4" ht="15" customHeight="1">
      <c r="A14" s="75" t="s">
        <v>148</v>
      </c>
      <c r="B14" s="86" t="s">
        <v>149</v>
      </c>
      <c r="C14" s="90"/>
      <c r="D14" s="90"/>
    </row>
    <row r="15" spans="1:4" ht="15" customHeight="1">
      <c r="A15" s="75" t="s">
        <v>150</v>
      </c>
      <c r="B15" s="86" t="s">
        <v>151</v>
      </c>
      <c r="C15" s="90"/>
      <c r="D15" s="90"/>
    </row>
    <row r="16" spans="1:4" ht="15" customHeight="1">
      <c r="A16" s="75" t="s">
        <v>152</v>
      </c>
      <c r="B16" s="86" t="s">
        <v>153</v>
      </c>
      <c r="C16" s="90"/>
      <c r="D16" s="90"/>
    </row>
    <row r="17" spans="1:4" ht="15" customHeight="1">
      <c r="A17" s="75" t="s">
        <v>154</v>
      </c>
      <c r="B17" s="86" t="s">
        <v>155</v>
      </c>
      <c r="C17" s="90"/>
      <c r="D17" s="90"/>
    </row>
    <row r="18" spans="1:4" ht="15" customHeight="1">
      <c r="A18" s="75" t="s">
        <v>156</v>
      </c>
      <c r="B18" s="86" t="s">
        <v>157</v>
      </c>
      <c r="C18" s="90"/>
      <c r="D18" s="90"/>
    </row>
    <row r="19" spans="1:4">
      <c r="A19" s="75"/>
      <c r="B19" s="75"/>
      <c r="C19" s="75"/>
      <c r="D19" s="75"/>
    </row>
    <row r="20" spans="1:4" ht="15.75" customHeight="1">
      <c r="A20" s="87" t="s">
        <v>158</v>
      </c>
      <c r="B20" s="90"/>
      <c r="C20" s="90"/>
      <c r="D20" s="90"/>
    </row>
    <row r="21" spans="1:4" ht="15" customHeight="1">
      <c r="A21" s="86" t="s">
        <v>159</v>
      </c>
      <c r="B21" s="90"/>
      <c r="C21" s="90"/>
      <c r="D21" s="90"/>
    </row>
    <row r="22" spans="1:4" ht="15" customHeight="1">
      <c r="A22" s="86" t="s">
        <v>160</v>
      </c>
      <c r="B22" s="90"/>
      <c r="C22" s="90"/>
      <c r="D22" s="90"/>
    </row>
    <row r="23" spans="1:4" ht="15" customHeight="1">
      <c r="A23" s="86" t="s">
        <v>161</v>
      </c>
      <c r="B23" s="90"/>
      <c r="C23" s="90"/>
      <c r="D23" s="90"/>
    </row>
    <row r="24" spans="1:4" ht="15" customHeight="1">
      <c r="A24" s="86" t="s">
        <v>162</v>
      </c>
      <c r="B24" s="90"/>
      <c r="C24" s="90"/>
      <c r="D24" s="90"/>
    </row>
    <row r="25" spans="1:4" ht="15" customHeight="1">
      <c r="A25" s="86" t="s">
        <v>163</v>
      </c>
      <c r="B25" s="90"/>
      <c r="C25" s="90"/>
      <c r="D25" s="90"/>
    </row>
    <row r="26" spans="1:4" ht="41.25" customHeight="1">
      <c r="A26" s="75" t="s">
        <v>164</v>
      </c>
      <c r="B26" s="75"/>
      <c r="C26" s="75"/>
      <c r="D26" s="75"/>
    </row>
    <row r="27" spans="1:4" ht="15.75" customHeight="1">
      <c r="A27" s="87" t="s">
        <v>165</v>
      </c>
      <c r="B27" s="90"/>
      <c r="C27" s="90"/>
      <c r="D27" s="90"/>
    </row>
    <row r="28" spans="1:4" ht="15" customHeight="1">
      <c r="A28" s="86"/>
      <c r="B28" s="90"/>
      <c r="C28" s="90"/>
      <c r="D28" s="90"/>
    </row>
    <row r="29" spans="1:4" ht="15" customHeight="1">
      <c r="A29" s="86" t="s">
        <v>166</v>
      </c>
      <c r="B29" s="90"/>
      <c r="C29" s="90"/>
      <c r="D29" s="90"/>
    </row>
    <row r="30" spans="1:4" ht="15" customHeight="1">
      <c r="A30" s="86" t="s">
        <v>167</v>
      </c>
      <c r="B30" s="90"/>
      <c r="C30" s="90"/>
      <c r="D30" s="90"/>
    </row>
    <row r="31" spans="1:4" ht="15" customHeight="1">
      <c r="A31" s="86" t="s">
        <v>168</v>
      </c>
      <c r="B31" s="90"/>
      <c r="C31" s="90"/>
      <c r="D31" s="90"/>
    </row>
    <row r="32" spans="1:4" ht="94.5" customHeight="1">
      <c r="A32" s="75" t="s">
        <v>169</v>
      </c>
      <c r="B32" s="75"/>
      <c r="C32" s="75"/>
      <c r="D32" s="75"/>
    </row>
    <row r="33" spans="1:4" ht="94.5" customHeight="1">
      <c r="A33" s="75" t="s">
        <v>170</v>
      </c>
      <c r="B33" s="75"/>
      <c r="C33" s="75"/>
      <c r="D33" s="75"/>
    </row>
    <row r="34" spans="1:4" ht="68.25" customHeight="1">
      <c r="A34" s="75" t="s">
        <v>171</v>
      </c>
      <c r="B34" s="75"/>
      <c r="C34" s="75"/>
      <c r="D34" s="75"/>
    </row>
    <row r="35" spans="1:4" ht="68.25" customHeight="1">
      <c r="A35" s="75" t="s">
        <v>172</v>
      </c>
      <c r="B35" s="75"/>
      <c r="C35" s="75"/>
      <c r="D35" s="75"/>
    </row>
    <row r="36" spans="1:4">
      <c r="A36" s="75"/>
      <c r="B36" s="75"/>
      <c r="C36" s="75"/>
      <c r="D36" s="75"/>
    </row>
    <row r="37" spans="1:4" ht="27.75" customHeight="1">
      <c r="A37" s="75" t="s">
        <v>173</v>
      </c>
      <c r="B37" s="75"/>
      <c r="C37" s="75"/>
      <c r="D37" s="75"/>
    </row>
    <row r="38" spans="1:4" ht="54.75" customHeight="1">
      <c r="A38" s="75" t="s">
        <v>174</v>
      </c>
      <c r="B38" s="75"/>
      <c r="C38" s="75"/>
      <c r="D38" s="75"/>
    </row>
    <row r="39" spans="1:4" ht="54.75" customHeight="1">
      <c r="A39" s="75" t="s">
        <v>175</v>
      </c>
      <c r="B39" s="75"/>
      <c r="C39" s="75"/>
      <c r="D39" s="75"/>
    </row>
    <row r="40" spans="1:4" ht="68.25" customHeight="1">
      <c r="A40" s="75" t="s">
        <v>176</v>
      </c>
      <c r="B40" s="75"/>
      <c r="C40" s="75"/>
      <c r="D40" s="75"/>
    </row>
    <row r="41" spans="1:4" ht="68.25" customHeight="1">
      <c r="A41" s="75" t="s">
        <v>177</v>
      </c>
      <c r="B41" s="75"/>
      <c r="C41" s="75"/>
      <c r="D41" s="75"/>
    </row>
    <row r="42" spans="1:4" ht="54.75" customHeight="1">
      <c r="A42" s="75" t="s">
        <v>178</v>
      </c>
      <c r="B42" s="75"/>
      <c r="C42" s="75"/>
      <c r="D42" s="75"/>
    </row>
    <row r="43" spans="1:4" ht="54.75" customHeight="1">
      <c r="A43" s="75" t="s">
        <v>179</v>
      </c>
      <c r="B43" s="75"/>
      <c r="C43" s="75"/>
      <c r="D43" s="75"/>
    </row>
    <row r="44" spans="1:4">
      <c r="A44" s="75"/>
      <c r="B44" s="75"/>
      <c r="C44" s="75"/>
      <c r="D44" s="75"/>
    </row>
    <row r="45" spans="1:4" ht="75">
      <c r="A45" s="84" t="s">
        <v>180</v>
      </c>
      <c r="B45" s="75"/>
      <c r="C45" s="75"/>
      <c r="D45" s="75"/>
    </row>
    <row r="46" spans="1:4" ht="45">
      <c r="A46" s="75" t="s">
        <v>181</v>
      </c>
      <c r="B46" s="75"/>
      <c r="C46" s="75"/>
      <c r="D46" s="75"/>
    </row>
    <row r="47" spans="1:4" ht="60">
      <c r="A47" s="75" t="s">
        <v>182</v>
      </c>
      <c r="B47" s="75"/>
      <c r="C47" s="75"/>
      <c r="D47" s="75"/>
    </row>
    <row r="48" spans="1:4" ht="60">
      <c r="A48" s="75" t="s">
        <v>183</v>
      </c>
      <c r="B48" s="75"/>
      <c r="C48" s="75"/>
      <c r="D48" s="75"/>
    </row>
    <row r="49" spans="1:4" ht="75">
      <c r="A49" s="75" t="s">
        <v>184</v>
      </c>
      <c r="B49" s="75"/>
      <c r="C49" s="75"/>
      <c r="D49" s="75"/>
    </row>
    <row r="50" spans="1:4" ht="75">
      <c r="A50" s="75" t="s">
        <v>185</v>
      </c>
      <c r="B50" s="75"/>
      <c r="C50" s="75"/>
      <c r="D50" s="75"/>
    </row>
    <row r="51" spans="1:4">
      <c r="A51" s="75" t="s">
        <v>186</v>
      </c>
      <c r="B51" s="75"/>
      <c r="C51" s="75"/>
      <c r="D51" s="75"/>
    </row>
    <row r="52" spans="1:4">
      <c r="A52" s="75"/>
      <c r="B52" s="75"/>
      <c r="C52" s="75"/>
      <c r="D52" s="75"/>
    </row>
    <row r="53" spans="1:4" ht="60">
      <c r="A53" s="84" t="s">
        <v>187</v>
      </c>
      <c r="B53" s="75"/>
      <c r="C53" s="75"/>
      <c r="D53" s="75"/>
    </row>
    <row r="54" spans="1:4" ht="60">
      <c r="A54" s="75" t="s">
        <v>188</v>
      </c>
      <c r="B54" s="75"/>
      <c r="C54" s="75"/>
      <c r="D54" s="75"/>
    </row>
    <row r="55" spans="1:4" ht="60">
      <c r="A55" s="75" t="s">
        <v>189</v>
      </c>
      <c r="B55" s="75"/>
      <c r="C55" s="75"/>
      <c r="D55" s="75"/>
    </row>
    <row r="56" spans="1:4">
      <c r="A56" s="75" t="s">
        <v>190</v>
      </c>
      <c r="B56" s="75"/>
      <c r="C56" s="75"/>
      <c r="D56" s="75"/>
    </row>
    <row r="57" spans="1:4">
      <c r="A57" s="75"/>
      <c r="B57" s="75"/>
      <c r="C57" s="75"/>
      <c r="D57" s="75"/>
    </row>
    <row r="58" spans="1:4">
      <c r="A58" s="75"/>
      <c r="B58" s="75"/>
      <c r="C58" s="75"/>
      <c r="D58" s="75"/>
    </row>
    <row r="59" spans="1:4">
      <c r="A59" s="75"/>
      <c r="B59" s="75"/>
      <c r="C59" s="75"/>
      <c r="D59" s="75"/>
    </row>
    <row r="60" spans="1:4">
      <c r="A60" s="75"/>
      <c r="B60" s="75"/>
      <c r="C60" s="75"/>
      <c r="D60" s="75"/>
    </row>
    <row r="61" spans="1:4">
      <c r="A61" s="75"/>
      <c r="B61" s="75"/>
      <c r="C61" s="75"/>
      <c r="D61" s="75"/>
    </row>
    <row r="62" spans="1:4">
      <c r="A62" s="75"/>
      <c r="B62" s="75"/>
      <c r="C62" s="75"/>
      <c r="D62" s="75"/>
    </row>
    <row r="63" spans="1:4">
      <c r="A63" s="75"/>
      <c r="B63" s="75"/>
      <c r="C63" s="75"/>
      <c r="D63" s="75"/>
    </row>
    <row r="64" spans="1:4">
      <c r="A64" s="75"/>
      <c r="B64" s="75"/>
      <c r="C64" s="75"/>
      <c r="D64" s="75"/>
    </row>
    <row r="65" spans="1:4">
      <c r="A65" s="75"/>
      <c r="B65" s="75"/>
      <c r="C65" s="75"/>
      <c r="D65" s="75"/>
    </row>
    <row r="66" spans="1:4">
      <c r="A66" s="75"/>
      <c r="B66" s="75"/>
      <c r="C66" s="75"/>
      <c r="D66" s="75"/>
    </row>
    <row r="67" spans="1:4">
      <c r="A67" s="75"/>
      <c r="B67" s="75"/>
      <c r="C67" s="75"/>
      <c r="D67" s="75"/>
    </row>
    <row r="68" spans="1:4">
      <c r="A68" s="75"/>
      <c r="B68" s="75"/>
      <c r="C68" s="75"/>
      <c r="D68" s="75"/>
    </row>
    <row r="69" spans="1:4">
      <c r="A69" s="75"/>
      <c r="B69" s="75"/>
      <c r="C69" s="75"/>
      <c r="D69" s="75"/>
    </row>
    <row r="70" spans="1:4">
      <c r="A70" s="75"/>
      <c r="B70" s="75"/>
      <c r="C70" s="75"/>
      <c r="D70" s="75"/>
    </row>
    <row r="71" spans="1:4">
      <c r="A71" s="75"/>
      <c r="B71" s="75"/>
      <c r="C71" s="75"/>
      <c r="D71" s="75"/>
    </row>
    <row r="72" spans="1:4">
      <c r="A72" s="75"/>
      <c r="B72" s="75"/>
      <c r="C72" s="75"/>
      <c r="D72" s="75"/>
    </row>
    <row r="73" spans="1:4">
      <c r="A73" s="75"/>
      <c r="B73" s="75"/>
      <c r="C73" s="75"/>
      <c r="D73" s="75"/>
    </row>
    <row r="74" spans="1:4">
      <c r="A74" s="75"/>
      <c r="B74" s="75"/>
      <c r="C74" s="75"/>
      <c r="D74" s="75"/>
    </row>
    <row r="75" spans="1:4">
      <c r="A75" s="75"/>
      <c r="B75" s="75"/>
      <c r="C75" s="75"/>
      <c r="D75" s="75"/>
    </row>
    <row r="76" spans="1:4">
      <c r="A76" s="75"/>
      <c r="B76" s="75"/>
      <c r="C76" s="75"/>
      <c r="D76" s="75"/>
    </row>
    <row r="77" spans="1:4">
      <c r="A77" s="75"/>
      <c r="B77" s="75"/>
      <c r="C77" s="75"/>
      <c r="D77" s="75"/>
    </row>
    <row r="78" spans="1:4">
      <c r="A78" s="75"/>
      <c r="B78" s="75"/>
      <c r="C78" s="75"/>
      <c r="D78" s="75"/>
    </row>
    <row r="79" spans="1:4">
      <c r="A79" s="75"/>
      <c r="B79" s="75"/>
      <c r="C79" s="75"/>
      <c r="D79" s="75"/>
    </row>
    <row r="80" spans="1:4">
      <c r="A80" s="75"/>
      <c r="B80" s="75"/>
      <c r="C80" s="75"/>
      <c r="D80" s="75"/>
    </row>
  </sheetData>
  <mergeCells count="19"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76" t="s">
        <v>191</v>
      </c>
      <c r="B1" s="76" t="s">
        <v>192</v>
      </c>
      <c r="C1" s="76" t="s">
        <v>193</v>
      </c>
      <c r="D1" s="76" t="s">
        <v>194</v>
      </c>
      <c r="E1" s="76" t="s">
        <v>195</v>
      </c>
      <c r="F1" s="76" t="s">
        <v>196</v>
      </c>
      <c r="G1" s="76" t="s">
        <v>197</v>
      </c>
      <c r="H1" s="76" t="s">
        <v>198</v>
      </c>
      <c r="I1" s="76" t="s">
        <v>199</v>
      </c>
      <c r="J1" s="76" t="s">
        <v>21</v>
      </c>
      <c r="K1" s="76" t="s">
        <v>200</v>
      </c>
      <c r="L1" s="76" t="s">
        <v>201</v>
      </c>
      <c r="M1" s="76" t="s">
        <v>202</v>
      </c>
      <c r="N1" s="76" t="s">
        <v>203</v>
      </c>
      <c r="O1" s="76" t="s">
        <v>204</v>
      </c>
      <c r="P1" s="76" t="s">
        <v>205</v>
      </c>
      <c r="Q1" s="76" t="s">
        <v>206</v>
      </c>
      <c r="R1" s="76" t="s">
        <v>207</v>
      </c>
      <c r="S1" s="76" t="s">
        <v>208</v>
      </c>
      <c r="T1" s="76" t="s">
        <v>209</v>
      </c>
      <c r="U1" s="76" t="s">
        <v>210</v>
      </c>
      <c r="V1" s="76" t="s">
        <v>211</v>
      </c>
      <c r="W1" s="76" t="s">
        <v>212</v>
      </c>
      <c r="X1" s="76" t="s">
        <v>213</v>
      </c>
      <c r="Y1" s="76" t="s">
        <v>214</v>
      </c>
      <c r="Z1" s="76" t="s">
        <v>215</v>
      </c>
    </row>
    <row r="2" spans="1:26" ht="45.75" customHeight="1">
      <c r="A2" s="4" t="s">
        <v>216</v>
      </c>
      <c r="B2" s="32" t="s">
        <v>217</v>
      </c>
      <c r="C2" t="s">
        <v>218</v>
      </c>
      <c r="D2" t="str">
        <f>IF($C2="","",IFERROR(LOOKUP(2,1/('03_Warehouse_Movements'!$C$2:$C$500=$A2),'03_Warehouse_Movements'!$E$2:$E$500),$C2))</f>
        <v>ACTIVE</v>
      </c>
      <c r="E2" t="s">
        <v>219</v>
      </c>
      <c r="F2" t="s">
        <v>220</v>
      </c>
      <c r="G2" s="33">
        <v>7</v>
      </c>
      <c r="H2" s="3" t="str">
        <f t="shared" ref="H2:H65" si="0">IF(AND($F2="TEMP",$G2&gt;0,$M2&lt;&gt;""),$M2+$G2,"")</f>
        <v/>
      </c>
      <c r="I2" s="3" t="s">
        <v>221</v>
      </c>
      <c r="J2" s="4" t="s">
        <v>222</v>
      </c>
      <c r="K2" s="3">
        <v>46053</v>
      </c>
      <c r="L2" s="4" t="s">
        <v>223</v>
      </c>
      <c r="M2" s="77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78">
        <v>46284</v>
      </c>
      <c r="Q2" s="79">
        <v>144180</v>
      </c>
      <c r="R2" s="34"/>
      <c r="V2" t="s">
        <v>224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225</v>
      </c>
      <c r="B3" s="32"/>
      <c r="C3" t="s">
        <v>226</v>
      </c>
      <c r="D3" t="str">
        <f>IF($C3="","",IFERROR(LOOKUP(2,1/('03_Warehouse_Movements'!$C$2:$C$500=$A3),'03_Warehouse_Movements'!$E$2:$E$500),$C3))</f>
        <v>STAGED</v>
      </c>
      <c r="E3" t="s">
        <v>227</v>
      </c>
      <c r="F3" t="s">
        <v>228</v>
      </c>
      <c r="G3" s="33"/>
      <c r="H3" s="3" t="str">
        <f t="shared" si="0"/>
        <v/>
      </c>
      <c r="I3" s="3" t="s">
        <v>229</v>
      </c>
      <c r="J3" s="4" t="s">
        <v>230</v>
      </c>
      <c r="K3" s="3">
        <v>46052</v>
      </c>
      <c r="L3" s="4" t="s">
        <v>231</v>
      </c>
      <c r="M3" s="77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35"/>
      <c r="R3" s="34"/>
      <c r="V3" t="s">
        <v>232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233</v>
      </c>
      <c r="B4" s="4" t="s">
        <v>234</v>
      </c>
      <c r="C4" t="s">
        <v>235</v>
      </c>
      <c r="D4" t="str">
        <f>IF($C4="","",IFERROR(LOOKUP(2,1/('03_Warehouse_Movements'!$C$2:$C$500=$A4),'03_Warehouse_Movements'!$E$2:$E$500),$C4))</f>
        <v>UNSAFE</v>
      </c>
      <c r="E4" t="s">
        <v>219</v>
      </c>
      <c r="F4" t="s">
        <v>236</v>
      </c>
      <c r="G4" s="33"/>
      <c r="H4" s="3" t="str">
        <f t="shared" si="0"/>
        <v/>
      </c>
      <c r="I4" s="3" t="s">
        <v>237</v>
      </c>
      <c r="J4" s="4" t="s">
        <v>238</v>
      </c>
      <c r="K4" s="3">
        <v>46046</v>
      </c>
      <c r="L4" s="4" t="s">
        <v>223</v>
      </c>
      <c r="M4" s="77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36" t="str">
        <f t="shared" si="1"/>
        <v>OVERFLOW-CHRIS-UMAIR_TICKETS-</v>
      </c>
      <c r="Q4" s="35"/>
      <c r="R4" s="34"/>
      <c r="U4" s="79">
        <v>46046</v>
      </c>
      <c r="V4" t="s">
        <v>239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240</v>
      </c>
      <c r="B5" s="4" t="s">
        <v>241</v>
      </c>
      <c r="C5" t="s">
        <v>241</v>
      </c>
      <c r="D5" t="str">
        <f>IF($C5="","",IFERROR(LOOKUP(2,1/('03_Warehouse_Movements'!$C$2:$C$500=$A5),'03_Warehouse_Movements'!$E$2:$E$500),$C5))</f>
        <v>48x T24i-30</v>
      </c>
      <c r="E5" t="s">
        <v>219</v>
      </c>
      <c r="F5" t="s">
        <v>228</v>
      </c>
      <c r="G5" s="33"/>
      <c r="H5" s="3" t="str">
        <f t="shared" si="0"/>
        <v/>
      </c>
      <c r="I5" s="3" t="s">
        <v>242</v>
      </c>
      <c r="J5" s="4" t="s">
        <v>230</v>
      </c>
      <c r="K5" s="3">
        <v>46051</v>
      </c>
      <c r="L5" s="4" t="s">
        <v>243</v>
      </c>
      <c r="M5" s="77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36" t="str">
        <f t="shared" si="1"/>
        <v>WH-Z1-AisleO-Bay10-Level1</v>
      </c>
      <c r="Q5" s="35"/>
      <c r="R5" s="34"/>
      <c r="U5" s="79">
        <v>46051</v>
      </c>
      <c r="V5" t="s">
        <v>244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245</v>
      </c>
      <c r="B6" s="4" t="s">
        <v>246</v>
      </c>
      <c r="C6" t="s">
        <v>247</v>
      </c>
      <c r="D6" t="str">
        <f>IF($C6="","",IFERROR(LOOKUP(2,1/('03_Warehouse_Movements'!$C$2:$C$500=$A6),'03_Warehouse_Movements'!$E$2:$E$500),$C6))</f>
        <v>capsule &amp; GCX</v>
      </c>
      <c r="E6" t="s">
        <v>219</v>
      </c>
      <c r="F6" t="s">
        <v>228</v>
      </c>
      <c r="G6" s="33"/>
      <c r="H6" s="3" t="str">
        <f t="shared" si="0"/>
        <v/>
      </c>
      <c r="I6" s="3" t="s">
        <v>248</v>
      </c>
      <c r="J6" s="4" t="s">
        <v>249</v>
      </c>
      <c r="K6" s="3">
        <v>46059</v>
      </c>
      <c r="L6" s="4" t="s">
        <v>250</v>
      </c>
      <c r="M6" s="77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35"/>
      <c r="R6" s="34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251</v>
      </c>
      <c r="B7" s="4"/>
      <c r="C7" t="s">
        <v>252</v>
      </c>
      <c r="D7" t="str">
        <f>IF($C7="","",IFERROR(LOOKUP(2,1/('03_Warehouse_Movements'!$C$2:$C$500=$A7),'03_Warehouse_Movements'!$E$2:$E$500),$C7))</f>
        <v>19x T24 Thinkvision Monitor 63CFMAR1US</v>
      </c>
      <c r="E7" t="s">
        <v>227</v>
      </c>
      <c r="F7" t="s">
        <v>228</v>
      </c>
      <c r="G7" s="33"/>
      <c r="H7" s="3" t="str">
        <f t="shared" si="0"/>
        <v/>
      </c>
      <c r="I7" s="4" t="s">
        <v>253</v>
      </c>
      <c r="K7" s="3">
        <v>46052</v>
      </c>
      <c r="L7" s="4" t="s">
        <v>243</v>
      </c>
      <c r="M7" s="77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35"/>
      <c r="R7" s="34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254</v>
      </c>
      <c r="B8" s="4"/>
      <c r="C8" t="s">
        <v>255</v>
      </c>
      <c r="D8" t="str">
        <f>IF($C8="","",IFERROR(LOOKUP(2,1/('03_Warehouse_Movements'!$C$2:$C$500=$A8),'03_Warehouse_Movements'!$E$2:$E$500),$C8))</f>
        <v>TEMP</v>
      </c>
      <c r="E8" t="s">
        <v>227</v>
      </c>
      <c r="F8" t="s">
        <v>256</v>
      </c>
      <c r="G8" s="33">
        <v>14</v>
      </c>
      <c r="H8" s="3" t="str">
        <f t="shared" si="0"/>
        <v/>
      </c>
      <c r="I8" s="3" t="s">
        <v>242</v>
      </c>
      <c r="J8" s="4" t="s">
        <v>230</v>
      </c>
      <c r="K8" s="3">
        <v>46052</v>
      </c>
      <c r="L8" s="4" t="s">
        <v>243</v>
      </c>
      <c r="M8" s="77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35"/>
      <c r="R8" s="34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257</v>
      </c>
      <c r="B9" s="4" t="s">
        <v>258</v>
      </c>
      <c r="C9" t="s">
        <v>259</v>
      </c>
      <c r="D9" t="str">
        <f>IF($C9="","",IFERROR(LOOKUP(2,1/('03_Warehouse_Movements'!$C$2:$C$500=$A9),'03_Warehouse_Movements'!$E$2:$E$500),$C9))</f>
        <v>SAMPLE: Power Supplies</v>
      </c>
      <c r="E9" t="s">
        <v>219</v>
      </c>
      <c r="F9" t="s">
        <v>228</v>
      </c>
      <c r="G9" s="33"/>
      <c r="H9" s="3" t="str">
        <f t="shared" si="0"/>
        <v/>
      </c>
      <c r="I9" s="3" t="s">
        <v>260</v>
      </c>
      <c r="J9" s="4" t="s">
        <v>230</v>
      </c>
      <c r="K9" s="3">
        <v>46052</v>
      </c>
      <c r="L9" s="4" t="s">
        <v>231</v>
      </c>
      <c r="M9" s="77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35"/>
      <c r="R9" s="34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261</v>
      </c>
      <c r="B10" s="4"/>
      <c r="C10" t="s">
        <v>262</v>
      </c>
      <c r="D10" t="str">
        <f>IF($C10="","",IFERROR(LOOKUP(2,1/('03_Warehouse_Movements'!$C$2:$C$500=$A10),'03_Warehouse_Movements'!$E$2:$E$500),$C10))</f>
        <v>SAMPLE: Imaging Equipment</v>
      </c>
      <c r="E10" t="s">
        <v>219</v>
      </c>
      <c r="F10" t="s">
        <v>228</v>
      </c>
      <c r="G10" s="33"/>
      <c r="H10" s="3" t="str">
        <f t="shared" si="0"/>
        <v/>
      </c>
      <c r="I10" s="3" t="s">
        <v>263</v>
      </c>
      <c r="J10" s="4" t="s">
        <v>230</v>
      </c>
      <c r="K10" s="3">
        <v>46052</v>
      </c>
      <c r="L10" s="4" t="s">
        <v>231</v>
      </c>
      <c r="M10" s="77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35"/>
      <c r="R10" s="34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264</v>
      </c>
      <c r="B11" s="4"/>
      <c r="C11" t="s">
        <v>265</v>
      </c>
      <c r="D11" t="str">
        <f>IF($C11="","",IFERROR(LOOKUP(2,1/('03_Warehouse_Movements'!$C$2:$C$500=$A11),'03_Warehouse_Movements'!$E$2:$E$500),$C11))</f>
        <v>SAMPLE: Misc Hardware</v>
      </c>
      <c r="E11" t="s">
        <v>219</v>
      </c>
      <c r="F11" t="s">
        <v>228</v>
      </c>
      <c r="G11" s="33"/>
      <c r="H11" s="3" t="str">
        <f t="shared" si="0"/>
        <v/>
      </c>
      <c r="I11" s="3" t="s">
        <v>266</v>
      </c>
      <c r="J11" s="4" t="s">
        <v>230</v>
      </c>
      <c r="K11" s="3">
        <v>46052</v>
      </c>
      <c r="L11" s="4" t="s">
        <v>231</v>
      </c>
      <c r="M11" s="77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35" t="s">
        <v>267</v>
      </c>
      <c r="R11" s="34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268</v>
      </c>
      <c r="B12" s="4"/>
      <c r="C12" t="s">
        <v>269</v>
      </c>
      <c r="D12" t="str">
        <f>IF($C12="","",IFERROR(LOOKUP(2,1/('03_Warehouse_Movements'!$C$2:$C$500=$A12),'03_Warehouse_Movements'!$E$2:$E$500),$C12))</f>
        <v>SAMPLE: Dell Devices</v>
      </c>
      <c r="E12" t="s">
        <v>219</v>
      </c>
      <c r="F12" t="s">
        <v>228</v>
      </c>
      <c r="G12" s="33"/>
      <c r="H12" s="3" t="str">
        <f t="shared" si="0"/>
        <v/>
      </c>
      <c r="I12" s="3" t="s">
        <v>270</v>
      </c>
      <c r="J12" s="4" t="s">
        <v>230</v>
      </c>
      <c r="K12" s="3">
        <v>46052</v>
      </c>
      <c r="L12" s="4" t="s">
        <v>231</v>
      </c>
      <c r="M12" s="77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35"/>
      <c r="R12" s="34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271</v>
      </c>
      <c r="B13" s="4"/>
      <c r="C13" t="s">
        <v>272</v>
      </c>
      <c r="D13" t="str">
        <f>IF($C13="","",IFERROR(LOOKUP(2,1/('03_Warehouse_Movements'!$C$2:$C$500=$A13),'03_Warehouse_Movements'!$E$2:$E$500),$C13))</f>
        <v>PAL-0000013</v>
      </c>
      <c r="E13" t="s">
        <v>219</v>
      </c>
      <c r="F13" t="s">
        <v>228</v>
      </c>
      <c r="G13" s="33"/>
      <c r="H13" s="3" t="str">
        <f t="shared" si="0"/>
        <v/>
      </c>
      <c r="I13" s="3" t="s">
        <v>229</v>
      </c>
      <c r="J13" s="4" t="s">
        <v>230</v>
      </c>
      <c r="K13" s="3">
        <v>46052</v>
      </c>
      <c r="L13" s="4" t="s">
        <v>231</v>
      </c>
      <c r="M13" s="77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35"/>
      <c r="R13" s="34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273</v>
      </c>
      <c r="B14" s="4"/>
      <c r="C14" t="s">
        <v>274</v>
      </c>
      <c r="D14" t="str">
        <f>IF($C14="","",IFERROR(LOOKUP(2,1/('03_Warehouse_Movements'!$C$2:$C$500=$A14),'03_Warehouse_Movements'!$E$2:$E$500),$C14))</f>
        <v>SAMPLE: Cables &amp; Adapters</v>
      </c>
      <c r="E14" t="s">
        <v>219</v>
      </c>
      <c r="F14" t="s">
        <v>256</v>
      </c>
      <c r="G14" s="33">
        <v>14</v>
      </c>
      <c r="H14" s="3" t="str">
        <f t="shared" si="0"/>
        <v/>
      </c>
      <c r="I14" s="3" t="s">
        <v>275</v>
      </c>
      <c r="J14" s="4" t="s">
        <v>230</v>
      </c>
      <c r="K14" s="3">
        <v>46052</v>
      </c>
      <c r="L14" s="4" t="s">
        <v>231</v>
      </c>
      <c r="M14" s="77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35"/>
      <c r="R14" s="34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276</v>
      </c>
      <c r="B15" s="4"/>
      <c r="C15" t="s">
        <v>277</v>
      </c>
      <c r="D15" t="str">
        <f>IF($C15="","",IFERROR(LOOKUP(2,1/('03_Warehouse_Movements'!$C$2:$C$500=$A15),'03_Warehouse_Movements'!$E$2:$E$500),$C15))</f>
        <v>SAMPLE: Racks &amp; Rails</v>
      </c>
      <c r="E15" t="s">
        <v>219</v>
      </c>
      <c r="F15" t="s">
        <v>228</v>
      </c>
      <c r="G15" s="33"/>
      <c r="H15" s="3" t="str">
        <f t="shared" si="0"/>
        <v/>
      </c>
      <c r="I15" s="3" t="s">
        <v>278</v>
      </c>
      <c r="J15" s="4" t="s">
        <v>230</v>
      </c>
      <c r="K15" s="3">
        <v>46052</v>
      </c>
      <c r="L15" s="4" t="s">
        <v>231</v>
      </c>
      <c r="M15" s="77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35"/>
      <c r="R15" s="34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279</v>
      </c>
      <c r="B16" s="4" t="s">
        <v>280</v>
      </c>
      <c r="C16" t="s">
        <v>281</v>
      </c>
      <c r="D16" t="str">
        <f>IF($C16="","",IFERROR(LOOKUP(2,1/('03_Warehouse_Movements'!$C$2:$C$500=$A16),'03_Warehouse_Movements'!$E$2:$E$500),$C16))</f>
        <v>SAMPLE: Networking Gear</v>
      </c>
      <c r="E16" t="s">
        <v>219</v>
      </c>
      <c r="F16" t="s">
        <v>228</v>
      </c>
      <c r="G16" s="33"/>
      <c r="H16" s="3" t="str">
        <f t="shared" si="0"/>
        <v/>
      </c>
      <c r="I16" s="3" t="s">
        <v>282</v>
      </c>
      <c r="J16" s="4" t="s">
        <v>230</v>
      </c>
      <c r="K16" s="3">
        <v>46052</v>
      </c>
      <c r="L16" s="4" t="s">
        <v>231</v>
      </c>
      <c r="M16" s="77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35"/>
      <c r="R16" s="34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283</v>
      </c>
      <c r="B17" s="4"/>
      <c r="C17" t="s">
        <v>284</v>
      </c>
      <c r="D17" t="str">
        <f>IF($C17="","",IFERROR(LOOKUP(2,1/('03_Warehouse_Movements'!$C$2:$C$500=$A17),'03_Warehouse_Movements'!$E$2:$E$500),$C17))</f>
        <v>SAMPLE: Keyboards &amp; Mice</v>
      </c>
      <c r="E17" t="s">
        <v>219</v>
      </c>
      <c r="F17" t="s">
        <v>228</v>
      </c>
      <c r="G17" s="33"/>
      <c r="H17" s="3" t="str">
        <f t="shared" si="0"/>
        <v/>
      </c>
      <c r="I17" s="3" t="s">
        <v>285</v>
      </c>
      <c r="J17" s="4" t="s">
        <v>230</v>
      </c>
      <c r="K17" s="3">
        <v>46052</v>
      </c>
      <c r="L17" s="4" t="s">
        <v>231</v>
      </c>
      <c r="M17" s="77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35"/>
      <c r="R17" s="34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286</v>
      </c>
      <c r="B18" s="4"/>
      <c r="C18" t="s">
        <v>287</v>
      </c>
      <c r="D18" t="str">
        <f>IF($C18="","",IFERROR(LOOKUP(2,1/('03_Warehouse_Movements'!$C$2:$C$500=$A18),'03_Warehouse_Movements'!$E$2:$E$500),$C18))</f>
        <v>SAMPLE: Spare Parts</v>
      </c>
      <c r="E18" t="s">
        <v>219</v>
      </c>
      <c r="F18" t="s">
        <v>228</v>
      </c>
      <c r="G18" s="33"/>
      <c r="H18" s="3" t="str">
        <f t="shared" si="0"/>
        <v/>
      </c>
      <c r="I18" s="3" t="s">
        <v>288</v>
      </c>
      <c r="J18" s="4" t="s">
        <v>230</v>
      </c>
      <c r="K18" s="3">
        <v>46052</v>
      </c>
      <c r="L18" s="4" t="s">
        <v>231</v>
      </c>
      <c r="M18" s="77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35"/>
      <c r="R18" s="34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289</v>
      </c>
      <c r="B19" s="4"/>
      <c r="C19" t="s">
        <v>290</v>
      </c>
      <c r="D19" t="str">
        <f>IF($C19="","",IFERROR(LOOKUP(2,1/('03_Warehouse_Movements'!$C$2:$C$500=$A19),'03_Warehouse_Movements'!$E$2:$E$500),$C19))</f>
        <v>PAL-0000019</v>
      </c>
      <c r="E19" t="s">
        <v>219</v>
      </c>
      <c r="F19" t="s">
        <v>228</v>
      </c>
      <c r="G19" s="33"/>
      <c r="H19" s="3" t="str">
        <f t="shared" si="0"/>
        <v/>
      </c>
      <c r="I19" s="3" t="s">
        <v>260</v>
      </c>
      <c r="J19" s="4" t="s">
        <v>230</v>
      </c>
      <c r="K19" s="3">
        <v>46052</v>
      </c>
      <c r="L19" s="4" t="s">
        <v>231</v>
      </c>
      <c r="M19" s="77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35"/>
      <c r="R19" s="34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291</v>
      </c>
      <c r="B20" s="4"/>
      <c r="C20" t="s">
        <v>292</v>
      </c>
      <c r="D20" t="str">
        <f>IF($C20="","",IFERROR(LOOKUP(2,1/('03_Warehouse_Movements'!$C$2:$C$500=$A20),'03_Warehouse_Movements'!$E$2:$E$500),$C20))</f>
        <v>PAL-0000020</v>
      </c>
      <c r="E20" t="s">
        <v>219</v>
      </c>
      <c r="F20" t="s">
        <v>256</v>
      </c>
      <c r="G20" s="33">
        <v>14</v>
      </c>
      <c r="H20" s="3" t="str">
        <f t="shared" si="0"/>
        <v/>
      </c>
      <c r="I20" s="3" t="s">
        <v>263</v>
      </c>
      <c r="J20" s="4" t="s">
        <v>230</v>
      </c>
      <c r="K20" s="3">
        <v>46052</v>
      </c>
      <c r="L20" s="4" t="s">
        <v>231</v>
      </c>
      <c r="M20" s="77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35"/>
      <c r="R20" s="34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293</v>
      </c>
      <c r="B21" s="4"/>
      <c r="C21" t="s">
        <v>294</v>
      </c>
      <c r="D21" t="str">
        <f>IF($C21="","",IFERROR(LOOKUP(2,1/('03_Warehouse_Movements'!$C$2:$C$500=$A21),'03_Warehouse_Movements'!$E$2:$E$500),$C21))</f>
        <v>PAL-0000021</v>
      </c>
      <c r="E21" t="s">
        <v>219</v>
      </c>
      <c r="F21" t="s">
        <v>228</v>
      </c>
      <c r="G21" s="33"/>
      <c r="H21" s="3" t="str">
        <f t="shared" si="0"/>
        <v/>
      </c>
      <c r="I21" s="3" t="s">
        <v>266</v>
      </c>
      <c r="J21" s="4" t="s">
        <v>230</v>
      </c>
      <c r="K21" s="3">
        <v>46052</v>
      </c>
      <c r="L21" s="4" t="s">
        <v>231</v>
      </c>
      <c r="M21" s="77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35"/>
      <c r="R21" s="34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295</v>
      </c>
      <c r="B22" s="4"/>
      <c r="C22" t="s">
        <v>296</v>
      </c>
      <c r="D22" t="str">
        <f>IF($C22="","",IFERROR(LOOKUP(2,1/('03_Warehouse_Movements'!$C$2:$C$500=$A22),'03_Warehouse_Movements'!$E$2:$E$500),$C22))</f>
        <v>PAL-0000022</v>
      </c>
      <c r="E22" t="s">
        <v>219</v>
      </c>
      <c r="F22" t="s">
        <v>228</v>
      </c>
      <c r="G22" s="33"/>
      <c r="H22" s="3" t="str">
        <f t="shared" si="0"/>
        <v/>
      </c>
      <c r="I22" s="3" t="s">
        <v>270</v>
      </c>
      <c r="J22" s="4" t="s">
        <v>230</v>
      </c>
      <c r="K22" s="3">
        <v>46052</v>
      </c>
      <c r="L22" s="4" t="s">
        <v>231</v>
      </c>
      <c r="M22" s="77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35"/>
      <c r="R22" s="34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297</v>
      </c>
      <c r="B23" s="4" t="s">
        <v>298</v>
      </c>
      <c r="C23" t="s">
        <v>299</v>
      </c>
      <c r="D23" t="str">
        <f>IF($C23="","",IFERROR(LOOKUP(2,1/('03_Warehouse_Movements'!$C$2:$C$500=$A23),'03_Warehouse_Movements'!$E$2:$E$500),$C23))</f>
        <v>PAL-0000023</v>
      </c>
      <c r="E23" t="s">
        <v>219</v>
      </c>
      <c r="F23" t="s">
        <v>228</v>
      </c>
      <c r="G23" s="33"/>
      <c r="H23" s="3" t="str">
        <f t="shared" si="0"/>
        <v/>
      </c>
      <c r="I23" s="3" t="s">
        <v>229</v>
      </c>
      <c r="J23" s="4" t="s">
        <v>230</v>
      </c>
      <c r="K23" s="3">
        <v>46052</v>
      </c>
      <c r="L23" s="4" t="s">
        <v>231</v>
      </c>
      <c r="M23" s="77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35"/>
      <c r="R23" s="34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300</v>
      </c>
      <c r="B24" s="4"/>
      <c r="C24" t="s">
        <v>301</v>
      </c>
      <c r="D24" t="str">
        <f>IF($C24="","",IFERROR(LOOKUP(2,1/('03_Warehouse_Movements'!$C$2:$C$500=$A24),'03_Warehouse_Movements'!$E$2:$E$500),$C24))</f>
        <v>PAL-0000024</v>
      </c>
      <c r="E24" t="s">
        <v>219</v>
      </c>
      <c r="F24" t="s">
        <v>228</v>
      </c>
      <c r="G24" s="33"/>
      <c r="H24" s="3" t="str">
        <f t="shared" si="0"/>
        <v/>
      </c>
      <c r="I24" s="3" t="s">
        <v>275</v>
      </c>
      <c r="J24" s="4" t="s">
        <v>230</v>
      </c>
      <c r="K24" s="3">
        <v>46052</v>
      </c>
      <c r="L24" s="4" t="s">
        <v>231</v>
      </c>
      <c r="M24" s="77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35"/>
      <c r="R24" s="34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302</v>
      </c>
      <c r="B25" s="4"/>
      <c r="C25" t="s">
        <v>303</v>
      </c>
      <c r="D25" t="str">
        <f>IF($C25="","",IFERROR(LOOKUP(2,1/('03_Warehouse_Movements'!$C$2:$C$500=$A25),'03_Warehouse_Movements'!$E$2:$E$500),$C25))</f>
        <v>PAL-0000025</v>
      </c>
      <c r="E25" t="s">
        <v>219</v>
      </c>
      <c r="F25" t="s">
        <v>228</v>
      </c>
      <c r="G25" s="33"/>
      <c r="H25" s="3" t="str">
        <f t="shared" si="0"/>
        <v/>
      </c>
      <c r="I25" s="3" t="s">
        <v>278</v>
      </c>
      <c r="J25" s="4" t="s">
        <v>230</v>
      </c>
      <c r="K25" s="3">
        <v>46052</v>
      </c>
      <c r="L25" s="4" t="s">
        <v>231</v>
      </c>
      <c r="M25" s="77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35"/>
      <c r="R25" s="34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304</v>
      </c>
      <c r="B26" s="4"/>
      <c r="C26" t="s">
        <v>305</v>
      </c>
      <c r="D26" t="str">
        <f>IF($C26="","",IFERROR(LOOKUP(2,1/('03_Warehouse_Movements'!$C$2:$C$500=$A26),'03_Warehouse_Movements'!$E$2:$E$500),$C26))</f>
        <v>PAL-0000026</v>
      </c>
      <c r="E26" t="s">
        <v>219</v>
      </c>
      <c r="F26" t="s">
        <v>256</v>
      </c>
      <c r="G26" s="33">
        <v>14</v>
      </c>
      <c r="H26" s="3" t="str">
        <f t="shared" si="0"/>
        <v/>
      </c>
      <c r="I26" s="3" t="s">
        <v>282</v>
      </c>
      <c r="J26" s="4" t="s">
        <v>230</v>
      </c>
      <c r="K26" s="3">
        <v>46052</v>
      </c>
      <c r="L26" s="4" t="s">
        <v>231</v>
      </c>
      <c r="M26" s="77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35"/>
      <c r="R26" s="34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306</v>
      </c>
      <c r="B27" s="4"/>
      <c r="C27" t="s">
        <v>307</v>
      </c>
      <c r="D27" t="str">
        <f>IF($C27="","",IFERROR(LOOKUP(2,1/('03_Warehouse_Movements'!$C$2:$C$500=$A27),'03_Warehouse_Movements'!$E$2:$E$500),$C27))</f>
        <v>PAL-0000027</v>
      </c>
      <c r="E27" t="s">
        <v>219</v>
      </c>
      <c r="F27" t="s">
        <v>228</v>
      </c>
      <c r="G27" s="33"/>
      <c r="H27" s="3" t="str">
        <f t="shared" si="0"/>
        <v/>
      </c>
      <c r="I27" s="3" t="s">
        <v>285</v>
      </c>
      <c r="J27" s="4" t="s">
        <v>230</v>
      </c>
      <c r="K27" s="3">
        <v>46052</v>
      </c>
      <c r="L27" s="4" t="s">
        <v>231</v>
      </c>
      <c r="M27" s="77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35"/>
      <c r="R27" s="34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308</v>
      </c>
      <c r="B28" s="4"/>
      <c r="C28" t="s">
        <v>309</v>
      </c>
      <c r="D28" t="str">
        <f>IF($C28="","",IFERROR(LOOKUP(2,1/('03_Warehouse_Movements'!$C$2:$C$500=$A28),'03_Warehouse_Movements'!$E$2:$E$500),$C28))</f>
        <v>PAL-0000028</v>
      </c>
      <c r="E28" t="s">
        <v>219</v>
      </c>
      <c r="F28" t="s">
        <v>228</v>
      </c>
      <c r="G28" s="33"/>
      <c r="H28" s="3" t="str">
        <f t="shared" si="0"/>
        <v/>
      </c>
      <c r="I28" s="3" t="s">
        <v>288</v>
      </c>
      <c r="J28" s="4" t="s">
        <v>230</v>
      </c>
      <c r="K28" s="3">
        <v>46052</v>
      </c>
      <c r="L28" s="4" t="s">
        <v>231</v>
      </c>
      <c r="M28" s="77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35"/>
      <c r="R28" s="34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310</v>
      </c>
      <c r="B29" s="4"/>
      <c r="C29" t="s">
        <v>311</v>
      </c>
      <c r="D29" t="str">
        <f>IF($C29="","",IFERROR(LOOKUP(2,1/('03_Warehouse_Movements'!$C$2:$C$500=$A29),'03_Warehouse_Movements'!$E$2:$E$500),$C29))</f>
        <v>PAL-0000029</v>
      </c>
      <c r="E29" t="s">
        <v>219</v>
      </c>
      <c r="F29" t="s">
        <v>228</v>
      </c>
      <c r="G29" s="33"/>
      <c r="H29" s="3" t="str">
        <f t="shared" si="0"/>
        <v/>
      </c>
      <c r="I29" s="3" t="s">
        <v>260</v>
      </c>
      <c r="J29" s="4" t="s">
        <v>230</v>
      </c>
      <c r="K29" s="3">
        <v>46052</v>
      </c>
      <c r="L29" s="4" t="s">
        <v>231</v>
      </c>
      <c r="M29" s="77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35"/>
      <c r="R29" s="34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312</v>
      </c>
      <c r="B30" s="4" t="s">
        <v>313</v>
      </c>
      <c r="C30" t="s">
        <v>314</v>
      </c>
      <c r="D30" t="str">
        <f>IF($C30="","",IFERROR(LOOKUP(2,1/('03_Warehouse_Movements'!$C$2:$C$500=$A30),'03_Warehouse_Movements'!$E$2:$E$500),$C30))</f>
        <v>PAL-0000030</v>
      </c>
      <c r="E30" t="s">
        <v>219</v>
      </c>
      <c r="F30" t="s">
        <v>228</v>
      </c>
      <c r="G30" s="33"/>
      <c r="H30" s="3" t="str">
        <f t="shared" si="0"/>
        <v/>
      </c>
      <c r="I30" s="3" t="s">
        <v>263</v>
      </c>
      <c r="J30" s="4" t="s">
        <v>230</v>
      </c>
      <c r="K30" s="3">
        <v>46052</v>
      </c>
      <c r="L30" s="4" t="s">
        <v>231</v>
      </c>
      <c r="M30" s="77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35"/>
      <c r="R30" s="34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315</v>
      </c>
      <c r="B31" s="4"/>
      <c r="C31" t="s">
        <v>316</v>
      </c>
      <c r="D31" t="str">
        <f>IF($C31="","",IFERROR(LOOKUP(2,1/('03_Warehouse_Movements'!$C$2:$C$500=$A31),'03_Warehouse_Movements'!$E$2:$E$500),$C31))</f>
        <v>PAL-0000031</v>
      </c>
      <c r="E31" t="s">
        <v>219</v>
      </c>
      <c r="F31" t="s">
        <v>228</v>
      </c>
      <c r="G31" s="33"/>
      <c r="H31" s="3" t="str">
        <f t="shared" si="0"/>
        <v/>
      </c>
      <c r="I31" s="3" t="s">
        <v>266</v>
      </c>
      <c r="J31" s="4" t="s">
        <v>230</v>
      </c>
      <c r="K31" s="3">
        <v>46052</v>
      </c>
      <c r="L31" s="4" t="s">
        <v>231</v>
      </c>
      <c r="M31" s="77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35"/>
      <c r="R31" s="34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317</v>
      </c>
      <c r="B32" s="4"/>
      <c r="C32" t="s">
        <v>318</v>
      </c>
      <c r="D32" t="str">
        <f>IF($C32="","",IFERROR(LOOKUP(2,1/('03_Warehouse_Movements'!$C$2:$C$500=$A32),'03_Warehouse_Movements'!$E$2:$E$500),$C32))</f>
        <v>PAL-0000032</v>
      </c>
      <c r="E32" t="s">
        <v>219</v>
      </c>
      <c r="F32" t="s">
        <v>256</v>
      </c>
      <c r="G32" s="33">
        <v>14</v>
      </c>
      <c r="H32" s="3" t="str">
        <f t="shared" si="0"/>
        <v/>
      </c>
      <c r="I32" s="3" t="s">
        <v>270</v>
      </c>
      <c r="J32" s="4" t="s">
        <v>230</v>
      </c>
      <c r="K32" s="3">
        <v>46052</v>
      </c>
      <c r="L32" s="4" t="s">
        <v>231</v>
      </c>
      <c r="M32" s="77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35"/>
      <c r="R32" s="34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319</v>
      </c>
      <c r="B33" s="4"/>
      <c r="C33" t="s">
        <v>320</v>
      </c>
      <c r="D33" t="str">
        <f>IF($C33="","",IFERROR(LOOKUP(2,1/('03_Warehouse_Movements'!$C$2:$C$500=$A33),'03_Warehouse_Movements'!$E$2:$E$500),$C33))</f>
        <v>PAL-0000033</v>
      </c>
      <c r="E33" t="s">
        <v>219</v>
      </c>
      <c r="F33" t="s">
        <v>228</v>
      </c>
      <c r="G33" s="33"/>
      <c r="H33" s="3" t="str">
        <f t="shared" si="0"/>
        <v/>
      </c>
      <c r="I33" s="3" t="s">
        <v>229</v>
      </c>
      <c r="J33" s="4" t="s">
        <v>230</v>
      </c>
      <c r="K33" s="3">
        <v>46052</v>
      </c>
      <c r="L33" s="4" t="s">
        <v>231</v>
      </c>
      <c r="M33" s="77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35"/>
      <c r="R33" s="34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321</v>
      </c>
      <c r="B34" s="4"/>
      <c r="C34" t="s">
        <v>322</v>
      </c>
      <c r="D34" t="str">
        <f>IF($C34="","",IFERROR(LOOKUP(2,1/('03_Warehouse_Movements'!$C$2:$C$500=$A34),'03_Warehouse_Movements'!$E$2:$E$500),$C34))</f>
        <v>PAL-0000034</v>
      </c>
      <c r="E34" t="s">
        <v>219</v>
      </c>
      <c r="F34" t="s">
        <v>228</v>
      </c>
      <c r="G34" s="33"/>
      <c r="H34" s="3" t="str">
        <f t="shared" si="0"/>
        <v/>
      </c>
      <c r="I34" s="3" t="s">
        <v>275</v>
      </c>
      <c r="J34" s="4" t="s">
        <v>230</v>
      </c>
      <c r="K34" s="3">
        <v>46052</v>
      </c>
      <c r="L34" s="4" t="s">
        <v>231</v>
      </c>
      <c r="M34" s="77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35"/>
      <c r="R34" s="34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323</v>
      </c>
      <c r="B35" s="4"/>
      <c r="C35" t="s">
        <v>324</v>
      </c>
      <c r="D35" t="str">
        <f>IF($C35="","",IFERROR(LOOKUP(2,1/('03_Warehouse_Movements'!$C$2:$C$500=$A35),'03_Warehouse_Movements'!$E$2:$E$500),$C35))</f>
        <v>PAL-0000035</v>
      </c>
      <c r="E35" t="s">
        <v>219</v>
      </c>
      <c r="F35" t="s">
        <v>228</v>
      </c>
      <c r="G35" s="33"/>
      <c r="H35" s="3" t="str">
        <f t="shared" si="0"/>
        <v/>
      </c>
      <c r="I35" s="3" t="s">
        <v>278</v>
      </c>
      <c r="J35" s="4" t="s">
        <v>230</v>
      </c>
      <c r="K35" s="3">
        <v>46052</v>
      </c>
      <c r="L35" s="4" t="s">
        <v>231</v>
      </c>
      <c r="M35" s="77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35"/>
      <c r="R35" s="34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325</v>
      </c>
      <c r="B36" s="4"/>
      <c r="C36" t="s">
        <v>326</v>
      </c>
      <c r="D36" t="str">
        <f>IF($C36="","",IFERROR(LOOKUP(2,1/('03_Warehouse_Movements'!$C$2:$C$500=$A36),'03_Warehouse_Movements'!$E$2:$E$500),$C36))</f>
        <v>PAL-0000036</v>
      </c>
      <c r="E36" t="s">
        <v>219</v>
      </c>
      <c r="F36" t="s">
        <v>228</v>
      </c>
      <c r="G36" s="33"/>
      <c r="H36" s="3" t="str">
        <f t="shared" si="0"/>
        <v/>
      </c>
      <c r="I36" s="3" t="s">
        <v>282</v>
      </c>
      <c r="J36" s="4" t="s">
        <v>230</v>
      </c>
      <c r="K36" s="3">
        <v>46052</v>
      </c>
      <c r="L36" s="4" t="s">
        <v>231</v>
      </c>
      <c r="M36" s="77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35"/>
      <c r="R36" s="34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327</v>
      </c>
      <c r="B37" s="4" t="s">
        <v>328</v>
      </c>
      <c r="C37" t="s">
        <v>329</v>
      </c>
      <c r="D37" t="str">
        <f>IF($C37="","",IFERROR(LOOKUP(2,1/('03_Warehouse_Movements'!$C$2:$C$500=$A37),'03_Warehouse_Movements'!$E$2:$E$500),$C37))</f>
        <v>PAL-0000037</v>
      </c>
      <c r="E37" t="s">
        <v>219</v>
      </c>
      <c r="F37" t="s">
        <v>228</v>
      </c>
      <c r="G37" s="33"/>
      <c r="H37" s="3" t="str">
        <f t="shared" si="0"/>
        <v/>
      </c>
      <c r="I37" s="3" t="s">
        <v>285</v>
      </c>
      <c r="J37" s="4" t="s">
        <v>230</v>
      </c>
      <c r="K37" s="3">
        <v>46052</v>
      </c>
      <c r="L37" s="4" t="s">
        <v>231</v>
      </c>
      <c r="M37" s="77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35"/>
      <c r="R37" s="34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330</v>
      </c>
      <c r="B38" s="4"/>
      <c r="C38" t="s">
        <v>331</v>
      </c>
      <c r="D38" t="str">
        <f>IF($C38="","",IFERROR(LOOKUP(2,1/('03_Warehouse_Movements'!$C$2:$C$500=$A38),'03_Warehouse_Movements'!$E$2:$E$500),$C38))</f>
        <v>PAL-0000038</v>
      </c>
      <c r="E38" t="s">
        <v>219</v>
      </c>
      <c r="F38" t="s">
        <v>256</v>
      </c>
      <c r="G38" s="33">
        <v>14</v>
      </c>
      <c r="H38" s="3" t="str">
        <f t="shared" si="0"/>
        <v/>
      </c>
      <c r="I38" s="3" t="s">
        <v>288</v>
      </c>
      <c r="J38" s="4" t="s">
        <v>230</v>
      </c>
      <c r="K38" s="3">
        <v>46052</v>
      </c>
      <c r="L38" s="4" t="s">
        <v>231</v>
      </c>
      <c r="M38" s="77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35"/>
      <c r="R38" s="34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332</v>
      </c>
      <c r="B39" s="4"/>
      <c r="C39" t="s">
        <v>333</v>
      </c>
      <c r="D39" t="str">
        <f>IF($C39="","",IFERROR(LOOKUP(2,1/('03_Warehouse_Movements'!$C$2:$C$500=$A39),'03_Warehouse_Movements'!$E$2:$E$500),$C39))</f>
        <v>PAL-0000039</v>
      </c>
      <c r="E39" t="s">
        <v>219</v>
      </c>
      <c r="F39" t="s">
        <v>228</v>
      </c>
      <c r="G39" s="33"/>
      <c r="H39" s="3" t="str">
        <f t="shared" si="0"/>
        <v/>
      </c>
      <c r="I39" s="3" t="s">
        <v>260</v>
      </c>
      <c r="J39" s="4" t="s">
        <v>230</v>
      </c>
      <c r="K39" s="3">
        <v>46052</v>
      </c>
      <c r="L39" s="4" t="s">
        <v>231</v>
      </c>
      <c r="M39" s="77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35"/>
      <c r="R39" s="34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334</v>
      </c>
      <c r="B40" s="4"/>
      <c r="C40" t="s">
        <v>335</v>
      </c>
      <c r="D40" t="str">
        <f>IF($C40="","",IFERROR(LOOKUP(2,1/('03_Warehouse_Movements'!$C$2:$C$500=$A40),'03_Warehouse_Movements'!$E$2:$E$500),$C40))</f>
        <v>PAL-0000040</v>
      </c>
      <c r="E40" t="s">
        <v>219</v>
      </c>
      <c r="F40" t="s">
        <v>228</v>
      </c>
      <c r="G40" s="33"/>
      <c r="H40" s="3" t="str">
        <f t="shared" si="0"/>
        <v/>
      </c>
      <c r="I40" s="3" t="s">
        <v>263</v>
      </c>
      <c r="J40" s="4" t="s">
        <v>230</v>
      </c>
      <c r="K40" s="3">
        <v>46052</v>
      </c>
      <c r="L40" s="4" t="s">
        <v>231</v>
      </c>
      <c r="M40" s="77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35"/>
      <c r="R40" s="34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336</v>
      </c>
      <c r="B41" s="4"/>
      <c r="C41" t="s">
        <v>337</v>
      </c>
      <c r="D41" t="str">
        <f>IF($C41="","",IFERROR(LOOKUP(2,1/('03_Warehouse_Movements'!$C$2:$C$500=$A41),'03_Warehouse_Movements'!$E$2:$E$500),$C41))</f>
        <v>PAL-0000041</v>
      </c>
      <c r="E41" t="s">
        <v>219</v>
      </c>
      <c r="F41" t="s">
        <v>228</v>
      </c>
      <c r="G41" s="33"/>
      <c r="H41" s="3" t="str">
        <f t="shared" si="0"/>
        <v/>
      </c>
      <c r="I41" s="3" t="s">
        <v>266</v>
      </c>
      <c r="J41" s="4" t="s">
        <v>230</v>
      </c>
      <c r="K41" s="3">
        <v>46052</v>
      </c>
      <c r="L41" s="4" t="s">
        <v>231</v>
      </c>
      <c r="M41" s="77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35"/>
      <c r="R41" s="34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338</v>
      </c>
      <c r="B42" s="4"/>
      <c r="C42" t="s">
        <v>339</v>
      </c>
      <c r="D42" t="str">
        <f>IF($C42="","",IFERROR(LOOKUP(2,1/('03_Warehouse_Movements'!$C$2:$C$500=$A42),'03_Warehouse_Movements'!$E$2:$E$500),$C42))</f>
        <v>PAL-0000042</v>
      </c>
      <c r="E42" t="s">
        <v>219</v>
      </c>
      <c r="F42" t="s">
        <v>228</v>
      </c>
      <c r="G42" s="33"/>
      <c r="H42" s="3" t="str">
        <f t="shared" si="0"/>
        <v/>
      </c>
      <c r="I42" s="3" t="s">
        <v>270</v>
      </c>
      <c r="J42" s="4" t="s">
        <v>230</v>
      </c>
      <c r="K42" s="3">
        <v>46052</v>
      </c>
      <c r="L42" s="4" t="s">
        <v>231</v>
      </c>
      <c r="M42" s="77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35"/>
      <c r="R42" s="34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340</v>
      </c>
      <c r="B43" s="4"/>
      <c r="C43" t="s">
        <v>341</v>
      </c>
      <c r="D43" t="str">
        <f>IF($C43="","",IFERROR(LOOKUP(2,1/('03_Warehouse_Movements'!$C$2:$C$500=$A43),'03_Warehouse_Movements'!$E$2:$E$500),$C43))</f>
        <v>PAL-0000043</v>
      </c>
      <c r="E43" t="s">
        <v>219</v>
      </c>
      <c r="F43" t="s">
        <v>228</v>
      </c>
      <c r="G43" s="33"/>
      <c r="H43" s="3" t="str">
        <f t="shared" si="0"/>
        <v/>
      </c>
      <c r="I43" s="3" t="s">
        <v>229</v>
      </c>
      <c r="J43" s="4" t="s">
        <v>230</v>
      </c>
      <c r="K43" s="3">
        <v>46052</v>
      </c>
      <c r="L43" s="4" t="s">
        <v>231</v>
      </c>
      <c r="M43" s="77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35"/>
      <c r="R43" s="34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342</v>
      </c>
      <c r="B44" s="4" t="s">
        <v>343</v>
      </c>
      <c r="C44" t="s">
        <v>344</v>
      </c>
      <c r="D44" t="str">
        <f>IF($C44="","",IFERROR(LOOKUP(2,1/('03_Warehouse_Movements'!$C$2:$C$500=$A44),'03_Warehouse_Movements'!$E$2:$E$500),$C44))</f>
        <v>PAL-0000044</v>
      </c>
      <c r="E44" t="s">
        <v>219</v>
      </c>
      <c r="F44" t="s">
        <v>256</v>
      </c>
      <c r="G44" s="33">
        <v>14</v>
      </c>
      <c r="H44" s="3" t="str">
        <f t="shared" si="0"/>
        <v/>
      </c>
      <c r="I44" s="3" t="s">
        <v>275</v>
      </c>
      <c r="J44" s="4" t="s">
        <v>230</v>
      </c>
      <c r="K44" s="3">
        <v>46052</v>
      </c>
      <c r="L44" s="4" t="s">
        <v>231</v>
      </c>
      <c r="M44" s="77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35"/>
      <c r="R44" s="34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345</v>
      </c>
      <c r="B45" s="4"/>
      <c r="C45" t="s">
        <v>346</v>
      </c>
      <c r="D45" t="str">
        <f>IF($C45="","",IFERROR(LOOKUP(2,1/('03_Warehouse_Movements'!$C$2:$C$500=$A45),'03_Warehouse_Movements'!$E$2:$E$500),$C45))</f>
        <v>PAL-0000045</v>
      </c>
      <c r="E45" t="s">
        <v>219</v>
      </c>
      <c r="F45" t="s">
        <v>228</v>
      </c>
      <c r="G45" s="33"/>
      <c r="H45" s="3" t="str">
        <f t="shared" si="0"/>
        <v/>
      </c>
      <c r="I45" s="3" t="s">
        <v>278</v>
      </c>
      <c r="J45" s="4" t="s">
        <v>230</v>
      </c>
      <c r="K45" s="3">
        <v>46052</v>
      </c>
      <c r="L45" s="4" t="s">
        <v>231</v>
      </c>
      <c r="M45" s="77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35"/>
      <c r="R45" s="34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347</v>
      </c>
      <c r="B46" s="4"/>
      <c r="C46" t="s">
        <v>348</v>
      </c>
      <c r="D46" t="str">
        <f>IF($C46="","",IFERROR(LOOKUP(2,1/('03_Warehouse_Movements'!$C$2:$C$500=$A46),'03_Warehouse_Movements'!$E$2:$E$500),$C46))</f>
        <v>PAL-0000046</v>
      </c>
      <c r="E46" t="s">
        <v>219</v>
      </c>
      <c r="F46" t="s">
        <v>228</v>
      </c>
      <c r="G46" s="33"/>
      <c r="H46" s="3" t="str">
        <f t="shared" si="0"/>
        <v/>
      </c>
      <c r="I46" s="3" t="s">
        <v>282</v>
      </c>
      <c r="J46" s="4" t="s">
        <v>230</v>
      </c>
      <c r="K46" s="3">
        <v>46052</v>
      </c>
      <c r="L46" s="4" t="s">
        <v>231</v>
      </c>
      <c r="M46" s="77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35"/>
      <c r="R46" s="34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349</v>
      </c>
      <c r="B47" s="4"/>
      <c r="C47" t="s">
        <v>350</v>
      </c>
      <c r="D47" t="str">
        <f>IF($C47="","",IFERROR(LOOKUP(2,1/('03_Warehouse_Movements'!$C$2:$C$500=$A47),'03_Warehouse_Movements'!$E$2:$E$500),$C47))</f>
        <v>PAL-0000047</v>
      </c>
      <c r="E47" t="s">
        <v>219</v>
      </c>
      <c r="F47" t="s">
        <v>228</v>
      </c>
      <c r="G47" s="33"/>
      <c r="H47" s="3" t="str">
        <f t="shared" si="0"/>
        <v/>
      </c>
      <c r="I47" s="3" t="s">
        <v>285</v>
      </c>
      <c r="J47" s="4" t="s">
        <v>230</v>
      </c>
      <c r="K47" s="3">
        <v>46052</v>
      </c>
      <c r="L47" s="4" t="s">
        <v>231</v>
      </c>
      <c r="M47" s="77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35"/>
      <c r="R47" s="34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351</v>
      </c>
      <c r="B48" s="4"/>
      <c r="C48" t="s">
        <v>352</v>
      </c>
      <c r="D48" t="str">
        <f>IF($C48="","",IFERROR(LOOKUP(2,1/('03_Warehouse_Movements'!$C$2:$C$500=$A48),'03_Warehouse_Movements'!$E$2:$E$500),$C48))</f>
        <v>PAL-0000048</v>
      </c>
      <c r="E48" t="s">
        <v>219</v>
      </c>
      <c r="F48" t="s">
        <v>228</v>
      </c>
      <c r="G48" s="33"/>
      <c r="H48" s="3" t="str">
        <f t="shared" si="0"/>
        <v/>
      </c>
      <c r="I48" s="3" t="s">
        <v>288</v>
      </c>
      <c r="J48" s="4" t="s">
        <v>230</v>
      </c>
      <c r="K48" s="3">
        <v>46052</v>
      </c>
      <c r="L48" s="4" t="s">
        <v>231</v>
      </c>
      <c r="M48" s="77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35"/>
      <c r="R48" s="34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353</v>
      </c>
      <c r="B49" s="4"/>
      <c r="C49" t="s">
        <v>354</v>
      </c>
      <c r="D49" t="str">
        <f>IF($C49="","",IFERROR(LOOKUP(2,1/('03_Warehouse_Movements'!$C$2:$C$500=$A49),'03_Warehouse_Movements'!$E$2:$E$500),$C49))</f>
        <v>PAL-0000049</v>
      </c>
      <c r="E49" t="s">
        <v>219</v>
      </c>
      <c r="F49" t="s">
        <v>228</v>
      </c>
      <c r="G49" s="33"/>
      <c r="H49" s="3" t="str">
        <f t="shared" si="0"/>
        <v/>
      </c>
      <c r="I49" s="3" t="s">
        <v>260</v>
      </c>
      <c r="J49" s="4" t="s">
        <v>230</v>
      </c>
      <c r="K49" s="3">
        <v>46052</v>
      </c>
      <c r="L49" s="4" t="s">
        <v>231</v>
      </c>
      <c r="M49" s="77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35"/>
      <c r="R49" s="34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355</v>
      </c>
      <c r="B50" s="4"/>
      <c r="C50" t="s">
        <v>356</v>
      </c>
      <c r="D50" t="str">
        <f>IF($C50="","",IFERROR(LOOKUP(2,1/('03_Warehouse_Movements'!$C$2:$C$500=$A50),'03_Warehouse_Movements'!$E$2:$E$500),$C50))</f>
        <v>PAL-0000050</v>
      </c>
      <c r="E50" t="s">
        <v>219</v>
      </c>
      <c r="F50" t="s">
        <v>256</v>
      </c>
      <c r="G50" s="33">
        <v>14</v>
      </c>
      <c r="H50" s="3" t="str">
        <f t="shared" si="0"/>
        <v/>
      </c>
      <c r="I50" s="3" t="s">
        <v>263</v>
      </c>
      <c r="J50" s="4" t="s">
        <v>230</v>
      </c>
      <c r="K50" s="3">
        <v>46052</v>
      </c>
      <c r="L50" s="4" t="s">
        <v>231</v>
      </c>
      <c r="M50" s="77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35"/>
      <c r="R50" s="34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357</v>
      </c>
      <c r="B51" s="4" t="s">
        <v>358</v>
      </c>
      <c r="C51" t="s">
        <v>359</v>
      </c>
      <c r="D51" t="str">
        <f>IF($C51="","",IFERROR(LOOKUP(2,1/('03_Warehouse_Movements'!$C$2:$C$500=$A51),'03_Warehouse_Movements'!$E$2:$E$500),$C51))</f>
        <v>RETIRED</v>
      </c>
      <c r="E51" t="s">
        <v>360</v>
      </c>
      <c r="F51" t="s">
        <v>228</v>
      </c>
      <c r="G51" s="33"/>
      <c r="H51" s="3" t="str">
        <f t="shared" si="0"/>
        <v/>
      </c>
      <c r="I51" s="3" t="s">
        <v>266</v>
      </c>
      <c r="J51" s="4" t="s">
        <v>230</v>
      </c>
      <c r="K51" s="3">
        <v>46052</v>
      </c>
      <c r="L51" s="4" t="s">
        <v>231</v>
      </c>
      <c r="M51" s="77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35"/>
      <c r="R51" s="34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361</v>
      </c>
      <c r="B52" s="4"/>
      <c r="C52" t="s">
        <v>362</v>
      </c>
      <c r="D52" t="str">
        <f>IF($C52="","",IFERROR(LOOKUP(2,1/('03_Warehouse_Movements'!$C$2:$C$500=$A52),'03_Warehouse_Movements'!$E$2:$E$500),$C52))</f>
        <v>PAL-0000052</v>
      </c>
      <c r="E52" t="s">
        <v>360</v>
      </c>
      <c r="F52" t="s">
        <v>228</v>
      </c>
      <c r="G52" s="33"/>
      <c r="H52" s="3" t="str">
        <f t="shared" si="0"/>
        <v/>
      </c>
      <c r="I52" s="3" t="s">
        <v>270</v>
      </c>
      <c r="J52" s="4" t="s">
        <v>230</v>
      </c>
      <c r="K52" s="3">
        <v>46052</v>
      </c>
      <c r="L52" s="4" t="s">
        <v>231</v>
      </c>
      <c r="M52" s="77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35"/>
      <c r="R52" s="34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363</v>
      </c>
      <c r="B53" s="4"/>
      <c r="C53" t="s">
        <v>364</v>
      </c>
      <c r="D53" t="str">
        <f>IF($C53="","",IFERROR(LOOKUP(2,1/('03_Warehouse_Movements'!$C$2:$C$500=$A53),'03_Warehouse_Movements'!$E$2:$E$500),$C53))</f>
        <v>PAL-0000053</v>
      </c>
      <c r="E53" t="s">
        <v>219</v>
      </c>
      <c r="F53" t="s">
        <v>228</v>
      </c>
      <c r="G53" s="33"/>
      <c r="H53" s="3" t="str">
        <f t="shared" si="0"/>
        <v/>
      </c>
      <c r="I53" s="3" t="s">
        <v>229</v>
      </c>
      <c r="J53" s="4" t="s">
        <v>230</v>
      </c>
      <c r="K53" s="3">
        <v>46052</v>
      </c>
      <c r="L53" s="4" t="s">
        <v>231</v>
      </c>
      <c r="M53" s="77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35"/>
      <c r="R53" s="34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365</v>
      </c>
      <c r="B54" s="4"/>
      <c r="C54" t="s">
        <v>366</v>
      </c>
      <c r="D54" t="str">
        <f>IF($C54="","",IFERROR(LOOKUP(2,1/('03_Warehouse_Movements'!$C$2:$C$500=$A54),'03_Warehouse_Movements'!$E$2:$E$500),$C54))</f>
        <v>PAL-0000054</v>
      </c>
      <c r="E54" t="s">
        <v>219</v>
      </c>
      <c r="F54" t="s">
        <v>228</v>
      </c>
      <c r="G54" s="33"/>
      <c r="H54" s="3" t="str">
        <f t="shared" si="0"/>
        <v/>
      </c>
      <c r="I54" s="3" t="s">
        <v>275</v>
      </c>
      <c r="J54" s="4" t="s">
        <v>230</v>
      </c>
      <c r="K54" s="3">
        <v>46052</v>
      </c>
      <c r="L54" s="4" t="s">
        <v>231</v>
      </c>
      <c r="M54" s="77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35"/>
      <c r="R54" s="34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367</v>
      </c>
      <c r="B55" s="4"/>
      <c r="C55" t="s">
        <v>368</v>
      </c>
      <c r="D55" t="str">
        <f>IF($C55="","",IFERROR(LOOKUP(2,1/('03_Warehouse_Movements'!$C$2:$C$500=$A55),'03_Warehouse_Movements'!$E$2:$E$500),$C55))</f>
        <v>PAL-0000055</v>
      </c>
      <c r="E55" t="s">
        <v>219</v>
      </c>
      <c r="F55" t="s">
        <v>228</v>
      </c>
      <c r="G55" s="33"/>
      <c r="H55" s="3" t="str">
        <f t="shared" si="0"/>
        <v/>
      </c>
      <c r="I55" s="3" t="s">
        <v>278</v>
      </c>
      <c r="J55" s="4" t="s">
        <v>230</v>
      </c>
      <c r="K55" s="3">
        <v>46052</v>
      </c>
      <c r="L55" s="4" t="s">
        <v>231</v>
      </c>
      <c r="M55" s="77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35"/>
      <c r="R55" s="34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369</v>
      </c>
      <c r="B56" s="4"/>
      <c r="C56" t="s">
        <v>370</v>
      </c>
      <c r="D56" t="str">
        <f>IF($C56="","",IFERROR(LOOKUP(2,1/('03_Warehouse_Movements'!$C$2:$C$500=$A56),'03_Warehouse_Movements'!$E$2:$E$500),$C56))</f>
        <v>PAL-0000056</v>
      </c>
      <c r="E56" t="s">
        <v>219</v>
      </c>
      <c r="F56" t="s">
        <v>256</v>
      </c>
      <c r="G56" s="33">
        <v>14</v>
      </c>
      <c r="H56" s="3" t="str">
        <f t="shared" si="0"/>
        <v/>
      </c>
      <c r="I56" s="3" t="s">
        <v>282</v>
      </c>
      <c r="J56" s="4" t="s">
        <v>230</v>
      </c>
      <c r="K56" s="3">
        <v>46052</v>
      </c>
      <c r="L56" s="4" t="s">
        <v>231</v>
      </c>
      <c r="M56" s="77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35"/>
      <c r="R56" s="34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371</v>
      </c>
      <c r="B57" s="4"/>
      <c r="C57" t="s">
        <v>372</v>
      </c>
      <c r="D57" t="str">
        <f>IF($C57="","",IFERROR(LOOKUP(2,1/('03_Warehouse_Movements'!$C$2:$C$500=$A57),'03_Warehouse_Movements'!$E$2:$E$500),$C57))</f>
        <v>PAL-0000057</v>
      </c>
      <c r="E57" t="s">
        <v>219</v>
      </c>
      <c r="F57" t="s">
        <v>228</v>
      </c>
      <c r="G57" s="33"/>
      <c r="H57" s="3" t="str">
        <f t="shared" si="0"/>
        <v/>
      </c>
      <c r="I57" s="3" t="s">
        <v>285</v>
      </c>
      <c r="J57" s="4" t="s">
        <v>230</v>
      </c>
      <c r="K57" s="3">
        <v>46052</v>
      </c>
      <c r="L57" s="4" t="s">
        <v>231</v>
      </c>
      <c r="M57" s="77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35"/>
      <c r="R57" s="34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373</v>
      </c>
      <c r="B58" s="4" t="s">
        <v>374</v>
      </c>
      <c r="C58" t="s">
        <v>375</v>
      </c>
      <c r="D58" t="str">
        <f>IF($C58="","",IFERROR(LOOKUP(2,1/('03_Warehouse_Movements'!$C$2:$C$500=$A58),'03_Warehouse_Movements'!$E$2:$E$500),$C58))</f>
        <v>PAL-0000058</v>
      </c>
      <c r="E58" t="s">
        <v>219</v>
      </c>
      <c r="F58" t="s">
        <v>228</v>
      </c>
      <c r="G58" s="33"/>
      <c r="H58" s="3" t="str">
        <f t="shared" si="0"/>
        <v/>
      </c>
      <c r="I58" s="3" t="s">
        <v>288</v>
      </c>
      <c r="J58" s="4" t="s">
        <v>230</v>
      </c>
      <c r="K58" s="3">
        <v>46052</v>
      </c>
      <c r="L58" s="4" t="s">
        <v>231</v>
      </c>
      <c r="M58" s="77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35"/>
      <c r="R58" s="34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376</v>
      </c>
      <c r="B59" s="4"/>
      <c r="C59" t="s">
        <v>377</v>
      </c>
      <c r="D59" t="str">
        <f>IF($C59="","",IFERROR(LOOKUP(2,1/('03_Warehouse_Movements'!$C$2:$C$500=$A59),'03_Warehouse_Movements'!$E$2:$E$500),$C59))</f>
        <v>PAL-0000059</v>
      </c>
      <c r="E59" t="s">
        <v>219</v>
      </c>
      <c r="F59" t="s">
        <v>228</v>
      </c>
      <c r="G59" s="33"/>
      <c r="H59" s="3" t="str">
        <f t="shared" si="0"/>
        <v/>
      </c>
      <c r="I59" s="3" t="s">
        <v>260</v>
      </c>
      <c r="J59" s="4" t="s">
        <v>230</v>
      </c>
      <c r="K59" s="3">
        <v>46052</v>
      </c>
      <c r="L59" s="4" t="s">
        <v>231</v>
      </c>
      <c r="M59" s="77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35"/>
      <c r="R59" s="34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378</v>
      </c>
      <c r="B60" s="4"/>
      <c r="C60" t="s">
        <v>379</v>
      </c>
      <c r="D60" t="str">
        <f>IF($C60="","",IFERROR(LOOKUP(2,1/('03_Warehouse_Movements'!$C$2:$C$500=$A60),'03_Warehouse_Movements'!$E$2:$E$500),$C60))</f>
        <v>PAL-0000060</v>
      </c>
      <c r="E60" t="s">
        <v>219</v>
      </c>
      <c r="F60" t="s">
        <v>228</v>
      </c>
      <c r="G60" s="33"/>
      <c r="H60" s="3" t="str">
        <f t="shared" si="0"/>
        <v/>
      </c>
      <c r="I60" s="3" t="s">
        <v>263</v>
      </c>
      <c r="J60" s="4" t="s">
        <v>230</v>
      </c>
      <c r="K60" s="3">
        <v>46052</v>
      </c>
      <c r="L60" s="4" t="s">
        <v>231</v>
      </c>
      <c r="M60" s="77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35"/>
      <c r="R60" s="34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380</v>
      </c>
      <c r="B61" s="4"/>
      <c r="C61" t="s">
        <v>381</v>
      </c>
      <c r="D61" t="str">
        <f>IF($C61="","",IFERROR(LOOKUP(2,1/('03_Warehouse_Movements'!$C$2:$C$500=$A61),'03_Warehouse_Movements'!$E$2:$E$500),$C61))</f>
        <v>PAL-0000061</v>
      </c>
      <c r="E61" t="s">
        <v>219</v>
      </c>
      <c r="F61" t="s">
        <v>228</v>
      </c>
      <c r="G61" s="33"/>
      <c r="H61" s="3" t="str">
        <f t="shared" si="0"/>
        <v/>
      </c>
      <c r="I61" s="3" t="s">
        <v>266</v>
      </c>
      <c r="J61" s="4" t="s">
        <v>230</v>
      </c>
      <c r="K61" s="3">
        <v>46052</v>
      </c>
      <c r="L61" s="4" t="s">
        <v>231</v>
      </c>
      <c r="M61" s="77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35"/>
      <c r="R61" s="34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382</v>
      </c>
      <c r="B62" s="4"/>
      <c r="D62" t="str">
        <f>IF($C62="","",IFERROR(LOOKUP(2,1/('03_Warehouse_Movements'!$C$2:$C$500=$A62),'03_Warehouse_Movements'!$E$2:$E$500),$C62))</f>
        <v/>
      </c>
      <c r="E62" t="s">
        <v>219</v>
      </c>
      <c r="G62" s="33"/>
      <c r="H62" s="3" t="str">
        <f t="shared" si="0"/>
        <v/>
      </c>
      <c r="I62" s="3"/>
      <c r="J62" s="4"/>
      <c r="K62" s="3"/>
      <c r="L62" s="4"/>
      <c r="M62" s="77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35"/>
      <c r="R62" s="34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383</v>
      </c>
      <c r="B63" s="4"/>
      <c r="D63" t="str">
        <f>IF($C63="","",IFERROR(LOOKUP(2,1/('03_Warehouse_Movements'!$C$2:$C$500=$A63),'03_Warehouse_Movements'!$E$2:$E$500),$C63))</f>
        <v/>
      </c>
      <c r="E63" t="s">
        <v>219</v>
      </c>
      <c r="G63" s="33"/>
      <c r="H63" s="3" t="str">
        <f t="shared" si="0"/>
        <v/>
      </c>
      <c r="I63" s="3"/>
      <c r="J63" s="4"/>
      <c r="K63" s="3"/>
      <c r="L63" s="4"/>
      <c r="M63" s="77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35"/>
      <c r="R63" s="34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384</v>
      </c>
      <c r="B64" s="4"/>
      <c r="D64" t="str">
        <f>IF($C64="","",IFERROR(LOOKUP(2,1/('03_Warehouse_Movements'!$C$2:$C$500=$A64),'03_Warehouse_Movements'!$E$2:$E$500),$C64))</f>
        <v/>
      </c>
      <c r="E64" t="s">
        <v>219</v>
      </c>
      <c r="G64" s="33"/>
      <c r="H64" s="3" t="str">
        <f t="shared" si="0"/>
        <v/>
      </c>
      <c r="I64" s="3"/>
      <c r="J64" s="4"/>
      <c r="K64" s="3"/>
      <c r="L64" s="4"/>
      <c r="M64" s="77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35"/>
      <c r="R64" s="34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385</v>
      </c>
      <c r="B65" s="4"/>
      <c r="D65" t="str">
        <f>IF($C65="","",IFERROR(LOOKUP(2,1/('03_Warehouse_Movements'!$C$2:$C$500=$A65),'03_Warehouse_Movements'!$E$2:$E$500),$C65))</f>
        <v/>
      </c>
      <c r="E65" t="s">
        <v>219</v>
      </c>
      <c r="G65" s="33"/>
      <c r="H65" s="3" t="str">
        <f t="shared" si="0"/>
        <v/>
      </c>
      <c r="I65" s="3"/>
      <c r="J65" s="4"/>
      <c r="K65" s="3"/>
      <c r="L65" s="4"/>
      <c r="M65" s="77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35"/>
      <c r="R65" s="34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386</v>
      </c>
      <c r="B66" s="4"/>
      <c r="D66" t="str">
        <f>IF($C66="","",IFERROR(LOOKUP(2,1/('03_Warehouse_Movements'!$C$2:$C$500=$A66),'03_Warehouse_Movements'!$E$2:$E$500),$C66))</f>
        <v/>
      </c>
      <c r="E66" t="s">
        <v>219</v>
      </c>
      <c r="G66" s="33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77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35"/>
      <c r="R66" s="34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387</v>
      </c>
      <c r="B67" s="4"/>
      <c r="D67" t="str">
        <f>IF($C67="","",IFERROR(LOOKUP(2,1/('03_Warehouse_Movements'!$C$2:$C$500=$A67),'03_Warehouse_Movements'!$E$2:$E$500),$C67))</f>
        <v/>
      </c>
      <c r="E67" t="s">
        <v>219</v>
      </c>
      <c r="G67" s="33"/>
      <c r="H67" s="3" t="str">
        <f t="shared" si="2"/>
        <v/>
      </c>
      <c r="I67" s="3"/>
      <c r="J67" s="4"/>
      <c r="K67" s="3"/>
      <c r="L67" s="4"/>
      <c r="M67" s="77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35"/>
      <c r="R67" s="34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388</v>
      </c>
      <c r="B68" s="4"/>
      <c r="D68" t="str">
        <f>IF($C68="","",IFERROR(LOOKUP(2,1/('03_Warehouse_Movements'!$C$2:$C$500=$A68),'03_Warehouse_Movements'!$E$2:$E$500),$C68))</f>
        <v/>
      </c>
      <c r="E68" t="s">
        <v>219</v>
      </c>
      <c r="G68" s="33"/>
      <c r="H68" s="3" t="str">
        <f t="shared" si="2"/>
        <v/>
      </c>
      <c r="I68" s="3"/>
      <c r="J68" s="4"/>
      <c r="K68" s="3"/>
      <c r="L68" s="4"/>
      <c r="M68" s="77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35"/>
      <c r="R68" s="34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389</v>
      </c>
      <c r="B69" s="4"/>
      <c r="D69" t="str">
        <f>IF($C69="","",IFERROR(LOOKUP(2,1/('03_Warehouse_Movements'!$C$2:$C$500=$A69),'03_Warehouse_Movements'!$E$2:$E$500),$C69))</f>
        <v/>
      </c>
      <c r="E69" t="s">
        <v>219</v>
      </c>
      <c r="G69" s="33"/>
      <c r="H69" s="3" t="str">
        <f t="shared" si="2"/>
        <v/>
      </c>
      <c r="I69" s="3"/>
      <c r="J69" s="4"/>
      <c r="K69" s="3"/>
      <c r="L69" s="4"/>
      <c r="M69" s="77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35"/>
      <c r="R69" s="34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390</v>
      </c>
      <c r="B70" s="4"/>
      <c r="D70" t="str">
        <f>IF($C70="","",IFERROR(LOOKUP(2,1/('03_Warehouse_Movements'!$C$2:$C$500=$A70),'03_Warehouse_Movements'!$E$2:$E$500),$C70))</f>
        <v/>
      </c>
      <c r="E70" t="s">
        <v>219</v>
      </c>
      <c r="G70" s="33"/>
      <c r="H70" s="3" t="str">
        <f t="shared" si="2"/>
        <v/>
      </c>
      <c r="I70" s="3"/>
      <c r="J70" s="4"/>
      <c r="K70" s="3"/>
      <c r="L70" s="4"/>
      <c r="M70" s="77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35"/>
      <c r="R70" s="34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391</v>
      </c>
      <c r="B71" s="4"/>
      <c r="D71" t="str">
        <f>IF($C71="","",IFERROR(LOOKUP(2,1/('03_Warehouse_Movements'!$C$2:$C$500=$A71),'03_Warehouse_Movements'!$E$2:$E$500),$C71))</f>
        <v/>
      </c>
      <c r="E71" t="s">
        <v>219</v>
      </c>
      <c r="G71" s="33"/>
      <c r="H71" s="3" t="str">
        <f t="shared" si="2"/>
        <v/>
      </c>
      <c r="I71" s="3"/>
      <c r="J71" s="4"/>
      <c r="K71" s="3"/>
      <c r="L71" s="4"/>
      <c r="M71" s="77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35"/>
      <c r="R71" s="34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392</v>
      </c>
      <c r="B72" s="4"/>
      <c r="D72" t="str">
        <f>IF($C72="","",IFERROR(LOOKUP(2,1/('03_Warehouse_Movements'!$C$2:$C$500=$A72),'03_Warehouse_Movements'!$E$2:$E$500),$C72))</f>
        <v/>
      </c>
      <c r="E72" t="s">
        <v>219</v>
      </c>
      <c r="G72" s="33"/>
      <c r="H72" s="3" t="str">
        <f t="shared" si="2"/>
        <v/>
      </c>
      <c r="I72" s="3"/>
      <c r="J72" s="4"/>
      <c r="K72" s="3"/>
      <c r="L72" s="4"/>
      <c r="M72" s="77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35"/>
      <c r="R72" s="34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393</v>
      </c>
      <c r="B73" s="4"/>
      <c r="D73" t="str">
        <f>IF($C73="","",IFERROR(LOOKUP(2,1/('03_Warehouse_Movements'!$C$2:$C$500=$A73),'03_Warehouse_Movements'!$E$2:$E$500),$C73))</f>
        <v/>
      </c>
      <c r="E73" t="s">
        <v>219</v>
      </c>
      <c r="G73" s="33"/>
      <c r="H73" s="3" t="str">
        <f t="shared" si="2"/>
        <v/>
      </c>
      <c r="I73" s="3"/>
      <c r="J73" s="4"/>
      <c r="K73" s="3"/>
      <c r="L73" s="4"/>
      <c r="M73" s="77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35"/>
      <c r="R73" s="34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394</v>
      </c>
      <c r="B74" s="4"/>
      <c r="D74" t="str">
        <f>IF($C74="","",IFERROR(LOOKUP(2,1/('03_Warehouse_Movements'!$C$2:$C$500=$A74),'03_Warehouse_Movements'!$E$2:$E$500),$C74))</f>
        <v/>
      </c>
      <c r="E74" t="s">
        <v>219</v>
      </c>
      <c r="G74" s="33"/>
      <c r="H74" s="3" t="str">
        <f t="shared" si="2"/>
        <v/>
      </c>
      <c r="I74" s="3"/>
      <c r="J74" s="4"/>
      <c r="K74" s="3"/>
      <c r="L74" s="4"/>
      <c r="M74" s="77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35"/>
      <c r="R74" s="34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395</v>
      </c>
      <c r="B75" s="4"/>
      <c r="D75" t="str">
        <f>IF($C75="","",IFERROR(LOOKUP(2,1/('03_Warehouse_Movements'!$C$2:$C$500=$A75),'03_Warehouse_Movements'!$E$2:$E$500),$C75))</f>
        <v/>
      </c>
      <c r="E75" t="s">
        <v>219</v>
      </c>
      <c r="G75" s="33"/>
      <c r="H75" s="3" t="str">
        <f t="shared" si="2"/>
        <v/>
      </c>
      <c r="I75" s="3"/>
      <c r="J75" s="4"/>
      <c r="K75" s="3"/>
      <c r="L75" s="4"/>
      <c r="M75" s="77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35"/>
      <c r="R75" s="34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396</v>
      </c>
      <c r="B76" s="4"/>
      <c r="D76" t="str">
        <f>IF($C76="","",IFERROR(LOOKUP(2,1/('03_Warehouse_Movements'!$C$2:$C$500=$A76),'03_Warehouse_Movements'!$E$2:$E$500),$C76))</f>
        <v/>
      </c>
      <c r="E76" t="s">
        <v>219</v>
      </c>
      <c r="G76" s="33"/>
      <c r="H76" s="3" t="str">
        <f t="shared" si="2"/>
        <v/>
      </c>
      <c r="I76" s="3"/>
      <c r="J76" s="4"/>
      <c r="K76" s="3"/>
      <c r="L76" s="4"/>
      <c r="M76" s="77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35"/>
      <c r="R76" s="34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397</v>
      </c>
      <c r="B77" s="4"/>
      <c r="D77" t="str">
        <f>IF($C77="","",IFERROR(LOOKUP(2,1/('03_Warehouse_Movements'!$C$2:$C$500=$A77),'03_Warehouse_Movements'!$E$2:$E$500),$C77))</f>
        <v/>
      </c>
      <c r="E77" t="s">
        <v>219</v>
      </c>
      <c r="G77" s="33"/>
      <c r="H77" s="3" t="str">
        <f t="shared" si="2"/>
        <v/>
      </c>
      <c r="I77" s="3"/>
      <c r="J77" s="4"/>
      <c r="K77" s="3"/>
      <c r="L77" s="4"/>
      <c r="M77" s="77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35"/>
      <c r="R77" s="34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398</v>
      </c>
      <c r="B78" s="4"/>
      <c r="D78" t="str">
        <f>IF($C78="","",IFERROR(LOOKUP(2,1/('03_Warehouse_Movements'!$C$2:$C$500=$A78),'03_Warehouse_Movements'!$E$2:$E$500),$C78))</f>
        <v/>
      </c>
      <c r="E78" t="s">
        <v>219</v>
      </c>
      <c r="G78" s="33"/>
      <c r="H78" s="3" t="str">
        <f t="shared" si="2"/>
        <v/>
      </c>
      <c r="I78" s="3"/>
      <c r="J78" s="4"/>
      <c r="K78" s="3"/>
      <c r="L78" s="4"/>
      <c r="M78" s="77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35"/>
      <c r="R78" s="34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399</v>
      </c>
      <c r="B79" s="4"/>
      <c r="D79" t="str">
        <f>IF($C79="","",IFERROR(LOOKUP(2,1/('03_Warehouse_Movements'!$C$2:$C$500=$A79),'03_Warehouse_Movements'!$E$2:$E$500),$C79))</f>
        <v/>
      </c>
      <c r="E79" t="s">
        <v>219</v>
      </c>
      <c r="G79" s="33"/>
      <c r="H79" s="3" t="str">
        <f t="shared" si="2"/>
        <v/>
      </c>
      <c r="I79" s="3"/>
      <c r="J79" s="4"/>
      <c r="K79" s="3"/>
      <c r="L79" s="4"/>
      <c r="M79" s="77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35"/>
      <c r="R79" s="34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400</v>
      </c>
      <c r="B80" s="4"/>
      <c r="D80" t="str">
        <f>IF($C80="","",IFERROR(LOOKUP(2,1/('03_Warehouse_Movements'!$C$2:$C$500=$A80),'03_Warehouse_Movements'!$E$2:$E$500),$C80))</f>
        <v/>
      </c>
      <c r="E80" t="s">
        <v>219</v>
      </c>
      <c r="G80" s="33"/>
      <c r="H80" s="3" t="str">
        <f t="shared" si="2"/>
        <v/>
      </c>
      <c r="I80" s="3"/>
      <c r="J80" s="4"/>
      <c r="K80" s="3"/>
      <c r="L80" s="4"/>
      <c r="M80" s="77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35"/>
      <c r="R80" s="34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401</v>
      </c>
      <c r="B81" s="4"/>
      <c r="D81" t="str">
        <f>IF($C81="","",IFERROR(LOOKUP(2,1/('03_Warehouse_Movements'!$C$2:$C$500=$A81),'03_Warehouse_Movements'!$E$2:$E$500),$C81))</f>
        <v/>
      </c>
      <c r="E81" t="s">
        <v>219</v>
      </c>
      <c r="G81" s="33"/>
      <c r="H81" s="3" t="str">
        <f t="shared" si="2"/>
        <v/>
      </c>
      <c r="I81" s="3"/>
      <c r="J81" s="4"/>
      <c r="K81" s="3"/>
      <c r="L81" s="4"/>
      <c r="M81" s="77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35"/>
      <c r="R81" s="34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402</v>
      </c>
      <c r="B82" s="4"/>
      <c r="D82" t="str">
        <f>IF($C82="","",IFERROR(LOOKUP(2,1/('03_Warehouse_Movements'!$C$2:$C$500=$A82),'03_Warehouse_Movements'!$E$2:$E$500),$C82))</f>
        <v/>
      </c>
      <c r="E82" t="s">
        <v>219</v>
      </c>
      <c r="G82" s="33"/>
      <c r="H82" s="3" t="str">
        <f t="shared" si="2"/>
        <v/>
      </c>
      <c r="I82" s="3"/>
      <c r="J82" s="4"/>
      <c r="K82" s="3"/>
      <c r="L82" s="4"/>
      <c r="M82" s="77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35"/>
      <c r="R82" s="34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403</v>
      </c>
      <c r="B83" s="4"/>
      <c r="D83" t="str">
        <f>IF($C83="","",IFERROR(LOOKUP(2,1/('03_Warehouse_Movements'!$C$2:$C$500=$A83),'03_Warehouse_Movements'!$E$2:$E$500),$C83))</f>
        <v/>
      </c>
      <c r="E83" t="s">
        <v>219</v>
      </c>
      <c r="G83" s="33"/>
      <c r="H83" s="3" t="str">
        <f t="shared" si="2"/>
        <v/>
      </c>
      <c r="I83" s="3"/>
      <c r="J83" s="4"/>
      <c r="K83" s="3"/>
      <c r="L83" s="4"/>
      <c r="M83" s="77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35"/>
      <c r="R83" s="34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404</v>
      </c>
      <c r="B84" s="4"/>
      <c r="D84" t="str">
        <f>IF($C84="","",IFERROR(LOOKUP(2,1/('03_Warehouse_Movements'!$C$2:$C$500=$A84),'03_Warehouse_Movements'!$E$2:$E$500),$C84))</f>
        <v/>
      </c>
      <c r="E84" t="s">
        <v>219</v>
      </c>
      <c r="G84" s="33"/>
      <c r="H84" s="3" t="str">
        <f t="shared" si="2"/>
        <v/>
      </c>
      <c r="I84" s="3"/>
      <c r="J84" s="4"/>
      <c r="K84" s="3"/>
      <c r="L84" s="4"/>
      <c r="M84" s="77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35"/>
      <c r="R84" s="34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405</v>
      </c>
      <c r="B85" s="4"/>
      <c r="D85" t="str">
        <f>IF($C85="","",IFERROR(LOOKUP(2,1/('03_Warehouse_Movements'!$C$2:$C$500=$A85),'03_Warehouse_Movements'!$E$2:$E$500),$C85))</f>
        <v/>
      </c>
      <c r="E85" t="s">
        <v>219</v>
      </c>
      <c r="G85" s="33"/>
      <c r="H85" s="3" t="str">
        <f t="shared" si="2"/>
        <v/>
      </c>
      <c r="I85" s="3"/>
      <c r="J85" s="4"/>
      <c r="K85" s="3"/>
      <c r="L85" s="4"/>
      <c r="M85" s="77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35"/>
      <c r="R85" s="34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406</v>
      </c>
      <c r="B86" s="4"/>
      <c r="D86" t="str">
        <f>IF($C86="","",IFERROR(LOOKUP(2,1/('03_Warehouse_Movements'!$C$2:$C$500=$A86),'03_Warehouse_Movements'!$E$2:$E$500),$C86))</f>
        <v/>
      </c>
      <c r="E86" t="s">
        <v>219</v>
      </c>
      <c r="G86" s="33"/>
      <c r="H86" s="3" t="str">
        <f t="shared" si="2"/>
        <v/>
      </c>
      <c r="I86" s="3"/>
      <c r="J86" s="4"/>
      <c r="K86" s="3"/>
      <c r="L86" s="4"/>
      <c r="M86" s="77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35"/>
      <c r="R86" s="34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407</v>
      </c>
      <c r="B87" s="4"/>
      <c r="D87" t="str">
        <f>IF($C87="","",IFERROR(LOOKUP(2,1/('03_Warehouse_Movements'!$C$2:$C$500=$A87),'03_Warehouse_Movements'!$E$2:$E$500),$C87))</f>
        <v/>
      </c>
      <c r="E87" t="s">
        <v>219</v>
      </c>
      <c r="G87" s="33"/>
      <c r="H87" s="3" t="str">
        <f t="shared" si="2"/>
        <v/>
      </c>
      <c r="I87" s="3"/>
      <c r="J87" s="4"/>
      <c r="K87" s="3"/>
      <c r="L87" s="4"/>
      <c r="M87" s="77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35"/>
      <c r="R87" s="34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408</v>
      </c>
      <c r="B88" s="4"/>
      <c r="D88" t="str">
        <f>IF($C88="","",IFERROR(LOOKUP(2,1/('03_Warehouse_Movements'!$C$2:$C$500=$A88),'03_Warehouse_Movements'!$E$2:$E$500),$C88))</f>
        <v/>
      </c>
      <c r="E88" t="s">
        <v>219</v>
      </c>
      <c r="G88" s="33"/>
      <c r="H88" s="3" t="str">
        <f t="shared" si="2"/>
        <v/>
      </c>
      <c r="I88" s="3"/>
      <c r="J88" s="4"/>
      <c r="K88" s="3"/>
      <c r="L88" s="4"/>
      <c r="M88" s="77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35"/>
      <c r="R88" s="34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409</v>
      </c>
      <c r="B89" s="4"/>
      <c r="D89" t="str">
        <f>IF($C89="","",IFERROR(LOOKUP(2,1/('03_Warehouse_Movements'!$C$2:$C$500=$A89),'03_Warehouse_Movements'!$E$2:$E$500),$C89))</f>
        <v/>
      </c>
      <c r="E89" t="s">
        <v>219</v>
      </c>
      <c r="G89" s="33"/>
      <c r="H89" s="3" t="str">
        <f t="shared" si="2"/>
        <v/>
      </c>
      <c r="I89" s="3"/>
      <c r="J89" s="4"/>
      <c r="K89" s="3"/>
      <c r="L89" s="4"/>
      <c r="M89" s="77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35"/>
      <c r="R89" s="34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410</v>
      </c>
      <c r="B90" s="4"/>
      <c r="D90" t="str">
        <f>IF($C90="","",IFERROR(LOOKUP(2,1/('03_Warehouse_Movements'!$C$2:$C$500=$A90),'03_Warehouse_Movements'!$E$2:$E$500),$C90))</f>
        <v/>
      </c>
      <c r="E90" t="s">
        <v>219</v>
      </c>
      <c r="G90" s="33"/>
      <c r="H90" s="3" t="str">
        <f t="shared" si="2"/>
        <v/>
      </c>
      <c r="I90" s="3"/>
      <c r="J90" s="4"/>
      <c r="K90" s="3"/>
      <c r="L90" s="4"/>
      <c r="M90" s="77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35"/>
      <c r="R90" s="34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411</v>
      </c>
      <c r="B91" s="4"/>
      <c r="D91" t="str">
        <f>IF($C91="","",IFERROR(LOOKUP(2,1/('03_Warehouse_Movements'!$C$2:$C$500=$A91),'03_Warehouse_Movements'!$E$2:$E$500),$C91))</f>
        <v/>
      </c>
      <c r="E91" t="s">
        <v>219</v>
      </c>
      <c r="G91" s="33"/>
      <c r="H91" s="3" t="str">
        <f t="shared" si="2"/>
        <v/>
      </c>
      <c r="I91" s="3"/>
      <c r="J91" s="4"/>
      <c r="K91" s="3"/>
      <c r="L91" s="4"/>
      <c r="M91" s="77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35"/>
      <c r="R91" s="34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412</v>
      </c>
      <c r="B92" s="4"/>
      <c r="D92" t="str">
        <f>IF($C92="","",IFERROR(LOOKUP(2,1/('03_Warehouse_Movements'!$C$2:$C$500=$A92),'03_Warehouse_Movements'!$E$2:$E$500),$C92))</f>
        <v/>
      </c>
      <c r="E92" t="s">
        <v>219</v>
      </c>
      <c r="G92" s="33"/>
      <c r="H92" s="3" t="str">
        <f t="shared" si="2"/>
        <v/>
      </c>
      <c r="I92" s="3"/>
      <c r="J92" s="4"/>
      <c r="K92" s="3"/>
      <c r="L92" s="4"/>
      <c r="M92" s="77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35"/>
      <c r="R92" s="34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413</v>
      </c>
      <c r="B93" s="4"/>
      <c r="D93" t="str">
        <f>IF($C93="","",IFERROR(LOOKUP(2,1/('03_Warehouse_Movements'!$C$2:$C$500=$A93),'03_Warehouse_Movements'!$E$2:$E$500),$C93))</f>
        <v/>
      </c>
      <c r="E93" t="s">
        <v>219</v>
      </c>
      <c r="G93" s="33"/>
      <c r="H93" s="3" t="str">
        <f t="shared" si="2"/>
        <v/>
      </c>
      <c r="I93" s="3"/>
      <c r="J93" s="4"/>
      <c r="K93" s="3"/>
      <c r="L93" s="4"/>
      <c r="M93" s="77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35"/>
      <c r="R93" s="34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414</v>
      </c>
      <c r="B94" s="4"/>
      <c r="D94" t="str">
        <f>IF($C94="","",IFERROR(LOOKUP(2,1/('03_Warehouse_Movements'!$C$2:$C$500=$A94),'03_Warehouse_Movements'!$E$2:$E$500),$C94))</f>
        <v/>
      </c>
      <c r="E94" t="s">
        <v>219</v>
      </c>
      <c r="G94" s="33"/>
      <c r="H94" s="3" t="str">
        <f t="shared" si="2"/>
        <v/>
      </c>
      <c r="I94" s="3"/>
      <c r="J94" s="4"/>
      <c r="K94" s="3"/>
      <c r="L94" s="4"/>
      <c r="M94" s="77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35"/>
      <c r="R94" s="34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415</v>
      </c>
      <c r="B95" s="4"/>
      <c r="D95" t="str">
        <f>IF($C95="","",IFERROR(LOOKUP(2,1/('03_Warehouse_Movements'!$C$2:$C$500=$A95),'03_Warehouse_Movements'!$E$2:$E$500),$C95))</f>
        <v/>
      </c>
      <c r="E95" t="s">
        <v>219</v>
      </c>
      <c r="G95" s="33"/>
      <c r="H95" s="3" t="str">
        <f t="shared" si="2"/>
        <v/>
      </c>
      <c r="I95" s="3"/>
      <c r="J95" s="4"/>
      <c r="K95" s="3"/>
      <c r="L95" s="4"/>
      <c r="M95" s="77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35"/>
      <c r="R95" s="34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416</v>
      </c>
      <c r="B96" s="4"/>
      <c r="D96" t="str">
        <f>IF($C96="","",IFERROR(LOOKUP(2,1/('03_Warehouse_Movements'!$C$2:$C$500=$A96),'03_Warehouse_Movements'!$E$2:$E$500),$C96))</f>
        <v/>
      </c>
      <c r="E96" t="s">
        <v>219</v>
      </c>
      <c r="G96" s="33"/>
      <c r="H96" s="3" t="str">
        <f t="shared" si="2"/>
        <v/>
      </c>
      <c r="I96" s="3"/>
      <c r="J96" s="4"/>
      <c r="K96" s="3"/>
      <c r="L96" s="4"/>
      <c r="M96" s="77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35"/>
      <c r="R96" s="34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417</v>
      </c>
      <c r="B97" s="4"/>
      <c r="D97" t="str">
        <f>IF($C97="","",IFERROR(LOOKUP(2,1/('03_Warehouse_Movements'!$C$2:$C$500=$A97),'03_Warehouse_Movements'!$E$2:$E$500),$C97))</f>
        <v/>
      </c>
      <c r="E97" t="s">
        <v>219</v>
      </c>
      <c r="G97" s="33"/>
      <c r="H97" s="3" t="str">
        <f t="shared" si="2"/>
        <v/>
      </c>
      <c r="I97" s="3"/>
      <c r="J97" s="4"/>
      <c r="K97" s="3"/>
      <c r="L97" s="4"/>
      <c r="M97" s="77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35"/>
      <c r="R97" s="34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418</v>
      </c>
      <c r="B98" s="4"/>
      <c r="D98" t="str">
        <f>IF($C98="","",IFERROR(LOOKUP(2,1/('03_Warehouse_Movements'!$C$2:$C$500=$A98),'03_Warehouse_Movements'!$E$2:$E$500),$C98))</f>
        <v/>
      </c>
      <c r="E98" t="s">
        <v>219</v>
      </c>
      <c r="G98" s="33"/>
      <c r="H98" s="3" t="str">
        <f t="shared" si="2"/>
        <v/>
      </c>
      <c r="I98" s="3"/>
      <c r="J98" s="4"/>
      <c r="K98" s="3"/>
      <c r="L98" s="4"/>
      <c r="M98" s="77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35"/>
      <c r="R98" s="34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419</v>
      </c>
      <c r="B99" s="4"/>
      <c r="D99" t="str">
        <f>IF($C99="","",IFERROR(LOOKUP(2,1/('03_Warehouse_Movements'!$C$2:$C$500=$A99),'03_Warehouse_Movements'!$E$2:$E$500),$C99))</f>
        <v/>
      </c>
      <c r="E99" t="s">
        <v>219</v>
      </c>
      <c r="G99" s="33"/>
      <c r="H99" s="3" t="str">
        <f t="shared" si="2"/>
        <v/>
      </c>
      <c r="I99" s="3"/>
      <c r="J99" s="4"/>
      <c r="K99" s="3"/>
      <c r="L99" s="4"/>
      <c r="M99" s="77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35"/>
      <c r="R99" s="34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420</v>
      </c>
      <c r="B100" s="4"/>
      <c r="D100" t="str">
        <f>IF($C100="","",IFERROR(LOOKUP(2,1/('03_Warehouse_Movements'!$C$2:$C$500=$A100),'03_Warehouse_Movements'!$E$2:$E$500),$C100))</f>
        <v/>
      </c>
      <c r="E100" t="s">
        <v>219</v>
      </c>
      <c r="G100" s="33"/>
      <c r="H100" s="3" t="str">
        <f t="shared" si="2"/>
        <v/>
      </c>
      <c r="I100" s="3"/>
      <c r="J100" s="4"/>
      <c r="K100" s="3"/>
      <c r="L100" s="4"/>
      <c r="M100" s="77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35"/>
      <c r="R100" s="34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421</v>
      </c>
      <c r="B101" s="4"/>
      <c r="D101" t="str">
        <f>IF($C101="","",IFERROR(LOOKUP(2,1/('03_Warehouse_Movements'!$C$2:$C$500=$A101),'03_Warehouse_Movements'!$E$2:$E$500),$C101))</f>
        <v/>
      </c>
      <c r="E101" t="s">
        <v>219</v>
      </c>
      <c r="G101" s="33"/>
      <c r="H101" s="3" t="str">
        <f t="shared" si="2"/>
        <v/>
      </c>
      <c r="I101" s="3"/>
      <c r="J101" s="4"/>
      <c r="K101" s="3"/>
      <c r="L101" s="4"/>
      <c r="M101" s="77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35"/>
      <c r="R101" s="34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422</v>
      </c>
      <c r="B102" s="4"/>
      <c r="D102" t="str">
        <f>IF($C102="","",IFERROR(LOOKUP(2,1/('03_Warehouse_Movements'!$C$2:$C$500=$A102),'03_Warehouse_Movements'!$E$2:$E$500),$C102))</f>
        <v/>
      </c>
      <c r="E102" t="s">
        <v>219</v>
      </c>
      <c r="G102" s="33"/>
      <c r="H102" s="3" t="str">
        <f t="shared" si="2"/>
        <v/>
      </c>
      <c r="I102" s="3"/>
      <c r="J102" s="4"/>
      <c r="K102" s="3"/>
      <c r="L102" s="4"/>
      <c r="M102" s="77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35"/>
      <c r="R102" s="34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423</v>
      </c>
      <c r="B103" s="4"/>
      <c r="D103" t="str">
        <f>IF($C103="","",IFERROR(LOOKUP(2,1/('03_Warehouse_Movements'!$C$2:$C$500=$A103),'03_Warehouse_Movements'!$E$2:$E$500),$C103))</f>
        <v/>
      </c>
      <c r="E103" t="s">
        <v>219</v>
      </c>
      <c r="G103" s="33"/>
      <c r="H103" s="3" t="str">
        <f t="shared" si="2"/>
        <v/>
      </c>
      <c r="I103" s="3"/>
      <c r="J103" s="4"/>
      <c r="K103" s="3"/>
      <c r="L103" s="4"/>
      <c r="M103" s="77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35"/>
      <c r="R103" s="34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424</v>
      </c>
      <c r="B104" s="4"/>
      <c r="D104" t="str">
        <f>IF($C104="","",IFERROR(LOOKUP(2,1/('03_Warehouse_Movements'!$C$2:$C$500=$A104),'03_Warehouse_Movements'!$E$2:$E$500),$C104))</f>
        <v/>
      </c>
      <c r="E104" t="s">
        <v>219</v>
      </c>
      <c r="G104" s="33"/>
      <c r="H104" s="3" t="str">
        <f t="shared" si="2"/>
        <v/>
      </c>
      <c r="I104" s="3"/>
      <c r="J104" s="4"/>
      <c r="K104" s="3"/>
      <c r="L104" s="4"/>
      <c r="M104" s="77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35"/>
      <c r="R104" s="34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425</v>
      </c>
      <c r="B105" s="4"/>
      <c r="D105" t="str">
        <f>IF($C105="","",IFERROR(LOOKUP(2,1/('03_Warehouse_Movements'!$C$2:$C$500=$A105),'03_Warehouse_Movements'!$E$2:$E$500),$C105))</f>
        <v/>
      </c>
      <c r="E105" t="s">
        <v>219</v>
      </c>
      <c r="G105" s="33"/>
      <c r="H105" s="3" t="str">
        <f t="shared" si="2"/>
        <v/>
      </c>
      <c r="I105" s="3"/>
      <c r="J105" s="4"/>
      <c r="K105" s="3"/>
      <c r="L105" s="4"/>
      <c r="M105" s="77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35"/>
      <c r="R105" s="34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426</v>
      </c>
      <c r="B106" s="4"/>
      <c r="D106" t="str">
        <f>IF($C106="","",IFERROR(LOOKUP(2,1/('03_Warehouse_Movements'!$C$2:$C$500=$A106),'03_Warehouse_Movements'!$E$2:$E$500),$C106))</f>
        <v/>
      </c>
      <c r="E106" t="s">
        <v>219</v>
      </c>
      <c r="G106" s="33"/>
      <c r="H106" s="3" t="str">
        <f t="shared" si="2"/>
        <v/>
      </c>
      <c r="I106" s="3"/>
      <c r="J106" s="4"/>
      <c r="K106" s="3"/>
      <c r="L106" s="4"/>
      <c r="M106" s="77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35"/>
      <c r="R106" s="34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427</v>
      </c>
      <c r="B107" s="4"/>
      <c r="D107" t="str">
        <f>IF($C107="","",IFERROR(LOOKUP(2,1/('03_Warehouse_Movements'!$C$2:$C$500=$A107),'03_Warehouse_Movements'!$E$2:$E$500),$C107))</f>
        <v/>
      </c>
      <c r="E107" t="s">
        <v>219</v>
      </c>
      <c r="G107" s="33"/>
      <c r="H107" s="3" t="str">
        <f t="shared" si="2"/>
        <v/>
      </c>
      <c r="I107" s="3"/>
      <c r="J107" s="4"/>
      <c r="K107" s="3"/>
      <c r="L107" s="4"/>
      <c r="M107" s="77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35"/>
      <c r="R107" s="34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428</v>
      </c>
      <c r="B108" s="4"/>
      <c r="D108" t="str">
        <f>IF($C108="","",IFERROR(LOOKUP(2,1/('03_Warehouse_Movements'!$C$2:$C$500=$A108),'03_Warehouse_Movements'!$E$2:$E$500),$C108))</f>
        <v/>
      </c>
      <c r="E108" t="s">
        <v>219</v>
      </c>
      <c r="G108" s="33"/>
      <c r="H108" s="3" t="str">
        <f t="shared" si="2"/>
        <v/>
      </c>
      <c r="I108" s="3"/>
      <c r="J108" s="4"/>
      <c r="K108" s="3"/>
      <c r="L108" s="4"/>
      <c r="M108" s="77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35"/>
      <c r="R108" s="34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429</v>
      </c>
      <c r="B109" s="4"/>
      <c r="D109" t="str">
        <f>IF($C109="","",IFERROR(LOOKUP(2,1/('03_Warehouse_Movements'!$C$2:$C$500=$A109),'03_Warehouse_Movements'!$E$2:$E$500),$C109))</f>
        <v/>
      </c>
      <c r="E109" t="s">
        <v>219</v>
      </c>
      <c r="G109" s="33"/>
      <c r="H109" s="3" t="str">
        <f t="shared" si="2"/>
        <v/>
      </c>
      <c r="I109" s="3"/>
      <c r="J109" s="4"/>
      <c r="K109" s="3"/>
      <c r="L109" s="4"/>
      <c r="M109" s="77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35"/>
      <c r="R109" s="34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430</v>
      </c>
      <c r="B110" s="4"/>
      <c r="D110" t="str">
        <f>IF($C110="","",IFERROR(LOOKUP(2,1/('03_Warehouse_Movements'!$C$2:$C$500=$A110),'03_Warehouse_Movements'!$E$2:$E$500),$C110))</f>
        <v/>
      </c>
      <c r="E110" t="s">
        <v>219</v>
      </c>
      <c r="G110" s="33"/>
      <c r="H110" s="3" t="str">
        <f t="shared" si="2"/>
        <v/>
      </c>
      <c r="I110" s="3"/>
      <c r="J110" s="4"/>
      <c r="K110" s="3"/>
      <c r="L110" s="4"/>
      <c r="M110" s="77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35"/>
      <c r="R110" s="34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431</v>
      </c>
      <c r="B111" s="4"/>
      <c r="D111" t="str">
        <f>IF($C111="","",IFERROR(LOOKUP(2,1/('03_Warehouse_Movements'!$C$2:$C$500=$A111),'03_Warehouse_Movements'!$E$2:$E$500),$C111))</f>
        <v/>
      </c>
      <c r="E111" t="s">
        <v>219</v>
      </c>
      <c r="G111" s="33"/>
      <c r="H111" s="3" t="str">
        <f t="shared" si="2"/>
        <v/>
      </c>
      <c r="I111" s="3"/>
      <c r="J111" s="4"/>
      <c r="K111" s="3"/>
      <c r="L111" s="4"/>
      <c r="M111" s="77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35"/>
      <c r="R111" s="34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432</v>
      </c>
      <c r="B112" s="4"/>
      <c r="D112" t="str">
        <f>IF($C112="","",IFERROR(LOOKUP(2,1/('03_Warehouse_Movements'!$C$2:$C$500=$A112),'03_Warehouse_Movements'!$E$2:$E$500),$C112))</f>
        <v/>
      </c>
      <c r="E112" t="s">
        <v>219</v>
      </c>
      <c r="G112" s="33"/>
      <c r="H112" s="3" t="str">
        <f t="shared" si="2"/>
        <v/>
      </c>
      <c r="I112" s="3"/>
      <c r="J112" s="4"/>
      <c r="K112" s="3"/>
      <c r="L112" s="4"/>
      <c r="M112" s="77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35"/>
      <c r="R112" s="34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433</v>
      </c>
      <c r="B113" s="4"/>
      <c r="D113" t="str">
        <f>IF($C113="","",IFERROR(LOOKUP(2,1/('03_Warehouse_Movements'!$C$2:$C$500=$A113),'03_Warehouse_Movements'!$E$2:$E$500),$C113))</f>
        <v/>
      </c>
      <c r="E113" t="s">
        <v>219</v>
      </c>
      <c r="G113" s="33"/>
      <c r="H113" s="3" t="str">
        <f t="shared" si="2"/>
        <v/>
      </c>
      <c r="I113" s="3"/>
      <c r="J113" s="4"/>
      <c r="K113" s="3"/>
      <c r="L113" s="4"/>
      <c r="M113" s="77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35"/>
      <c r="R113" s="34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434</v>
      </c>
      <c r="B114" s="4"/>
      <c r="D114" t="str">
        <f>IF($C114="","",IFERROR(LOOKUP(2,1/('03_Warehouse_Movements'!$C$2:$C$500=$A114),'03_Warehouse_Movements'!$E$2:$E$500),$C114))</f>
        <v/>
      </c>
      <c r="E114" t="s">
        <v>219</v>
      </c>
      <c r="G114" s="33"/>
      <c r="H114" s="3" t="str">
        <f t="shared" si="2"/>
        <v/>
      </c>
      <c r="I114" s="3"/>
      <c r="J114" s="4"/>
      <c r="K114" s="3"/>
      <c r="L114" s="4"/>
      <c r="M114" s="77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35"/>
      <c r="R114" s="34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435</v>
      </c>
      <c r="B115" s="4"/>
      <c r="D115" t="str">
        <f>IF($C115="","",IFERROR(LOOKUP(2,1/('03_Warehouse_Movements'!$C$2:$C$500=$A115),'03_Warehouse_Movements'!$E$2:$E$500),$C115))</f>
        <v/>
      </c>
      <c r="E115" t="s">
        <v>219</v>
      </c>
      <c r="G115" s="33"/>
      <c r="H115" s="3" t="str">
        <f t="shared" si="2"/>
        <v/>
      </c>
      <c r="I115" s="3"/>
      <c r="J115" s="4"/>
      <c r="K115" s="3"/>
      <c r="L115" s="4"/>
      <c r="M115" s="77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35"/>
      <c r="R115" s="34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436</v>
      </c>
      <c r="B116" s="4"/>
      <c r="D116" t="str">
        <f>IF($C116="","",IFERROR(LOOKUP(2,1/('03_Warehouse_Movements'!$C$2:$C$500=$A116),'03_Warehouse_Movements'!$E$2:$E$500),$C116))</f>
        <v/>
      </c>
      <c r="E116" t="s">
        <v>219</v>
      </c>
      <c r="G116" s="33"/>
      <c r="H116" s="3" t="str">
        <f t="shared" si="2"/>
        <v/>
      </c>
      <c r="I116" s="3"/>
      <c r="J116" s="4"/>
      <c r="K116" s="3"/>
      <c r="L116" s="4"/>
      <c r="M116" s="77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35"/>
      <c r="R116" s="34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437</v>
      </c>
      <c r="B117" s="4"/>
      <c r="D117" t="str">
        <f>IF($C117="","",IFERROR(LOOKUP(2,1/('03_Warehouse_Movements'!$C$2:$C$500=$A117),'03_Warehouse_Movements'!$E$2:$E$500),$C117))</f>
        <v/>
      </c>
      <c r="E117" t="s">
        <v>219</v>
      </c>
      <c r="G117" s="33"/>
      <c r="H117" s="3" t="str">
        <f t="shared" si="2"/>
        <v/>
      </c>
      <c r="I117" s="3"/>
      <c r="J117" s="4"/>
      <c r="K117" s="3"/>
      <c r="L117" s="4"/>
      <c r="M117" s="77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35"/>
      <c r="R117" s="34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438</v>
      </c>
      <c r="B118" s="4"/>
      <c r="D118" t="str">
        <f>IF($C118="","",IFERROR(LOOKUP(2,1/('03_Warehouse_Movements'!$C$2:$C$500=$A118),'03_Warehouse_Movements'!$E$2:$E$500),$C118))</f>
        <v/>
      </c>
      <c r="E118" t="s">
        <v>219</v>
      </c>
      <c r="G118" s="33"/>
      <c r="H118" s="3" t="str">
        <f t="shared" si="2"/>
        <v/>
      </c>
      <c r="I118" s="3"/>
      <c r="J118" s="4"/>
      <c r="K118" s="3"/>
      <c r="L118" s="4"/>
      <c r="M118" s="77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35"/>
      <c r="R118" s="34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439</v>
      </c>
      <c r="B119" s="4"/>
      <c r="D119" t="str">
        <f>IF($C119="","",IFERROR(LOOKUP(2,1/('03_Warehouse_Movements'!$C$2:$C$500=$A119),'03_Warehouse_Movements'!$E$2:$E$500),$C119))</f>
        <v/>
      </c>
      <c r="E119" t="s">
        <v>219</v>
      </c>
      <c r="G119" s="33"/>
      <c r="H119" s="3" t="str">
        <f t="shared" si="2"/>
        <v/>
      </c>
      <c r="I119" s="3"/>
      <c r="J119" s="4"/>
      <c r="K119" s="3"/>
      <c r="L119" s="4"/>
      <c r="M119" s="77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35"/>
      <c r="R119" s="34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440</v>
      </c>
      <c r="B120" s="4"/>
      <c r="D120" t="str">
        <f>IF($C120="","",IFERROR(LOOKUP(2,1/('03_Warehouse_Movements'!$C$2:$C$500=$A120),'03_Warehouse_Movements'!$E$2:$E$500),$C120))</f>
        <v/>
      </c>
      <c r="E120" t="s">
        <v>219</v>
      </c>
      <c r="G120" s="33"/>
      <c r="H120" s="3" t="str">
        <f t="shared" si="2"/>
        <v/>
      </c>
      <c r="I120" s="3"/>
      <c r="J120" s="4"/>
      <c r="K120" s="3"/>
      <c r="L120" s="4"/>
      <c r="M120" s="77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35"/>
      <c r="R120" s="34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441</v>
      </c>
      <c r="B121" s="4"/>
      <c r="D121" t="str">
        <f>IF($C121="","",IFERROR(LOOKUP(2,1/('03_Warehouse_Movements'!$C$2:$C$500=$A121),'03_Warehouse_Movements'!$E$2:$E$500),$C121))</f>
        <v/>
      </c>
      <c r="E121" t="s">
        <v>219</v>
      </c>
      <c r="G121" s="33"/>
      <c r="H121" s="3" t="str">
        <f t="shared" si="2"/>
        <v/>
      </c>
      <c r="I121" s="3"/>
      <c r="J121" s="4"/>
      <c r="K121" s="3"/>
      <c r="L121" s="4"/>
      <c r="M121" s="77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35"/>
      <c r="R121" s="34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442</v>
      </c>
      <c r="B122" s="4"/>
      <c r="D122" t="str">
        <f>IF($C122="","",IFERROR(LOOKUP(2,1/('03_Warehouse_Movements'!$C$2:$C$500=$A122),'03_Warehouse_Movements'!$E$2:$E$500),$C122))</f>
        <v/>
      </c>
      <c r="E122" t="s">
        <v>219</v>
      </c>
      <c r="G122" s="33"/>
      <c r="H122" s="3" t="str">
        <f t="shared" si="2"/>
        <v/>
      </c>
      <c r="I122" s="3"/>
      <c r="J122" s="4"/>
      <c r="K122" s="3"/>
      <c r="L122" s="4"/>
      <c r="M122" s="77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35"/>
      <c r="R122" s="34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443</v>
      </c>
      <c r="B123" s="4"/>
      <c r="D123" t="str">
        <f>IF($C123="","",IFERROR(LOOKUP(2,1/('03_Warehouse_Movements'!$C$2:$C$500=$A123),'03_Warehouse_Movements'!$E$2:$E$500),$C123))</f>
        <v/>
      </c>
      <c r="E123" t="s">
        <v>219</v>
      </c>
      <c r="G123" s="33"/>
      <c r="H123" s="3" t="str">
        <f t="shared" si="2"/>
        <v/>
      </c>
      <c r="I123" s="3"/>
      <c r="J123" s="4"/>
      <c r="K123" s="3"/>
      <c r="L123" s="4"/>
      <c r="M123" s="77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35"/>
      <c r="R123" s="34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444</v>
      </c>
      <c r="B124" s="4"/>
      <c r="D124" t="str">
        <f>IF($C124="","",IFERROR(LOOKUP(2,1/('03_Warehouse_Movements'!$C$2:$C$500=$A124),'03_Warehouse_Movements'!$E$2:$E$500),$C124))</f>
        <v/>
      </c>
      <c r="E124" t="s">
        <v>219</v>
      </c>
      <c r="G124" s="33"/>
      <c r="H124" s="3" t="str">
        <f t="shared" si="2"/>
        <v/>
      </c>
      <c r="I124" s="3"/>
      <c r="J124" s="4"/>
      <c r="K124" s="3"/>
      <c r="L124" s="4"/>
      <c r="M124" s="77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35"/>
      <c r="R124" s="34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445</v>
      </c>
      <c r="B125" s="4"/>
      <c r="D125" t="str">
        <f>IF($C125="","",IFERROR(LOOKUP(2,1/('03_Warehouse_Movements'!$C$2:$C$500=$A125),'03_Warehouse_Movements'!$E$2:$E$500),$C125))</f>
        <v/>
      </c>
      <c r="E125" t="s">
        <v>219</v>
      </c>
      <c r="G125" s="33"/>
      <c r="H125" s="3" t="str">
        <f t="shared" si="2"/>
        <v/>
      </c>
      <c r="I125" s="3"/>
      <c r="J125" s="4"/>
      <c r="K125" s="3"/>
      <c r="L125" s="4"/>
      <c r="M125" s="77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35"/>
      <c r="R125" s="34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446</v>
      </c>
      <c r="B126" s="4"/>
      <c r="D126" t="str">
        <f>IF($C126="","",IFERROR(LOOKUP(2,1/('03_Warehouse_Movements'!$C$2:$C$500=$A126),'03_Warehouse_Movements'!$E$2:$E$500),$C126))</f>
        <v/>
      </c>
      <c r="E126" t="s">
        <v>219</v>
      </c>
      <c r="G126" s="33"/>
      <c r="H126" s="3" t="str">
        <f t="shared" si="2"/>
        <v/>
      </c>
      <c r="I126" s="3"/>
      <c r="J126" s="4"/>
      <c r="K126" s="3"/>
      <c r="L126" s="4"/>
      <c r="M126" s="77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35"/>
      <c r="R126" s="34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447</v>
      </c>
      <c r="B127" s="4"/>
      <c r="D127" t="str">
        <f>IF($C127="","",IFERROR(LOOKUP(2,1/('03_Warehouse_Movements'!$C$2:$C$500=$A127),'03_Warehouse_Movements'!$E$2:$E$500),$C127))</f>
        <v/>
      </c>
      <c r="E127" t="s">
        <v>219</v>
      </c>
      <c r="G127" s="33"/>
      <c r="H127" s="3" t="str">
        <f t="shared" si="2"/>
        <v/>
      </c>
      <c r="I127" s="3"/>
      <c r="J127" s="4"/>
      <c r="K127" s="3"/>
      <c r="L127" s="4"/>
      <c r="M127" s="77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35"/>
      <c r="R127" s="34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448</v>
      </c>
      <c r="B128" s="4"/>
      <c r="D128" t="str">
        <f>IF($C128="","",IFERROR(LOOKUP(2,1/('03_Warehouse_Movements'!$C$2:$C$500=$A128),'03_Warehouse_Movements'!$E$2:$E$500),$C128))</f>
        <v/>
      </c>
      <c r="E128" t="s">
        <v>219</v>
      </c>
      <c r="G128" s="33"/>
      <c r="H128" s="3" t="str">
        <f t="shared" si="2"/>
        <v/>
      </c>
      <c r="I128" s="3"/>
      <c r="J128" s="4"/>
      <c r="K128" s="3"/>
      <c r="L128" s="4"/>
      <c r="M128" s="77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35"/>
      <c r="R128" s="34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449</v>
      </c>
      <c r="B129" s="4"/>
      <c r="D129" t="str">
        <f>IF($C129="","",IFERROR(LOOKUP(2,1/('03_Warehouse_Movements'!$C$2:$C$500=$A129),'03_Warehouse_Movements'!$E$2:$E$500),$C129))</f>
        <v/>
      </c>
      <c r="E129" t="s">
        <v>219</v>
      </c>
      <c r="G129" s="33"/>
      <c r="H129" s="3" t="str">
        <f t="shared" si="2"/>
        <v/>
      </c>
      <c r="I129" s="3"/>
      <c r="J129" s="4"/>
      <c r="K129" s="3"/>
      <c r="L129" s="4"/>
      <c r="M129" s="77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35"/>
      <c r="R129" s="34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450</v>
      </c>
      <c r="B130" s="4"/>
      <c r="D130" t="str">
        <f>IF($C130="","",IFERROR(LOOKUP(2,1/('03_Warehouse_Movements'!$C$2:$C$500=$A130),'03_Warehouse_Movements'!$E$2:$E$500),$C130))</f>
        <v/>
      </c>
      <c r="E130" t="s">
        <v>219</v>
      </c>
      <c r="G130" s="33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77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35"/>
      <c r="R130" s="34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451</v>
      </c>
      <c r="B131" s="4"/>
      <c r="D131" t="str">
        <f>IF($C131="","",IFERROR(LOOKUP(2,1/('03_Warehouse_Movements'!$C$2:$C$500=$A131),'03_Warehouse_Movements'!$E$2:$E$500),$C131))</f>
        <v/>
      </c>
      <c r="E131" t="s">
        <v>219</v>
      </c>
      <c r="G131" s="33"/>
      <c r="H131" s="3" t="str">
        <f t="shared" si="4"/>
        <v/>
      </c>
      <c r="I131" s="3"/>
      <c r="J131" s="4"/>
      <c r="K131" s="3"/>
      <c r="L131" s="4"/>
      <c r="M131" s="77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35"/>
      <c r="R131" s="34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452</v>
      </c>
      <c r="B132" s="4"/>
      <c r="D132" t="str">
        <f>IF($C132="","",IFERROR(LOOKUP(2,1/('03_Warehouse_Movements'!$C$2:$C$500=$A132),'03_Warehouse_Movements'!$E$2:$E$500),$C132))</f>
        <v/>
      </c>
      <c r="E132" t="s">
        <v>219</v>
      </c>
      <c r="G132" s="33"/>
      <c r="H132" s="3" t="str">
        <f t="shared" si="4"/>
        <v/>
      </c>
      <c r="I132" s="3"/>
      <c r="J132" s="4"/>
      <c r="K132" s="3"/>
      <c r="L132" s="4"/>
      <c r="M132" s="77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35"/>
      <c r="R132" s="34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453</v>
      </c>
      <c r="B133" s="4"/>
      <c r="D133" t="str">
        <f>IF($C133="","",IFERROR(LOOKUP(2,1/('03_Warehouse_Movements'!$C$2:$C$500=$A133),'03_Warehouse_Movements'!$E$2:$E$500),$C133))</f>
        <v/>
      </c>
      <c r="E133" t="s">
        <v>219</v>
      </c>
      <c r="G133" s="33"/>
      <c r="H133" s="3" t="str">
        <f t="shared" si="4"/>
        <v/>
      </c>
      <c r="I133" s="3"/>
      <c r="J133" s="4"/>
      <c r="K133" s="3"/>
      <c r="L133" s="4"/>
      <c r="M133" s="77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35"/>
      <c r="R133" s="34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454</v>
      </c>
      <c r="B134" s="4"/>
      <c r="D134" t="str">
        <f>IF($C134="","",IFERROR(LOOKUP(2,1/('03_Warehouse_Movements'!$C$2:$C$500=$A134),'03_Warehouse_Movements'!$E$2:$E$500),$C134))</f>
        <v/>
      </c>
      <c r="E134" t="s">
        <v>219</v>
      </c>
      <c r="G134" s="33"/>
      <c r="H134" s="3" t="str">
        <f t="shared" si="4"/>
        <v/>
      </c>
      <c r="I134" s="3"/>
      <c r="J134" s="4"/>
      <c r="K134" s="3"/>
      <c r="L134" s="4"/>
      <c r="M134" s="77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35"/>
      <c r="R134" s="34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455</v>
      </c>
      <c r="B135" s="4"/>
      <c r="D135" t="str">
        <f>IF($C135="","",IFERROR(LOOKUP(2,1/('03_Warehouse_Movements'!$C$2:$C$500=$A135),'03_Warehouse_Movements'!$E$2:$E$500),$C135))</f>
        <v/>
      </c>
      <c r="E135" t="s">
        <v>219</v>
      </c>
      <c r="G135" s="33"/>
      <c r="H135" s="3" t="str">
        <f t="shared" si="4"/>
        <v/>
      </c>
      <c r="I135" s="3"/>
      <c r="J135" s="4"/>
      <c r="K135" s="3"/>
      <c r="L135" s="4"/>
      <c r="M135" s="77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35"/>
      <c r="R135" s="34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456</v>
      </c>
      <c r="B136" s="4"/>
      <c r="D136" t="str">
        <f>IF($C136="","",IFERROR(LOOKUP(2,1/('03_Warehouse_Movements'!$C$2:$C$500=$A136),'03_Warehouse_Movements'!$E$2:$E$500),$C136))</f>
        <v/>
      </c>
      <c r="E136" t="s">
        <v>219</v>
      </c>
      <c r="G136" s="33"/>
      <c r="H136" s="3" t="str">
        <f t="shared" si="4"/>
        <v/>
      </c>
      <c r="I136" s="3"/>
      <c r="J136" s="4"/>
      <c r="K136" s="3"/>
      <c r="L136" s="4"/>
      <c r="M136" s="77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35"/>
      <c r="R136" s="34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457</v>
      </c>
      <c r="B137" s="4"/>
      <c r="D137" t="str">
        <f>IF($C137="","",IFERROR(LOOKUP(2,1/('03_Warehouse_Movements'!$C$2:$C$500=$A137),'03_Warehouse_Movements'!$E$2:$E$500),$C137))</f>
        <v/>
      </c>
      <c r="E137" t="s">
        <v>219</v>
      </c>
      <c r="G137" s="33"/>
      <c r="H137" s="3" t="str">
        <f t="shared" si="4"/>
        <v/>
      </c>
      <c r="I137" s="3"/>
      <c r="J137" s="4"/>
      <c r="K137" s="3"/>
      <c r="L137" s="4"/>
      <c r="M137" s="77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35"/>
      <c r="R137" s="34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458</v>
      </c>
      <c r="B138" s="4"/>
      <c r="D138" t="str">
        <f>IF($C138="","",IFERROR(LOOKUP(2,1/('03_Warehouse_Movements'!$C$2:$C$500=$A138),'03_Warehouse_Movements'!$E$2:$E$500),$C138))</f>
        <v/>
      </c>
      <c r="E138" t="s">
        <v>219</v>
      </c>
      <c r="G138" s="33"/>
      <c r="H138" s="3" t="str">
        <f t="shared" si="4"/>
        <v/>
      </c>
      <c r="I138" s="3"/>
      <c r="J138" s="4"/>
      <c r="K138" s="3"/>
      <c r="L138" s="4"/>
      <c r="M138" s="77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35"/>
      <c r="R138" s="34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459</v>
      </c>
      <c r="B139" s="4"/>
      <c r="D139" t="str">
        <f>IF($C139="","",IFERROR(LOOKUP(2,1/('03_Warehouse_Movements'!$C$2:$C$500=$A139),'03_Warehouse_Movements'!$E$2:$E$500),$C139))</f>
        <v/>
      </c>
      <c r="E139" t="s">
        <v>219</v>
      </c>
      <c r="G139" s="33"/>
      <c r="H139" s="3" t="str">
        <f t="shared" si="4"/>
        <v/>
      </c>
      <c r="I139" s="3"/>
      <c r="J139" s="4"/>
      <c r="K139" s="3"/>
      <c r="L139" s="4"/>
      <c r="M139" s="77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35"/>
      <c r="R139" s="34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460</v>
      </c>
      <c r="B140" s="4"/>
      <c r="D140" t="str">
        <f>IF($C140="","",IFERROR(LOOKUP(2,1/('03_Warehouse_Movements'!$C$2:$C$500=$A140),'03_Warehouse_Movements'!$E$2:$E$500),$C140))</f>
        <v/>
      </c>
      <c r="E140" t="s">
        <v>219</v>
      </c>
      <c r="G140" s="33"/>
      <c r="H140" s="3" t="str">
        <f t="shared" si="4"/>
        <v/>
      </c>
      <c r="I140" s="3"/>
      <c r="J140" s="4"/>
      <c r="K140" s="3"/>
      <c r="L140" s="4"/>
      <c r="M140" s="77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35"/>
      <c r="R140" s="34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461</v>
      </c>
      <c r="B141" s="4"/>
      <c r="D141" t="str">
        <f>IF($C141="","",IFERROR(LOOKUP(2,1/('03_Warehouse_Movements'!$C$2:$C$500=$A141),'03_Warehouse_Movements'!$E$2:$E$500),$C141))</f>
        <v/>
      </c>
      <c r="E141" t="s">
        <v>219</v>
      </c>
      <c r="G141" s="33"/>
      <c r="H141" s="3" t="str">
        <f t="shared" si="4"/>
        <v/>
      </c>
      <c r="I141" s="3"/>
      <c r="J141" s="4"/>
      <c r="K141" s="3"/>
      <c r="L141" s="4"/>
      <c r="M141" s="77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35"/>
      <c r="R141" s="34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462</v>
      </c>
      <c r="B142" s="4"/>
      <c r="D142" t="str">
        <f>IF($C142="","",IFERROR(LOOKUP(2,1/('03_Warehouse_Movements'!$C$2:$C$500=$A142),'03_Warehouse_Movements'!$E$2:$E$500),$C142))</f>
        <v/>
      </c>
      <c r="E142" t="s">
        <v>219</v>
      </c>
      <c r="G142" s="33"/>
      <c r="H142" s="3" t="str">
        <f t="shared" si="4"/>
        <v/>
      </c>
      <c r="I142" s="3"/>
      <c r="J142" s="4"/>
      <c r="K142" s="3"/>
      <c r="L142" s="4"/>
      <c r="M142" s="77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35"/>
      <c r="R142" s="34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463</v>
      </c>
      <c r="B143" s="4"/>
      <c r="D143" t="str">
        <f>IF($C143="","",IFERROR(LOOKUP(2,1/('03_Warehouse_Movements'!$C$2:$C$500=$A143),'03_Warehouse_Movements'!$E$2:$E$500),$C143))</f>
        <v/>
      </c>
      <c r="E143" t="s">
        <v>219</v>
      </c>
      <c r="G143" s="33"/>
      <c r="H143" s="3" t="str">
        <f t="shared" si="4"/>
        <v/>
      </c>
      <c r="I143" s="3"/>
      <c r="J143" s="4"/>
      <c r="K143" s="3"/>
      <c r="L143" s="4"/>
      <c r="M143" s="77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35"/>
      <c r="R143" s="34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464</v>
      </c>
      <c r="B144" s="4"/>
      <c r="D144" t="str">
        <f>IF($C144="","",IFERROR(LOOKUP(2,1/('03_Warehouse_Movements'!$C$2:$C$500=$A144),'03_Warehouse_Movements'!$E$2:$E$500),$C144))</f>
        <v/>
      </c>
      <c r="E144" t="s">
        <v>219</v>
      </c>
      <c r="G144" s="33"/>
      <c r="H144" s="3" t="str">
        <f t="shared" si="4"/>
        <v/>
      </c>
      <c r="I144" s="3"/>
      <c r="J144" s="4"/>
      <c r="K144" s="3"/>
      <c r="L144" s="4"/>
      <c r="M144" s="77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35"/>
      <c r="R144" s="34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465</v>
      </c>
      <c r="B145" s="4"/>
      <c r="D145" t="str">
        <f>IF($C145="","",IFERROR(LOOKUP(2,1/('03_Warehouse_Movements'!$C$2:$C$500=$A145),'03_Warehouse_Movements'!$E$2:$E$500),$C145))</f>
        <v/>
      </c>
      <c r="E145" t="s">
        <v>219</v>
      </c>
      <c r="G145" s="33"/>
      <c r="H145" s="3" t="str">
        <f t="shared" si="4"/>
        <v/>
      </c>
      <c r="I145" s="3"/>
      <c r="J145" s="4"/>
      <c r="K145" s="3"/>
      <c r="L145" s="4"/>
      <c r="M145" s="77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35"/>
      <c r="R145" s="34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466</v>
      </c>
      <c r="B146" s="4"/>
      <c r="D146" t="str">
        <f>IF($C146="","",IFERROR(LOOKUP(2,1/('03_Warehouse_Movements'!$C$2:$C$500=$A146),'03_Warehouse_Movements'!$E$2:$E$500),$C146))</f>
        <v/>
      </c>
      <c r="E146" t="s">
        <v>219</v>
      </c>
      <c r="G146" s="33"/>
      <c r="H146" s="3" t="str">
        <f t="shared" si="4"/>
        <v/>
      </c>
      <c r="I146" s="3"/>
      <c r="J146" s="4"/>
      <c r="K146" s="3"/>
      <c r="L146" s="4"/>
      <c r="M146" s="77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35"/>
      <c r="R146" s="34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467</v>
      </c>
      <c r="B147" s="4"/>
      <c r="D147" t="str">
        <f>IF($C147="","",IFERROR(LOOKUP(2,1/('03_Warehouse_Movements'!$C$2:$C$500=$A147),'03_Warehouse_Movements'!$E$2:$E$500),$C147))</f>
        <v/>
      </c>
      <c r="E147" t="s">
        <v>219</v>
      </c>
      <c r="G147" s="33"/>
      <c r="H147" s="3" t="str">
        <f t="shared" si="4"/>
        <v/>
      </c>
      <c r="I147" s="3"/>
      <c r="J147" s="4"/>
      <c r="K147" s="3"/>
      <c r="L147" s="4"/>
      <c r="M147" s="77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35"/>
      <c r="R147" s="34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468</v>
      </c>
      <c r="B148" s="4"/>
      <c r="D148" t="str">
        <f>IF($C148="","",IFERROR(LOOKUP(2,1/('03_Warehouse_Movements'!$C$2:$C$500=$A148),'03_Warehouse_Movements'!$E$2:$E$500),$C148))</f>
        <v/>
      </c>
      <c r="E148" t="s">
        <v>219</v>
      </c>
      <c r="G148" s="33"/>
      <c r="H148" s="3" t="str">
        <f t="shared" si="4"/>
        <v/>
      </c>
      <c r="I148" s="3"/>
      <c r="J148" s="4"/>
      <c r="K148" s="3"/>
      <c r="L148" s="4"/>
      <c r="M148" s="77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35"/>
      <c r="R148" s="34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469</v>
      </c>
      <c r="B149" s="4"/>
      <c r="D149" t="str">
        <f>IF($C149="","",IFERROR(LOOKUP(2,1/('03_Warehouse_Movements'!$C$2:$C$500=$A149),'03_Warehouse_Movements'!$E$2:$E$500),$C149))</f>
        <v/>
      </c>
      <c r="E149" t="s">
        <v>219</v>
      </c>
      <c r="G149" s="33"/>
      <c r="H149" s="3" t="str">
        <f t="shared" si="4"/>
        <v/>
      </c>
      <c r="I149" s="3"/>
      <c r="J149" s="4"/>
      <c r="K149" s="3"/>
      <c r="L149" s="4"/>
      <c r="M149" s="77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35"/>
      <c r="R149" s="34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470</v>
      </c>
      <c r="B150" s="4"/>
      <c r="D150" t="str">
        <f>IF($C150="","",IFERROR(LOOKUP(2,1/('03_Warehouse_Movements'!$C$2:$C$500=$A150),'03_Warehouse_Movements'!$E$2:$E$500),$C150))</f>
        <v/>
      </c>
      <c r="E150" t="s">
        <v>219</v>
      </c>
      <c r="G150" s="33"/>
      <c r="H150" s="3" t="str">
        <f t="shared" si="4"/>
        <v/>
      </c>
      <c r="I150" s="3"/>
      <c r="J150" s="4"/>
      <c r="K150" s="3"/>
      <c r="L150" s="4"/>
      <c r="M150" s="77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35"/>
      <c r="R150" s="34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471</v>
      </c>
      <c r="B151" s="4"/>
      <c r="D151" t="str">
        <f>IF($C151="","",IFERROR(LOOKUP(2,1/('03_Warehouse_Movements'!$C$2:$C$500=$A151),'03_Warehouse_Movements'!$E$2:$E$500),$C151))</f>
        <v/>
      </c>
      <c r="E151" t="s">
        <v>219</v>
      </c>
      <c r="G151" s="33"/>
      <c r="H151" s="3" t="str">
        <f t="shared" si="4"/>
        <v/>
      </c>
      <c r="I151" s="3"/>
      <c r="J151" s="4"/>
      <c r="K151" s="3"/>
      <c r="L151" s="4"/>
      <c r="M151" s="77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35"/>
      <c r="R151" s="34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472</v>
      </c>
      <c r="B152" s="4"/>
      <c r="D152" t="str">
        <f>IF($C152="","",IFERROR(LOOKUP(2,1/('03_Warehouse_Movements'!$C$2:$C$500=$A152),'03_Warehouse_Movements'!$E$2:$E$500),$C152))</f>
        <v/>
      </c>
      <c r="E152" t="s">
        <v>219</v>
      </c>
      <c r="G152" s="33"/>
      <c r="H152" s="3" t="str">
        <f t="shared" si="4"/>
        <v/>
      </c>
      <c r="I152" s="3"/>
      <c r="J152" s="4"/>
      <c r="K152" s="3"/>
      <c r="L152" s="4"/>
      <c r="M152" s="77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35"/>
      <c r="R152" s="34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473</v>
      </c>
      <c r="B153" s="4"/>
      <c r="D153" t="str">
        <f>IF($C153="","",IFERROR(LOOKUP(2,1/('03_Warehouse_Movements'!$C$2:$C$500=$A153),'03_Warehouse_Movements'!$E$2:$E$500),$C153))</f>
        <v/>
      </c>
      <c r="E153" t="s">
        <v>219</v>
      </c>
      <c r="G153" s="33"/>
      <c r="H153" s="3" t="str">
        <f t="shared" si="4"/>
        <v/>
      </c>
      <c r="I153" s="3"/>
      <c r="J153" s="4"/>
      <c r="K153" s="3"/>
      <c r="L153" s="4"/>
      <c r="M153" s="77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35"/>
      <c r="R153" s="34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474</v>
      </c>
      <c r="B154" s="4"/>
      <c r="D154" t="str">
        <f>IF($C154="","",IFERROR(LOOKUP(2,1/('03_Warehouse_Movements'!$C$2:$C$500=$A154),'03_Warehouse_Movements'!$E$2:$E$500),$C154))</f>
        <v/>
      </c>
      <c r="E154" t="s">
        <v>219</v>
      </c>
      <c r="G154" s="33"/>
      <c r="H154" s="3" t="str">
        <f t="shared" si="4"/>
        <v/>
      </c>
      <c r="I154" s="3"/>
      <c r="J154" s="4"/>
      <c r="K154" s="3"/>
      <c r="L154" s="4"/>
      <c r="M154" s="77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35"/>
      <c r="R154" s="34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475</v>
      </c>
      <c r="B155" s="4"/>
      <c r="D155" t="str">
        <f>IF($C155="","",IFERROR(LOOKUP(2,1/('03_Warehouse_Movements'!$C$2:$C$500=$A155),'03_Warehouse_Movements'!$E$2:$E$500),$C155))</f>
        <v/>
      </c>
      <c r="E155" t="s">
        <v>219</v>
      </c>
      <c r="G155" s="33"/>
      <c r="H155" s="3" t="str">
        <f t="shared" si="4"/>
        <v/>
      </c>
      <c r="I155" s="3"/>
      <c r="J155" s="4"/>
      <c r="K155" s="3"/>
      <c r="L155" s="4"/>
      <c r="M155" s="77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35"/>
      <c r="R155" s="34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476</v>
      </c>
      <c r="B156" s="4"/>
      <c r="D156" t="str">
        <f>IF($C156="","",IFERROR(LOOKUP(2,1/('03_Warehouse_Movements'!$C$2:$C$500=$A156),'03_Warehouse_Movements'!$E$2:$E$500),$C156))</f>
        <v/>
      </c>
      <c r="E156" t="s">
        <v>219</v>
      </c>
      <c r="G156" s="33"/>
      <c r="H156" s="3" t="str">
        <f t="shared" si="4"/>
        <v/>
      </c>
      <c r="I156" s="3"/>
      <c r="J156" s="4"/>
      <c r="K156" s="3"/>
      <c r="L156" s="4"/>
      <c r="M156" s="77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35"/>
      <c r="R156" s="34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477</v>
      </c>
      <c r="B157" s="4"/>
      <c r="D157" t="str">
        <f>IF($C157="","",IFERROR(LOOKUP(2,1/('03_Warehouse_Movements'!$C$2:$C$500=$A157),'03_Warehouse_Movements'!$E$2:$E$500),$C157))</f>
        <v/>
      </c>
      <c r="E157" t="s">
        <v>219</v>
      </c>
      <c r="G157" s="33"/>
      <c r="H157" s="3" t="str">
        <f t="shared" si="4"/>
        <v/>
      </c>
      <c r="I157" s="3"/>
      <c r="J157" s="4"/>
      <c r="K157" s="3"/>
      <c r="L157" s="4"/>
      <c r="M157" s="77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35"/>
      <c r="R157" s="34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478</v>
      </c>
      <c r="B158" s="4"/>
      <c r="D158" t="str">
        <f>IF($C158="","",IFERROR(LOOKUP(2,1/('03_Warehouse_Movements'!$C$2:$C$500=$A158),'03_Warehouse_Movements'!$E$2:$E$500),$C158))</f>
        <v/>
      </c>
      <c r="E158" t="s">
        <v>219</v>
      </c>
      <c r="G158" s="33"/>
      <c r="H158" s="3" t="str">
        <f t="shared" si="4"/>
        <v/>
      </c>
      <c r="I158" s="3"/>
      <c r="J158" s="4"/>
      <c r="K158" s="3"/>
      <c r="L158" s="4"/>
      <c r="M158" s="77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35"/>
      <c r="R158" s="34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479</v>
      </c>
      <c r="B159" s="4"/>
      <c r="D159" t="str">
        <f>IF($C159="","",IFERROR(LOOKUP(2,1/('03_Warehouse_Movements'!$C$2:$C$500=$A159),'03_Warehouse_Movements'!$E$2:$E$500),$C159))</f>
        <v/>
      </c>
      <c r="E159" t="s">
        <v>219</v>
      </c>
      <c r="G159" s="33"/>
      <c r="H159" s="3" t="str">
        <f t="shared" si="4"/>
        <v/>
      </c>
      <c r="I159" s="3"/>
      <c r="J159" s="4"/>
      <c r="K159" s="3"/>
      <c r="L159" s="4"/>
      <c r="M159" s="77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35"/>
      <c r="R159" s="34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480</v>
      </c>
      <c r="B160" s="4"/>
      <c r="D160" t="str">
        <f>IF($C160="","",IFERROR(LOOKUP(2,1/('03_Warehouse_Movements'!$C$2:$C$500=$A160),'03_Warehouse_Movements'!$E$2:$E$500),$C160))</f>
        <v/>
      </c>
      <c r="E160" t="s">
        <v>219</v>
      </c>
      <c r="G160" s="33"/>
      <c r="H160" s="3" t="str">
        <f t="shared" si="4"/>
        <v/>
      </c>
      <c r="I160" s="3"/>
      <c r="J160" s="4"/>
      <c r="K160" s="3"/>
      <c r="L160" s="4"/>
      <c r="M160" s="77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35"/>
      <c r="R160" s="34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481</v>
      </c>
      <c r="B161" s="4"/>
      <c r="D161" t="str">
        <f>IF($C161="","",IFERROR(LOOKUP(2,1/('03_Warehouse_Movements'!$C$2:$C$500=$A161),'03_Warehouse_Movements'!$E$2:$E$500),$C161))</f>
        <v/>
      </c>
      <c r="E161" t="s">
        <v>219</v>
      </c>
      <c r="G161" s="33"/>
      <c r="H161" s="3" t="str">
        <f t="shared" si="4"/>
        <v/>
      </c>
      <c r="I161" s="3"/>
      <c r="J161" s="4"/>
      <c r="K161" s="3"/>
      <c r="L161" s="4"/>
      <c r="M161" s="77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35"/>
      <c r="R161" s="34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482</v>
      </c>
      <c r="B162" s="4"/>
      <c r="D162" t="str">
        <f>IF($C162="","",IFERROR(LOOKUP(2,1/('03_Warehouse_Movements'!$C$2:$C$500=$A162),'03_Warehouse_Movements'!$E$2:$E$500),$C162))</f>
        <v/>
      </c>
      <c r="E162" t="s">
        <v>219</v>
      </c>
      <c r="G162" s="33"/>
      <c r="H162" s="3" t="str">
        <f t="shared" si="4"/>
        <v/>
      </c>
      <c r="I162" s="3"/>
      <c r="J162" s="4"/>
      <c r="K162" s="3"/>
      <c r="L162" s="4"/>
      <c r="M162" s="77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35"/>
      <c r="R162" s="34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483</v>
      </c>
      <c r="B163" s="4"/>
      <c r="D163" t="str">
        <f>IF($C163="","",IFERROR(LOOKUP(2,1/('03_Warehouse_Movements'!$C$2:$C$500=$A163),'03_Warehouse_Movements'!$E$2:$E$500),$C163))</f>
        <v/>
      </c>
      <c r="E163" t="s">
        <v>219</v>
      </c>
      <c r="G163" s="33"/>
      <c r="H163" s="3" t="str">
        <f t="shared" si="4"/>
        <v/>
      </c>
      <c r="I163" s="3"/>
      <c r="J163" s="4"/>
      <c r="K163" s="3"/>
      <c r="L163" s="4"/>
      <c r="M163" s="77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35"/>
      <c r="R163" s="34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484</v>
      </c>
      <c r="B164" s="4"/>
      <c r="D164" t="str">
        <f>IF($C164="","",IFERROR(LOOKUP(2,1/('03_Warehouse_Movements'!$C$2:$C$500=$A164),'03_Warehouse_Movements'!$E$2:$E$500),$C164))</f>
        <v/>
      </c>
      <c r="E164" t="s">
        <v>219</v>
      </c>
      <c r="G164" s="33"/>
      <c r="H164" s="3" t="str">
        <f t="shared" si="4"/>
        <v/>
      </c>
      <c r="I164" s="3"/>
      <c r="J164" s="4"/>
      <c r="K164" s="3"/>
      <c r="L164" s="4"/>
      <c r="M164" s="77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35"/>
      <c r="R164" s="34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485</v>
      </c>
      <c r="B165" s="4"/>
      <c r="D165" t="str">
        <f>IF($C165="","",IFERROR(LOOKUP(2,1/('03_Warehouse_Movements'!$C$2:$C$500=$A165),'03_Warehouse_Movements'!$E$2:$E$500),$C165))</f>
        <v/>
      </c>
      <c r="E165" t="s">
        <v>219</v>
      </c>
      <c r="G165" s="33"/>
      <c r="H165" s="3" t="str">
        <f t="shared" si="4"/>
        <v/>
      </c>
      <c r="I165" s="3"/>
      <c r="J165" s="4"/>
      <c r="K165" s="3"/>
      <c r="L165" s="4"/>
      <c r="M165" s="77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35"/>
      <c r="R165" s="34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486</v>
      </c>
      <c r="B166" s="4"/>
      <c r="D166" t="str">
        <f>IF($C166="","",IFERROR(LOOKUP(2,1/('03_Warehouse_Movements'!$C$2:$C$500=$A166),'03_Warehouse_Movements'!$E$2:$E$500),$C166))</f>
        <v/>
      </c>
      <c r="E166" t="s">
        <v>219</v>
      </c>
      <c r="G166" s="33"/>
      <c r="H166" s="3" t="str">
        <f t="shared" si="4"/>
        <v/>
      </c>
      <c r="I166" s="3"/>
      <c r="J166" s="4"/>
      <c r="K166" s="3"/>
      <c r="L166" s="4"/>
      <c r="M166" s="77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35"/>
      <c r="R166" s="34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487</v>
      </c>
      <c r="B167" s="4"/>
      <c r="D167" t="str">
        <f>IF($C167="","",IFERROR(LOOKUP(2,1/('03_Warehouse_Movements'!$C$2:$C$500=$A167),'03_Warehouse_Movements'!$E$2:$E$500),$C167))</f>
        <v/>
      </c>
      <c r="E167" t="s">
        <v>219</v>
      </c>
      <c r="G167" s="33"/>
      <c r="H167" s="3" t="str">
        <f t="shared" si="4"/>
        <v/>
      </c>
      <c r="I167" s="3"/>
      <c r="J167" s="4"/>
      <c r="K167" s="3"/>
      <c r="L167" s="4"/>
      <c r="M167" s="77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35"/>
      <c r="R167" s="34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488</v>
      </c>
      <c r="B168" s="4"/>
      <c r="D168" t="str">
        <f>IF($C168="","",IFERROR(LOOKUP(2,1/('03_Warehouse_Movements'!$C$2:$C$500=$A168),'03_Warehouse_Movements'!$E$2:$E$500),$C168))</f>
        <v/>
      </c>
      <c r="E168" t="s">
        <v>219</v>
      </c>
      <c r="G168" s="33"/>
      <c r="H168" s="3" t="str">
        <f t="shared" si="4"/>
        <v/>
      </c>
      <c r="I168" s="3"/>
      <c r="J168" s="4"/>
      <c r="K168" s="3"/>
      <c r="L168" s="4"/>
      <c r="M168" s="77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35"/>
      <c r="R168" s="34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489</v>
      </c>
      <c r="B169" s="4"/>
      <c r="D169" t="str">
        <f>IF($C169="","",IFERROR(LOOKUP(2,1/('03_Warehouse_Movements'!$C$2:$C$500=$A169),'03_Warehouse_Movements'!$E$2:$E$500),$C169))</f>
        <v/>
      </c>
      <c r="E169" t="s">
        <v>219</v>
      </c>
      <c r="G169" s="33"/>
      <c r="H169" s="3" t="str">
        <f t="shared" si="4"/>
        <v/>
      </c>
      <c r="I169" s="3"/>
      <c r="J169" s="4"/>
      <c r="K169" s="3"/>
      <c r="L169" s="4"/>
      <c r="M169" s="77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35"/>
      <c r="R169" s="34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490</v>
      </c>
      <c r="B170" s="4"/>
      <c r="D170" t="str">
        <f>IF($C170="","",IFERROR(LOOKUP(2,1/('03_Warehouse_Movements'!$C$2:$C$500=$A170),'03_Warehouse_Movements'!$E$2:$E$500),$C170))</f>
        <v/>
      </c>
      <c r="E170" t="s">
        <v>219</v>
      </c>
      <c r="G170" s="33"/>
      <c r="H170" s="3" t="str">
        <f t="shared" si="4"/>
        <v/>
      </c>
      <c r="I170" s="3"/>
      <c r="J170" s="4"/>
      <c r="K170" s="3"/>
      <c r="L170" s="4"/>
      <c r="M170" s="77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35"/>
      <c r="R170" s="34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491</v>
      </c>
      <c r="B171" s="4"/>
      <c r="D171" t="str">
        <f>IF($C171="","",IFERROR(LOOKUP(2,1/('03_Warehouse_Movements'!$C$2:$C$500=$A171),'03_Warehouse_Movements'!$E$2:$E$500),$C171))</f>
        <v/>
      </c>
      <c r="E171" t="s">
        <v>219</v>
      </c>
      <c r="G171" s="33"/>
      <c r="H171" s="3" t="str">
        <f t="shared" si="4"/>
        <v/>
      </c>
      <c r="I171" s="3"/>
      <c r="J171" s="4"/>
      <c r="K171" s="3"/>
      <c r="L171" s="4"/>
      <c r="M171" s="77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35"/>
      <c r="R171" s="34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492</v>
      </c>
      <c r="B172" s="4"/>
      <c r="D172" t="str">
        <f>IF($C172="","",IFERROR(LOOKUP(2,1/('03_Warehouse_Movements'!$C$2:$C$500=$A172),'03_Warehouse_Movements'!$E$2:$E$500),$C172))</f>
        <v/>
      </c>
      <c r="E172" t="s">
        <v>219</v>
      </c>
      <c r="G172" s="33"/>
      <c r="H172" s="3" t="str">
        <f t="shared" si="4"/>
        <v/>
      </c>
      <c r="I172" s="3"/>
      <c r="J172" s="4"/>
      <c r="K172" s="3"/>
      <c r="L172" s="4"/>
      <c r="M172" s="77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35"/>
      <c r="R172" s="34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493</v>
      </c>
      <c r="B173" s="4"/>
      <c r="D173" t="str">
        <f>IF($C173="","",IFERROR(LOOKUP(2,1/('03_Warehouse_Movements'!$C$2:$C$500=$A173),'03_Warehouse_Movements'!$E$2:$E$500),$C173))</f>
        <v/>
      </c>
      <c r="E173" t="s">
        <v>219</v>
      </c>
      <c r="G173" s="33"/>
      <c r="H173" s="3" t="str">
        <f t="shared" si="4"/>
        <v/>
      </c>
      <c r="I173" s="3"/>
      <c r="J173" s="4"/>
      <c r="K173" s="3"/>
      <c r="L173" s="4"/>
      <c r="M173" s="77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35"/>
      <c r="R173" s="34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494</v>
      </c>
      <c r="B174" s="4"/>
      <c r="D174" t="str">
        <f>IF($C174="","",IFERROR(LOOKUP(2,1/('03_Warehouse_Movements'!$C$2:$C$500=$A174),'03_Warehouse_Movements'!$E$2:$E$500),$C174))</f>
        <v/>
      </c>
      <c r="E174" t="s">
        <v>219</v>
      </c>
      <c r="G174" s="33"/>
      <c r="H174" s="3" t="str">
        <f t="shared" si="4"/>
        <v/>
      </c>
      <c r="I174" s="3"/>
      <c r="J174" s="4"/>
      <c r="K174" s="3"/>
      <c r="L174" s="4"/>
      <c r="M174" s="77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35"/>
      <c r="R174" s="34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495</v>
      </c>
      <c r="B175" s="4"/>
      <c r="D175" t="str">
        <f>IF($C175="","",IFERROR(LOOKUP(2,1/('03_Warehouse_Movements'!$C$2:$C$500=$A175),'03_Warehouse_Movements'!$E$2:$E$500),$C175))</f>
        <v/>
      </c>
      <c r="E175" t="s">
        <v>219</v>
      </c>
      <c r="G175" s="33"/>
      <c r="H175" s="3" t="str">
        <f t="shared" si="4"/>
        <v/>
      </c>
      <c r="I175" s="3"/>
      <c r="J175" s="4"/>
      <c r="K175" s="3"/>
      <c r="L175" s="4"/>
      <c r="M175" s="77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35"/>
      <c r="R175" s="34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496</v>
      </c>
      <c r="B176" s="4"/>
      <c r="D176" t="str">
        <f>IF($C176="","",IFERROR(LOOKUP(2,1/('03_Warehouse_Movements'!$C$2:$C$500=$A176),'03_Warehouse_Movements'!$E$2:$E$500),$C176))</f>
        <v/>
      </c>
      <c r="E176" t="s">
        <v>219</v>
      </c>
      <c r="G176" s="33"/>
      <c r="H176" s="3" t="str">
        <f t="shared" si="4"/>
        <v/>
      </c>
      <c r="I176" s="3"/>
      <c r="J176" s="4"/>
      <c r="K176" s="3"/>
      <c r="L176" s="4"/>
      <c r="M176" s="77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35"/>
      <c r="R176" s="34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497</v>
      </c>
      <c r="B177" s="4"/>
      <c r="D177" t="str">
        <f>IF($C177="","",IFERROR(LOOKUP(2,1/('03_Warehouse_Movements'!$C$2:$C$500=$A177),'03_Warehouse_Movements'!$E$2:$E$500),$C177))</f>
        <v/>
      </c>
      <c r="E177" t="s">
        <v>219</v>
      </c>
      <c r="G177" s="33"/>
      <c r="H177" s="3" t="str">
        <f t="shared" si="4"/>
        <v/>
      </c>
      <c r="I177" s="3"/>
      <c r="J177" s="4"/>
      <c r="K177" s="3"/>
      <c r="L177" s="4"/>
      <c r="M177" s="77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35"/>
      <c r="R177" s="34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498</v>
      </c>
      <c r="B178" s="4"/>
      <c r="D178" t="str">
        <f>IF($C178="","",IFERROR(LOOKUP(2,1/('03_Warehouse_Movements'!$C$2:$C$500=$A178),'03_Warehouse_Movements'!$E$2:$E$500),$C178))</f>
        <v/>
      </c>
      <c r="E178" t="s">
        <v>219</v>
      </c>
      <c r="G178" s="33"/>
      <c r="H178" s="3" t="str">
        <f t="shared" si="4"/>
        <v/>
      </c>
      <c r="I178" s="3"/>
      <c r="J178" s="4"/>
      <c r="K178" s="3"/>
      <c r="L178" s="4"/>
      <c r="M178" s="77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35"/>
      <c r="R178" s="34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499</v>
      </c>
      <c r="B179" s="4"/>
      <c r="D179" t="str">
        <f>IF($C179="","",IFERROR(LOOKUP(2,1/('03_Warehouse_Movements'!$C$2:$C$500=$A179),'03_Warehouse_Movements'!$E$2:$E$500),$C179))</f>
        <v/>
      </c>
      <c r="E179" t="s">
        <v>219</v>
      </c>
      <c r="G179" s="33"/>
      <c r="H179" s="3" t="str">
        <f t="shared" si="4"/>
        <v/>
      </c>
      <c r="I179" s="3"/>
      <c r="J179" s="4"/>
      <c r="K179" s="3"/>
      <c r="L179" s="4"/>
      <c r="M179" s="77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35"/>
      <c r="R179" s="34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500</v>
      </c>
      <c r="B180" s="4"/>
      <c r="D180" t="str">
        <f>IF($C180="","",IFERROR(LOOKUP(2,1/('03_Warehouse_Movements'!$C$2:$C$500=$A180),'03_Warehouse_Movements'!$E$2:$E$500),$C180))</f>
        <v/>
      </c>
      <c r="E180" t="s">
        <v>219</v>
      </c>
      <c r="G180" s="33"/>
      <c r="H180" s="3" t="str">
        <f t="shared" si="4"/>
        <v/>
      </c>
      <c r="I180" s="3"/>
      <c r="J180" s="4"/>
      <c r="K180" s="3"/>
      <c r="L180" s="4"/>
      <c r="M180" s="77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35"/>
      <c r="R180" s="34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501</v>
      </c>
      <c r="B181" s="4"/>
      <c r="D181" t="str">
        <f>IF($C181="","",IFERROR(LOOKUP(2,1/('03_Warehouse_Movements'!$C$2:$C$500=$A181),'03_Warehouse_Movements'!$E$2:$E$500),$C181))</f>
        <v/>
      </c>
      <c r="E181" t="s">
        <v>219</v>
      </c>
      <c r="G181" s="33"/>
      <c r="H181" s="3" t="str">
        <f t="shared" si="4"/>
        <v/>
      </c>
      <c r="I181" s="3"/>
      <c r="J181" s="4"/>
      <c r="K181" s="3"/>
      <c r="L181" s="4"/>
      <c r="M181" s="77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35"/>
      <c r="R181" s="34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502</v>
      </c>
      <c r="B182" s="4"/>
      <c r="D182" t="str">
        <f>IF($C182="","",IFERROR(LOOKUP(2,1/('03_Warehouse_Movements'!$C$2:$C$500=$A182),'03_Warehouse_Movements'!$E$2:$E$500),$C182))</f>
        <v/>
      </c>
      <c r="E182" t="s">
        <v>219</v>
      </c>
      <c r="G182" s="33"/>
      <c r="H182" s="3" t="str">
        <f t="shared" si="4"/>
        <v/>
      </c>
      <c r="I182" s="3"/>
      <c r="J182" s="4"/>
      <c r="K182" s="3"/>
      <c r="L182" s="4"/>
      <c r="M182" s="77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35"/>
      <c r="R182" s="34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503</v>
      </c>
      <c r="B183" s="4"/>
      <c r="D183" t="str">
        <f>IF($C183="","",IFERROR(LOOKUP(2,1/('03_Warehouse_Movements'!$C$2:$C$500=$A183),'03_Warehouse_Movements'!$E$2:$E$500),$C183))</f>
        <v/>
      </c>
      <c r="E183" t="s">
        <v>219</v>
      </c>
      <c r="G183" s="33"/>
      <c r="H183" s="3" t="str">
        <f t="shared" si="4"/>
        <v/>
      </c>
      <c r="I183" s="3"/>
      <c r="J183" s="4"/>
      <c r="K183" s="3"/>
      <c r="L183" s="4"/>
      <c r="M183" s="77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35"/>
      <c r="R183" s="34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504</v>
      </c>
      <c r="B184" s="4"/>
      <c r="D184" t="str">
        <f>IF($C184="","",IFERROR(LOOKUP(2,1/('03_Warehouse_Movements'!$C$2:$C$500=$A184),'03_Warehouse_Movements'!$E$2:$E$500),$C184))</f>
        <v/>
      </c>
      <c r="E184" t="s">
        <v>219</v>
      </c>
      <c r="G184" s="33"/>
      <c r="H184" s="3" t="str">
        <f t="shared" si="4"/>
        <v/>
      </c>
      <c r="I184" s="3"/>
      <c r="J184" s="4"/>
      <c r="K184" s="3"/>
      <c r="L184" s="4"/>
      <c r="M184" s="77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35"/>
      <c r="R184" s="34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505</v>
      </c>
      <c r="B185" s="4"/>
      <c r="D185" t="str">
        <f>IF($C185="","",IFERROR(LOOKUP(2,1/('03_Warehouse_Movements'!$C$2:$C$500=$A185),'03_Warehouse_Movements'!$E$2:$E$500),$C185))</f>
        <v/>
      </c>
      <c r="E185" t="s">
        <v>219</v>
      </c>
      <c r="G185" s="33"/>
      <c r="H185" s="3" t="str">
        <f t="shared" si="4"/>
        <v/>
      </c>
      <c r="I185" s="3"/>
      <c r="J185" s="4"/>
      <c r="K185" s="3"/>
      <c r="L185" s="4"/>
      <c r="M185" s="77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35"/>
      <c r="R185" s="34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506</v>
      </c>
      <c r="B186" s="4"/>
      <c r="D186" t="str">
        <f>IF($C186="","",IFERROR(LOOKUP(2,1/('03_Warehouse_Movements'!$C$2:$C$500=$A186),'03_Warehouse_Movements'!$E$2:$E$500),$C186))</f>
        <v/>
      </c>
      <c r="E186" t="s">
        <v>219</v>
      </c>
      <c r="G186" s="33"/>
      <c r="H186" s="3" t="str">
        <f t="shared" si="4"/>
        <v/>
      </c>
      <c r="I186" s="3"/>
      <c r="J186" s="4"/>
      <c r="K186" s="3"/>
      <c r="L186" s="4"/>
      <c r="M186" s="77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35"/>
      <c r="R186" s="34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507</v>
      </c>
      <c r="B187" s="4"/>
      <c r="D187" t="str">
        <f>IF($C187="","",IFERROR(LOOKUP(2,1/('03_Warehouse_Movements'!$C$2:$C$500=$A187),'03_Warehouse_Movements'!$E$2:$E$500),$C187))</f>
        <v/>
      </c>
      <c r="E187" t="s">
        <v>219</v>
      </c>
      <c r="G187" s="33"/>
      <c r="H187" s="3" t="str">
        <f t="shared" si="4"/>
        <v/>
      </c>
      <c r="I187" s="3"/>
      <c r="J187" s="4"/>
      <c r="K187" s="3"/>
      <c r="L187" s="4"/>
      <c r="M187" s="77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35"/>
      <c r="R187" s="34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508</v>
      </c>
      <c r="B188" s="4"/>
      <c r="D188" t="str">
        <f>IF($C188="","",IFERROR(LOOKUP(2,1/('03_Warehouse_Movements'!$C$2:$C$500=$A188),'03_Warehouse_Movements'!$E$2:$E$500),$C188))</f>
        <v/>
      </c>
      <c r="E188" t="s">
        <v>219</v>
      </c>
      <c r="G188" s="33"/>
      <c r="H188" s="3" t="str">
        <f t="shared" si="4"/>
        <v/>
      </c>
      <c r="I188" s="3"/>
      <c r="J188" s="4"/>
      <c r="K188" s="3"/>
      <c r="L188" s="4"/>
      <c r="M188" s="77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35"/>
      <c r="R188" s="34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509</v>
      </c>
      <c r="B189" s="4"/>
      <c r="D189" t="str">
        <f>IF($C189="","",IFERROR(LOOKUP(2,1/('03_Warehouse_Movements'!$C$2:$C$500=$A189),'03_Warehouse_Movements'!$E$2:$E$500),$C189))</f>
        <v/>
      </c>
      <c r="E189" t="s">
        <v>219</v>
      </c>
      <c r="G189" s="33"/>
      <c r="H189" s="3" t="str">
        <f t="shared" si="4"/>
        <v/>
      </c>
      <c r="I189" s="3"/>
      <c r="J189" s="4"/>
      <c r="K189" s="3"/>
      <c r="L189" s="4"/>
      <c r="M189" s="77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35"/>
      <c r="R189" s="34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510</v>
      </c>
      <c r="B190" s="4"/>
      <c r="D190" t="str">
        <f>IF($C190="","",IFERROR(LOOKUP(2,1/('03_Warehouse_Movements'!$C$2:$C$500=$A190),'03_Warehouse_Movements'!$E$2:$E$500),$C190))</f>
        <v/>
      </c>
      <c r="E190" t="s">
        <v>219</v>
      </c>
      <c r="G190" s="33"/>
      <c r="H190" s="3" t="str">
        <f t="shared" si="4"/>
        <v/>
      </c>
      <c r="I190" s="3"/>
      <c r="J190" s="4"/>
      <c r="K190" s="3"/>
      <c r="L190" s="4"/>
      <c r="M190" s="77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35"/>
      <c r="R190" s="34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511</v>
      </c>
      <c r="B191" s="4"/>
      <c r="D191" t="str">
        <f>IF($C191="","",IFERROR(LOOKUP(2,1/('03_Warehouse_Movements'!$C$2:$C$500=$A191),'03_Warehouse_Movements'!$E$2:$E$500),$C191))</f>
        <v/>
      </c>
      <c r="E191" t="s">
        <v>219</v>
      </c>
      <c r="G191" s="33"/>
      <c r="H191" s="3" t="str">
        <f t="shared" si="4"/>
        <v/>
      </c>
      <c r="I191" s="3"/>
      <c r="J191" s="4"/>
      <c r="K191" s="3"/>
      <c r="L191" s="4"/>
      <c r="M191" s="77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35"/>
      <c r="R191" s="34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512</v>
      </c>
      <c r="B192" s="4"/>
      <c r="D192" t="str">
        <f>IF($C192="","",IFERROR(LOOKUP(2,1/('03_Warehouse_Movements'!$C$2:$C$500=$A192),'03_Warehouse_Movements'!$E$2:$E$500),$C192))</f>
        <v/>
      </c>
      <c r="E192" t="s">
        <v>219</v>
      </c>
      <c r="G192" s="33"/>
      <c r="H192" s="3" t="str">
        <f t="shared" si="4"/>
        <v/>
      </c>
      <c r="I192" s="3"/>
      <c r="J192" s="4"/>
      <c r="K192" s="3"/>
      <c r="L192" s="4"/>
      <c r="M192" s="77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35"/>
      <c r="R192" s="34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513</v>
      </c>
      <c r="B193" s="4"/>
      <c r="D193" t="str">
        <f>IF($C193="","",IFERROR(LOOKUP(2,1/('03_Warehouse_Movements'!$C$2:$C$500=$A193),'03_Warehouse_Movements'!$E$2:$E$500),$C193))</f>
        <v/>
      </c>
      <c r="E193" t="s">
        <v>219</v>
      </c>
      <c r="G193" s="33"/>
      <c r="H193" s="3" t="str">
        <f t="shared" si="4"/>
        <v/>
      </c>
      <c r="I193" s="3"/>
      <c r="J193" s="4"/>
      <c r="K193" s="3"/>
      <c r="L193" s="4"/>
      <c r="M193" s="77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35"/>
      <c r="R193" s="34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514</v>
      </c>
      <c r="B194" s="4"/>
      <c r="D194" t="str">
        <f>IF($C194="","",IFERROR(LOOKUP(2,1/('03_Warehouse_Movements'!$C$2:$C$500=$A194),'03_Warehouse_Movements'!$E$2:$E$500),$C194))</f>
        <v/>
      </c>
      <c r="E194" t="s">
        <v>219</v>
      </c>
      <c r="G194" s="33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77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35"/>
      <c r="R194" s="34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515</v>
      </c>
      <c r="B195" s="4"/>
      <c r="D195" t="str">
        <f>IF($C195="","",IFERROR(LOOKUP(2,1/('03_Warehouse_Movements'!$C$2:$C$500=$A195),'03_Warehouse_Movements'!$E$2:$E$500),$C195))</f>
        <v/>
      </c>
      <c r="E195" t="s">
        <v>219</v>
      </c>
      <c r="G195" s="33"/>
      <c r="H195" s="3" t="str">
        <f t="shared" si="6"/>
        <v/>
      </c>
      <c r="I195" s="3"/>
      <c r="J195" s="4"/>
      <c r="K195" s="3"/>
      <c r="L195" s="4"/>
      <c r="M195" s="77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35"/>
      <c r="R195" s="34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516</v>
      </c>
      <c r="B196" s="4"/>
      <c r="D196" t="str">
        <f>IF($C196="","",IFERROR(LOOKUP(2,1/('03_Warehouse_Movements'!$C$2:$C$500=$A196),'03_Warehouse_Movements'!$E$2:$E$500),$C196))</f>
        <v/>
      </c>
      <c r="E196" t="s">
        <v>219</v>
      </c>
      <c r="G196" s="33"/>
      <c r="H196" s="3" t="str">
        <f t="shared" si="6"/>
        <v/>
      </c>
      <c r="I196" s="3"/>
      <c r="J196" s="4"/>
      <c r="K196" s="3"/>
      <c r="L196" s="4"/>
      <c r="M196" s="77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35"/>
      <c r="R196" s="34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517</v>
      </c>
      <c r="B197" s="4"/>
      <c r="D197" t="str">
        <f>IF($C197="","",IFERROR(LOOKUP(2,1/('03_Warehouse_Movements'!$C$2:$C$500=$A197),'03_Warehouse_Movements'!$E$2:$E$500),$C197))</f>
        <v/>
      </c>
      <c r="E197" t="s">
        <v>219</v>
      </c>
      <c r="G197" s="33"/>
      <c r="H197" s="3" t="str">
        <f t="shared" si="6"/>
        <v/>
      </c>
      <c r="I197" s="3"/>
      <c r="J197" s="4"/>
      <c r="K197" s="3"/>
      <c r="L197" s="4"/>
      <c r="M197" s="77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35"/>
      <c r="R197" s="34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518</v>
      </c>
      <c r="B198" s="4"/>
      <c r="D198" t="str">
        <f>IF($C198="","",IFERROR(LOOKUP(2,1/('03_Warehouse_Movements'!$C$2:$C$500=$A198),'03_Warehouse_Movements'!$E$2:$E$500),$C198))</f>
        <v/>
      </c>
      <c r="E198" t="s">
        <v>219</v>
      </c>
      <c r="G198" s="33"/>
      <c r="H198" s="3" t="str">
        <f t="shared" si="6"/>
        <v/>
      </c>
      <c r="I198" s="3"/>
      <c r="J198" s="4"/>
      <c r="K198" s="3"/>
      <c r="L198" s="4"/>
      <c r="M198" s="77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35"/>
      <c r="R198" s="34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519</v>
      </c>
      <c r="B199" s="4"/>
      <c r="D199" t="str">
        <f>IF($C199="","",IFERROR(LOOKUP(2,1/('03_Warehouse_Movements'!$C$2:$C$500=$A199),'03_Warehouse_Movements'!$E$2:$E$500),$C199))</f>
        <v/>
      </c>
      <c r="E199" t="s">
        <v>219</v>
      </c>
      <c r="G199" s="33"/>
      <c r="H199" s="3" t="str">
        <f t="shared" si="6"/>
        <v/>
      </c>
      <c r="I199" s="3"/>
      <c r="J199" s="4"/>
      <c r="K199" s="3"/>
      <c r="L199" s="4"/>
      <c r="M199" s="77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35"/>
      <c r="R199" s="34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520</v>
      </c>
      <c r="B200" s="32"/>
      <c r="D200" t="str">
        <f>IF($C200="","",IFERROR(LOOKUP(2,1/('03_Warehouse_Movements'!$C$2:$C$500=$A200),'03_Warehouse_Movements'!$E$2:$E$500),$C200))</f>
        <v/>
      </c>
      <c r="E200" t="s">
        <v>219</v>
      </c>
      <c r="G200" s="35"/>
      <c r="H200" s="34" t="str">
        <f t="shared" si="6"/>
        <v/>
      </c>
      <c r="I200" s="32"/>
      <c r="J200" s="32"/>
      <c r="K200" s="34"/>
      <c r="M200" s="78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35"/>
      <c r="R200" s="34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521</v>
      </c>
      <c r="B201" s="32"/>
      <c r="D201" t="str">
        <f>IF($C201="","",IFERROR(LOOKUP(2,1/('03_Warehouse_Movements'!$C$2:$C$500=$A201),'03_Warehouse_Movements'!$E$2:$E$500),$C201))</f>
        <v/>
      </c>
      <c r="E201" t="s">
        <v>219</v>
      </c>
      <c r="G201" s="35"/>
      <c r="H201" s="34" t="str">
        <f t="shared" si="6"/>
        <v/>
      </c>
      <c r="I201" s="32"/>
      <c r="J201" s="32"/>
      <c r="K201" s="34"/>
      <c r="M201" s="78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35"/>
      <c r="R201" s="34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522</v>
      </c>
      <c r="B202" s="32"/>
      <c r="D202" t="str">
        <f>IF($C202="","",IFERROR(LOOKUP(2,1/('03_Warehouse_Movements'!$C$2:$C$500=$A202),'03_Warehouse_Movements'!$E$2:$E$500),$C202))</f>
        <v/>
      </c>
      <c r="E202" t="s">
        <v>219</v>
      </c>
      <c r="G202" s="35"/>
      <c r="H202" s="34" t="str">
        <f t="shared" si="6"/>
        <v/>
      </c>
      <c r="I202" s="32"/>
      <c r="J202" s="32"/>
      <c r="K202" s="34"/>
      <c r="M202" s="78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35"/>
      <c r="R202" s="34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523</v>
      </c>
      <c r="B203" s="32"/>
      <c r="D203" t="str">
        <f>IF($C203="","",IFERROR(LOOKUP(2,1/('03_Warehouse_Movements'!$C$2:$C$500=$A203),'03_Warehouse_Movements'!$E$2:$E$500),$C203))</f>
        <v/>
      </c>
      <c r="E203" t="s">
        <v>219</v>
      </c>
      <c r="G203" s="35"/>
      <c r="H203" s="34" t="str">
        <f t="shared" si="6"/>
        <v/>
      </c>
      <c r="I203" s="32"/>
      <c r="J203" s="32"/>
      <c r="K203" s="34"/>
      <c r="M203" s="78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35"/>
      <c r="R203" s="34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524</v>
      </c>
      <c r="B204" s="32"/>
      <c r="D204" t="str">
        <f>IF($C204="","",IFERROR(LOOKUP(2,1/('03_Warehouse_Movements'!$C$2:$C$500=$A204),'03_Warehouse_Movements'!$E$2:$E$500),$C204))</f>
        <v/>
      </c>
      <c r="E204" t="s">
        <v>219</v>
      </c>
      <c r="G204" s="35"/>
      <c r="H204" s="34" t="str">
        <f t="shared" si="6"/>
        <v/>
      </c>
      <c r="I204" s="32"/>
      <c r="J204" s="32"/>
      <c r="K204" s="34"/>
      <c r="M204" s="78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35"/>
      <c r="R204" s="34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525</v>
      </c>
      <c r="B205" s="32"/>
      <c r="D205" t="str">
        <f>IF($C205="","",IFERROR(LOOKUP(2,1/('03_Warehouse_Movements'!$C$2:$C$500=$A205),'03_Warehouse_Movements'!$E$2:$E$500),$C205))</f>
        <v/>
      </c>
      <c r="E205" t="s">
        <v>219</v>
      </c>
      <c r="G205" s="35"/>
      <c r="H205" s="34" t="str">
        <f t="shared" si="6"/>
        <v/>
      </c>
      <c r="I205" s="32"/>
      <c r="J205" s="32"/>
      <c r="K205" s="34"/>
      <c r="M205" s="78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35"/>
      <c r="R205" s="34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526</v>
      </c>
      <c r="B206" s="32"/>
      <c r="D206" t="str">
        <f>IF($C206="","",IFERROR(LOOKUP(2,1/('03_Warehouse_Movements'!$C$2:$C$500=$A206),'03_Warehouse_Movements'!$E$2:$E$500),$C206))</f>
        <v/>
      </c>
      <c r="E206" t="s">
        <v>219</v>
      </c>
      <c r="G206" s="35"/>
      <c r="H206" s="34" t="str">
        <f t="shared" si="6"/>
        <v/>
      </c>
      <c r="I206" s="32"/>
      <c r="J206" s="32"/>
      <c r="K206" s="34"/>
      <c r="M206" s="78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35"/>
      <c r="R206" s="34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527</v>
      </c>
      <c r="B207" s="32"/>
      <c r="D207" t="str">
        <f>IF($C207="","",IFERROR(LOOKUP(2,1/('03_Warehouse_Movements'!$C$2:$C$500=$A207),'03_Warehouse_Movements'!$E$2:$E$500),$C207))</f>
        <v/>
      </c>
      <c r="E207" t="s">
        <v>219</v>
      </c>
      <c r="G207" s="35"/>
      <c r="H207" s="34" t="str">
        <f t="shared" si="6"/>
        <v/>
      </c>
      <c r="I207" s="32"/>
      <c r="J207" s="32"/>
      <c r="K207" s="34"/>
      <c r="M207" s="78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35"/>
      <c r="R207" s="34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528</v>
      </c>
      <c r="B208" s="32"/>
      <c r="D208" t="str">
        <f>IF($C208="","",IFERROR(LOOKUP(2,1/('03_Warehouse_Movements'!$C$2:$C$500=$A208),'03_Warehouse_Movements'!$E$2:$E$500),$C208))</f>
        <v/>
      </c>
      <c r="E208" t="s">
        <v>219</v>
      </c>
      <c r="G208" s="35"/>
      <c r="H208" s="34" t="str">
        <f t="shared" si="6"/>
        <v/>
      </c>
      <c r="I208" s="32"/>
      <c r="J208" s="32"/>
      <c r="K208" s="34"/>
      <c r="M208" s="78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35"/>
      <c r="R208" s="34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529</v>
      </c>
      <c r="B209" s="32"/>
      <c r="D209" t="str">
        <f>IF($C209="","",IFERROR(LOOKUP(2,1/('03_Warehouse_Movements'!$C$2:$C$500=$A209),'03_Warehouse_Movements'!$E$2:$E$500),$C209))</f>
        <v/>
      </c>
      <c r="E209" t="s">
        <v>219</v>
      </c>
      <c r="G209" s="35"/>
      <c r="H209" s="34" t="str">
        <f t="shared" si="6"/>
        <v/>
      </c>
      <c r="I209" s="32"/>
      <c r="J209" s="32"/>
      <c r="K209" s="34"/>
      <c r="M209" s="78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35"/>
      <c r="R209" s="34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530</v>
      </c>
      <c r="B210" s="32"/>
      <c r="D210" t="str">
        <f>IF($C210="","",IFERROR(LOOKUP(2,1/('03_Warehouse_Movements'!$C$2:$C$500=$A210),'03_Warehouse_Movements'!$E$2:$E$500),$C210))</f>
        <v/>
      </c>
      <c r="E210" t="s">
        <v>219</v>
      </c>
      <c r="G210" s="35"/>
      <c r="H210" s="34" t="str">
        <f t="shared" si="6"/>
        <v/>
      </c>
      <c r="I210" s="32"/>
      <c r="J210" s="32"/>
      <c r="K210" s="34"/>
      <c r="M210" s="78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35"/>
      <c r="R210" s="34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531</v>
      </c>
      <c r="B211" s="32"/>
      <c r="D211" t="str">
        <f>IF($C211="","",IFERROR(LOOKUP(2,1/('03_Warehouse_Movements'!$C$2:$C$500=$A211),'03_Warehouse_Movements'!$E$2:$E$500),$C211))</f>
        <v/>
      </c>
      <c r="E211" t="s">
        <v>219</v>
      </c>
      <c r="G211" s="35"/>
      <c r="H211" s="34" t="str">
        <f t="shared" si="6"/>
        <v/>
      </c>
      <c r="I211" s="32"/>
      <c r="J211" s="32"/>
      <c r="K211" s="34"/>
      <c r="M211" s="78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35"/>
      <c r="R211" s="34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532</v>
      </c>
      <c r="B212" s="32"/>
      <c r="D212" t="str">
        <f>IF($C212="","",IFERROR(LOOKUP(2,1/('03_Warehouse_Movements'!$C$2:$C$500=$A212),'03_Warehouse_Movements'!$E$2:$E$500),$C212))</f>
        <v/>
      </c>
      <c r="E212" t="s">
        <v>219</v>
      </c>
      <c r="G212" s="35"/>
      <c r="H212" s="34" t="str">
        <f t="shared" si="6"/>
        <v/>
      </c>
      <c r="I212" s="32"/>
      <c r="J212" s="32"/>
      <c r="K212" s="34"/>
      <c r="M212" s="78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35"/>
      <c r="R212" s="34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533</v>
      </c>
      <c r="B213" s="32"/>
      <c r="D213" t="str">
        <f>IF($C213="","",IFERROR(LOOKUP(2,1/('03_Warehouse_Movements'!$C$2:$C$500=$A213),'03_Warehouse_Movements'!$E$2:$E$500),$C213))</f>
        <v/>
      </c>
      <c r="E213" t="s">
        <v>219</v>
      </c>
      <c r="G213" s="35"/>
      <c r="H213" s="34" t="str">
        <f t="shared" si="6"/>
        <v/>
      </c>
      <c r="I213" s="32"/>
      <c r="J213" s="32"/>
      <c r="K213" s="34"/>
      <c r="M213" s="78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35"/>
      <c r="R213" s="34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534</v>
      </c>
      <c r="B214" s="32"/>
      <c r="D214" t="str">
        <f>IF($C214="","",IFERROR(LOOKUP(2,1/('03_Warehouse_Movements'!$C$2:$C$500=$A214),'03_Warehouse_Movements'!$E$2:$E$500),$C214))</f>
        <v/>
      </c>
      <c r="E214" t="s">
        <v>219</v>
      </c>
      <c r="G214" s="35"/>
      <c r="H214" s="34" t="str">
        <f t="shared" si="6"/>
        <v/>
      </c>
      <c r="I214" s="32"/>
      <c r="J214" s="32"/>
      <c r="K214" s="34"/>
      <c r="M214" s="78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35"/>
      <c r="R214" s="34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535</v>
      </c>
      <c r="B215" s="32"/>
      <c r="D215" t="str">
        <f>IF($C215="","",IFERROR(LOOKUP(2,1/('03_Warehouse_Movements'!$C$2:$C$500=$A215),'03_Warehouse_Movements'!$E$2:$E$500),$C215))</f>
        <v/>
      </c>
      <c r="E215" t="s">
        <v>219</v>
      </c>
      <c r="G215" s="35"/>
      <c r="H215" s="34" t="str">
        <f t="shared" si="6"/>
        <v/>
      </c>
      <c r="I215" s="32"/>
      <c r="J215" s="32"/>
      <c r="K215" s="34"/>
      <c r="M215" s="78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35"/>
      <c r="R215" s="34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536</v>
      </c>
      <c r="B216" s="32"/>
      <c r="D216" t="str">
        <f>IF($C216="","",IFERROR(LOOKUP(2,1/('03_Warehouse_Movements'!$C$2:$C$500=$A216),'03_Warehouse_Movements'!$E$2:$E$500),$C216))</f>
        <v/>
      </c>
      <c r="E216" t="s">
        <v>219</v>
      </c>
      <c r="G216" s="35"/>
      <c r="H216" s="34" t="str">
        <f t="shared" si="6"/>
        <v/>
      </c>
      <c r="I216" s="32"/>
      <c r="J216" s="32"/>
      <c r="K216" s="34"/>
      <c r="M216" s="78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35"/>
      <c r="R216" s="34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537</v>
      </c>
      <c r="B217" s="32"/>
      <c r="D217" t="str">
        <f>IF($C217="","",IFERROR(LOOKUP(2,1/('03_Warehouse_Movements'!$C$2:$C$500=$A217),'03_Warehouse_Movements'!$E$2:$E$500),$C217))</f>
        <v/>
      </c>
      <c r="E217" t="s">
        <v>219</v>
      </c>
      <c r="G217" s="35"/>
      <c r="H217" s="34" t="str">
        <f t="shared" si="6"/>
        <v/>
      </c>
      <c r="I217" s="32"/>
      <c r="J217" s="32"/>
      <c r="K217" s="34"/>
      <c r="M217" s="78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35"/>
      <c r="R217" s="34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538</v>
      </c>
      <c r="B218" s="32"/>
      <c r="D218" t="str">
        <f>IF($C218="","",IFERROR(LOOKUP(2,1/('03_Warehouse_Movements'!$C$2:$C$500=$A218),'03_Warehouse_Movements'!$E$2:$E$500),$C218))</f>
        <v/>
      </c>
      <c r="E218" t="s">
        <v>219</v>
      </c>
      <c r="G218" s="35"/>
      <c r="H218" s="34" t="str">
        <f t="shared" si="6"/>
        <v/>
      </c>
      <c r="I218" s="32"/>
      <c r="J218" s="32"/>
      <c r="K218" s="34"/>
      <c r="M218" s="78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35"/>
      <c r="R218" s="34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539</v>
      </c>
      <c r="B219" s="32"/>
      <c r="D219" t="str">
        <f>IF($C219="","",IFERROR(LOOKUP(2,1/('03_Warehouse_Movements'!$C$2:$C$500=$A219),'03_Warehouse_Movements'!$E$2:$E$500),$C219))</f>
        <v/>
      </c>
      <c r="E219" t="s">
        <v>219</v>
      </c>
      <c r="G219" s="35"/>
      <c r="H219" s="34" t="str">
        <f t="shared" si="6"/>
        <v/>
      </c>
      <c r="I219" s="32"/>
      <c r="J219" s="32"/>
      <c r="K219" s="34"/>
      <c r="M219" s="78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35"/>
      <c r="R219" s="34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540</v>
      </c>
      <c r="B220" s="32"/>
      <c r="D220" t="str">
        <f>IF($C220="","",IFERROR(LOOKUP(2,1/('03_Warehouse_Movements'!$C$2:$C$500=$A220),'03_Warehouse_Movements'!$E$2:$E$500),$C220))</f>
        <v/>
      </c>
      <c r="E220" t="s">
        <v>219</v>
      </c>
      <c r="G220" s="35"/>
      <c r="H220" s="34" t="str">
        <f t="shared" si="6"/>
        <v/>
      </c>
      <c r="I220" s="32"/>
      <c r="J220" s="32"/>
      <c r="K220" s="34"/>
      <c r="M220" s="78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35"/>
      <c r="R220" s="34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541</v>
      </c>
      <c r="B221" s="32"/>
      <c r="D221" t="str">
        <f>IF($C221="","",IFERROR(LOOKUP(2,1/('03_Warehouse_Movements'!$C$2:$C$500=$A221),'03_Warehouse_Movements'!$E$2:$E$500),$C221))</f>
        <v/>
      </c>
      <c r="E221" t="s">
        <v>219</v>
      </c>
      <c r="G221" s="35"/>
      <c r="H221" s="34" t="str">
        <f t="shared" si="6"/>
        <v/>
      </c>
      <c r="I221" s="32"/>
      <c r="J221" s="32"/>
      <c r="K221" s="34"/>
      <c r="M221" s="78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35"/>
      <c r="R221" s="34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542</v>
      </c>
      <c r="B222" s="32"/>
      <c r="D222" t="str">
        <f>IF($C222="","",IFERROR(LOOKUP(2,1/('03_Warehouse_Movements'!$C$2:$C$500=$A222),'03_Warehouse_Movements'!$E$2:$E$500),$C222))</f>
        <v/>
      </c>
      <c r="E222" t="s">
        <v>219</v>
      </c>
      <c r="G222" s="35"/>
      <c r="H222" s="34" t="str">
        <f t="shared" si="6"/>
        <v/>
      </c>
      <c r="I222" s="32"/>
      <c r="J222" s="32"/>
      <c r="K222" s="34"/>
      <c r="M222" s="78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35"/>
      <c r="R222" s="34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543</v>
      </c>
      <c r="B223" s="32"/>
      <c r="D223" t="str">
        <f>IF($C223="","",IFERROR(LOOKUP(2,1/('03_Warehouse_Movements'!$C$2:$C$500=$A223),'03_Warehouse_Movements'!$E$2:$E$500),$C223))</f>
        <v/>
      </c>
      <c r="E223" t="s">
        <v>219</v>
      </c>
      <c r="G223" s="35"/>
      <c r="H223" s="34" t="str">
        <f t="shared" si="6"/>
        <v/>
      </c>
      <c r="I223" s="32"/>
      <c r="J223" s="32"/>
      <c r="K223" s="34"/>
      <c r="M223" s="78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35"/>
      <c r="R223" s="34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544</v>
      </c>
      <c r="B224" s="32"/>
      <c r="D224" t="str">
        <f>IF($C224="","",IFERROR(LOOKUP(2,1/('03_Warehouse_Movements'!$C$2:$C$500=$A224),'03_Warehouse_Movements'!$E$2:$E$500),$C224))</f>
        <v/>
      </c>
      <c r="E224" t="s">
        <v>219</v>
      </c>
      <c r="G224" s="35"/>
      <c r="H224" s="34" t="str">
        <f t="shared" si="6"/>
        <v/>
      </c>
      <c r="I224" s="32"/>
      <c r="J224" s="32"/>
      <c r="K224" s="34"/>
      <c r="M224" s="78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35"/>
      <c r="R224" s="34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545</v>
      </c>
      <c r="B225" s="32"/>
      <c r="D225" t="str">
        <f>IF($C225="","",IFERROR(LOOKUP(2,1/('03_Warehouse_Movements'!$C$2:$C$500=$A225),'03_Warehouse_Movements'!$E$2:$E$500),$C225))</f>
        <v/>
      </c>
      <c r="E225" t="s">
        <v>219</v>
      </c>
      <c r="G225" s="35"/>
      <c r="H225" s="34" t="str">
        <f t="shared" si="6"/>
        <v/>
      </c>
      <c r="I225" s="32"/>
      <c r="J225" s="32"/>
      <c r="K225" s="34"/>
      <c r="M225" s="78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35"/>
      <c r="R225" s="34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546</v>
      </c>
      <c r="B226" s="32"/>
      <c r="D226" t="str">
        <f>IF($C226="","",IFERROR(LOOKUP(2,1/('03_Warehouse_Movements'!$C$2:$C$500=$A226),'03_Warehouse_Movements'!$E$2:$E$500),$C226))</f>
        <v/>
      </c>
      <c r="E226" t="s">
        <v>219</v>
      </c>
      <c r="G226" s="35"/>
      <c r="H226" s="34" t="str">
        <f t="shared" si="6"/>
        <v/>
      </c>
      <c r="I226" s="32"/>
      <c r="J226" s="32"/>
      <c r="K226" s="34"/>
      <c r="M226" s="78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35"/>
      <c r="R226" s="34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547</v>
      </c>
      <c r="B227" s="32"/>
      <c r="D227" t="str">
        <f>IF($C227="","",IFERROR(LOOKUP(2,1/('03_Warehouse_Movements'!$C$2:$C$500=$A227),'03_Warehouse_Movements'!$E$2:$E$500),$C227))</f>
        <v/>
      </c>
      <c r="E227" t="s">
        <v>219</v>
      </c>
      <c r="G227" s="35"/>
      <c r="H227" s="34" t="str">
        <f t="shared" si="6"/>
        <v/>
      </c>
      <c r="I227" s="32"/>
      <c r="J227" s="32"/>
      <c r="K227" s="34"/>
      <c r="M227" s="78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35"/>
      <c r="R227" s="34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548</v>
      </c>
      <c r="B228" s="32"/>
      <c r="D228" t="str">
        <f>IF($C228="","",IFERROR(LOOKUP(2,1/('03_Warehouse_Movements'!$C$2:$C$500=$A228),'03_Warehouse_Movements'!$E$2:$E$500),$C228))</f>
        <v/>
      </c>
      <c r="E228" t="s">
        <v>219</v>
      </c>
      <c r="G228" s="35"/>
      <c r="H228" s="34" t="str">
        <f t="shared" si="6"/>
        <v/>
      </c>
      <c r="I228" s="32"/>
      <c r="J228" s="32"/>
      <c r="K228" s="34"/>
      <c r="M228" s="78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35"/>
      <c r="R228" s="34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549</v>
      </c>
      <c r="B229" s="32"/>
      <c r="D229" t="str">
        <f>IF($C229="","",IFERROR(LOOKUP(2,1/('03_Warehouse_Movements'!$C$2:$C$500=$A229),'03_Warehouse_Movements'!$E$2:$E$500),$C229))</f>
        <v/>
      </c>
      <c r="E229" t="s">
        <v>219</v>
      </c>
      <c r="G229" s="35"/>
      <c r="H229" s="34" t="str">
        <f t="shared" si="6"/>
        <v/>
      </c>
      <c r="I229" s="32"/>
      <c r="J229" s="32"/>
      <c r="K229" s="34"/>
      <c r="M229" s="78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35"/>
      <c r="R229" s="34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550</v>
      </c>
      <c r="B230" s="32"/>
      <c r="D230" t="str">
        <f>IF($C230="","",IFERROR(LOOKUP(2,1/('03_Warehouse_Movements'!$C$2:$C$500=$A230),'03_Warehouse_Movements'!$E$2:$E$500),$C230))</f>
        <v/>
      </c>
      <c r="E230" t="s">
        <v>219</v>
      </c>
      <c r="G230" s="35"/>
      <c r="H230" s="34" t="str">
        <f t="shared" si="6"/>
        <v/>
      </c>
      <c r="I230" s="32"/>
      <c r="J230" s="32"/>
      <c r="K230" s="34"/>
      <c r="M230" s="78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35"/>
      <c r="R230" s="34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551</v>
      </c>
      <c r="B231" s="32"/>
      <c r="D231" t="str">
        <f>IF($C231="","",IFERROR(LOOKUP(2,1/('03_Warehouse_Movements'!$C$2:$C$500=$A231),'03_Warehouse_Movements'!$E$2:$E$500),$C231))</f>
        <v/>
      </c>
      <c r="E231" t="s">
        <v>219</v>
      </c>
      <c r="G231" s="35"/>
      <c r="H231" s="34" t="str">
        <f t="shared" si="6"/>
        <v/>
      </c>
      <c r="I231" s="32"/>
      <c r="J231" s="32"/>
      <c r="K231" s="34"/>
      <c r="M231" s="78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35"/>
      <c r="R231" s="34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552</v>
      </c>
      <c r="B232" s="32"/>
      <c r="D232" t="str">
        <f>IF($C232="","",IFERROR(LOOKUP(2,1/('03_Warehouse_Movements'!$C$2:$C$500=$A232),'03_Warehouse_Movements'!$E$2:$E$500),$C232))</f>
        <v/>
      </c>
      <c r="E232" t="s">
        <v>219</v>
      </c>
      <c r="G232" s="35"/>
      <c r="H232" s="34" t="str">
        <f t="shared" si="6"/>
        <v/>
      </c>
      <c r="I232" s="32"/>
      <c r="J232" s="32"/>
      <c r="K232" s="34"/>
      <c r="M232" s="78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35"/>
      <c r="R232" s="34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553</v>
      </c>
      <c r="B233" s="32"/>
      <c r="D233" t="str">
        <f>IF($C233="","",IFERROR(LOOKUP(2,1/('03_Warehouse_Movements'!$C$2:$C$500=$A233),'03_Warehouse_Movements'!$E$2:$E$500),$C233))</f>
        <v/>
      </c>
      <c r="E233" t="s">
        <v>219</v>
      </c>
      <c r="G233" s="35"/>
      <c r="H233" s="34" t="str">
        <f t="shared" si="6"/>
        <v/>
      </c>
      <c r="I233" s="32"/>
      <c r="J233" s="32"/>
      <c r="K233" s="34"/>
      <c r="M233" s="78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35"/>
      <c r="R233" s="34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554</v>
      </c>
      <c r="B234" s="32"/>
      <c r="D234" t="str">
        <f>IF($C234="","",IFERROR(LOOKUP(2,1/('03_Warehouse_Movements'!$C$2:$C$500=$A234),'03_Warehouse_Movements'!$E$2:$E$500),$C234))</f>
        <v/>
      </c>
      <c r="E234" t="s">
        <v>219</v>
      </c>
      <c r="G234" s="35"/>
      <c r="H234" s="34" t="str">
        <f t="shared" si="6"/>
        <v/>
      </c>
      <c r="I234" s="32"/>
      <c r="J234" s="32"/>
      <c r="K234" s="34"/>
      <c r="M234" s="78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35"/>
      <c r="R234" s="34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555</v>
      </c>
      <c r="B235" s="32"/>
      <c r="D235" t="str">
        <f>IF($C235="","",IFERROR(LOOKUP(2,1/('03_Warehouse_Movements'!$C$2:$C$500=$A235),'03_Warehouse_Movements'!$E$2:$E$500),$C235))</f>
        <v/>
      </c>
      <c r="E235" t="s">
        <v>219</v>
      </c>
      <c r="G235" s="35"/>
      <c r="H235" s="34" t="str">
        <f t="shared" si="6"/>
        <v/>
      </c>
      <c r="I235" s="32"/>
      <c r="J235" s="32"/>
      <c r="K235" s="34"/>
      <c r="M235" s="78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35"/>
      <c r="R235" s="34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556</v>
      </c>
      <c r="B236" s="32"/>
      <c r="D236" t="str">
        <f>IF($C236="","",IFERROR(LOOKUP(2,1/('03_Warehouse_Movements'!$C$2:$C$500=$A236),'03_Warehouse_Movements'!$E$2:$E$500),$C236))</f>
        <v/>
      </c>
      <c r="E236" t="s">
        <v>219</v>
      </c>
      <c r="G236" s="35"/>
      <c r="H236" s="34" t="str">
        <f t="shared" si="6"/>
        <v/>
      </c>
      <c r="I236" s="32"/>
      <c r="J236" s="32"/>
      <c r="K236" s="34"/>
      <c r="M236" s="78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35"/>
      <c r="R236" s="34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557</v>
      </c>
      <c r="B237" s="32"/>
      <c r="D237" t="str">
        <f>IF($C237="","",IFERROR(LOOKUP(2,1/('03_Warehouse_Movements'!$C$2:$C$500=$A237),'03_Warehouse_Movements'!$E$2:$E$500),$C237))</f>
        <v/>
      </c>
      <c r="E237" t="s">
        <v>219</v>
      </c>
      <c r="G237" s="35"/>
      <c r="H237" s="34" t="str">
        <f t="shared" si="6"/>
        <v/>
      </c>
      <c r="I237" s="32"/>
      <c r="J237" s="32"/>
      <c r="K237" s="34"/>
      <c r="M237" s="78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35"/>
      <c r="R237" s="34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558</v>
      </c>
      <c r="B238" s="32"/>
      <c r="D238" t="str">
        <f>IF($C238="","",IFERROR(LOOKUP(2,1/('03_Warehouse_Movements'!$C$2:$C$500=$A238),'03_Warehouse_Movements'!$E$2:$E$500),$C238))</f>
        <v/>
      </c>
      <c r="E238" t="s">
        <v>219</v>
      </c>
      <c r="G238" s="35"/>
      <c r="H238" s="34" t="str">
        <f t="shared" si="6"/>
        <v/>
      </c>
      <c r="I238" s="32"/>
      <c r="J238" s="32"/>
      <c r="K238" s="34"/>
      <c r="M238" s="78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35"/>
      <c r="R238" s="34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559</v>
      </c>
      <c r="B239" s="32"/>
      <c r="D239" t="str">
        <f>IF($C239="","",IFERROR(LOOKUP(2,1/('03_Warehouse_Movements'!$C$2:$C$500=$A239),'03_Warehouse_Movements'!$E$2:$E$500),$C239))</f>
        <v/>
      </c>
      <c r="E239" t="s">
        <v>219</v>
      </c>
      <c r="G239" s="35"/>
      <c r="H239" s="34" t="str">
        <f t="shared" si="6"/>
        <v/>
      </c>
      <c r="I239" s="32"/>
      <c r="J239" s="32"/>
      <c r="K239" s="34"/>
      <c r="M239" s="78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35"/>
      <c r="R239" s="34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560</v>
      </c>
      <c r="B240" s="32"/>
      <c r="D240" t="str">
        <f>IF($C240="","",IFERROR(LOOKUP(2,1/('03_Warehouse_Movements'!$C$2:$C$500=$A240),'03_Warehouse_Movements'!$E$2:$E$500),$C240))</f>
        <v/>
      </c>
      <c r="E240" t="s">
        <v>219</v>
      </c>
      <c r="G240" s="35"/>
      <c r="H240" s="34" t="str">
        <f t="shared" si="6"/>
        <v/>
      </c>
      <c r="I240" s="32"/>
      <c r="J240" s="32"/>
      <c r="K240" s="34"/>
      <c r="M240" s="78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35"/>
      <c r="R240" s="34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561</v>
      </c>
      <c r="B241" s="32"/>
      <c r="D241" t="str">
        <f>IF($C241="","",IFERROR(LOOKUP(2,1/('03_Warehouse_Movements'!$C$2:$C$500=$A241),'03_Warehouse_Movements'!$E$2:$E$500),$C241))</f>
        <v/>
      </c>
      <c r="E241" t="s">
        <v>219</v>
      </c>
      <c r="G241" s="35"/>
      <c r="H241" s="34" t="str">
        <f t="shared" si="6"/>
        <v/>
      </c>
      <c r="I241" s="32"/>
      <c r="J241" s="32"/>
      <c r="K241" s="34"/>
      <c r="M241" s="78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35"/>
      <c r="R241" s="34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562</v>
      </c>
      <c r="B242" s="32"/>
      <c r="D242" t="str">
        <f>IF($C242="","",IFERROR(LOOKUP(2,1/('03_Warehouse_Movements'!$C$2:$C$500=$A242),'03_Warehouse_Movements'!$E$2:$E$500),$C242))</f>
        <v/>
      </c>
      <c r="E242" t="s">
        <v>219</v>
      </c>
      <c r="G242" s="35"/>
      <c r="H242" s="34" t="str">
        <f t="shared" si="6"/>
        <v/>
      </c>
      <c r="I242" s="32"/>
      <c r="J242" s="32"/>
      <c r="K242" s="34"/>
      <c r="M242" s="78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35"/>
      <c r="R242" s="34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563</v>
      </c>
      <c r="B243" s="32"/>
      <c r="D243" t="str">
        <f>IF($C243="","",IFERROR(LOOKUP(2,1/('03_Warehouse_Movements'!$C$2:$C$500=$A243),'03_Warehouse_Movements'!$E$2:$E$500),$C243))</f>
        <v/>
      </c>
      <c r="E243" t="s">
        <v>219</v>
      </c>
      <c r="G243" s="35"/>
      <c r="H243" s="34" t="str">
        <f t="shared" si="6"/>
        <v/>
      </c>
      <c r="I243" s="32"/>
      <c r="J243" s="32"/>
      <c r="K243" s="34"/>
      <c r="M243" s="78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35"/>
      <c r="R243" s="34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564</v>
      </c>
      <c r="B244" s="32"/>
      <c r="D244" t="str">
        <f>IF($C244="","",IFERROR(LOOKUP(2,1/('03_Warehouse_Movements'!$C$2:$C$500=$A244),'03_Warehouse_Movements'!$E$2:$E$500),$C244))</f>
        <v/>
      </c>
      <c r="E244" t="s">
        <v>219</v>
      </c>
      <c r="G244" s="35"/>
      <c r="H244" s="34" t="str">
        <f t="shared" si="6"/>
        <v/>
      </c>
      <c r="I244" s="32"/>
      <c r="J244" s="32"/>
      <c r="K244" s="34"/>
      <c r="M244" s="78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35"/>
      <c r="R244" s="34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565</v>
      </c>
      <c r="B245" s="32"/>
      <c r="D245" t="str">
        <f>IF($C245="","",IFERROR(LOOKUP(2,1/('03_Warehouse_Movements'!$C$2:$C$500=$A245),'03_Warehouse_Movements'!$E$2:$E$500),$C245))</f>
        <v/>
      </c>
      <c r="E245" t="s">
        <v>219</v>
      </c>
      <c r="G245" s="35"/>
      <c r="H245" s="34" t="str">
        <f t="shared" si="6"/>
        <v/>
      </c>
      <c r="I245" s="32"/>
      <c r="J245" s="32"/>
      <c r="K245" s="34"/>
      <c r="M245" s="78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35"/>
      <c r="R245" s="34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566</v>
      </c>
      <c r="B246" s="32"/>
      <c r="D246" t="str">
        <f>IF($C246="","",IFERROR(LOOKUP(2,1/('03_Warehouse_Movements'!$C$2:$C$500=$A246),'03_Warehouse_Movements'!$E$2:$E$500),$C246))</f>
        <v/>
      </c>
      <c r="E246" t="s">
        <v>219</v>
      </c>
      <c r="G246" s="35"/>
      <c r="H246" s="34" t="str">
        <f t="shared" si="6"/>
        <v/>
      </c>
      <c r="I246" s="32"/>
      <c r="J246" s="32"/>
      <c r="K246" s="34"/>
      <c r="M246" s="78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35"/>
      <c r="R246" s="34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567</v>
      </c>
      <c r="B247" s="32"/>
      <c r="D247" t="str">
        <f>IF($C247="","",IFERROR(LOOKUP(2,1/('03_Warehouse_Movements'!$C$2:$C$500=$A247),'03_Warehouse_Movements'!$E$2:$E$500),$C247))</f>
        <v/>
      </c>
      <c r="E247" t="s">
        <v>219</v>
      </c>
      <c r="G247" s="35"/>
      <c r="H247" s="34" t="str">
        <f t="shared" si="6"/>
        <v/>
      </c>
      <c r="I247" s="32"/>
      <c r="J247" s="32"/>
      <c r="K247" s="34"/>
      <c r="M247" s="78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35"/>
      <c r="R247" s="34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568</v>
      </c>
      <c r="B248" s="32"/>
      <c r="D248" t="str">
        <f>IF($C248="","",IFERROR(LOOKUP(2,1/('03_Warehouse_Movements'!$C$2:$C$500=$A248),'03_Warehouse_Movements'!$E$2:$E$500),$C248))</f>
        <v/>
      </c>
      <c r="E248" t="s">
        <v>219</v>
      </c>
      <c r="G248" s="35"/>
      <c r="H248" s="34" t="str">
        <f t="shared" si="6"/>
        <v/>
      </c>
      <c r="I248" s="32"/>
      <c r="J248" s="32"/>
      <c r="K248" s="34"/>
      <c r="M248" s="78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35"/>
      <c r="R248" s="34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569</v>
      </c>
      <c r="B249" s="32"/>
      <c r="D249" t="str">
        <f>IF($C249="","",IFERROR(LOOKUP(2,1/('03_Warehouse_Movements'!$C$2:$C$500=$A249),'03_Warehouse_Movements'!$E$2:$E$500),$C249))</f>
        <v/>
      </c>
      <c r="E249" t="s">
        <v>219</v>
      </c>
      <c r="G249" s="35"/>
      <c r="H249" s="34" t="str">
        <f t="shared" si="6"/>
        <v/>
      </c>
      <c r="I249" s="32"/>
      <c r="J249" s="32"/>
      <c r="K249" s="34"/>
      <c r="M249" s="78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35"/>
      <c r="R249" s="34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570</v>
      </c>
      <c r="B250" s="32"/>
      <c r="D250" t="str">
        <f>IF($C250="","",IFERROR(LOOKUP(2,1/('03_Warehouse_Movements'!$C$2:$C$500=$A250),'03_Warehouse_Movements'!$E$2:$E$500),$C250))</f>
        <v/>
      </c>
      <c r="E250" t="s">
        <v>219</v>
      </c>
      <c r="G250" s="35"/>
      <c r="H250" s="34" t="str">
        <f t="shared" si="6"/>
        <v/>
      </c>
      <c r="I250" s="32"/>
      <c r="J250" s="32"/>
      <c r="K250" s="34"/>
      <c r="M250" s="78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35"/>
      <c r="R250" s="34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571</v>
      </c>
      <c r="B251" s="32"/>
      <c r="D251" t="str">
        <f>IF($C251="","",IFERROR(LOOKUP(2,1/('03_Warehouse_Movements'!$C$2:$C$500=$A251),'03_Warehouse_Movements'!$E$2:$E$500),$C251))</f>
        <v/>
      </c>
      <c r="E251" t="s">
        <v>219</v>
      </c>
      <c r="G251" s="35"/>
      <c r="H251" s="34" t="str">
        <f t="shared" si="6"/>
        <v/>
      </c>
      <c r="I251" s="32"/>
      <c r="J251" s="32"/>
      <c r="K251" s="34"/>
      <c r="M251" s="78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35"/>
      <c r="R251" s="34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572</v>
      </c>
      <c r="B252" s="32"/>
      <c r="D252" t="str">
        <f>IF($C252="","",IFERROR(LOOKUP(2,1/('03_Warehouse_Movements'!$C$2:$C$500=$A252),'03_Warehouse_Movements'!$E$2:$E$500),$C252))</f>
        <v/>
      </c>
      <c r="E252" t="s">
        <v>219</v>
      </c>
      <c r="G252" s="35"/>
      <c r="H252" s="34" t="str">
        <f t="shared" si="6"/>
        <v/>
      </c>
      <c r="I252" s="32"/>
      <c r="J252" s="32"/>
      <c r="K252" s="34"/>
      <c r="M252" s="78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35"/>
      <c r="R252" s="34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573</v>
      </c>
      <c r="B253" s="32"/>
      <c r="D253" t="str">
        <f>IF($C253="","",IFERROR(LOOKUP(2,1/('03_Warehouse_Movements'!$C$2:$C$500=$A253),'03_Warehouse_Movements'!$E$2:$E$500),$C253))</f>
        <v/>
      </c>
      <c r="E253" t="s">
        <v>219</v>
      </c>
      <c r="G253" s="35"/>
      <c r="H253" s="34" t="str">
        <f t="shared" si="6"/>
        <v/>
      </c>
      <c r="I253" s="32"/>
      <c r="J253" s="32"/>
      <c r="K253" s="34"/>
      <c r="M253" s="78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35"/>
      <c r="R253" s="34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574</v>
      </c>
      <c r="B254" s="32"/>
      <c r="D254" t="str">
        <f>IF($C254="","",IFERROR(LOOKUP(2,1/('03_Warehouse_Movements'!$C$2:$C$500=$A254),'03_Warehouse_Movements'!$E$2:$E$500),$C254))</f>
        <v/>
      </c>
      <c r="E254" t="s">
        <v>219</v>
      </c>
      <c r="G254" s="35"/>
      <c r="H254" s="34" t="str">
        <f t="shared" si="6"/>
        <v/>
      </c>
      <c r="I254" s="32"/>
      <c r="J254" s="32"/>
      <c r="K254" s="34"/>
      <c r="M254" s="78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35"/>
      <c r="R254" s="34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575</v>
      </c>
      <c r="B255" s="32"/>
      <c r="D255" t="str">
        <f>IF($C255="","",IFERROR(LOOKUP(2,1/('03_Warehouse_Movements'!$C$2:$C$500=$A255),'03_Warehouse_Movements'!$E$2:$E$500),$C255))</f>
        <v/>
      </c>
      <c r="E255" t="s">
        <v>219</v>
      </c>
      <c r="G255" s="35"/>
      <c r="H255" s="34" t="str">
        <f t="shared" si="6"/>
        <v/>
      </c>
      <c r="I255" s="32"/>
      <c r="J255" s="32"/>
      <c r="K255" s="34"/>
      <c r="M255" s="78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35"/>
      <c r="R255" s="34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576</v>
      </c>
      <c r="B256" s="32"/>
      <c r="D256" t="str">
        <f>IF($C256="","",IFERROR(LOOKUP(2,1/('03_Warehouse_Movements'!$C$2:$C$500=$A256),'03_Warehouse_Movements'!$E$2:$E$500),$C256))</f>
        <v/>
      </c>
      <c r="E256" t="s">
        <v>219</v>
      </c>
      <c r="G256" s="35"/>
      <c r="H256" s="34" t="str">
        <f t="shared" si="6"/>
        <v/>
      </c>
      <c r="I256" s="32"/>
      <c r="J256" s="32"/>
      <c r="K256" s="34"/>
      <c r="M256" s="78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35"/>
      <c r="R256" s="34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577</v>
      </c>
      <c r="B257" s="32"/>
      <c r="D257" t="str">
        <f>IF($C257="","",IFERROR(LOOKUP(2,1/('03_Warehouse_Movements'!$C$2:$C$500=$A257),'03_Warehouse_Movements'!$E$2:$E$500),$C257))</f>
        <v/>
      </c>
      <c r="E257" t="s">
        <v>219</v>
      </c>
      <c r="G257" s="35"/>
      <c r="H257" s="34" t="str">
        <f t="shared" si="6"/>
        <v/>
      </c>
      <c r="I257" s="32"/>
      <c r="J257" s="32"/>
      <c r="K257" s="34"/>
      <c r="M257" s="78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35"/>
      <c r="R257" s="34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578</v>
      </c>
      <c r="B258" s="32"/>
      <c r="D258" t="str">
        <f>IF($C258="","",IFERROR(LOOKUP(2,1/('03_Warehouse_Movements'!$C$2:$C$500=$A258),'03_Warehouse_Movements'!$E$2:$E$500),$C258))</f>
        <v/>
      </c>
      <c r="E258" t="s">
        <v>219</v>
      </c>
      <c r="G258" s="35"/>
      <c r="H258" s="34" t="str">
        <f t="shared" ref="H258:H321" si="8">IF(AND($F258="TEMP",$G258&gt;0,$M258&lt;&gt;""),$M258+$G258,"")</f>
        <v/>
      </c>
      <c r="I258" s="32"/>
      <c r="J258" s="32"/>
      <c r="K258" s="34"/>
      <c r="M258" s="78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35"/>
      <c r="R258" s="34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579</v>
      </c>
      <c r="B259" s="32"/>
      <c r="D259" t="str">
        <f>IF($C259="","",IFERROR(LOOKUP(2,1/('03_Warehouse_Movements'!$C$2:$C$500=$A259),'03_Warehouse_Movements'!$E$2:$E$500),$C259))</f>
        <v/>
      </c>
      <c r="E259" t="s">
        <v>219</v>
      </c>
      <c r="G259" s="35"/>
      <c r="H259" s="34" t="str">
        <f t="shared" si="8"/>
        <v/>
      </c>
      <c r="I259" s="32"/>
      <c r="J259" s="32"/>
      <c r="K259" s="34"/>
      <c r="M259" s="78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35"/>
      <c r="R259" s="34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580</v>
      </c>
      <c r="B260" s="32"/>
      <c r="D260" t="str">
        <f>IF($C260="","",IFERROR(LOOKUP(2,1/('03_Warehouse_Movements'!$C$2:$C$500=$A260),'03_Warehouse_Movements'!$E$2:$E$500),$C260))</f>
        <v/>
      </c>
      <c r="E260" t="s">
        <v>219</v>
      </c>
      <c r="G260" s="35"/>
      <c r="H260" s="34" t="str">
        <f t="shared" si="8"/>
        <v/>
      </c>
      <c r="I260" s="32"/>
      <c r="J260" s="32"/>
      <c r="K260" s="34"/>
      <c r="M260" s="78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35"/>
      <c r="R260" s="34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581</v>
      </c>
      <c r="B261" s="32"/>
      <c r="D261" t="str">
        <f>IF($C261="","",IFERROR(LOOKUP(2,1/('03_Warehouse_Movements'!$C$2:$C$500=$A261),'03_Warehouse_Movements'!$E$2:$E$500),$C261))</f>
        <v/>
      </c>
      <c r="E261" t="s">
        <v>219</v>
      </c>
      <c r="G261" s="35"/>
      <c r="H261" s="34" t="str">
        <f t="shared" si="8"/>
        <v/>
      </c>
      <c r="I261" s="32"/>
      <c r="J261" s="32"/>
      <c r="K261" s="34"/>
      <c r="M261" s="78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35"/>
      <c r="R261" s="34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582</v>
      </c>
      <c r="B262" s="32"/>
      <c r="D262" t="str">
        <f>IF($C262="","",IFERROR(LOOKUP(2,1/('03_Warehouse_Movements'!$C$2:$C$500=$A262),'03_Warehouse_Movements'!$E$2:$E$500),$C262))</f>
        <v/>
      </c>
      <c r="E262" t="s">
        <v>219</v>
      </c>
      <c r="G262" s="35"/>
      <c r="H262" s="34" t="str">
        <f t="shared" si="8"/>
        <v/>
      </c>
      <c r="I262" s="32"/>
      <c r="J262" s="32"/>
      <c r="K262" s="34"/>
      <c r="M262" s="78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35"/>
      <c r="R262" s="34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583</v>
      </c>
      <c r="B263" s="32"/>
      <c r="D263" t="str">
        <f>IF($C263="","",IFERROR(LOOKUP(2,1/('03_Warehouse_Movements'!$C$2:$C$500=$A263),'03_Warehouse_Movements'!$E$2:$E$500),$C263))</f>
        <v/>
      </c>
      <c r="E263" t="s">
        <v>219</v>
      </c>
      <c r="G263" s="35"/>
      <c r="H263" s="34" t="str">
        <f t="shared" si="8"/>
        <v/>
      </c>
      <c r="I263" s="32"/>
      <c r="J263" s="32"/>
      <c r="K263" s="34"/>
      <c r="M263" s="78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35"/>
      <c r="R263" s="34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584</v>
      </c>
      <c r="B264" s="32"/>
      <c r="D264" t="str">
        <f>IF($C264="","",IFERROR(LOOKUP(2,1/('03_Warehouse_Movements'!$C$2:$C$500=$A264),'03_Warehouse_Movements'!$E$2:$E$500),$C264))</f>
        <v/>
      </c>
      <c r="E264" t="s">
        <v>219</v>
      </c>
      <c r="G264" s="35"/>
      <c r="H264" s="34" t="str">
        <f t="shared" si="8"/>
        <v/>
      </c>
      <c r="I264" s="32"/>
      <c r="J264" s="32"/>
      <c r="K264" s="34"/>
      <c r="M264" s="78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35"/>
      <c r="R264" s="34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585</v>
      </c>
      <c r="B265" s="32"/>
      <c r="D265" t="str">
        <f>IF($C265="","",IFERROR(LOOKUP(2,1/('03_Warehouse_Movements'!$C$2:$C$500=$A265),'03_Warehouse_Movements'!$E$2:$E$500),$C265))</f>
        <v/>
      </c>
      <c r="E265" t="s">
        <v>219</v>
      </c>
      <c r="G265" s="35"/>
      <c r="H265" s="34" t="str">
        <f t="shared" si="8"/>
        <v/>
      </c>
      <c r="I265" s="32"/>
      <c r="J265" s="32"/>
      <c r="K265" s="34"/>
      <c r="M265" s="78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35"/>
      <c r="R265" s="34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586</v>
      </c>
      <c r="B266" s="32"/>
      <c r="D266" t="str">
        <f>IF($C266="","",IFERROR(LOOKUP(2,1/('03_Warehouse_Movements'!$C$2:$C$500=$A266),'03_Warehouse_Movements'!$E$2:$E$500),$C266))</f>
        <v/>
      </c>
      <c r="E266" t="s">
        <v>219</v>
      </c>
      <c r="G266" s="35"/>
      <c r="H266" s="34" t="str">
        <f t="shared" si="8"/>
        <v/>
      </c>
      <c r="I266" s="32"/>
      <c r="J266" s="32"/>
      <c r="K266" s="34"/>
      <c r="M266" s="78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35"/>
      <c r="R266" s="34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587</v>
      </c>
      <c r="B267" s="32"/>
      <c r="D267" t="str">
        <f>IF($C267="","",IFERROR(LOOKUP(2,1/('03_Warehouse_Movements'!$C$2:$C$500=$A267),'03_Warehouse_Movements'!$E$2:$E$500),$C267))</f>
        <v/>
      </c>
      <c r="E267" t="s">
        <v>219</v>
      </c>
      <c r="G267" s="35"/>
      <c r="H267" s="34" t="str">
        <f t="shared" si="8"/>
        <v/>
      </c>
      <c r="I267" s="32"/>
      <c r="J267" s="32"/>
      <c r="K267" s="34"/>
      <c r="M267" s="78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35"/>
      <c r="R267" s="34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588</v>
      </c>
      <c r="B268" s="32"/>
      <c r="D268" t="str">
        <f>IF($C268="","",IFERROR(LOOKUP(2,1/('03_Warehouse_Movements'!$C$2:$C$500=$A268),'03_Warehouse_Movements'!$E$2:$E$500),$C268))</f>
        <v/>
      </c>
      <c r="E268" t="s">
        <v>219</v>
      </c>
      <c r="G268" s="35"/>
      <c r="H268" s="34" t="str">
        <f t="shared" si="8"/>
        <v/>
      </c>
      <c r="I268" s="32"/>
      <c r="J268" s="32"/>
      <c r="K268" s="34"/>
      <c r="M268" s="78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35"/>
      <c r="R268" s="34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589</v>
      </c>
      <c r="B269" s="32"/>
      <c r="D269" t="str">
        <f>IF($C269="","",IFERROR(LOOKUP(2,1/('03_Warehouse_Movements'!$C$2:$C$500=$A269),'03_Warehouse_Movements'!$E$2:$E$500),$C269))</f>
        <v/>
      </c>
      <c r="E269" t="s">
        <v>219</v>
      </c>
      <c r="G269" s="35"/>
      <c r="H269" s="34" t="str">
        <f t="shared" si="8"/>
        <v/>
      </c>
      <c r="I269" s="32"/>
      <c r="J269" s="32"/>
      <c r="K269" s="34"/>
      <c r="M269" s="78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35"/>
      <c r="R269" s="34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590</v>
      </c>
      <c r="B270" s="32"/>
      <c r="D270" t="str">
        <f>IF($C270="","",IFERROR(LOOKUP(2,1/('03_Warehouse_Movements'!$C$2:$C$500=$A270),'03_Warehouse_Movements'!$E$2:$E$500),$C270))</f>
        <v/>
      </c>
      <c r="E270" t="s">
        <v>219</v>
      </c>
      <c r="G270" s="35"/>
      <c r="H270" s="34" t="str">
        <f t="shared" si="8"/>
        <v/>
      </c>
      <c r="I270" s="32"/>
      <c r="J270" s="32"/>
      <c r="K270" s="34"/>
      <c r="M270" s="78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35"/>
      <c r="R270" s="34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591</v>
      </c>
      <c r="B271" s="32"/>
      <c r="D271" t="str">
        <f>IF($C271="","",IFERROR(LOOKUP(2,1/('03_Warehouse_Movements'!$C$2:$C$500=$A271),'03_Warehouse_Movements'!$E$2:$E$500),$C271))</f>
        <v/>
      </c>
      <c r="E271" t="s">
        <v>219</v>
      </c>
      <c r="G271" s="35"/>
      <c r="H271" s="34" t="str">
        <f t="shared" si="8"/>
        <v/>
      </c>
      <c r="I271" s="32"/>
      <c r="J271" s="32"/>
      <c r="K271" s="34"/>
      <c r="M271" s="78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35"/>
      <c r="R271" s="34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592</v>
      </c>
      <c r="B272" s="32"/>
      <c r="D272" t="str">
        <f>IF($C272="","",IFERROR(LOOKUP(2,1/('03_Warehouse_Movements'!$C$2:$C$500=$A272),'03_Warehouse_Movements'!$E$2:$E$500),$C272))</f>
        <v/>
      </c>
      <c r="E272" t="s">
        <v>219</v>
      </c>
      <c r="G272" s="35"/>
      <c r="H272" s="34" t="str">
        <f t="shared" si="8"/>
        <v/>
      </c>
      <c r="I272" s="32"/>
      <c r="J272" s="32"/>
      <c r="K272" s="34"/>
      <c r="M272" s="78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35"/>
      <c r="R272" s="34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593</v>
      </c>
      <c r="B273" s="32"/>
      <c r="D273" t="str">
        <f>IF($C273="","",IFERROR(LOOKUP(2,1/('03_Warehouse_Movements'!$C$2:$C$500=$A273),'03_Warehouse_Movements'!$E$2:$E$500),$C273))</f>
        <v/>
      </c>
      <c r="E273" t="s">
        <v>219</v>
      </c>
      <c r="G273" s="35"/>
      <c r="H273" s="34" t="str">
        <f t="shared" si="8"/>
        <v/>
      </c>
      <c r="I273" s="32"/>
      <c r="J273" s="32"/>
      <c r="K273" s="34"/>
      <c r="M273" s="78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35"/>
      <c r="R273" s="34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594</v>
      </c>
      <c r="B274" s="32"/>
      <c r="D274" t="str">
        <f>IF($C274="","",IFERROR(LOOKUP(2,1/('03_Warehouse_Movements'!$C$2:$C$500=$A274),'03_Warehouse_Movements'!$E$2:$E$500),$C274))</f>
        <v/>
      </c>
      <c r="E274" t="s">
        <v>219</v>
      </c>
      <c r="G274" s="35"/>
      <c r="H274" s="34" t="str">
        <f t="shared" si="8"/>
        <v/>
      </c>
      <c r="I274" s="32"/>
      <c r="J274" s="32"/>
      <c r="K274" s="34"/>
      <c r="M274" s="78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35"/>
      <c r="R274" s="34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595</v>
      </c>
      <c r="B275" s="32"/>
      <c r="D275" t="str">
        <f>IF($C275="","",IFERROR(LOOKUP(2,1/('03_Warehouse_Movements'!$C$2:$C$500=$A275),'03_Warehouse_Movements'!$E$2:$E$500),$C275))</f>
        <v/>
      </c>
      <c r="E275" t="s">
        <v>219</v>
      </c>
      <c r="G275" s="35"/>
      <c r="H275" s="34" t="str">
        <f t="shared" si="8"/>
        <v/>
      </c>
      <c r="I275" s="32"/>
      <c r="J275" s="32"/>
      <c r="K275" s="34"/>
      <c r="M275" s="78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35"/>
      <c r="R275" s="34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596</v>
      </c>
      <c r="B276" s="32"/>
      <c r="D276" t="str">
        <f>IF($C276="","",IFERROR(LOOKUP(2,1/('03_Warehouse_Movements'!$C$2:$C$500=$A276),'03_Warehouse_Movements'!$E$2:$E$500),$C276))</f>
        <v/>
      </c>
      <c r="E276" t="s">
        <v>219</v>
      </c>
      <c r="G276" s="35"/>
      <c r="H276" s="34" t="str">
        <f t="shared" si="8"/>
        <v/>
      </c>
      <c r="I276" s="32"/>
      <c r="J276" s="32"/>
      <c r="K276" s="34"/>
      <c r="M276" s="78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35"/>
      <c r="R276" s="34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597</v>
      </c>
      <c r="B277" s="32"/>
      <c r="D277" t="str">
        <f>IF($C277="","",IFERROR(LOOKUP(2,1/('03_Warehouse_Movements'!$C$2:$C$500=$A277),'03_Warehouse_Movements'!$E$2:$E$500),$C277))</f>
        <v/>
      </c>
      <c r="E277" t="s">
        <v>219</v>
      </c>
      <c r="G277" s="35"/>
      <c r="H277" s="34" t="str">
        <f t="shared" si="8"/>
        <v/>
      </c>
      <c r="I277" s="32"/>
      <c r="J277" s="32"/>
      <c r="K277" s="34"/>
      <c r="M277" s="78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35"/>
      <c r="R277" s="34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598</v>
      </c>
      <c r="B278" s="32"/>
      <c r="D278" t="str">
        <f>IF($C278="","",IFERROR(LOOKUP(2,1/('03_Warehouse_Movements'!$C$2:$C$500=$A278),'03_Warehouse_Movements'!$E$2:$E$500),$C278))</f>
        <v/>
      </c>
      <c r="E278" t="s">
        <v>219</v>
      </c>
      <c r="G278" s="35"/>
      <c r="H278" s="34" t="str">
        <f t="shared" si="8"/>
        <v/>
      </c>
      <c r="I278" s="32"/>
      <c r="J278" s="32"/>
      <c r="K278" s="34"/>
      <c r="M278" s="78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35"/>
      <c r="R278" s="34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599</v>
      </c>
      <c r="B279" s="32"/>
      <c r="D279" t="str">
        <f>IF($C279="","",IFERROR(LOOKUP(2,1/('03_Warehouse_Movements'!$C$2:$C$500=$A279),'03_Warehouse_Movements'!$E$2:$E$500),$C279))</f>
        <v/>
      </c>
      <c r="E279" t="s">
        <v>219</v>
      </c>
      <c r="G279" s="35"/>
      <c r="H279" s="34" t="str">
        <f t="shared" si="8"/>
        <v/>
      </c>
      <c r="I279" s="32"/>
      <c r="J279" s="32"/>
      <c r="K279" s="34"/>
      <c r="M279" s="78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35"/>
      <c r="R279" s="34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600</v>
      </c>
      <c r="B280" s="32"/>
      <c r="D280" t="str">
        <f>IF($C280="","",IFERROR(LOOKUP(2,1/('03_Warehouse_Movements'!$C$2:$C$500=$A280),'03_Warehouse_Movements'!$E$2:$E$500),$C280))</f>
        <v/>
      </c>
      <c r="E280" t="s">
        <v>219</v>
      </c>
      <c r="G280" s="35"/>
      <c r="H280" s="34" t="str">
        <f t="shared" si="8"/>
        <v/>
      </c>
      <c r="I280" s="32"/>
      <c r="J280" s="32"/>
      <c r="K280" s="34"/>
      <c r="M280" s="78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35"/>
      <c r="R280" s="34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601</v>
      </c>
      <c r="B281" s="32"/>
      <c r="D281" t="str">
        <f>IF($C281="","",IFERROR(LOOKUP(2,1/('03_Warehouse_Movements'!$C$2:$C$500=$A281),'03_Warehouse_Movements'!$E$2:$E$500),$C281))</f>
        <v/>
      </c>
      <c r="E281" t="s">
        <v>219</v>
      </c>
      <c r="G281" s="35"/>
      <c r="H281" s="34" t="str">
        <f t="shared" si="8"/>
        <v/>
      </c>
      <c r="I281" s="32"/>
      <c r="J281" s="32"/>
      <c r="K281" s="34"/>
      <c r="M281" s="78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35"/>
      <c r="R281" s="34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602</v>
      </c>
      <c r="B282" s="32"/>
      <c r="D282" t="str">
        <f>IF($C282="","",IFERROR(LOOKUP(2,1/('03_Warehouse_Movements'!$C$2:$C$500=$A282),'03_Warehouse_Movements'!$E$2:$E$500),$C282))</f>
        <v/>
      </c>
      <c r="E282" t="s">
        <v>219</v>
      </c>
      <c r="G282" s="35"/>
      <c r="H282" s="34" t="str">
        <f t="shared" si="8"/>
        <v/>
      </c>
      <c r="I282" s="32"/>
      <c r="J282" s="32"/>
      <c r="K282" s="34"/>
      <c r="M282" s="78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35"/>
      <c r="R282" s="34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603</v>
      </c>
      <c r="B283" s="32"/>
      <c r="D283" t="str">
        <f>IF($C283="","",IFERROR(LOOKUP(2,1/('03_Warehouse_Movements'!$C$2:$C$500=$A283),'03_Warehouse_Movements'!$E$2:$E$500),$C283))</f>
        <v/>
      </c>
      <c r="E283" t="s">
        <v>219</v>
      </c>
      <c r="G283" s="35"/>
      <c r="H283" s="34" t="str">
        <f t="shared" si="8"/>
        <v/>
      </c>
      <c r="I283" s="32"/>
      <c r="J283" s="32"/>
      <c r="K283" s="34"/>
      <c r="M283" s="78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35"/>
      <c r="R283" s="34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604</v>
      </c>
      <c r="B284" s="32"/>
      <c r="D284" t="str">
        <f>IF($C284="","",IFERROR(LOOKUP(2,1/('03_Warehouse_Movements'!$C$2:$C$500=$A284),'03_Warehouse_Movements'!$E$2:$E$500),$C284))</f>
        <v/>
      </c>
      <c r="E284" t="s">
        <v>219</v>
      </c>
      <c r="G284" s="35"/>
      <c r="H284" s="34" t="str">
        <f t="shared" si="8"/>
        <v/>
      </c>
      <c r="I284" s="32"/>
      <c r="J284" s="32"/>
      <c r="K284" s="34"/>
      <c r="M284" s="78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35"/>
      <c r="R284" s="34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605</v>
      </c>
      <c r="B285" s="32"/>
      <c r="D285" t="str">
        <f>IF($C285="","",IFERROR(LOOKUP(2,1/('03_Warehouse_Movements'!$C$2:$C$500=$A285),'03_Warehouse_Movements'!$E$2:$E$500),$C285))</f>
        <v/>
      </c>
      <c r="E285" t="s">
        <v>219</v>
      </c>
      <c r="G285" s="35"/>
      <c r="H285" s="34" t="str">
        <f t="shared" si="8"/>
        <v/>
      </c>
      <c r="I285" s="32"/>
      <c r="J285" s="32"/>
      <c r="K285" s="34"/>
      <c r="M285" s="78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35"/>
      <c r="R285" s="34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606</v>
      </c>
      <c r="B286" s="32"/>
      <c r="D286" t="str">
        <f>IF($C286="","",IFERROR(LOOKUP(2,1/('03_Warehouse_Movements'!$C$2:$C$500=$A286),'03_Warehouse_Movements'!$E$2:$E$500),$C286))</f>
        <v/>
      </c>
      <c r="E286" t="s">
        <v>219</v>
      </c>
      <c r="G286" s="35"/>
      <c r="H286" s="34" t="str">
        <f t="shared" si="8"/>
        <v/>
      </c>
      <c r="I286" s="32"/>
      <c r="J286" s="32"/>
      <c r="K286" s="34"/>
      <c r="M286" s="78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35"/>
      <c r="R286" s="34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607</v>
      </c>
      <c r="B287" s="32"/>
      <c r="D287" t="str">
        <f>IF($C287="","",IFERROR(LOOKUP(2,1/('03_Warehouse_Movements'!$C$2:$C$500=$A287),'03_Warehouse_Movements'!$E$2:$E$500),$C287))</f>
        <v/>
      </c>
      <c r="E287" t="s">
        <v>219</v>
      </c>
      <c r="G287" s="35"/>
      <c r="H287" s="34" t="str">
        <f t="shared" si="8"/>
        <v/>
      </c>
      <c r="I287" s="32"/>
      <c r="J287" s="32"/>
      <c r="K287" s="34"/>
      <c r="M287" s="78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35"/>
      <c r="R287" s="34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608</v>
      </c>
      <c r="B288" s="32"/>
      <c r="D288" t="str">
        <f>IF($C288="","",IFERROR(LOOKUP(2,1/('03_Warehouse_Movements'!$C$2:$C$500=$A288),'03_Warehouse_Movements'!$E$2:$E$500),$C288))</f>
        <v/>
      </c>
      <c r="E288" t="s">
        <v>219</v>
      </c>
      <c r="G288" s="35"/>
      <c r="H288" s="34" t="str">
        <f t="shared" si="8"/>
        <v/>
      </c>
      <c r="I288" s="32"/>
      <c r="J288" s="32"/>
      <c r="K288" s="34"/>
      <c r="M288" s="78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35"/>
      <c r="R288" s="34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609</v>
      </c>
      <c r="B289" s="32"/>
      <c r="D289" t="str">
        <f>IF($C289="","",IFERROR(LOOKUP(2,1/('03_Warehouse_Movements'!$C$2:$C$500=$A289),'03_Warehouse_Movements'!$E$2:$E$500),$C289))</f>
        <v/>
      </c>
      <c r="E289" t="s">
        <v>219</v>
      </c>
      <c r="G289" s="35"/>
      <c r="H289" s="34" t="str">
        <f t="shared" si="8"/>
        <v/>
      </c>
      <c r="I289" s="32"/>
      <c r="J289" s="32"/>
      <c r="K289" s="34"/>
      <c r="M289" s="78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35"/>
      <c r="R289" s="34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610</v>
      </c>
      <c r="B290" s="32"/>
      <c r="D290" t="str">
        <f>IF($C290="","",IFERROR(LOOKUP(2,1/('03_Warehouse_Movements'!$C$2:$C$500=$A290),'03_Warehouse_Movements'!$E$2:$E$500),$C290))</f>
        <v/>
      </c>
      <c r="E290" t="s">
        <v>219</v>
      </c>
      <c r="G290" s="35"/>
      <c r="H290" s="34" t="str">
        <f t="shared" si="8"/>
        <v/>
      </c>
      <c r="I290" s="32"/>
      <c r="J290" s="32"/>
      <c r="K290" s="34"/>
      <c r="M290" s="78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35"/>
      <c r="R290" s="34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611</v>
      </c>
      <c r="B291" s="32"/>
      <c r="D291" t="str">
        <f>IF($C291="","",IFERROR(LOOKUP(2,1/('03_Warehouse_Movements'!$C$2:$C$500=$A291),'03_Warehouse_Movements'!$E$2:$E$500),$C291))</f>
        <v/>
      </c>
      <c r="E291" t="s">
        <v>219</v>
      </c>
      <c r="G291" s="35"/>
      <c r="H291" s="34" t="str">
        <f t="shared" si="8"/>
        <v/>
      </c>
      <c r="I291" s="32"/>
      <c r="J291" s="32"/>
      <c r="K291" s="34"/>
      <c r="M291" s="78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35"/>
      <c r="R291" s="34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612</v>
      </c>
      <c r="B292" s="32"/>
      <c r="D292" t="str">
        <f>IF($C292="","",IFERROR(LOOKUP(2,1/('03_Warehouse_Movements'!$C$2:$C$500=$A292),'03_Warehouse_Movements'!$E$2:$E$500),$C292))</f>
        <v/>
      </c>
      <c r="E292" t="s">
        <v>219</v>
      </c>
      <c r="G292" s="35"/>
      <c r="H292" s="34" t="str">
        <f t="shared" si="8"/>
        <v/>
      </c>
      <c r="I292" s="32"/>
      <c r="J292" s="32"/>
      <c r="K292" s="34"/>
      <c r="M292" s="78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35"/>
      <c r="R292" s="34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613</v>
      </c>
      <c r="B293" s="32"/>
      <c r="D293" t="str">
        <f>IF($C293="","",IFERROR(LOOKUP(2,1/('03_Warehouse_Movements'!$C$2:$C$500=$A293),'03_Warehouse_Movements'!$E$2:$E$500),$C293))</f>
        <v/>
      </c>
      <c r="E293" t="s">
        <v>219</v>
      </c>
      <c r="G293" s="35"/>
      <c r="H293" s="34" t="str">
        <f t="shared" si="8"/>
        <v/>
      </c>
      <c r="I293" s="32"/>
      <c r="J293" s="32"/>
      <c r="K293" s="34"/>
      <c r="M293" s="78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35"/>
      <c r="R293" s="34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614</v>
      </c>
      <c r="B294" s="32"/>
      <c r="D294" t="str">
        <f>IF($C294="","",IFERROR(LOOKUP(2,1/('03_Warehouse_Movements'!$C$2:$C$500=$A294),'03_Warehouse_Movements'!$E$2:$E$500),$C294))</f>
        <v/>
      </c>
      <c r="E294" t="s">
        <v>219</v>
      </c>
      <c r="G294" s="35"/>
      <c r="H294" s="34" t="str">
        <f t="shared" si="8"/>
        <v/>
      </c>
      <c r="I294" s="32"/>
      <c r="J294" s="32"/>
      <c r="K294" s="34"/>
      <c r="M294" s="78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35"/>
      <c r="R294" s="34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615</v>
      </c>
      <c r="B295" s="32"/>
      <c r="D295" t="str">
        <f>IF($C295="","",IFERROR(LOOKUP(2,1/('03_Warehouse_Movements'!$C$2:$C$500=$A295),'03_Warehouse_Movements'!$E$2:$E$500),$C295))</f>
        <v/>
      </c>
      <c r="E295" t="s">
        <v>219</v>
      </c>
      <c r="G295" s="35"/>
      <c r="H295" s="34" t="str">
        <f t="shared" si="8"/>
        <v/>
      </c>
      <c r="I295" s="32"/>
      <c r="J295" s="32"/>
      <c r="K295" s="34"/>
      <c r="M295" s="78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35"/>
      <c r="R295" s="34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616</v>
      </c>
      <c r="B296" s="32"/>
      <c r="D296" t="str">
        <f>IF($C296="","",IFERROR(LOOKUP(2,1/('03_Warehouse_Movements'!$C$2:$C$500=$A296),'03_Warehouse_Movements'!$E$2:$E$500),$C296))</f>
        <v/>
      </c>
      <c r="E296" t="s">
        <v>219</v>
      </c>
      <c r="G296" s="35"/>
      <c r="H296" s="34" t="str">
        <f t="shared" si="8"/>
        <v/>
      </c>
      <c r="I296" s="32"/>
      <c r="J296" s="32"/>
      <c r="K296" s="34"/>
      <c r="M296" s="78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35"/>
      <c r="R296" s="34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617</v>
      </c>
      <c r="B297" s="32"/>
      <c r="D297" t="str">
        <f>IF($C297="","",IFERROR(LOOKUP(2,1/('03_Warehouse_Movements'!$C$2:$C$500=$A297),'03_Warehouse_Movements'!$E$2:$E$500),$C297))</f>
        <v/>
      </c>
      <c r="E297" t="s">
        <v>219</v>
      </c>
      <c r="G297" s="35"/>
      <c r="H297" s="34" t="str">
        <f t="shared" si="8"/>
        <v/>
      </c>
      <c r="I297" s="32"/>
      <c r="J297" s="32"/>
      <c r="K297" s="34"/>
      <c r="M297" s="78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35"/>
      <c r="R297" s="34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618</v>
      </c>
      <c r="B298" s="32"/>
      <c r="D298" t="str">
        <f>IF($C298="","",IFERROR(LOOKUP(2,1/('03_Warehouse_Movements'!$C$2:$C$500=$A298),'03_Warehouse_Movements'!$E$2:$E$500),$C298))</f>
        <v/>
      </c>
      <c r="E298" t="s">
        <v>219</v>
      </c>
      <c r="G298" s="35"/>
      <c r="H298" s="34" t="str">
        <f t="shared" si="8"/>
        <v/>
      </c>
      <c r="I298" s="32"/>
      <c r="J298" s="32"/>
      <c r="K298" s="34"/>
      <c r="M298" s="78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35"/>
      <c r="R298" s="34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619</v>
      </c>
      <c r="B299" s="32"/>
      <c r="D299" t="str">
        <f>IF($C299="","",IFERROR(LOOKUP(2,1/('03_Warehouse_Movements'!$C$2:$C$500=$A299),'03_Warehouse_Movements'!$E$2:$E$500),$C299))</f>
        <v/>
      </c>
      <c r="E299" t="s">
        <v>219</v>
      </c>
      <c r="G299" s="35"/>
      <c r="H299" s="34" t="str">
        <f t="shared" si="8"/>
        <v/>
      </c>
      <c r="I299" s="32"/>
      <c r="J299" s="32"/>
      <c r="K299" s="34"/>
      <c r="M299" s="78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35"/>
      <c r="R299" s="34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620</v>
      </c>
      <c r="B300" s="32"/>
      <c r="D300" t="str">
        <f>IF($C300="","",IFERROR(LOOKUP(2,1/('03_Warehouse_Movements'!$C$2:$C$500=$A300),'03_Warehouse_Movements'!$E$2:$E$500),$C300))</f>
        <v/>
      </c>
      <c r="E300" t="s">
        <v>219</v>
      </c>
      <c r="G300" s="35"/>
      <c r="H300" s="34" t="str">
        <f t="shared" si="8"/>
        <v/>
      </c>
      <c r="I300" s="32"/>
      <c r="J300" s="32"/>
      <c r="K300" s="34"/>
      <c r="M300" s="78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35"/>
      <c r="R300" s="34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621</v>
      </c>
      <c r="B301" s="32"/>
      <c r="D301" t="str">
        <f>IF($C301="","",IFERROR(LOOKUP(2,1/('03_Warehouse_Movements'!$C$2:$C$500=$A301),'03_Warehouse_Movements'!$E$2:$E$500),$C301))</f>
        <v/>
      </c>
      <c r="E301" t="s">
        <v>219</v>
      </c>
      <c r="G301" s="35"/>
      <c r="H301" s="34" t="str">
        <f t="shared" si="8"/>
        <v/>
      </c>
      <c r="I301" s="32"/>
      <c r="J301" s="32"/>
      <c r="K301" s="34"/>
      <c r="M301" s="78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35"/>
      <c r="R301" s="34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622</v>
      </c>
      <c r="B302" s="32"/>
      <c r="D302" t="str">
        <f>IF($C302="","",IFERROR(LOOKUP(2,1/('03_Warehouse_Movements'!$C$2:$C$500=$A302),'03_Warehouse_Movements'!$E$2:$E$500),$C302))</f>
        <v/>
      </c>
      <c r="E302" t="s">
        <v>219</v>
      </c>
      <c r="G302" s="35"/>
      <c r="H302" s="34" t="str">
        <f t="shared" si="8"/>
        <v/>
      </c>
      <c r="I302" s="32"/>
      <c r="J302" s="32"/>
      <c r="K302" s="34"/>
      <c r="M302" s="78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35"/>
      <c r="R302" s="34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623</v>
      </c>
      <c r="B303" s="32"/>
      <c r="D303" t="str">
        <f>IF($C303="","",IFERROR(LOOKUP(2,1/('03_Warehouse_Movements'!$C$2:$C$500=$A303),'03_Warehouse_Movements'!$E$2:$E$500),$C303))</f>
        <v/>
      </c>
      <c r="E303" t="s">
        <v>219</v>
      </c>
      <c r="G303" s="35"/>
      <c r="H303" s="34" t="str">
        <f t="shared" si="8"/>
        <v/>
      </c>
      <c r="I303" s="32"/>
      <c r="J303" s="32"/>
      <c r="K303" s="34"/>
      <c r="M303" s="78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35"/>
      <c r="R303" s="34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624</v>
      </c>
      <c r="B304" s="32"/>
      <c r="D304" t="str">
        <f>IF($C304="","",IFERROR(LOOKUP(2,1/('03_Warehouse_Movements'!$C$2:$C$500=$A304),'03_Warehouse_Movements'!$E$2:$E$500),$C304))</f>
        <v/>
      </c>
      <c r="E304" t="s">
        <v>219</v>
      </c>
      <c r="G304" s="35"/>
      <c r="H304" s="34" t="str">
        <f t="shared" si="8"/>
        <v/>
      </c>
      <c r="I304" s="32"/>
      <c r="J304" s="32"/>
      <c r="K304" s="34"/>
      <c r="M304" s="78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35"/>
      <c r="R304" s="34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625</v>
      </c>
      <c r="B305" s="32"/>
      <c r="D305" t="str">
        <f>IF($C305="","",IFERROR(LOOKUP(2,1/('03_Warehouse_Movements'!$C$2:$C$500=$A305),'03_Warehouse_Movements'!$E$2:$E$500),$C305))</f>
        <v/>
      </c>
      <c r="E305" t="s">
        <v>219</v>
      </c>
      <c r="G305" s="35"/>
      <c r="H305" s="34" t="str">
        <f t="shared" si="8"/>
        <v/>
      </c>
      <c r="I305" s="32"/>
      <c r="J305" s="32"/>
      <c r="K305" s="34"/>
      <c r="M305" s="78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35"/>
      <c r="R305" s="34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626</v>
      </c>
      <c r="B306" s="32"/>
      <c r="D306" t="str">
        <f>IF($C306="","",IFERROR(LOOKUP(2,1/('03_Warehouse_Movements'!$C$2:$C$500=$A306),'03_Warehouse_Movements'!$E$2:$E$500),$C306))</f>
        <v/>
      </c>
      <c r="E306" t="s">
        <v>219</v>
      </c>
      <c r="G306" s="35"/>
      <c r="H306" s="34" t="str">
        <f t="shared" si="8"/>
        <v/>
      </c>
      <c r="I306" s="32"/>
      <c r="J306" s="32"/>
      <c r="K306" s="34"/>
      <c r="M306" s="78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35"/>
      <c r="R306" s="34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627</v>
      </c>
      <c r="B307" s="32"/>
      <c r="D307" t="str">
        <f>IF($C307="","",IFERROR(LOOKUP(2,1/('03_Warehouse_Movements'!$C$2:$C$500=$A307),'03_Warehouse_Movements'!$E$2:$E$500),$C307))</f>
        <v/>
      </c>
      <c r="E307" t="s">
        <v>219</v>
      </c>
      <c r="G307" s="35"/>
      <c r="H307" s="34" t="str">
        <f t="shared" si="8"/>
        <v/>
      </c>
      <c r="I307" s="32"/>
      <c r="J307" s="32"/>
      <c r="K307" s="34"/>
      <c r="M307" s="78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35"/>
      <c r="R307" s="34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628</v>
      </c>
      <c r="B308" s="32"/>
      <c r="D308" t="str">
        <f>IF($C308="","",IFERROR(LOOKUP(2,1/('03_Warehouse_Movements'!$C$2:$C$500=$A308),'03_Warehouse_Movements'!$E$2:$E$500),$C308))</f>
        <v/>
      </c>
      <c r="E308" t="s">
        <v>219</v>
      </c>
      <c r="G308" s="35"/>
      <c r="H308" s="34" t="str">
        <f t="shared" si="8"/>
        <v/>
      </c>
      <c r="I308" s="32"/>
      <c r="J308" s="32"/>
      <c r="K308" s="34"/>
      <c r="M308" s="78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35"/>
      <c r="R308" s="34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629</v>
      </c>
      <c r="B309" s="32"/>
      <c r="D309" t="str">
        <f>IF($C309="","",IFERROR(LOOKUP(2,1/('03_Warehouse_Movements'!$C$2:$C$500=$A309),'03_Warehouse_Movements'!$E$2:$E$500),$C309))</f>
        <v/>
      </c>
      <c r="E309" t="s">
        <v>219</v>
      </c>
      <c r="G309" s="35"/>
      <c r="H309" s="34" t="str">
        <f t="shared" si="8"/>
        <v/>
      </c>
      <c r="I309" s="32"/>
      <c r="J309" s="32"/>
      <c r="K309" s="34"/>
      <c r="M309" s="78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35"/>
      <c r="R309" s="34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630</v>
      </c>
      <c r="B310" s="32"/>
      <c r="D310" t="str">
        <f>IF($C310="","",IFERROR(LOOKUP(2,1/('03_Warehouse_Movements'!$C$2:$C$500=$A310),'03_Warehouse_Movements'!$E$2:$E$500),$C310))</f>
        <v/>
      </c>
      <c r="E310" t="s">
        <v>219</v>
      </c>
      <c r="G310" s="35"/>
      <c r="H310" s="34" t="str">
        <f t="shared" si="8"/>
        <v/>
      </c>
      <c r="I310" s="32"/>
      <c r="J310" s="32"/>
      <c r="K310" s="34"/>
      <c r="M310" s="78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35"/>
      <c r="R310" s="34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631</v>
      </c>
      <c r="B311" s="32"/>
      <c r="D311" t="str">
        <f>IF($C311="","",IFERROR(LOOKUP(2,1/('03_Warehouse_Movements'!$C$2:$C$500=$A311),'03_Warehouse_Movements'!$E$2:$E$500),$C311))</f>
        <v/>
      </c>
      <c r="E311" t="s">
        <v>219</v>
      </c>
      <c r="G311" s="35"/>
      <c r="H311" s="34" t="str">
        <f t="shared" si="8"/>
        <v/>
      </c>
      <c r="I311" s="32"/>
      <c r="J311" s="32"/>
      <c r="K311" s="34"/>
      <c r="M311" s="78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35"/>
      <c r="R311" s="34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632</v>
      </c>
      <c r="B312" s="32"/>
      <c r="D312" t="str">
        <f>IF($C312="","",IFERROR(LOOKUP(2,1/('03_Warehouse_Movements'!$C$2:$C$500=$A312),'03_Warehouse_Movements'!$E$2:$E$500),$C312))</f>
        <v/>
      </c>
      <c r="E312" t="s">
        <v>219</v>
      </c>
      <c r="G312" s="35"/>
      <c r="H312" s="34" t="str">
        <f t="shared" si="8"/>
        <v/>
      </c>
      <c r="I312" s="32"/>
      <c r="J312" s="32"/>
      <c r="K312" s="34"/>
      <c r="M312" s="78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35"/>
      <c r="R312" s="34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633</v>
      </c>
      <c r="B313" s="32"/>
      <c r="D313" t="str">
        <f>IF($C313="","",IFERROR(LOOKUP(2,1/('03_Warehouse_Movements'!$C$2:$C$500=$A313),'03_Warehouse_Movements'!$E$2:$E$500),$C313))</f>
        <v/>
      </c>
      <c r="E313" t="s">
        <v>219</v>
      </c>
      <c r="G313" s="35"/>
      <c r="H313" s="34" t="str">
        <f t="shared" si="8"/>
        <v/>
      </c>
      <c r="I313" s="32"/>
      <c r="J313" s="32"/>
      <c r="K313" s="34"/>
      <c r="M313" s="78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35"/>
      <c r="R313" s="34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634</v>
      </c>
      <c r="B314" s="32"/>
      <c r="D314" t="str">
        <f>IF($C314="","",IFERROR(LOOKUP(2,1/('03_Warehouse_Movements'!$C$2:$C$500=$A314),'03_Warehouse_Movements'!$E$2:$E$500),$C314))</f>
        <v/>
      </c>
      <c r="E314" t="s">
        <v>219</v>
      </c>
      <c r="G314" s="35"/>
      <c r="H314" s="34" t="str">
        <f t="shared" si="8"/>
        <v/>
      </c>
      <c r="I314" s="32"/>
      <c r="J314" s="32"/>
      <c r="K314" s="34"/>
      <c r="M314" s="78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35"/>
      <c r="R314" s="34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635</v>
      </c>
      <c r="B315" s="32"/>
      <c r="D315" t="str">
        <f>IF($C315="","",IFERROR(LOOKUP(2,1/('03_Warehouse_Movements'!$C$2:$C$500=$A315),'03_Warehouse_Movements'!$E$2:$E$500),$C315))</f>
        <v/>
      </c>
      <c r="E315" t="s">
        <v>219</v>
      </c>
      <c r="G315" s="35"/>
      <c r="H315" s="34" t="str">
        <f t="shared" si="8"/>
        <v/>
      </c>
      <c r="I315" s="32"/>
      <c r="J315" s="32"/>
      <c r="K315" s="34"/>
      <c r="M315" s="78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35"/>
      <c r="R315" s="34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636</v>
      </c>
      <c r="B316" s="32"/>
      <c r="D316" t="str">
        <f>IF($C316="","",IFERROR(LOOKUP(2,1/('03_Warehouse_Movements'!$C$2:$C$500=$A316),'03_Warehouse_Movements'!$E$2:$E$500),$C316))</f>
        <v/>
      </c>
      <c r="E316" t="s">
        <v>219</v>
      </c>
      <c r="G316" s="35"/>
      <c r="H316" s="34" t="str">
        <f t="shared" si="8"/>
        <v/>
      </c>
      <c r="I316" s="32"/>
      <c r="J316" s="32"/>
      <c r="K316" s="34"/>
      <c r="M316" s="78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35"/>
      <c r="R316" s="34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637</v>
      </c>
      <c r="B317" s="32"/>
      <c r="D317" t="str">
        <f>IF($C317="","",IFERROR(LOOKUP(2,1/('03_Warehouse_Movements'!$C$2:$C$500=$A317),'03_Warehouse_Movements'!$E$2:$E$500),$C317))</f>
        <v/>
      </c>
      <c r="E317" t="s">
        <v>219</v>
      </c>
      <c r="G317" s="35"/>
      <c r="H317" s="34" t="str">
        <f t="shared" si="8"/>
        <v/>
      </c>
      <c r="I317" s="32"/>
      <c r="J317" s="32"/>
      <c r="K317" s="34"/>
      <c r="M317" s="78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35"/>
      <c r="R317" s="34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638</v>
      </c>
      <c r="B318" s="32"/>
      <c r="D318" t="str">
        <f>IF($C318="","",IFERROR(LOOKUP(2,1/('03_Warehouse_Movements'!$C$2:$C$500=$A318),'03_Warehouse_Movements'!$E$2:$E$500),$C318))</f>
        <v/>
      </c>
      <c r="E318" t="s">
        <v>219</v>
      </c>
      <c r="G318" s="35"/>
      <c r="H318" s="34" t="str">
        <f t="shared" si="8"/>
        <v/>
      </c>
      <c r="I318" s="32"/>
      <c r="J318" s="32"/>
      <c r="K318" s="34"/>
      <c r="M318" s="78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35"/>
      <c r="R318" s="34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639</v>
      </c>
      <c r="B319" s="32"/>
      <c r="D319" t="str">
        <f>IF($C319="","",IFERROR(LOOKUP(2,1/('03_Warehouse_Movements'!$C$2:$C$500=$A319),'03_Warehouse_Movements'!$E$2:$E$500),$C319))</f>
        <v/>
      </c>
      <c r="E319" t="s">
        <v>219</v>
      </c>
      <c r="G319" s="35"/>
      <c r="H319" s="34" t="str">
        <f t="shared" si="8"/>
        <v/>
      </c>
      <c r="I319" s="32"/>
      <c r="J319" s="32"/>
      <c r="K319" s="34"/>
      <c r="M319" s="78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35"/>
      <c r="R319" s="34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640</v>
      </c>
      <c r="B320" s="32"/>
      <c r="D320" t="str">
        <f>IF($C320="","",IFERROR(LOOKUP(2,1/('03_Warehouse_Movements'!$C$2:$C$500=$A320),'03_Warehouse_Movements'!$E$2:$E$500),$C320))</f>
        <v/>
      </c>
      <c r="E320" t="s">
        <v>219</v>
      </c>
      <c r="G320" s="35"/>
      <c r="H320" s="34" t="str">
        <f t="shared" si="8"/>
        <v/>
      </c>
      <c r="I320" s="32"/>
      <c r="J320" s="32"/>
      <c r="K320" s="34"/>
      <c r="M320" s="78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35"/>
      <c r="R320" s="34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641</v>
      </c>
      <c r="B321" s="32"/>
      <c r="D321" t="str">
        <f>IF($C321="","",IFERROR(LOOKUP(2,1/('03_Warehouse_Movements'!$C$2:$C$500=$A321),'03_Warehouse_Movements'!$E$2:$E$500),$C321))</f>
        <v/>
      </c>
      <c r="E321" t="s">
        <v>219</v>
      </c>
      <c r="G321" s="35"/>
      <c r="H321" s="34" t="str">
        <f t="shared" si="8"/>
        <v/>
      </c>
      <c r="I321" s="32"/>
      <c r="J321" s="32"/>
      <c r="K321" s="34"/>
      <c r="M321" s="78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35"/>
      <c r="R321" s="34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642</v>
      </c>
      <c r="B322" s="32"/>
      <c r="D322" t="str">
        <f>IF($C322="","",IFERROR(LOOKUP(2,1/('03_Warehouse_Movements'!$C$2:$C$500=$A322),'03_Warehouse_Movements'!$E$2:$E$500),$C322))</f>
        <v/>
      </c>
      <c r="E322" t="s">
        <v>219</v>
      </c>
      <c r="G322" s="35"/>
      <c r="H322" s="34" t="str">
        <f t="shared" ref="H322:H385" si="10">IF(AND($F322="TEMP",$G322&gt;0,$M322&lt;&gt;""),$M322+$G322,"")</f>
        <v/>
      </c>
      <c r="I322" s="32"/>
      <c r="J322" s="32"/>
      <c r="K322" s="34"/>
      <c r="M322" s="78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35"/>
      <c r="R322" s="34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643</v>
      </c>
      <c r="B323" s="32"/>
      <c r="D323" t="str">
        <f>IF($C323="","",IFERROR(LOOKUP(2,1/('03_Warehouse_Movements'!$C$2:$C$500=$A323),'03_Warehouse_Movements'!$E$2:$E$500),$C323))</f>
        <v/>
      </c>
      <c r="E323" t="s">
        <v>219</v>
      </c>
      <c r="G323" s="35"/>
      <c r="H323" s="34" t="str">
        <f t="shared" si="10"/>
        <v/>
      </c>
      <c r="I323" s="32"/>
      <c r="J323" s="32"/>
      <c r="K323" s="34"/>
      <c r="M323" s="78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35"/>
      <c r="R323" s="34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644</v>
      </c>
      <c r="B324" s="32"/>
      <c r="D324" t="str">
        <f>IF($C324="","",IFERROR(LOOKUP(2,1/('03_Warehouse_Movements'!$C$2:$C$500=$A324),'03_Warehouse_Movements'!$E$2:$E$500),$C324))</f>
        <v/>
      </c>
      <c r="E324" t="s">
        <v>219</v>
      </c>
      <c r="G324" s="35"/>
      <c r="H324" s="34" t="str">
        <f t="shared" si="10"/>
        <v/>
      </c>
      <c r="I324" s="32"/>
      <c r="J324" s="32"/>
      <c r="K324" s="34"/>
      <c r="M324" s="78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35"/>
      <c r="R324" s="34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645</v>
      </c>
      <c r="B325" s="32"/>
      <c r="D325" t="str">
        <f>IF($C325="","",IFERROR(LOOKUP(2,1/('03_Warehouse_Movements'!$C$2:$C$500=$A325),'03_Warehouse_Movements'!$E$2:$E$500),$C325))</f>
        <v/>
      </c>
      <c r="E325" t="s">
        <v>219</v>
      </c>
      <c r="G325" s="35"/>
      <c r="H325" s="34" t="str">
        <f t="shared" si="10"/>
        <v/>
      </c>
      <c r="I325" s="32"/>
      <c r="J325" s="32"/>
      <c r="K325" s="34"/>
      <c r="M325" s="78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35"/>
      <c r="R325" s="34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646</v>
      </c>
      <c r="B326" s="32"/>
      <c r="D326" t="str">
        <f>IF($C326="","",IFERROR(LOOKUP(2,1/('03_Warehouse_Movements'!$C$2:$C$500=$A326),'03_Warehouse_Movements'!$E$2:$E$500),$C326))</f>
        <v/>
      </c>
      <c r="E326" t="s">
        <v>219</v>
      </c>
      <c r="G326" s="35"/>
      <c r="H326" s="34" t="str">
        <f t="shared" si="10"/>
        <v/>
      </c>
      <c r="I326" s="32"/>
      <c r="J326" s="32"/>
      <c r="K326" s="34"/>
      <c r="M326" s="78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35"/>
      <c r="R326" s="34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647</v>
      </c>
      <c r="B327" s="32"/>
      <c r="D327" t="str">
        <f>IF($C327="","",IFERROR(LOOKUP(2,1/('03_Warehouse_Movements'!$C$2:$C$500=$A327),'03_Warehouse_Movements'!$E$2:$E$500),$C327))</f>
        <v/>
      </c>
      <c r="E327" t="s">
        <v>219</v>
      </c>
      <c r="G327" s="35"/>
      <c r="H327" s="34" t="str">
        <f t="shared" si="10"/>
        <v/>
      </c>
      <c r="I327" s="32"/>
      <c r="J327" s="32"/>
      <c r="K327" s="34"/>
      <c r="M327" s="78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35"/>
      <c r="R327" s="34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648</v>
      </c>
      <c r="B328" s="32"/>
      <c r="D328" t="str">
        <f>IF($C328="","",IFERROR(LOOKUP(2,1/('03_Warehouse_Movements'!$C$2:$C$500=$A328),'03_Warehouse_Movements'!$E$2:$E$500),$C328))</f>
        <v/>
      </c>
      <c r="E328" t="s">
        <v>219</v>
      </c>
      <c r="G328" s="35"/>
      <c r="H328" s="34" t="str">
        <f t="shared" si="10"/>
        <v/>
      </c>
      <c r="I328" s="32"/>
      <c r="J328" s="32"/>
      <c r="K328" s="34"/>
      <c r="M328" s="78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35"/>
      <c r="R328" s="34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649</v>
      </c>
      <c r="B329" s="32"/>
      <c r="D329" t="str">
        <f>IF($C329="","",IFERROR(LOOKUP(2,1/('03_Warehouse_Movements'!$C$2:$C$500=$A329),'03_Warehouse_Movements'!$E$2:$E$500),$C329))</f>
        <v/>
      </c>
      <c r="E329" t="s">
        <v>219</v>
      </c>
      <c r="G329" s="35"/>
      <c r="H329" s="34" t="str">
        <f t="shared" si="10"/>
        <v/>
      </c>
      <c r="I329" s="32"/>
      <c r="J329" s="32"/>
      <c r="K329" s="34"/>
      <c r="M329" s="78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35"/>
      <c r="R329" s="34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650</v>
      </c>
      <c r="B330" s="32"/>
      <c r="D330" t="str">
        <f>IF($C330="","",IFERROR(LOOKUP(2,1/('03_Warehouse_Movements'!$C$2:$C$500=$A330),'03_Warehouse_Movements'!$E$2:$E$500),$C330))</f>
        <v/>
      </c>
      <c r="E330" t="s">
        <v>219</v>
      </c>
      <c r="G330" s="35"/>
      <c r="H330" s="34" t="str">
        <f t="shared" si="10"/>
        <v/>
      </c>
      <c r="I330" s="32"/>
      <c r="J330" s="32"/>
      <c r="K330" s="34"/>
      <c r="M330" s="78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35"/>
      <c r="R330" s="34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651</v>
      </c>
      <c r="B331" s="32"/>
      <c r="D331" t="str">
        <f>IF($C331="","",IFERROR(LOOKUP(2,1/('03_Warehouse_Movements'!$C$2:$C$500=$A331),'03_Warehouse_Movements'!$E$2:$E$500),$C331))</f>
        <v/>
      </c>
      <c r="E331" t="s">
        <v>219</v>
      </c>
      <c r="G331" s="35"/>
      <c r="H331" s="34" t="str">
        <f t="shared" si="10"/>
        <v/>
      </c>
      <c r="I331" s="32"/>
      <c r="J331" s="32"/>
      <c r="K331" s="34"/>
      <c r="M331" s="78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35"/>
      <c r="R331" s="34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652</v>
      </c>
      <c r="B332" s="32"/>
      <c r="D332" t="str">
        <f>IF($C332="","",IFERROR(LOOKUP(2,1/('03_Warehouse_Movements'!$C$2:$C$500=$A332),'03_Warehouse_Movements'!$E$2:$E$500),$C332))</f>
        <v/>
      </c>
      <c r="E332" t="s">
        <v>219</v>
      </c>
      <c r="G332" s="35"/>
      <c r="H332" s="34" t="str">
        <f t="shared" si="10"/>
        <v/>
      </c>
      <c r="I332" s="32"/>
      <c r="J332" s="32"/>
      <c r="K332" s="34"/>
      <c r="M332" s="78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35"/>
      <c r="R332" s="34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653</v>
      </c>
      <c r="B333" s="32"/>
      <c r="D333" t="str">
        <f>IF($C333="","",IFERROR(LOOKUP(2,1/('03_Warehouse_Movements'!$C$2:$C$500=$A333),'03_Warehouse_Movements'!$E$2:$E$500),$C333))</f>
        <v/>
      </c>
      <c r="E333" t="s">
        <v>219</v>
      </c>
      <c r="G333" s="35"/>
      <c r="H333" s="34" t="str">
        <f t="shared" si="10"/>
        <v/>
      </c>
      <c r="I333" s="32"/>
      <c r="J333" s="32"/>
      <c r="K333" s="34"/>
      <c r="M333" s="78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35"/>
      <c r="R333" s="34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654</v>
      </c>
      <c r="B334" s="32"/>
      <c r="D334" t="str">
        <f>IF($C334="","",IFERROR(LOOKUP(2,1/('03_Warehouse_Movements'!$C$2:$C$500=$A334),'03_Warehouse_Movements'!$E$2:$E$500),$C334))</f>
        <v/>
      </c>
      <c r="E334" t="s">
        <v>219</v>
      </c>
      <c r="G334" s="35"/>
      <c r="H334" s="34" t="str">
        <f t="shared" si="10"/>
        <v/>
      </c>
      <c r="I334" s="32"/>
      <c r="J334" s="32"/>
      <c r="K334" s="34"/>
      <c r="M334" s="78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35"/>
      <c r="R334" s="34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655</v>
      </c>
      <c r="B335" s="32"/>
      <c r="D335" t="str">
        <f>IF($C335="","",IFERROR(LOOKUP(2,1/('03_Warehouse_Movements'!$C$2:$C$500=$A335),'03_Warehouse_Movements'!$E$2:$E$500),$C335))</f>
        <v/>
      </c>
      <c r="E335" t="s">
        <v>219</v>
      </c>
      <c r="G335" s="35"/>
      <c r="H335" s="34" t="str">
        <f t="shared" si="10"/>
        <v/>
      </c>
      <c r="I335" s="32"/>
      <c r="J335" s="32"/>
      <c r="K335" s="34"/>
      <c r="M335" s="78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35"/>
      <c r="R335" s="34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656</v>
      </c>
      <c r="B336" s="32"/>
      <c r="D336" t="str">
        <f>IF($C336="","",IFERROR(LOOKUP(2,1/('03_Warehouse_Movements'!$C$2:$C$500=$A336),'03_Warehouse_Movements'!$E$2:$E$500),$C336))</f>
        <v/>
      </c>
      <c r="E336" t="s">
        <v>219</v>
      </c>
      <c r="G336" s="35"/>
      <c r="H336" s="34" t="str">
        <f t="shared" si="10"/>
        <v/>
      </c>
      <c r="I336" s="32"/>
      <c r="J336" s="32"/>
      <c r="K336" s="34"/>
      <c r="M336" s="78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35"/>
      <c r="R336" s="34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657</v>
      </c>
      <c r="B337" s="32"/>
      <c r="D337" t="str">
        <f>IF($C337="","",IFERROR(LOOKUP(2,1/('03_Warehouse_Movements'!$C$2:$C$500=$A337),'03_Warehouse_Movements'!$E$2:$E$500),$C337))</f>
        <v/>
      </c>
      <c r="E337" t="s">
        <v>219</v>
      </c>
      <c r="G337" s="35"/>
      <c r="H337" s="34" t="str">
        <f t="shared" si="10"/>
        <v/>
      </c>
      <c r="I337" s="32"/>
      <c r="J337" s="32"/>
      <c r="K337" s="34"/>
      <c r="M337" s="78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35"/>
      <c r="R337" s="34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658</v>
      </c>
      <c r="B338" s="32"/>
      <c r="D338" t="str">
        <f>IF($C338="","",IFERROR(LOOKUP(2,1/('03_Warehouse_Movements'!$C$2:$C$500=$A338),'03_Warehouse_Movements'!$E$2:$E$500),$C338))</f>
        <v/>
      </c>
      <c r="E338" t="s">
        <v>219</v>
      </c>
      <c r="G338" s="35"/>
      <c r="H338" s="34" t="str">
        <f t="shared" si="10"/>
        <v/>
      </c>
      <c r="I338" s="32"/>
      <c r="J338" s="32"/>
      <c r="K338" s="34"/>
      <c r="M338" s="78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35"/>
      <c r="R338" s="34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659</v>
      </c>
      <c r="B339" s="32"/>
      <c r="D339" t="str">
        <f>IF($C339="","",IFERROR(LOOKUP(2,1/('03_Warehouse_Movements'!$C$2:$C$500=$A339),'03_Warehouse_Movements'!$E$2:$E$500),$C339))</f>
        <v/>
      </c>
      <c r="E339" t="s">
        <v>219</v>
      </c>
      <c r="G339" s="35"/>
      <c r="H339" s="34" t="str">
        <f t="shared" si="10"/>
        <v/>
      </c>
      <c r="I339" s="32"/>
      <c r="J339" s="32"/>
      <c r="K339" s="34"/>
      <c r="M339" s="78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35"/>
      <c r="R339" s="34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660</v>
      </c>
      <c r="B340" s="32"/>
      <c r="D340" t="str">
        <f>IF($C340="","",IFERROR(LOOKUP(2,1/('03_Warehouse_Movements'!$C$2:$C$500=$A340),'03_Warehouse_Movements'!$E$2:$E$500),$C340))</f>
        <v/>
      </c>
      <c r="E340" t="s">
        <v>219</v>
      </c>
      <c r="G340" s="35"/>
      <c r="H340" s="34" t="str">
        <f t="shared" si="10"/>
        <v/>
      </c>
      <c r="I340" s="32"/>
      <c r="J340" s="32"/>
      <c r="K340" s="34"/>
      <c r="M340" s="78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35"/>
      <c r="R340" s="34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661</v>
      </c>
      <c r="B341" s="32"/>
      <c r="D341" t="str">
        <f>IF($C341="","",IFERROR(LOOKUP(2,1/('03_Warehouse_Movements'!$C$2:$C$500=$A341),'03_Warehouse_Movements'!$E$2:$E$500),$C341))</f>
        <v/>
      </c>
      <c r="E341" t="s">
        <v>219</v>
      </c>
      <c r="G341" s="35"/>
      <c r="H341" s="34" t="str">
        <f t="shared" si="10"/>
        <v/>
      </c>
      <c r="I341" s="32"/>
      <c r="J341" s="32"/>
      <c r="K341" s="34"/>
      <c r="M341" s="78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35"/>
      <c r="R341" s="34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662</v>
      </c>
      <c r="B342" s="32"/>
      <c r="D342" t="str">
        <f>IF($C342="","",IFERROR(LOOKUP(2,1/('03_Warehouse_Movements'!$C$2:$C$500=$A342),'03_Warehouse_Movements'!$E$2:$E$500),$C342))</f>
        <v/>
      </c>
      <c r="E342" t="s">
        <v>219</v>
      </c>
      <c r="G342" s="35"/>
      <c r="H342" s="34" t="str">
        <f t="shared" si="10"/>
        <v/>
      </c>
      <c r="I342" s="32"/>
      <c r="J342" s="32"/>
      <c r="K342" s="34"/>
      <c r="M342" s="78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35"/>
      <c r="R342" s="34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663</v>
      </c>
      <c r="B343" s="32"/>
      <c r="D343" t="str">
        <f>IF($C343="","",IFERROR(LOOKUP(2,1/('03_Warehouse_Movements'!$C$2:$C$500=$A343),'03_Warehouse_Movements'!$E$2:$E$500),$C343))</f>
        <v/>
      </c>
      <c r="E343" t="s">
        <v>219</v>
      </c>
      <c r="G343" s="35"/>
      <c r="H343" s="34" t="str">
        <f t="shared" si="10"/>
        <v/>
      </c>
      <c r="I343" s="32"/>
      <c r="J343" s="32"/>
      <c r="K343" s="34"/>
      <c r="M343" s="78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35"/>
      <c r="R343" s="34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664</v>
      </c>
      <c r="B344" s="32"/>
      <c r="D344" t="str">
        <f>IF($C344="","",IFERROR(LOOKUP(2,1/('03_Warehouse_Movements'!$C$2:$C$500=$A344),'03_Warehouse_Movements'!$E$2:$E$500),$C344))</f>
        <v/>
      </c>
      <c r="E344" t="s">
        <v>219</v>
      </c>
      <c r="G344" s="35"/>
      <c r="H344" s="34" t="str">
        <f t="shared" si="10"/>
        <v/>
      </c>
      <c r="I344" s="32"/>
      <c r="J344" s="32"/>
      <c r="K344" s="34"/>
      <c r="M344" s="78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35"/>
      <c r="R344" s="34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665</v>
      </c>
      <c r="B345" s="32"/>
      <c r="D345" t="str">
        <f>IF($C345="","",IFERROR(LOOKUP(2,1/('03_Warehouse_Movements'!$C$2:$C$500=$A345),'03_Warehouse_Movements'!$E$2:$E$500),$C345))</f>
        <v/>
      </c>
      <c r="E345" t="s">
        <v>219</v>
      </c>
      <c r="G345" s="35"/>
      <c r="H345" s="34" t="str">
        <f t="shared" si="10"/>
        <v/>
      </c>
      <c r="I345" s="32"/>
      <c r="J345" s="32"/>
      <c r="K345" s="34"/>
      <c r="M345" s="78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35"/>
      <c r="R345" s="34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666</v>
      </c>
      <c r="B346" s="32"/>
      <c r="D346" t="str">
        <f>IF($C346="","",IFERROR(LOOKUP(2,1/('03_Warehouse_Movements'!$C$2:$C$500=$A346),'03_Warehouse_Movements'!$E$2:$E$500),$C346))</f>
        <v/>
      </c>
      <c r="E346" t="s">
        <v>219</v>
      </c>
      <c r="G346" s="35"/>
      <c r="H346" s="34" t="str">
        <f t="shared" si="10"/>
        <v/>
      </c>
      <c r="I346" s="32"/>
      <c r="J346" s="32"/>
      <c r="K346" s="34"/>
      <c r="M346" s="78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35"/>
      <c r="R346" s="34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667</v>
      </c>
      <c r="B347" s="32"/>
      <c r="D347" t="str">
        <f>IF($C347="","",IFERROR(LOOKUP(2,1/('03_Warehouse_Movements'!$C$2:$C$500=$A347),'03_Warehouse_Movements'!$E$2:$E$500),$C347))</f>
        <v/>
      </c>
      <c r="E347" t="s">
        <v>219</v>
      </c>
      <c r="G347" s="35"/>
      <c r="H347" s="34" t="str">
        <f t="shared" si="10"/>
        <v/>
      </c>
      <c r="I347" s="32"/>
      <c r="J347" s="32"/>
      <c r="K347" s="34"/>
      <c r="M347" s="78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35"/>
      <c r="R347" s="34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668</v>
      </c>
      <c r="B348" s="32"/>
      <c r="D348" t="str">
        <f>IF($C348="","",IFERROR(LOOKUP(2,1/('03_Warehouse_Movements'!$C$2:$C$500=$A348),'03_Warehouse_Movements'!$E$2:$E$500),$C348))</f>
        <v/>
      </c>
      <c r="E348" t="s">
        <v>219</v>
      </c>
      <c r="G348" s="35"/>
      <c r="H348" s="34" t="str">
        <f t="shared" si="10"/>
        <v/>
      </c>
      <c r="I348" s="32"/>
      <c r="J348" s="32"/>
      <c r="K348" s="34"/>
      <c r="M348" s="78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35"/>
      <c r="R348" s="34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669</v>
      </c>
      <c r="B349" s="32"/>
      <c r="D349" t="str">
        <f>IF($C349="","",IFERROR(LOOKUP(2,1/('03_Warehouse_Movements'!$C$2:$C$500=$A349),'03_Warehouse_Movements'!$E$2:$E$500),$C349))</f>
        <v/>
      </c>
      <c r="E349" t="s">
        <v>219</v>
      </c>
      <c r="G349" s="35"/>
      <c r="H349" s="34" t="str">
        <f t="shared" si="10"/>
        <v/>
      </c>
      <c r="I349" s="32"/>
      <c r="J349" s="32"/>
      <c r="K349" s="34"/>
      <c r="M349" s="78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35"/>
      <c r="R349" s="34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670</v>
      </c>
      <c r="B350" s="32"/>
      <c r="D350" t="str">
        <f>IF($C350="","",IFERROR(LOOKUP(2,1/('03_Warehouse_Movements'!$C$2:$C$500=$A350),'03_Warehouse_Movements'!$E$2:$E$500),$C350))</f>
        <v/>
      </c>
      <c r="E350" t="s">
        <v>219</v>
      </c>
      <c r="G350" s="35"/>
      <c r="H350" s="34" t="str">
        <f t="shared" si="10"/>
        <v/>
      </c>
      <c r="I350" s="32"/>
      <c r="J350" s="32"/>
      <c r="K350" s="34"/>
      <c r="M350" s="78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35"/>
      <c r="R350" s="34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671</v>
      </c>
      <c r="B351" s="32"/>
      <c r="D351" t="str">
        <f>IF($C351="","",IFERROR(LOOKUP(2,1/('03_Warehouse_Movements'!$C$2:$C$500=$A351),'03_Warehouse_Movements'!$E$2:$E$500),$C351))</f>
        <v/>
      </c>
      <c r="E351" t="s">
        <v>219</v>
      </c>
      <c r="G351" s="35"/>
      <c r="H351" s="34" t="str">
        <f t="shared" si="10"/>
        <v/>
      </c>
      <c r="I351" s="32"/>
      <c r="J351" s="32"/>
      <c r="K351" s="34"/>
      <c r="M351" s="78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35"/>
      <c r="R351" s="34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672</v>
      </c>
      <c r="B352" s="32"/>
      <c r="D352" t="str">
        <f>IF($C352="","",IFERROR(LOOKUP(2,1/('03_Warehouse_Movements'!$C$2:$C$500=$A352),'03_Warehouse_Movements'!$E$2:$E$500),$C352))</f>
        <v/>
      </c>
      <c r="E352" t="s">
        <v>219</v>
      </c>
      <c r="G352" s="35"/>
      <c r="H352" s="34" t="str">
        <f t="shared" si="10"/>
        <v/>
      </c>
      <c r="I352" s="32"/>
      <c r="J352" s="32"/>
      <c r="K352" s="34"/>
      <c r="M352" s="78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35"/>
      <c r="R352" s="34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673</v>
      </c>
      <c r="B353" s="32"/>
      <c r="D353" t="str">
        <f>IF($C353="","",IFERROR(LOOKUP(2,1/('03_Warehouse_Movements'!$C$2:$C$500=$A353),'03_Warehouse_Movements'!$E$2:$E$500),$C353))</f>
        <v/>
      </c>
      <c r="E353" t="s">
        <v>219</v>
      </c>
      <c r="G353" s="35"/>
      <c r="H353" s="34" t="str">
        <f t="shared" si="10"/>
        <v/>
      </c>
      <c r="I353" s="32"/>
      <c r="J353" s="32"/>
      <c r="K353" s="34"/>
      <c r="M353" s="78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35"/>
      <c r="R353" s="34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674</v>
      </c>
      <c r="B354" s="32"/>
      <c r="D354" t="str">
        <f>IF($C354="","",IFERROR(LOOKUP(2,1/('03_Warehouse_Movements'!$C$2:$C$500=$A354),'03_Warehouse_Movements'!$E$2:$E$500),$C354))</f>
        <v/>
      </c>
      <c r="E354" t="s">
        <v>219</v>
      </c>
      <c r="G354" s="35"/>
      <c r="H354" s="34" t="str">
        <f t="shared" si="10"/>
        <v/>
      </c>
      <c r="I354" s="32"/>
      <c r="J354" s="32"/>
      <c r="K354" s="34"/>
      <c r="M354" s="78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35"/>
      <c r="R354" s="34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675</v>
      </c>
      <c r="B355" s="32"/>
      <c r="D355" t="str">
        <f>IF($C355="","",IFERROR(LOOKUP(2,1/('03_Warehouse_Movements'!$C$2:$C$500=$A355),'03_Warehouse_Movements'!$E$2:$E$500),$C355))</f>
        <v/>
      </c>
      <c r="E355" t="s">
        <v>219</v>
      </c>
      <c r="G355" s="35"/>
      <c r="H355" s="34" t="str">
        <f t="shared" si="10"/>
        <v/>
      </c>
      <c r="I355" s="32"/>
      <c r="J355" s="32"/>
      <c r="K355" s="34"/>
      <c r="M355" s="78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35"/>
      <c r="R355" s="34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676</v>
      </c>
      <c r="B356" s="32"/>
      <c r="D356" t="str">
        <f>IF($C356="","",IFERROR(LOOKUP(2,1/('03_Warehouse_Movements'!$C$2:$C$500=$A356),'03_Warehouse_Movements'!$E$2:$E$500),$C356))</f>
        <v/>
      </c>
      <c r="E356" t="s">
        <v>219</v>
      </c>
      <c r="G356" s="35"/>
      <c r="H356" s="34" t="str">
        <f t="shared" si="10"/>
        <v/>
      </c>
      <c r="I356" s="32"/>
      <c r="J356" s="32"/>
      <c r="K356" s="34"/>
      <c r="M356" s="78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35"/>
      <c r="R356" s="34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677</v>
      </c>
      <c r="B357" s="32"/>
      <c r="D357" t="str">
        <f>IF($C357="","",IFERROR(LOOKUP(2,1/('03_Warehouse_Movements'!$C$2:$C$500=$A357),'03_Warehouse_Movements'!$E$2:$E$500),$C357))</f>
        <v/>
      </c>
      <c r="E357" t="s">
        <v>219</v>
      </c>
      <c r="G357" s="35"/>
      <c r="H357" s="34" t="str">
        <f t="shared" si="10"/>
        <v/>
      </c>
      <c r="I357" s="32"/>
      <c r="J357" s="32"/>
      <c r="K357" s="34"/>
      <c r="M357" s="78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35"/>
      <c r="R357" s="34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678</v>
      </c>
      <c r="B358" s="32"/>
      <c r="D358" t="str">
        <f>IF($C358="","",IFERROR(LOOKUP(2,1/('03_Warehouse_Movements'!$C$2:$C$500=$A358),'03_Warehouse_Movements'!$E$2:$E$500),$C358))</f>
        <v/>
      </c>
      <c r="E358" t="s">
        <v>219</v>
      </c>
      <c r="G358" s="35"/>
      <c r="H358" s="34" t="str">
        <f t="shared" si="10"/>
        <v/>
      </c>
      <c r="I358" s="32"/>
      <c r="J358" s="32"/>
      <c r="K358" s="34"/>
      <c r="M358" s="78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35"/>
      <c r="R358" s="34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679</v>
      </c>
      <c r="B359" s="32"/>
      <c r="D359" t="str">
        <f>IF($C359="","",IFERROR(LOOKUP(2,1/('03_Warehouse_Movements'!$C$2:$C$500=$A359),'03_Warehouse_Movements'!$E$2:$E$500),$C359))</f>
        <v/>
      </c>
      <c r="E359" t="s">
        <v>219</v>
      </c>
      <c r="G359" s="35"/>
      <c r="H359" s="34" t="str">
        <f t="shared" si="10"/>
        <v/>
      </c>
      <c r="I359" s="32"/>
      <c r="J359" s="32"/>
      <c r="K359" s="34"/>
      <c r="M359" s="78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35"/>
      <c r="R359" s="34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680</v>
      </c>
      <c r="B360" s="32"/>
      <c r="D360" t="str">
        <f>IF($C360="","",IFERROR(LOOKUP(2,1/('03_Warehouse_Movements'!$C$2:$C$500=$A360),'03_Warehouse_Movements'!$E$2:$E$500),$C360))</f>
        <v/>
      </c>
      <c r="E360" t="s">
        <v>219</v>
      </c>
      <c r="G360" s="35"/>
      <c r="H360" s="34" t="str">
        <f t="shared" si="10"/>
        <v/>
      </c>
      <c r="I360" s="32"/>
      <c r="J360" s="32"/>
      <c r="K360" s="34"/>
      <c r="M360" s="78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35"/>
      <c r="R360" s="34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681</v>
      </c>
      <c r="B361" s="32"/>
      <c r="D361" t="str">
        <f>IF($C361="","",IFERROR(LOOKUP(2,1/('03_Warehouse_Movements'!$C$2:$C$500=$A361),'03_Warehouse_Movements'!$E$2:$E$500),$C361))</f>
        <v/>
      </c>
      <c r="E361" t="s">
        <v>219</v>
      </c>
      <c r="G361" s="35"/>
      <c r="H361" s="34" t="str">
        <f t="shared" si="10"/>
        <v/>
      </c>
      <c r="I361" s="32"/>
      <c r="J361" s="32"/>
      <c r="K361" s="34"/>
      <c r="M361" s="78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35"/>
      <c r="R361" s="34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682</v>
      </c>
      <c r="B362" s="32"/>
      <c r="D362" t="str">
        <f>IF($C362="","",IFERROR(LOOKUP(2,1/('03_Warehouse_Movements'!$C$2:$C$500=$A362),'03_Warehouse_Movements'!$E$2:$E$500),$C362))</f>
        <v/>
      </c>
      <c r="E362" t="s">
        <v>219</v>
      </c>
      <c r="G362" s="35"/>
      <c r="H362" s="34" t="str">
        <f t="shared" si="10"/>
        <v/>
      </c>
      <c r="I362" s="32"/>
      <c r="J362" s="32"/>
      <c r="K362" s="34"/>
      <c r="M362" s="78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35"/>
      <c r="R362" s="34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683</v>
      </c>
      <c r="B363" s="32"/>
      <c r="D363" t="str">
        <f>IF($C363="","",IFERROR(LOOKUP(2,1/('03_Warehouse_Movements'!$C$2:$C$500=$A363),'03_Warehouse_Movements'!$E$2:$E$500),$C363))</f>
        <v/>
      </c>
      <c r="E363" t="s">
        <v>219</v>
      </c>
      <c r="G363" s="35"/>
      <c r="H363" s="34" t="str">
        <f t="shared" si="10"/>
        <v/>
      </c>
      <c r="I363" s="32"/>
      <c r="J363" s="32"/>
      <c r="K363" s="34"/>
      <c r="M363" s="78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35"/>
      <c r="R363" s="34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684</v>
      </c>
      <c r="B364" s="32"/>
      <c r="D364" t="str">
        <f>IF($C364="","",IFERROR(LOOKUP(2,1/('03_Warehouse_Movements'!$C$2:$C$500=$A364),'03_Warehouse_Movements'!$E$2:$E$500),$C364))</f>
        <v/>
      </c>
      <c r="E364" t="s">
        <v>219</v>
      </c>
      <c r="G364" s="35"/>
      <c r="H364" s="34" t="str">
        <f t="shared" si="10"/>
        <v/>
      </c>
      <c r="I364" s="32"/>
      <c r="J364" s="32"/>
      <c r="K364" s="34"/>
      <c r="M364" s="78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35"/>
      <c r="R364" s="34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685</v>
      </c>
      <c r="B365" s="32"/>
      <c r="D365" t="str">
        <f>IF($C365="","",IFERROR(LOOKUP(2,1/('03_Warehouse_Movements'!$C$2:$C$500=$A365),'03_Warehouse_Movements'!$E$2:$E$500),$C365))</f>
        <v/>
      </c>
      <c r="E365" t="s">
        <v>219</v>
      </c>
      <c r="G365" s="35"/>
      <c r="H365" s="34" t="str">
        <f t="shared" si="10"/>
        <v/>
      </c>
      <c r="I365" s="32"/>
      <c r="J365" s="32"/>
      <c r="K365" s="34"/>
      <c r="M365" s="78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35"/>
      <c r="R365" s="34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686</v>
      </c>
      <c r="B366" s="32"/>
      <c r="D366" t="str">
        <f>IF($C366="","",IFERROR(LOOKUP(2,1/('03_Warehouse_Movements'!$C$2:$C$500=$A366),'03_Warehouse_Movements'!$E$2:$E$500),$C366))</f>
        <v/>
      </c>
      <c r="E366" t="s">
        <v>219</v>
      </c>
      <c r="G366" s="35"/>
      <c r="H366" s="34" t="str">
        <f t="shared" si="10"/>
        <v/>
      </c>
      <c r="I366" s="32"/>
      <c r="J366" s="32"/>
      <c r="K366" s="34"/>
      <c r="M366" s="78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35"/>
      <c r="R366" s="34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687</v>
      </c>
      <c r="B367" s="32"/>
      <c r="D367" t="str">
        <f>IF($C367="","",IFERROR(LOOKUP(2,1/('03_Warehouse_Movements'!$C$2:$C$500=$A367),'03_Warehouse_Movements'!$E$2:$E$500),$C367))</f>
        <v/>
      </c>
      <c r="E367" t="s">
        <v>219</v>
      </c>
      <c r="G367" s="35"/>
      <c r="H367" s="34" t="str">
        <f t="shared" si="10"/>
        <v/>
      </c>
      <c r="I367" s="32"/>
      <c r="J367" s="32"/>
      <c r="K367" s="34"/>
      <c r="M367" s="78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35"/>
      <c r="R367" s="34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688</v>
      </c>
      <c r="B368" s="32"/>
      <c r="D368" t="str">
        <f>IF($C368="","",IFERROR(LOOKUP(2,1/('03_Warehouse_Movements'!$C$2:$C$500=$A368),'03_Warehouse_Movements'!$E$2:$E$500),$C368))</f>
        <v/>
      </c>
      <c r="E368" t="s">
        <v>219</v>
      </c>
      <c r="G368" s="35"/>
      <c r="H368" s="34" t="str">
        <f t="shared" si="10"/>
        <v/>
      </c>
      <c r="I368" s="32"/>
      <c r="J368" s="32"/>
      <c r="K368" s="34"/>
      <c r="M368" s="78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35"/>
      <c r="R368" s="34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689</v>
      </c>
      <c r="B369" s="32"/>
      <c r="D369" t="str">
        <f>IF($C369="","",IFERROR(LOOKUP(2,1/('03_Warehouse_Movements'!$C$2:$C$500=$A369),'03_Warehouse_Movements'!$E$2:$E$500),$C369))</f>
        <v/>
      </c>
      <c r="E369" t="s">
        <v>219</v>
      </c>
      <c r="G369" s="35"/>
      <c r="H369" s="34" t="str">
        <f t="shared" si="10"/>
        <v/>
      </c>
      <c r="I369" s="32"/>
      <c r="J369" s="32"/>
      <c r="K369" s="34"/>
      <c r="M369" s="78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35"/>
      <c r="R369" s="34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690</v>
      </c>
      <c r="B370" s="32"/>
      <c r="D370" t="str">
        <f>IF($C370="","",IFERROR(LOOKUP(2,1/('03_Warehouse_Movements'!$C$2:$C$500=$A370),'03_Warehouse_Movements'!$E$2:$E$500),$C370))</f>
        <v/>
      </c>
      <c r="E370" t="s">
        <v>219</v>
      </c>
      <c r="G370" s="35"/>
      <c r="H370" s="34" t="str">
        <f t="shared" si="10"/>
        <v/>
      </c>
      <c r="I370" s="32"/>
      <c r="J370" s="32"/>
      <c r="K370" s="34"/>
      <c r="M370" s="78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35"/>
      <c r="R370" s="34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691</v>
      </c>
      <c r="B371" s="32"/>
      <c r="D371" t="str">
        <f>IF($C371="","",IFERROR(LOOKUP(2,1/('03_Warehouse_Movements'!$C$2:$C$500=$A371),'03_Warehouse_Movements'!$E$2:$E$500),$C371))</f>
        <v/>
      </c>
      <c r="E371" t="s">
        <v>219</v>
      </c>
      <c r="G371" s="35"/>
      <c r="H371" s="34" t="str">
        <f t="shared" si="10"/>
        <v/>
      </c>
      <c r="I371" s="32"/>
      <c r="J371" s="32"/>
      <c r="K371" s="34"/>
      <c r="M371" s="78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35"/>
      <c r="R371" s="34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692</v>
      </c>
      <c r="B372" s="32"/>
      <c r="D372" t="str">
        <f>IF($C372="","",IFERROR(LOOKUP(2,1/('03_Warehouse_Movements'!$C$2:$C$500=$A372),'03_Warehouse_Movements'!$E$2:$E$500),$C372))</f>
        <v/>
      </c>
      <c r="E372" t="s">
        <v>219</v>
      </c>
      <c r="G372" s="35"/>
      <c r="H372" s="34" t="str">
        <f t="shared" si="10"/>
        <v/>
      </c>
      <c r="I372" s="32"/>
      <c r="J372" s="32"/>
      <c r="K372" s="34"/>
      <c r="M372" s="78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35"/>
      <c r="R372" s="34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693</v>
      </c>
      <c r="B373" s="32"/>
      <c r="D373" t="str">
        <f>IF($C373="","",IFERROR(LOOKUP(2,1/('03_Warehouse_Movements'!$C$2:$C$500=$A373),'03_Warehouse_Movements'!$E$2:$E$500),$C373))</f>
        <v/>
      </c>
      <c r="E373" t="s">
        <v>219</v>
      </c>
      <c r="G373" s="35"/>
      <c r="H373" s="34" t="str">
        <f t="shared" si="10"/>
        <v/>
      </c>
      <c r="I373" s="32"/>
      <c r="J373" s="32"/>
      <c r="K373" s="34"/>
      <c r="M373" s="78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35"/>
      <c r="R373" s="34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694</v>
      </c>
      <c r="B374" s="32"/>
      <c r="D374" t="str">
        <f>IF($C374="","",IFERROR(LOOKUP(2,1/('03_Warehouse_Movements'!$C$2:$C$500=$A374),'03_Warehouse_Movements'!$E$2:$E$500),$C374))</f>
        <v/>
      </c>
      <c r="E374" t="s">
        <v>219</v>
      </c>
      <c r="G374" s="35"/>
      <c r="H374" s="34" t="str">
        <f t="shared" si="10"/>
        <v/>
      </c>
      <c r="I374" s="32"/>
      <c r="J374" s="32"/>
      <c r="K374" s="34"/>
      <c r="M374" s="78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35"/>
      <c r="R374" s="34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695</v>
      </c>
      <c r="B375" s="32"/>
      <c r="D375" t="str">
        <f>IF($C375="","",IFERROR(LOOKUP(2,1/('03_Warehouse_Movements'!$C$2:$C$500=$A375),'03_Warehouse_Movements'!$E$2:$E$500),$C375))</f>
        <v/>
      </c>
      <c r="E375" t="s">
        <v>219</v>
      </c>
      <c r="G375" s="35"/>
      <c r="H375" s="34" t="str">
        <f t="shared" si="10"/>
        <v/>
      </c>
      <c r="I375" s="32"/>
      <c r="J375" s="32"/>
      <c r="K375" s="34"/>
      <c r="M375" s="78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35"/>
      <c r="R375" s="34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696</v>
      </c>
      <c r="B376" s="32"/>
      <c r="D376" t="str">
        <f>IF($C376="","",IFERROR(LOOKUP(2,1/('03_Warehouse_Movements'!$C$2:$C$500=$A376),'03_Warehouse_Movements'!$E$2:$E$500),$C376))</f>
        <v/>
      </c>
      <c r="E376" t="s">
        <v>219</v>
      </c>
      <c r="G376" s="35"/>
      <c r="H376" s="34" t="str">
        <f t="shared" si="10"/>
        <v/>
      </c>
      <c r="I376" s="32"/>
      <c r="J376" s="32"/>
      <c r="K376" s="34"/>
      <c r="M376" s="78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35"/>
      <c r="R376" s="34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697</v>
      </c>
      <c r="B377" s="32"/>
      <c r="D377" t="str">
        <f>IF($C377="","",IFERROR(LOOKUP(2,1/('03_Warehouse_Movements'!$C$2:$C$500=$A377),'03_Warehouse_Movements'!$E$2:$E$500),$C377))</f>
        <v/>
      </c>
      <c r="E377" t="s">
        <v>219</v>
      </c>
      <c r="G377" s="35"/>
      <c r="H377" s="34" t="str">
        <f t="shared" si="10"/>
        <v/>
      </c>
      <c r="I377" s="32"/>
      <c r="J377" s="32"/>
      <c r="K377" s="34"/>
      <c r="M377" s="78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35"/>
      <c r="R377" s="34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698</v>
      </c>
      <c r="B378" s="32"/>
      <c r="D378" t="str">
        <f>IF($C378="","",IFERROR(LOOKUP(2,1/('03_Warehouse_Movements'!$C$2:$C$500=$A378),'03_Warehouse_Movements'!$E$2:$E$500),$C378))</f>
        <v/>
      </c>
      <c r="E378" t="s">
        <v>219</v>
      </c>
      <c r="G378" s="35"/>
      <c r="H378" s="34" t="str">
        <f t="shared" si="10"/>
        <v/>
      </c>
      <c r="I378" s="32"/>
      <c r="J378" s="32"/>
      <c r="K378" s="34"/>
      <c r="M378" s="78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35"/>
      <c r="R378" s="34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699</v>
      </c>
      <c r="B379" s="32"/>
      <c r="D379" t="str">
        <f>IF($C379="","",IFERROR(LOOKUP(2,1/('03_Warehouse_Movements'!$C$2:$C$500=$A379),'03_Warehouse_Movements'!$E$2:$E$500),$C379))</f>
        <v/>
      </c>
      <c r="E379" t="s">
        <v>219</v>
      </c>
      <c r="G379" s="35"/>
      <c r="H379" s="34" t="str">
        <f t="shared" si="10"/>
        <v/>
      </c>
      <c r="I379" s="32"/>
      <c r="J379" s="32"/>
      <c r="K379" s="34"/>
      <c r="M379" s="78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35"/>
      <c r="R379" s="34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700</v>
      </c>
      <c r="B380" s="32"/>
      <c r="D380" t="str">
        <f>IF($C380="","",IFERROR(LOOKUP(2,1/('03_Warehouse_Movements'!$C$2:$C$500=$A380),'03_Warehouse_Movements'!$E$2:$E$500),$C380))</f>
        <v/>
      </c>
      <c r="E380" t="s">
        <v>219</v>
      </c>
      <c r="G380" s="35"/>
      <c r="H380" s="34" t="str">
        <f t="shared" si="10"/>
        <v/>
      </c>
      <c r="I380" s="32"/>
      <c r="J380" s="32"/>
      <c r="K380" s="34"/>
      <c r="M380" s="78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35"/>
      <c r="R380" s="34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701</v>
      </c>
      <c r="B381" s="32"/>
      <c r="D381" t="str">
        <f>IF($C381="","",IFERROR(LOOKUP(2,1/('03_Warehouse_Movements'!$C$2:$C$500=$A381),'03_Warehouse_Movements'!$E$2:$E$500),$C381))</f>
        <v/>
      </c>
      <c r="E381" t="s">
        <v>219</v>
      </c>
      <c r="G381" s="35"/>
      <c r="H381" s="34" t="str">
        <f t="shared" si="10"/>
        <v/>
      </c>
      <c r="I381" s="32"/>
      <c r="J381" s="32"/>
      <c r="K381" s="34"/>
      <c r="M381" s="78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35"/>
      <c r="R381" s="34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702</v>
      </c>
      <c r="B382" s="32"/>
      <c r="D382" t="str">
        <f>IF($C382="","",IFERROR(LOOKUP(2,1/('03_Warehouse_Movements'!$C$2:$C$500=$A382),'03_Warehouse_Movements'!$E$2:$E$500),$C382))</f>
        <v/>
      </c>
      <c r="E382" t="s">
        <v>219</v>
      </c>
      <c r="G382" s="35"/>
      <c r="H382" s="34" t="str">
        <f t="shared" si="10"/>
        <v/>
      </c>
      <c r="I382" s="32"/>
      <c r="J382" s="32"/>
      <c r="K382" s="34"/>
      <c r="M382" s="78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35"/>
      <c r="R382" s="34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703</v>
      </c>
      <c r="B383" s="32"/>
      <c r="D383" t="str">
        <f>IF($C383="","",IFERROR(LOOKUP(2,1/('03_Warehouse_Movements'!$C$2:$C$500=$A383),'03_Warehouse_Movements'!$E$2:$E$500),$C383))</f>
        <v/>
      </c>
      <c r="E383" t="s">
        <v>219</v>
      </c>
      <c r="G383" s="35"/>
      <c r="H383" s="34" t="str">
        <f t="shared" si="10"/>
        <v/>
      </c>
      <c r="I383" s="32"/>
      <c r="J383" s="32"/>
      <c r="K383" s="34"/>
      <c r="M383" s="78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35"/>
      <c r="R383" s="34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704</v>
      </c>
      <c r="B384" s="32"/>
      <c r="D384" t="str">
        <f>IF($C384="","",IFERROR(LOOKUP(2,1/('03_Warehouse_Movements'!$C$2:$C$500=$A384),'03_Warehouse_Movements'!$E$2:$E$500),$C384))</f>
        <v/>
      </c>
      <c r="E384" t="s">
        <v>219</v>
      </c>
      <c r="G384" s="35"/>
      <c r="H384" s="34" t="str">
        <f t="shared" si="10"/>
        <v/>
      </c>
      <c r="I384" s="32"/>
      <c r="J384" s="32"/>
      <c r="K384" s="34"/>
      <c r="M384" s="78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35"/>
      <c r="R384" s="34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705</v>
      </c>
      <c r="B385" s="32"/>
      <c r="D385" t="str">
        <f>IF($C385="","",IFERROR(LOOKUP(2,1/('03_Warehouse_Movements'!$C$2:$C$500=$A385),'03_Warehouse_Movements'!$E$2:$E$500),$C385))</f>
        <v/>
      </c>
      <c r="E385" t="s">
        <v>219</v>
      </c>
      <c r="G385" s="35"/>
      <c r="H385" s="34" t="str">
        <f t="shared" si="10"/>
        <v/>
      </c>
      <c r="I385" s="32"/>
      <c r="J385" s="32"/>
      <c r="K385" s="34"/>
      <c r="M385" s="78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35"/>
      <c r="R385" s="34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706</v>
      </c>
      <c r="B386" s="32"/>
      <c r="D386" t="str">
        <f>IF($C386="","",IFERROR(LOOKUP(2,1/('03_Warehouse_Movements'!$C$2:$C$500=$A386),'03_Warehouse_Movements'!$E$2:$E$500),$C386))</f>
        <v/>
      </c>
      <c r="E386" t="s">
        <v>219</v>
      </c>
      <c r="G386" s="35"/>
      <c r="H386" s="34" t="str">
        <f t="shared" ref="H386:H449" si="12">IF(AND($F386="TEMP",$G386&gt;0,$M386&lt;&gt;""),$M386+$G386,"")</f>
        <v/>
      </c>
      <c r="I386" s="32"/>
      <c r="J386" s="32"/>
      <c r="K386" s="34"/>
      <c r="M386" s="78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35"/>
      <c r="R386" s="34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707</v>
      </c>
      <c r="B387" s="32"/>
      <c r="D387" t="str">
        <f>IF($C387="","",IFERROR(LOOKUP(2,1/('03_Warehouse_Movements'!$C$2:$C$500=$A387),'03_Warehouse_Movements'!$E$2:$E$500),$C387))</f>
        <v/>
      </c>
      <c r="E387" t="s">
        <v>219</v>
      </c>
      <c r="G387" s="35"/>
      <c r="H387" s="34" t="str">
        <f t="shared" si="12"/>
        <v/>
      </c>
      <c r="I387" s="32"/>
      <c r="J387" s="32"/>
      <c r="K387" s="34"/>
      <c r="M387" s="78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35"/>
      <c r="R387" s="34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708</v>
      </c>
      <c r="B388" s="32"/>
      <c r="D388" t="str">
        <f>IF($C388="","",IFERROR(LOOKUP(2,1/('03_Warehouse_Movements'!$C$2:$C$500=$A388),'03_Warehouse_Movements'!$E$2:$E$500),$C388))</f>
        <v/>
      </c>
      <c r="E388" t="s">
        <v>219</v>
      </c>
      <c r="G388" s="35"/>
      <c r="H388" s="34" t="str">
        <f t="shared" si="12"/>
        <v/>
      </c>
      <c r="I388" s="32"/>
      <c r="J388" s="32"/>
      <c r="K388" s="34"/>
      <c r="M388" s="78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35"/>
      <c r="R388" s="34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709</v>
      </c>
      <c r="B389" s="32"/>
      <c r="D389" t="str">
        <f>IF($C389="","",IFERROR(LOOKUP(2,1/('03_Warehouse_Movements'!$C$2:$C$500=$A389),'03_Warehouse_Movements'!$E$2:$E$500),$C389))</f>
        <v/>
      </c>
      <c r="E389" t="s">
        <v>219</v>
      </c>
      <c r="G389" s="35"/>
      <c r="H389" s="34" t="str">
        <f t="shared" si="12"/>
        <v/>
      </c>
      <c r="I389" s="32"/>
      <c r="J389" s="32"/>
      <c r="K389" s="34"/>
      <c r="M389" s="78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35"/>
      <c r="R389" s="34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710</v>
      </c>
      <c r="B390" s="32"/>
      <c r="D390" t="str">
        <f>IF($C390="","",IFERROR(LOOKUP(2,1/('03_Warehouse_Movements'!$C$2:$C$500=$A390),'03_Warehouse_Movements'!$E$2:$E$500),$C390))</f>
        <v/>
      </c>
      <c r="E390" t="s">
        <v>219</v>
      </c>
      <c r="G390" s="35"/>
      <c r="H390" s="34" t="str">
        <f t="shared" si="12"/>
        <v/>
      </c>
      <c r="I390" s="32"/>
      <c r="J390" s="32"/>
      <c r="K390" s="34"/>
      <c r="M390" s="78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35"/>
      <c r="R390" s="34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711</v>
      </c>
      <c r="B391" s="32"/>
      <c r="D391" t="str">
        <f>IF($C391="","",IFERROR(LOOKUP(2,1/('03_Warehouse_Movements'!$C$2:$C$500=$A391),'03_Warehouse_Movements'!$E$2:$E$500),$C391))</f>
        <v/>
      </c>
      <c r="E391" t="s">
        <v>219</v>
      </c>
      <c r="G391" s="35"/>
      <c r="H391" s="34" t="str">
        <f t="shared" si="12"/>
        <v/>
      </c>
      <c r="I391" s="32"/>
      <c r="J391" s="32"/>
      <c r="K391" s="34"/>
      <c r="M391" s="78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35"/>
      <c r="R391" s="34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712</v>
      </c>
      <c r="B392" s="32"/>
      <c r="D392" t="str">
        <f>IF($C392="","",IFERROR(LOOKUP(2,1/('03_Warehouse_Movements'!$C$2:$C$500=$A392),'03_Warehouse_Movements'!$E$2:$E$500),$C392))</f>
        <v/>
      </c>
      <c r="E392" t="s">
        <v>219</v>
      </c>
      <c r="G392" s="35"/>
      <c r="H392" s="34" t="str">
        <f t="shared" si="12"/>
        <v/>
      </c>
      <c r="I392" s="32"/>
      <c r="J392" s="32"/>
      <c r="K392" s="34"/>
      <c r="M392" s="78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35"/>
      <c r="R392" s="34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713</v>
      </c>
      <c r="B393" s="32"/>
      <c r="D393" t="str">
        <f>IF($C393="","",IFERROR(LOOKUP(2,1/('03_Warehouse_Movements'!$C$2:$C$500=$A393),'03_Warehouse_Movements'!$E$2:$E$500),$C393))</f>
        <v/>
      </c>
      <c r="E393" t="s">
        <v>219</v>
      </c>
      <c r="G393" s="35"/>
      <c r="H393" s="34" t="str">
        <f t="shared" si="12"/>
        <v/>
      </c>
      <c r="I393" s="32"/>
      <c r="J393" s="32"/>
      <c r="K393" s="34"/>
      <c r="M393" s="78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35"/>
      <c r="R393" s="34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714</v>
      </c>
      <c r="B394" s="32"/>
      <c r="D394" t="str">
        <f>IF($C394="","",IFERROR(LOOKUP(2,1/('03_Warehouse_Movements'!$C$2:$C$500=$A394),'03_Warehouse_Movements'!$E$2:$E$500),$C394))</f>
        <v/>
      </c>
      <c r="E394" t="s">
        <v>219</v>
      </c>
      <c r="G394" s="35"/>
      <c r="H394" s="34" t="str">
        <f t="shared" si="12"/>
        <v/>
      </c>
      <c r="I394" s="32"/>
      <c r="J394" s="32"/>
      <c r="K394" s="34"/>
      <c r="M394" s="78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35"/>
      <c r="R394" s="34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715</v>
      </c>
      <c r="B395" s="32"/>
      <c r="D395" t="str">
        <f>IF($C395="","",IFERROR(LOOKUP(2,1/('03_Warehouse_Movements'!$C$2:$C$500=$A395),'03_Warehouse_Movements'!$E$2:$E$500),$C395))</f>
        <v/>
      </c>
      <c r="E395" t="s">
        <v>219</v>
      </c>
      <c r="G395" s="35"/>
      <c r="H395" s="34" t="str">
        <f t="shared" si="12"/>
        <v/>
      </c>
      <c r="I395" s="32"/>
      <c r="J395" s="32"/>
      <c r="K395" s="34"/>
      <c r="M395" s="78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35"/>
      <c r="R395" s="34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716</v>
      </c>
      <c r="B396" s="32"/>
      <c r="D396" t="str">
        <f>IF($C396="","",IFERROR(LOOKUP(2,1/('03_Warehouse_Movements'!$C$2:$C$500=$A396),'03_Warehouse_Movements'!$E$2:$E$500),$C396))</f>
        <v/>
      </c>
      <c r="E396" t="s">
        <v>219</v>
      </c>
      <c r="G396" s="35"/>
      <c r="H396" s="34" t="str">
        <f t="shared" si="12"/>
        <v/>
      </c>
      <c r="I396" s="32"/>
      <c r="J396" s="32"/>
      <c r="K396" s="34"/>
      <c r="M396" s="78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35"/>
      <c r="R396" s="34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717</v>
      </c>
      <c r="B397" s="32"/>
      <c r="D397" t="str">
        <f>IF($C397="","",IFERROR(LOOKUP(2,1/('03_Warehouse_Movements'!$C$2:$C$500=$A397),'03_Warehouse_Movements'!$E$2:$E$500),$C397))</f>
        <v/>
      </c>
      <c r="E397" t="s">
        <v>219</v>
      </c>
      <c r="G397" s="35"/>
      <c r="H397" s="34" t="str">
        <f t="shared" si="12"/>
        <v/>
      </c>
      <c r="I397" s="32"/>
      <c r="J397" s="32"/>
      <c r="K397" s="34"/>
      <c r="M397" s="78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35"/>
      <c r="R397" s="34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718</v>
      </c>
      <c r="B398" s="32"/>
      <c r="D398" t="str">
        <f>IF($C398="","",IFERROR(LOOKUP(2,1/('03_Warehouse_Movements'!$C$2:$C$500=$A398),'03_Warehouse_Movements'!$E$2:$E$500),$C398))</f>
        <v/>
      </c>
      <c r="E398" t="s">
        <v>219</v>
      </c>
      <c r="G398" s="35"/>
      <c r="H398" s="34" t="str">
        <f t="shared" si="12"/>
        <v/>
      </c>
      <c r="I398" s="32"/>
      <c r="J398" s="32"/>
      <c r="K398" s="34"/>
      <c r="M398" s="78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35"/>
      <c r="R398" s="34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719</v>
      </c>
      <c r="B399" s="32"/>
      <c r="D399" t="str">
        <f>IF($C399="","",IFERROR(LOOKUP(2,1/('03_Warehouse_Movements'!$C$2:$C$500=$A399),'03_Warehouse_Movements'!$E$2:$E$500),$C399))</f>
        <v/>
      </c>
      <c r="E399" t="s">
        <v>219</v>
      </c>
      <c r="G399" s="35"/>
      <c r="H399" s="34" t="str">
        <f t="shared" si="12"/>
        <v/>
      </c>
      <c r="I399" s="32"/>
      <c r="J399" s="32"/>
      <c r="K399" s="34"/>
      <c r="M399" s="78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35"/>
      <c r="R399" s="34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720</v>
      </c>
      <c r="B400" s="32"/>
      <c r="D400" t="str">
        <f>IF($C400="","",IFERROR(LOOKUP(2,1/('03_Warehouse_Movements'!$C$2:$C$500=$A400),'03_Warehouse_Movements'!$E$2:$E$500),$C400))</f>
        <v/>
      </c>
      <c r="E400" t="s">
        <v>219</v>
      </c>
      <c r="G400" s="35"/>
      <c r="H400" s="34" t="str">
        <f t="shared" si="12"/>
        <v/>
      </c>
      <c r="I400" s="32"/>
      <c r="J400" s="32"/>
      <c r="K400" s="34"/>
      <c r="M400" s="78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35"/>
      <c r="R400" s="34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721</v>
      </c>
      <c r="B401" s="32"/>
      <c r="D401" t="str">
        <f>IF($C401="","",IFERROR(LOOKUP(2,1/('03_Warehouse_Movements'!$C$2:$C$500=$A401),'03_Warehouse_Movements'!$E$2:$E$500),$C401))</f>
        <v/>
      </c>
      <c r="E401" t="s">
        <v>219</v>
      </c>
      <c r="G401" s="35"/>
      <c r="H401" s="34" t="str">
        <f t="shared" si="12"/>
        <v/>
      </c>
      <c r="I401" s="32"/>
      <c r="J401" s="32"/>
      <c r="K401" s="34"/>
      <c r="M401" s="78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35"/>
      <c r="R401" s="34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722</v>
      </c>
      <c r="B402" s="32"/>
      <c r="D402" t="str">
        <f>IF($C402="","",IFERROR(LOOKUP(2,1/('03_Warehouse_Movements'!$C$2:$C$500=$A402),'03_Warehouse_Movements'!$E$2:$E$500),$C402))</f>
        <v/>
      </c>
      <c r="E402" t="s">
        <v>219</v>
      </c>
      <c r="G402" s="35"/>
      <c r="H402" s="34" t="str">
        <f t="shared" si="12"/>
        <v/>
      </c>
      <c r="I402" s="32"/>
      <c r="J402" s="32"/>
      <c r="K402" s="34"/>
      <c r="M402" s="78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35"/>
      <c r="R402" s="34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723</v>
      </c>
      <c r="B403" s="32"/>
      <c r="D403" t="str">
        <f>IF($C403="","",IFERROR(LOOKUP(2,1/('03_Warehouse_Movements'!$C$2:$C$500=$A403),'03_Warehouse_Movements'!$E$2:$E$500),$C403))</f>
        <v/>
      </c>
      <c r="E403" t="s">
        <v>219</v>
      </c>
      <c r="G403" s="35"/>
      <c r="H403" s="34" t="str">
        <f t="shared" si="12"/>
        <v/>
      </c>
      <c r="I403" s="32"/>
      <c r="J403" s="32"/>
      <c r="K403" s="34"/>
      <c r="M403" s="78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35"/>
      <c r="R403" s="34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724</v>
      </c>
      <c r="B404" s="32"/>
      <c r="D404" t="str">
        <f>IF($C404="","",IFERROR(LOOKUP(2,1/('03_Warehouse_Movements'!$C$2:$C$500=$A404),'03_Warehouse_Movements'!$E$2:$E$500),$C404))</f>
        <v/>
      </c>
      <c r="E404" t="s">
        <v>219</v>
      </c>
      <c r="G404" s="35"/>
      <c r="H404" s="34" t="str">
        <f t="shared" si="12"/>
        <v/>
      </c>
      <c r="I404" s="32"/>
      <c r="J404" s="32"/>
      <c r="K404" s="34"/>
      <c r="M404" s="78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35"/>
      <c r="R404" s="34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725</v>
      </c>
      <c r="B405" s="32"/>
      <c r="D405" t="str">
        <f>IF($C405="","",IFERROR(LOOKUP(2,1/('03_Warehouse_Movements'!$C$2:$C$500=$A405),'03_Warehouse_Movements'!$E$2:$E$500),$C405))</f>
        <v/>
      </c>
      <c r="E405" t="s">
        <v>219</v>
      </c>
      <c r="G405" s="35"/>
      <c r="H405" s="34" t="str">
        <f t="shared" si="12"/>
        <v/>
      </c>
      <c r="I405" s="32"/>
      <c r="J405" s="32"/>
      <c r="K405" s="34"/>
      <c r="M405" s="78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35"/>
      <c r="R405" s="34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726</v>
      </c>
      <c r="B406" s="32"/>
      <c r="D406" t="str">
        <f>IF($C406="","",IFERROR(LOOKUP(2,1/('03_Warehouse_Movements'!$C$2:$C$500=$A406),'03_Warehouse_Movements'!$E$2:$E$500),$C406))</f>
        <v/>
      </c>
      <c r="E406" t="s">
        <v>219</v>
      </c>
      <c r="G406" s="35"/>
      <c r="H406" s="34" t="str">
        <f t="shared" si="12"/>
        <v/>
      </c>
      <c r="I406" s="32"/>
      <c r="J406" s="32"/>
      <c r="K406" s="34"/>
      <c r="M406" s="78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35"/>
      <c r="R406" s="34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727</v>
      </c>
      <c r="B407" s="32"/>
      <c r="D407" t="str">
        <f>IF($C407="","",IFERROR(LOOKUP(2,1/('03_Warehouse_Movements'!$C$2:$C$500=$A407),'03_Warehouse_Movements'!$E$2:$E$500),$C407))</f>
        <v/>
      </c>
      <c r="E407" t="s">
        <v>219</v>
      </c>
      <c r="G407" s="35"/>
      <c r="H407" s="34" t="str">
        <f t="shared" si="12"/>
        <v/>
      </c>
      <c r="I407" s="32"/>
      <c r="J407" s="32"/>
      <c r="K407" s="34"/>
      <c r="M407" s="78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35"/>
      <c r="R407" s="34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728</v>
      </c>
      <c r="B408" s="32"/>
      <c r="D408" t="str">
        <f>IF($C408="","",IFERROR(LOOKUP(2,1/('03_Warehouse_Movements'!$C$2:$C$500=$A408),'03_Warehouse_Movements'!$E$2:$E$500),$C408))</f>
        <v/>
      </c>
      <c r="E408" t="s">
        <v>219</v>
      </c>
      <c r="G408" s="35"/>
      <c r="H408" s="34" t="str">
        <f t="shared" si="12"/>
        <v/>
      </c>
      <c r="I408" s="32"/>
      <c r="J408" s="32"/>
      <c r="K408" s="34"/>
      <c r="M408" s="78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35"/>
      <c r="R408" s="34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729</v>
      </c>
      <c r="B409" s="32"/>
      <c r="D409" t="str">
        <f>IF($C409="","",IFERROR(LOOKUP(2,1/('03_Warehouse_Movements'!$C$2:$C$500=$A409),'03_Warehouse_Movements'!$E$2:$E$500),$C409))</f>
        <v/>
      </c>
      <c r="E409" t="s">
        <v>219</v>
      </c>
      <c r="G409" s="35"/>
      <c r="H409" s="34" t="str">
        <f t="shared" si="12"/>
        <v/>
      </c>
      <c r="I409" s="32"/>
      <c r="J409" s="32"/>
      <c r="K409" s="34"/>
      <c r="M409" s="78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35"/>
      <c r="R409" s="34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730</v>
      </c>
      <c r="B410" s="32"/>
      <c r="D410" t="str">
        <f>IF($C410="","",IFERROR(LOOKUP(2,1/('03_Warehouse_Movements'!$C$2:$C$500=$A410),'03_Warehouse_Movements'!$E$2:$E$500),$C410))</f>
        <v/>
      </c>
      <c r="E410" t="s">
        <v>219</v>
      </c>
      <c r="G410" s="35"/>
      <c r="H410" s="34" t="str">
        <f t="shared" si="12"/>
        <v/>
      </c>
      <c r="I410" s="32"/>
      <c r="J410" s="32"/>
      <c r="K410" s="34"/>
      <c r="M410" s="78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35"/>
      <c r="R410" s="34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731</v>
      </c>
      <c r="B411" s="32"/>
      <c r="D411" t="str">
        <f>IF($C411="","",IFERROR(LOOKUP(2,1/('03_Warehouse_Movements'!$C$2:$C$500=$A411),'03_Warehouse_Movements'!$E$2:$E$500),$C411))</f>
        <v/>
      </c>
      <c r="E411" t="s">
        <v>219</v>
      </c>
      <c r="G411" s="35"/>
      <c r="H411" s="34" t="str">
        <f t="shared" si="12"/>
        <v/>
      </c>
      <c r="I411" s="32"/>
      <c r="J411" s="32"/>
      <c r="K411" s="34"/>
      <c r="M411" s="78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35"/>
      <c r="R411" s="34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732</v>
      </c>
      <c r="B412" s="32"/>
      <c r="D412" t="str">
        <f>IF($C412="","",IFERROR(LOOKUP(2,1/('03_Warehouse_Movements'!$C$2:$C$500=$A412),'03_Warehouse_Movements'!$E$2:$E$500),$C412))</f>
        <v/>
      </c>
      <c r="E412" t="s">
        <v>219</v>
      </c>
      <c r="G412" s="35"/>
      <c r="H412" s="34" t="str">
        <f t="shared" si="12"/>
        <v/>
      </c>
      <c r="I412" s="32"/>
      <c r="J412" s="32"/>
      <c r="K412" s="34"/>
      <c r="M412" s="78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35"/>
      <c r="R412" s="34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733</v>
      </c>
      <c r="B413" s="32"/>
      <c r="D413" t="str">
        <f>IF($C413="","",IFERROR(LOOKUP(2,1/('03_Warehouse_Movements'!$C$2:$C$500=$A413),'03_Warehouse_Movements'!$E$2:$E$500),$C413))</f>
        <v/>
      </c>
      <c r="E413" t="s">
        <v>219</v>
      </c>
      <c r="G413" s="35"/>
      <c r="H413" s="34" t="str">
        <f t="shared" si="12"/>
        <v/>
      </c>
      <c r="I413" s="32"/>
      <c r="J413" s="32"/>
      <c r="K413" s="34"/>
      <c r="M413" s="78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35"/>
      <c r="R413" s="34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734</v>
      </c>
      <c r="B414" s="32"/>
      <c r="D414" t="str">
        <f>IF($C414="","",IFERROR(LOOKUP(2,1/('03_Warehouse_Movements'!$C$2:$C$500=$A414),'03_Warehouse_Movements'!$E$2:$E$500),$C414))</f>
        <v/>
      </c>
      <c r="E414" t="s">
        <v>219</v>
      </c>
      <c r="G414" s="35"/>
      <c r="H414" s="34" t="str">
        <f t="shared" si="12"/>
        <v/>
      </c>
      <c r="I414" s="32"/>
      <c r="J414" s="32"/>
      <c r="K414" s="34"/>
      <c r="M414" s="78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35"/>
      <c r="R414" s="34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735</v>
      </c>
      <c r="B415" s="32"/>
      <c r="D415" t="str">
        <f>IF($C415="","",IFERROR(LOOKUP(2,1/('03_Warehouse_Movements'!$C$2:$C$500=$A415),'03_Warehouse_Movements'!$E$2:$E$500),$C415))</f>
        <v/>
      </c>
      <c r="E415" t="s">
        <v>219</v>
      </c>
      <c r="G415" s="35"/>
      <c r="H415" s="34" t="str">
        <f t="shared" si="12"/>
        <v/>
      </c>
      <c r="I415" s="32"/>
      <c r="J415" s="32"/>
      <c r="K415" s="34"/>
      <c r="M415" s="78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35"/>
      <c r="R415" s="34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736</v>
      </c>
      <c r="B416" s="32"/>
      <c r="D416" t="str">
        <f>IF($C416="","",IFERROR(LOOKUP(2,1/('03_Warehouse_Movements'!$C$2:$C$500=$A416),'03_Warehouse_Movements'!$E$2:$E$500),$C416))</f>
        <v/>
      </c>
      <c r="E416" t="s">
        <v>219</v>
      </c>
      <c r="G416" s="35"/>
      <c r="H416" s="34" t="str">
        <f t="shared" si="12"/>
        <v/>
      </c>
      <c r="I416" s="32"/>
      <c r="J416" s="32"/>
      <c r="K416" s="34"/>
      <c r="M416" s="78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35"/>
      <c r="R416" s="34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737</v>
      </c>
      <c r="B417" s="32"/>
      <c r="D417" t="str">
        <f>IF($C417="","",IFERROR(LOOKUP(2,1/('03_Warehouse_Movements'!$C$2:$C$500=$A417),'03_Warehouse_Movements'!$E$2:$E$500),$C417))</f>
        <v/>
      </c>
      <c r="E417" t="s">
        <v>219</v>
      </c>
      <c r="G417" s="35"/>
      <c r="H417" s="34" t="str">
        <f t="shared" si="12"/>
        <v/>
      </c>
      <c r="I417" s="32"/>
      <c r="J417" s="32"/>
      <c r="K417" s="34"/>
      <c r="M417" s="78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35"/>
      <c r="R417" s="34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738</v>
      </c>
      <c r="B418" s="32"/>
      <c r="D418" t="str">
        <f>IF($C418="","",IFERROR(LOOKUP(2,1/('03_Warehouse_Movements'!$C$2:$C$500=$A418),'03_Warehouse_Movements'!$E$2:$E$500),$C418))</f>
        <v/>
      </c>
      <c r="E418" t="s">
        <v>219</v>
      </c>
      <c r="G418" s="35"/>
      <c r="H418" s="34" t="str">
        <f t="shared" si="12"/>
        <v/>
      </c>
      <c r="I418" s="32"/>
      <c r="J418" s="32"/>
      <c r="K418" s="34"/>
      <c r="M418" s="78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35"/>
      <c r="R418" s="34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739</v>
      </c>
      <c r="B419" s="32"/>
      <c r="D419" t="str">
        <f>IF($C419="","",IFERROR(LOOKUP(2,1/('03_Warehouse_Movements'!$C$2:$C$500=$A419),'03_Warehouse_Movements'!$E$2:$E$500),$C419))</f>
        <v/>
      </c>
      <c r="E419" t="s">
        <v>219</v>
      </c>
      <c r="G419" s="35"/>
      <c r="H419" s="34" t="str">
        <f t="shared" si="12"/>
        <v/>
      </c>
      <c r="I419" s="32"/>
      <c r="J419" s="32"/>
      <c r="K419" s="34"/>
      <c r="M419" s="78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35"/>
      <c r="R419" s="34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740</v>
      </c>
      <c r="B420" s="32"/>
      <c r="D420" t="str">
        <f>IF($C420="","",IFERROR(LOOKUP(2,1/('03_Warehouse_Movements'!$C$2:$C$500=$A420),'03_Warehouse_Movements'!$E$2:$E$500),$C420))</f>
        <v/>
      </c>
      <c r="E420" t="s">
        <v>219</v>
      </c>
      <c r="G420" s="35"/>
      <c r="H420" s="34" t="str">
        <f t="shared" si="12"/>
        <v/>
      </c>
      <c r="I420" s="32"/>
      <c r="J420" s="32"/>
      <c r="K420" s="34"/>
      <c r="M420" s="78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35"/>
      <c r="R420" s="34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741</v>
      </c>
      <c r="B421" s="32"/>
      <c r="D421" t="str">
        <f>IF($C421="","",IFERROR(LOOKUP(2,1/('03_Warehouse_Movements'!$C$2:$C$500=$A421),'03_Warehouse_Movements'!$E$2:$E$500),$C421))</f>
        <v/>
      </c>
      <c r="E421" t="s">
        <v>219</v>
      </c>
      <c r="G421" s="35"/>
      <c r="H421" s="34" t="str">
        <f t="shared" si="12"/>
        <v/>
      </c>
      <c r="I421" s="32"/>
      <c r="J421" s="32"/>
      <c r="K421" s="34"/>
      <c r="M421" s="78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35"/>
      <c r="R421" s="34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742</v>
      </c>
      <c r="B422" s="32"/>
      <c r="D422" t="str">
        <f>IF($C422="","",IFERROR(LOOKUP(2,1/('03_Warehouse_Movements'!$C$2:$C$500=$A422),'03_Warehouse_Movements'!$E$2:$E$500),$C422))</f>
        <v/>
      </c>
      <c r="E422" t="s">
        <v>219</v>
      </c>
      <c r="G422" s="35"/>
      <c r="H422" s="34" t="str">
        <f t="shared" si="12"/>
        <v/>
      </c>
      <c r="I422" s="32"/>
      <c r="J422" s="32"/>
      <c r="K422" s="34"/>
      <c r="M422" s="78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35"/>
      <c r="R422" s="34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743</v>
      </c>
      <c r="B423" s="32"/>
      <c r="D423" t="str">
        <f>IF($C423="","",IFERROR(LOOKUP(2,1/('03_Warehouse_Movements'!$C$2:$C$500=$A423),'03_Warehouse_Movements'!$E$2:$E$500),$C423))</f>
        <v/>
      </c>
      <c r="E423" t="s">
        <v>219</v>
      </c>
      <c r="G423" s="35"/>
      <c r="H423" s="34" t="str">
        <f t="shared" si="12"/>
        <v/>
      </c>
      <c r="I423" s="32"/>
      <c r="J423" s="32"/>
      <c r="K423" s="34"/>
      <c r="M423" s="78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35"/>
      <c r="R423" s="34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744</v>
      </c>
      <c r="B424" s="32"/>
      <c r="D424" t="str">
        <f>IF($C424="","",IFERROR(LOOKUP(2,1/('03_Warehouse_Movements'!$C$2:$C$500=$A424),'03_Warehouse_Movements'!$E$2:$E$500),$C424))</f>
        <v/>
      </c>
      <c r="E424" t="s">
        <v>219</v>
      </c>
      <c r="G424" s="35"/>
      <c r="H424" s="34" t="str">
        <f t="shared" si="12"/>
        <v/>
      </c>
      <c r="I424" s="32"/>
      <c r="J424" s="32"/>
      <c r="K424" s="34"/>
      <c r="M424" s="78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35"/>
      <c r="R424" s="34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745</v>
      </c>
      <c r="B425" s="32"/>
      <c r="D425" t="str">
        <f>IF($C425="","",IFERROR(LOOKUP(2,1/('03_Warehouse_Movements'!$C$2:$C$500=$A425),'03_Warehouse_Movements'!$E$2:$E$500),$C425))</f>
        <v/>
      </c>
      <c r="E425" t="s">
        <v>219</v>
      </c>
      <c r="G425" s="35"/>
      <c r="H425" s="34" t="str">
        <f t="shared" si="12"/>
        <v/>
      </c>
      <c r="I425" s="32"/>
      <c r="J425" s="32"/>
      <c r="K425" s="34"/>
      <c r="M425" s="78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35"/>
      <c r="R425" s="34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746</v>
      </c>
      <c r="B426" s="32"/>
      <c r="D426" t="str">
        <f>IF($C426="","",IFERROR(LOOKUP(2,1/('03_Warehouse_Movements'!$C$2:$C$500=$A426),'03_Warehouse_Movements'!$E$2:$E$500),$C426))</f>
        <v/>
      </c>
      <c r="E426" t="s">
        <v>219</v>
      </c>
      <c r="G426" s="35"/>
      <c r="H426" s="34" t="str">
        <f t="shared" si="12"/>
        <v/>
      </c>
      <c r="I426" s="32"/>
      <c r="J426" s="32"/>
      <c r="K426" s="34"/>
      <c r="M426" s="78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35"/>
      <c r="R426" s="34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747</v>
      </c>
      <c r="B427" s="32"/>
      <c r="D427" t="str">
        <f>IF($C427="","",IFERROR(LOOKUP(2,1/('03_Warehouse_Movements'!$C$2:$C$500=$A427),'03_Warehouse_Movements'!$E$2:$E$500),$C427))</f>
        <v/>
      </c>
      <c r="E427" t="s">
        <v>219</v>
      </c>
      <c r="G427" s="35"/>
      <c r="H427" s="34" t="str">
        <f t="shared" si="12"/>
        <v/>
      </c>
      <c r="I427" s="32"/>
      <c r="J427" s="32"/>
      <c r="K427" s="34"/>
      <c r="M427" s="78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35"/>
      <c r="R427" s="34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748</v>
      </c>
      <c r="B428" s="32"/>
      <c r="D428" t="str">
        <f>IF($C428="","",IFERROR(LOOKUP(2,1/('03_Warehouse_Movements'!$C$2:$C$500=$A428),'03_Warehouse_Movements'!$E$2:$E$500),$C428))</f>
        <v/>
      </c>
      <c r="E428" t="s">
        <v>219</v>
      </c>
      <c r="G428" s="35"/>
      <c r="H428" s="34" t="str">
        <f t="shared" si="12"/>
        <v/>
      </c>
      <c r="I428" s="32"/>
      <c r="J428" s="32"/>
      <c r="K428" s="34"/>
      <c r="M428" s="78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35"/>
      <c r="R428" s="34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749</v>
      </c>
      <c r="B429" s="32"/>
      <c r="D429" t="str">
        <f>IF($C429="","",IFERROR(LOOKUP(2,1/('03_Warehouse_Movements'!$C$2:$C$500=$A429),'03_Warehouse_Movements'!$E$2:$E$500),$C429))</f>
        <v/>
      </c>
      <c r="E429" t="s">
        <v>219</v>
      </c>
      <c r="G429" s="35"/>
      <c r="H429" s="34" t="str">
        <f t="shared" si="12"/>
        <v/>
      </c>
      <c r="I429" s="32"/>
      <c r="J429" s="32"/>
      <c r="K429" s="34"/>
      <c r="M429" s="78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35"/>
      <c r="R429" s="34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750</v>
      </c>
      <c r="B430" s="32"/>
      <c r="D430" t="str">
        <f>IF($C430="","",IFERROR(LOOKUP(2,1/('03_Warehouse_Movements'!$C$2:$C$500=$A430),'03_Warehouse_Movements'!$E$2:$E$500),$C430))</f>
        <v/>
      </c>
      <c r="E430" t="s">
        <v>219</v>
      </c>
      <c r="G430" s="35"/>
      <c r="H430" s="34" t="str">
        <f t="shared" si="12"/>
        <v/>
      </c>
      <c r="I430" s="32"/>
      <c r="J430" s="32"/>
      <c r="K430" s="34"/>
      <c r="M430" s="78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35"/>
      <c r="R430" s="34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751</v>
      </c>
      <c r="B431" s="32"/>
      <c r="D431" t="str">
        <f>IF($C431="","",IFERROR(LOOKUP(2,1/('03_Warehouse_Movements'!$C$2:$C$500=$A431),'03_Warehouse_Movements'!$E$2:$E$500),$C431))</f>
        <v/>
      </c>
      <c r="E431" t="s">
        <v>219</v>
      </c>
      <c r="G431" s="35"/>
      <c r="H431" s="34" t="str">
        <f t="shared" si="12"/>
        <v/>
      </c>
      <c r="I431" s="32"/>
      <c r="J431" s="32"/>
      <c r="K431" s="34"/>
      <c r="M431" s="78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35"/>
      <c r="R431" s="34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752</v>
      </c>
      <c r="B432" s="32"/>
      <c r="D432" t="str">
        <f>IF($C432="","",IFERROR(LOOKUP(2,1/('03_Warehouse_Movements'!$C$2:$C$500=$A432),'03_Warehouse_Movements'!$E$2:$E$500),$C432))</f>
        <v/>
      </c>
      <c r="E432" t="s">
        <v>219</v>
      </c>
      <c r="G432" s="35"/>
      <c r="H432" s="34" t="str">
        <f t="shared" si="12"/>
        <v/>
      </c>
      <c r="I432" s="32"/>
      <c r="J432" s="32"/>
      <c r="K432" s="34"/>
      <c r="M432" s="78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35"/>
      <c r="R432" s="34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753</v>
      </c>
      <c r="B433" s="32"/>
      <c r="D433" t="str">
        <f>IF($C433="","",IFERROR(LOOKUP(2,1/('03_Warehouse_Movements'!$C$2:$C$500=$A433),'03_Warehouse_Movements'!$E$2:$E$500),$C433))</f>
        <v/>
      </c>
      <c r="E433" t="s">
        <v>219</v>
      </c>
      <c r="G433" s="35"/>
      <c r="H433" s="34" t="str">
        <f t="shared" si="12"/>
        <v/>
      </c>
      <c r="I433" s="32"/>
      <c r="J433" s="32"/>
      <c r="K433" s="34"/>
      <c r="M433" s="78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35"/>
      <c r="R433" s="34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754</v>
      </c>
      <c r="B434" s="32"/>
      <c r="D434" t="str">
        <f>IF($C434="","",IFERROR(LOOKUP(2,1/('03_Warehouse_Movements'!$C$2:$C$500=$A434),'03_Warehouse_Movements'!$E$2:$E$500),$C434))</f>
        <v/>
      </c>
      <c r="E434" t="s">
        <v>219</v>
      </c>
      <c r="G434" s="35"/>
      <c r="H434" s="34" t="str">
        <f t="shared" si="12"/>
        <v/>
      </c>
      <c r="I434" s="32"/>
      <c r="J434" s="32"/>
      <c r="K434" s="34"/>
      <c r="M434" s="78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35"/>
      <c r="R434" s="34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755</v>
      </c>
      <c r="B435" s="32"/>
      <c r="D435" t="str">
        <f>IF($C435="","",IFERROR(LOOKUP(2,1/('03_Warehouse_Movements'!$C$2:$C$500=$A435),'03_Warehouse_Movements'!$E$2:$E$500),$C435))</f>
        <v/>
      </c>
      <c r="E435" t="s">
        <v>219</v>
      </c>
      <c r="G435" s="35"/>
      <c r="H435" s="34" t="str">
        <f t="shared" si="12"/>
        <v/>
      </c>
      <c r="I435" s="32"/>
      <c r="J435" s="32"/>
      <c r="K435" s="34"/>
      <c r="M435" s="78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35"/>
      <c r="R435" s="34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756</v>
      </c>
      <c r="B436" s="32"/>
      <c r="D436" t="str">
        <f>IF($C436="","",IFERROR(LOOKUP(2,1/('03_Warehouse_Movements'!$C$2:$C$500=$A436),'03_Warehouse_Movements'!$E$2:$E$500),$C436))</f>
        <v/>
      </c>
      <c r="E436" t="s">
        <v>219</v>
      </c>
      <c r="G436" s="35"/>
      <c r="H436" s="34" t="str">
        <f t="shared" si="12"/>
        <v/>
      </c>
      <c r="I436" s="32"/>
      <c r="J436" s="32"/>
      <c r="K436" s="34"/>
      <c r="M436" s="78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35"/>
      <c r="R436" s="34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757</v>
      </c>
      <c r="B437" s="32"/>
      <c r="D437" t="str">
        <f>IF($C437="","",IFERROR(LOOKUP(2,1/('03_Warehouse_Movements'!$C$2:$C$500=$A437),'03_Warehouse_Movements'!$E$2:$E$500),$C437))</f>
        <v/>
      </c>
      <c r="E437" t="s">
        <v>219</v>
      </c>
      <c r="G437" s="35"/>
      <c r="H437" s="34" t="str">
        <f t="shared" si="12"/>
        <v/>
      </c>
      <c r="I437" s="32"/>
      <c r="J437" s="32"/>
      <c r="K437" s="34"/>
      <c r="M437" s="78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35"/>
      <c r="R437" s="34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758</v>
      </c>
      <c r="B438" s="32"/>
      <c r="D438" t="str">
        <f>IF($C438="","",IFERROR(LOOKUP(2,1/('03_Warehouse_Movements'!$C$2:$C$500=$A438),'03_Warehouse_Movements'!$E$2:$E$500),$C438))</f>
        <v/>
      </c>
      <c r="E438" t="s">
        <v>219</v>
      </c>
      <c r="G438" s="35"/>
      <c r="H438" s="34" t="str">
        <f t="shared" si="12"/>
        <v/>
      </c>
      <c r="I438" s="32"/>
      <c r="J438" s="32"/>
      <c r="K438" s="34"/>
      <c r="M438" s="78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35"/>
      <c r="R438" s="34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759</v>
      </c>
      <c r="B439" s="32"/>
      <c r="D439" t="str">
        <f>IF($C439="","",IFERROR(LOOKUP(2,1/('03_Warehouse_Movements'!$C$2:$C$500=$A439),'03_Warehouse_Movements'!$E$2:$E$500),$C439))</f>
        <v/>
      </c>
      <c r="E439" t="s">
        <v>219</v>
      </c>
      <c r="G439" s="35"/>
      <c r="H439" s="34" t="str">
        <f t="shared" si="12"/>
        <v/>
      </c>
      <c r="I439" s="32"/>
      <c r="J439" s="32"/>
      <c r="K439" s="34"/>
      <c r="M439" s="78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35"/>
      <c r="R439" s="34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760</v>
      </c>
      <c r="B440" s="32"/>
      <c r="D440" t="str">
        <f>IF($C440="","",IFERROR(LOOKUP(2,1/('03_Warehouse_Movements'!$C$2:$C$500=$A440),'03_Warehouse_Movements'!$E$2:$E$500),$C440))</f>
        <v/>
      </c>
      <c r="E440" t="s">
        <v>219</v>
      </c>
      <c r="G440" s="35"/>
      <c r="H440" s="34" t="str">
        <f t="shared" si="12"/>
        <v/>
      </c>
      <c r="I440" s="32"/>
      <c r="J440" s="32"/>
      <c r="K440" s="34"/>
      <c r="M440" s="78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35"/>
      <c r="R440" s="34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761</v>
      </c>
      <c r="B441" s="32"/>
      <c r="D441" t="str">
        <f>IF($C441="","",IFERROR(LOOKUP(2,1/('03_Warehouse_Movements'!$C$2:$C$500=$A441),'03_Warehouse_Movements'!$E$2:$E$500),$C441))</f>
        <v/>
      </c>
      <c r="E441" t="s">
        <v>219</v>
      </c>
      <c r="G441" s="35"/>
      <c r="H441" s="34" t="str">
        <f t="shared" si="12"/>
        <v/>
      </c>
      <c r="I441" s="32"/>
      <c r="J441" s="32"/>
      <c r="K441" s="34"/>
      <c r="M441" s="78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35"/>
      <c r="R441" s="34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762</v>
      </c>
      <c r="B442" s="32"/>
      <c r="D442" t="str">
        <f>IF($C442="","",IFERROR(LOOKUP(2,1/('03_Warehouse_Movements'!$C$2:$C$500=$A442),'03_Warehouse_Movements'!$E$2:$E$500),$C442))</f>
        <v/>
      </c>
      <c r="E442" t="s">
        <v>219</v>
      </c>
      <c r="G442" s="35"/>
      <c r="H442" s="34" t="str">
        <f t="shared" si="12"/>
        <v/>
      </c>
      <c r="I442" s="32"/>
      <c r="J442" s="32"/>
      <c r="K442" s="34"/>
      <c r="M442" s="78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35"/>
      <c r="R442" s="34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763</v>
      </c>
      <c r="B443" s="32"/>
      <c r="D443" t="str">
        <f>IF($C443="","",IFERROR(LOOKUP(2,1/('03_Warehouse_Movements'!$C$2:$C$500=$A443),'03_Warehouse_Movements'!$E$2:$E$500),$C443))</f>
        <v/>
      </c>
      <c r="E443" t="s">
        <v>219</v>
      </c>
      <c r="G443" s="35"/>
      <c r="H443" s="34" t="str">
        <f t="shared" si="12"/>
        <v/>
      </c>
      <c r="I443" s="32"/>
      <c r="J443" s="32"/>
      <c r="K443" s="34"/>
      <c r="M443" s="78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35"/>
      <c r="R443" s="34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764</v>
      </c>
      <c r="B444" s="32"/>
      <c r="D444" t="str">
        <f>IF($C444="","",IFERROR(LOOKUP(2,1/('03_Warehouse_Movements'!$C$2:$C$500=$A444),'03_Warehouse_Movements'!$E$2:$E$500),$C444))</f>
        <v/>
      </c>
      <c r="E444" t="s">
        <v>219</v>
      </c>
      <c r="G444" s="35"/>
      <c r="H444" s="34" t="str">
        <f t="shared" si="12"/>
        <v/>
      </c>
      <c r="I444" s="32"/>
      <c r="J444" s="32"/>
      <c r="K444" s="34"/>
      <c r="M444" s="78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35"/>
      <c r="R444" s="34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765</v>
      </c>
      <c r="B445" s="32"/>
      <c r="D445" t="str">
        <f>IF($C445="","",IFERROR(LOOKUP(2,1/('03_Warehouse_Movements'!$C$2:$C$500=$A445),'03_Warehouse_Movements'!$E$2:$E$500),$C445))</f>
        <v/>
      </c>
      <c r="E445" t="s">
        <v>219</v>
      </c>
      <c r="G445" s="35"/>
      <c r="H445" s="34" t="str">
        <f t="shared" si="12"/>
        <v/>
      </c>
      <c r="I445" s="32"/>
      <c r="J445" s="32"/>
      <c r="K445" s="34"/>
      <c r="M445" s="78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35"/>
      <c r="R445" s="34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766</v>
      </c>
      <c r="B446" s="32"/>
      <c r="D446" t="str">
        <f>IF($C446="","",IFERROR(LOOKUP(2,1/('03_Warehouse_Movements'!$C$2:$C$500=$A446),'03_Warehouse_Movements'!$E$2:$E$500),$C446))</f>
        <v/>
      </c>
      <c r="E446" t="s">
        <v>219</v>
      </c>
      <c r="G446" s="35"/>
      <c r="H446" s="34" t="str">
        <f t="shared" si="12"/>
        <v/>
      </c>
      <c r="I446" s="32"/>
      <c r="J446" s="32"/>
      <c r="K446" s="34"/>
      <c r="M446" s="78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35"/>
      <c r="R446" s="34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767</v>
      </c>
      <c r="B447" s="32"/>
      <c r="D447" t="str">
        <f>IF($C447="","",IFERROR(LOOKUP(2,1/('03_Warehouse_Movements'!$C$2:$C$500=$A447),'03_Warehouse_Movements'!$E$2:$E$500),$C447))</f>
        <v/>
      </c>
      <c r="E447" t="s">
        <v>219</v>
      </c>
      <c r="G447" s="35"/>
      <c r="H447" s="34" t="str">
        <f t="shared" si="12"/>
        <v/>
      </c>
      <c r="I447" s="32"/>
      <c r="J447" s="32"/>
      <c r="K447" s="34"/>
      <c r="M447" s="78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35"/>
      <c r="R447" s="34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768</v>
      </c>
      <c r="B448" s="32"/>
      <c r="D448" t="str">
        <f>IF($C448="","",IFERROR(LOOKUP(2,1/('03_Warehouse_Movements'!$C$2:$C$500=$A448),'03_Warehouse_Movements'!$E$2:$E$500),$C448))</f>
        <v/>
      </c>
      <c r="E448" t="s">
        <v>219</v>
      </c>
      <c r="G448" s="35"/>
      <c r="H448" s="34" t="str">
        <f t="shared" si="12"/>
        <v/>
      </c>
      <c r="I448" s="32"/>
      <c r="J448" s="32"/>
      <c r="K448" s="34"/>
      <c r="M448" s="78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35"/>
      <c r="R448" s="34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769</v>
      </c>
      <c r="B449" s="32"/>
      <c r="D449" t="str">
        <f>IF($C449="","",IFERROR(LOOKUP(2,1/('03_Warehouse_Movements'!$C$2:$C$500=$A449),'03_Warehouse_Movements'!$E$2:$E$500),$C449))</f>
        <v/>
      </c>
      <c r="E449" t="s">
        <v>219</v>
      </c>
      <c r="G449" s="35"/>
      <c r="H449" s="34" t="str">
        <f t="shared" si="12"/>
        <v/>
      </c>
      <c r="I449" s="32"/>
      <c r="J449" s="32"/>
      <c r="K449" s="34"/>
      <c r="M449" s="78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35"/>
      <c r="R449" s="34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770</v>
      </c>
      <c r="B450" s="32"/>
      <c r="D450" t="str">
        <f>IF($C450="","",IFERROR(LOOKUP(2,1/('03_Warehouse_Movements'!$C$2:$C$500=$A450),'03_Warehouse_Movements'!$E$2:$E$500),$C450))</f>
        <v/>
      </c>
      <c r="E450" t="s">
        <v>219</v>
      </c>
      <c r="G450" s="35"/>
      <c r="H450" s="34" t="str">
        <f t="shared" ref="H450:H513" si="14">IF(AND($F450="TEMP",$G450&gt;0,$M450&lt;&gt;""),$M450+$G450,"")</f>
        <v/>
      </c>
      <c r="I450" s="32"/>
      <c r="J450" s="32"/>
      <c r="K450" s="34"/>
      <c r="M450" s="78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35"/>
      <c r="R450" s="34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771</v>
      </c>
      <c r="B451" s="32"/>
      <c r="D451" t="str">
        <f>IF($C451="","",IFERROR(LOOKUP(2,1/('03_Warehouse_Movements'!$C$2:$C$500=$A451),'03_Warehouse_Movements'!$E$2:$E$500),$C451))</f>
        <v/>
      </c>
      <c r="E451" t="s">
        <v>219</v>
      </c>
      <c r="G451" s="35"/>
      <c r="H451" s="34" t="str">
        <f t="shared" si="14"/>
        <v/>
      </c>
      <c r="I451" s="32"/>
      <c r="J451" s="32"/>
      <c r="K451" s="34"/>
      <c r="M451" s="78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35"/>
      <c r="R451" s="34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772</v>
      </c>
      <c r="B452" s="32"/>
      <c r="D452" t="str">
        <f>IF($C452="","",IFERROR(LOOKUP(2,1/('03_Warehouse_Movements'!$C$2:$C$500=$A452),'03_Warehouse_Movements'!$E$2:$E$500),$C452))</f>
        <v/>
      </c>
      <c r="E452" t="s">
        <v>219</v>
      </c>
      <c r="G452" s="35"/>
      <c r="H452" s="34" t="str">
        <f t="shared" si="14"/>
        <v/>
      </c>
      <c r="I452" s="32"/>
      <c r="J452" s="32"/>
      <c r="K452" s="34"/>
      <c r="M452" s="78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35"/>
      <c r="R452" s="34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773</v>
      </c>
      <c r="B453" s="32"/>
      <c r="D453" t="str">
        <f>IF($C453="","",IFERROR(LOOKUP(2,1/('03_Warehouse_Movements'!$C$2:$C$500=$A453),'03_Warehouse_Movements'!$E$2:$E$500),$C453))</f>
        <v/>
      </c>
      <c r="E453" t="s">
        <v>219</v>
      </c>
      <c r="G453" s="35"/>
      <c r="H453" s="34" t="str">
        <f t="shared" si="14"/>
        <v/>
      </c>
      <c r="I453" s="32"/>
      <c r="J453" s="32"/>
      <c r="K453" s="34"/>
      <c r="M453" s="78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35"/>
      <c r="R453" s="34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774</v>
      </c>
      <c r="B454" s="32"/>
      <c r="D454" t="str">
        <f>IF($C454="","",IFERROR(LOOKUP(2,1/('03_Warehouse_Movements'!$C$2:$C$500=$A454),'03_Warehouse_Movements'!$E$2:$E$500),$C454))</f>
        <v/>
      </c>
      <c r="E454" t="s">
        <v>219</v>
      </c>
      <c r="G454" s="35"/>
      <c r="H454" s="34" t="str">
        <f t="shared" si="14"/>
        <v/>
      </c>
      <c r="I454" s="32"/>
      <c r="J454" s="32"/>
      <c r="K454" s="34"/>
      <c r="M454" s="78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35"/>
      <c r="R454" s="34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775</v>
      </c>
      <c r="B455" s="32"/>
      <c r="D455" t="str">
        <f>IF($C455="","",IFERROR(LOOKUP(2,1/('03_Warehouse_Movements'!$C$2:$C$500=$A455),'03_Warehouse_Movements'!$E$2:$E$500),$C455))</f>
        <v/>
      </c>
      <c r="E455" t="s">
        <v>219</v>
      </c>
      <c r="G455" s="35"/>
      <c r="H455" s="34" t="str">
        <f t="shared" si="14"/>
        <v/>
      </c>
      <c r="I455" s="32"/>
      <c r="J455" s="32"/>
      <c r="K455" s="34"/>
      <c r="M455" s="78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35"/>
      <c r="R455" s="34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776</v>
      </c>
      <c r="B456" s="32"/>
      <c r="D456" t="str">
        <f>IF($C456="","",IFERROR(LOOKUP(2,1/('03_Warehouse_Movements'!$C$2:$C$500=$A456),'03_Warehouse_Movements'!$E$2:$E$500),$C456))</f>
        <v/>
      </c>
      <c r="E456" t="s">
        <v>219</v>
      </c>
      <c r="G456" s="35"/>
      <c r="H456" s="34" t="str">
        <f t="shared" si="14"/>
        <v/>
      </c>
      <c r="I456" s="32"/>
      <c r="J456" s="32"/>
      <c r="K456" s="34"/>
      <c r="M456" s="78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35"/>
      <c r="R456" s="34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777</v>
      </c>
      <c r="B457" s="32"/>
      <c r="D457" t="str">
        <f>IF($C457="","",IFERROR(LOOKUP(2,1/('03_Warehouse_Movements'!$C$2:$C$500=$A457),'03_Warehouse_Movements'!$E$2:$E$500),$C457))</f>
        <v/>
      </c>
      <c r="E457" t="s">
        <v>219</v>
      </c>
      <c r="G457" s="35"/>
      <c r="H457" s="34" t="str">
        <f t="shared" si="14"/>
        <v/>
      </c>
      <c r="I457" s="32"/>
      <c r="J457" s="32"/>
      <c r="K457" s="34"/>
      <c r="M457" s="78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35"/>
      <c r="R457" s="34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778</v>
      </c>
      <c r="B458" s="32"/>
      <c r="D458" t="str">
        <f>IF($C458="","",IFERROR(LOOKUP(2,1/('03_Warehouse_Movements'!$C$2:$C$500=$A458),'03_Warehouse_Movements'!$E$2:$E$500),$C458))</f>
        <v/>
      </c>
      <c r="E458" t="s">
        <v>219</v>
      </c>
      <c r="G458" s="35"/>
      <c r="H458" s="34" t="str">
        <f t="shared" si="14"/>
        <v/>
      </c>
      <c r="I458" s="32"/>
      <c r="J458" s="32"/>
      <c r="K458" s="34"/>
      <c r="M458" s="78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35"/>
      <c r="R458" s="34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779</v>
      </c>
      <c r="B459" s="32"/>
      <c r="D459" t="str">
        <f>IF($C459="","",IFERROR(LOOKUP(2,1/('03_Warehouse_Movements'!$C$2:$C$500=$A459),'03_Warehouse_Movements'!$E$2:$E$500),$C459))</f>
        <v/>
      </c>
      <c r="E459" t="s">
        <v>219</v>
      </c>
      <c r="G459" s="35"/>
      <c r="H459" s="34" t="str">
        <f t="shared" si="14"/>
        <v/>
      </c>
      <c r="I459" s="32"/>
      <c r="J459" s="32"/>
      <c r="K459" s="34"/>
      <c r="M459" s="78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35"/>
      <c r="R459" s="34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780</v>
      </c>
      <c r="B460" s="32"/>
      <c r="D460" t="str">
        <f>IF($C460="","",IFERROR(LOOKUP(2,1/('03_Warehouse_Movements'!$C$2:$C$500=$A460),'03_Warehouse_Movements'!$E$2:$E$500),$C460))</f>
        <v/>
      </c>
      <c r="E460" t="s">
        <v>219</v>
      </c>
      <c r="G460" s="35"/>
      <c r="H460" s="34" t="str">
        <f t="shared" si="14"/>
        <v/>
      </c>
      <c r="I460" s="32"/>
      <c r="J460" s="32"/>
      <c r="K460" s="34"/>
      <c r="M460" s="78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35"/>
      <c r="R460" s="34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781</v>
      </c>
      <c r="B461" s="32"/>
      <c r="D461" t="str">
        <f>IF($C461="","",IFERROR(LOOKUP(2,1/('03_Warehouse_Movements'!$C$2:$C$500=$A461),'03_Warehouse_Movements'!$E$2:$E$500),$C461))</f>
        <v/>
      </c>
      <c r="E461" t="s">
        <v>219</v>
      </c>
      <c r="G461" s="35"/>
      <c r="H461" s="34" t="str">
        <f t="shared" si="14"/>
        <v/>
      </c>
      <c r="I461" s="32"/>
      <c r="J461" s="32"/>
      <c r="K461" s="34"/>
      <c r="M461" s="78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35"/>
      <c r="R461" s="34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782</v>
      </c>
      <c r="B462" s="32"/>
      <c r="D462" t="str">
        <f>IF($C462="","",IFERROR(LOOKUP(2,1/('03_Warehouse_Movements'!$C$2:$C$500=$A462),'03_Warehouse_Movements'!$E$2:$E$500),$C462))</f>
        <v/>
      </c>
      <c r="E462" t="s">
        <v>219</v>
      </c>
      <c r="G462" s="35"/>
      <c r="H462" s="34" t="str">
        <f t="shared" si="14"/>
        <v/>
      </c>
      <c r="I462" s="32"/>
      <c r="J462" s="32"/>
      <c r="K462" s="34"/>
      <c r="M462" s="78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35"/>
      <c r="R462" s="34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783</v>
      </c>
      <c r="B463" s="32"/>
      <c r="D463" t="str">
        <f>IF($C463="","",IFERROR(LOOKUP(2,1/('03_Warehouse_Movements'!$C$2:$C$500=$A463),'03_Warehouse_Movements'!$E$2:$E$500),$C463))</f>
        <v/>
      </c>
      <c r="E463" t="s">
        <v>219</v>
      </c>
      <c r="G463" s="35"/>
      <c r="H463" s="34" t="str">
        <f t="shared" si="14"/>
        <v/>
      </c>
      <c r="I463" s="32"/>
      <c r="J463" s="32"/>
      <c r="K463" s="34"/>
      <c r="M463" s="78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35"/>
      <c r="R463" s="34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784</v>
      </c>
      <c r="B464" s="32"/>
      <c r="D464" t="str">
        <f>IF($C464="","",IFERROR(LOOKUP(2,1/('03_Warehouse_Movements'!$C$2:$C$500=$A464),'03_Warehouse_Movements'!$E$2:$E$500),$C464))</f>
        <v/>
      </c>
      <c r="E464" t="s">
        <v>219</v>
      </c>
      <c r="G464" s="35"/>
      <c r="H464" s="34" t="str">
        <f t="shared" si="14"/>
        <v/>
      </c>
      <c r="I464" s="32"/>
      <c r="J464" s="32"/>
      <c r="K464" s="34"/>
      <c r="M464" s="78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35"/>
      <c r="R464" s="34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785</v>
      </c>
      <c r="B465" s="32"/>
      <c r="D465" t="str">
        <f>IF($C465="","",IFERROR(LOOKUP(2,1/('03_Warehouse_Movements'!$C$2:$C$500=$A465),'03_Warehouse_Movements'!$E$2:$E$500),$C465))</f>
        <v/>
      </c>
      <c r="E465" t="s">
        <v>219</v>
      </c>
      <c r="G465" s="35"/>
      <c r="H465" s="34" t="str">
        <f t="shared" si="14"/>
        <v/>
      </c>
      <c r="I465" s="32"/>
      <c r="J465" s="32"/>
      <c r="K465" s="34"/>
      <c r="M465" s="78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35"/>
      <c r="R465" s="34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786</v>
      </c>
      <c r="B466" s="32"/>
      <c r="D466" t="str">
        <f>IF($C466="","",IFERROR(LOOKUP(2,1/('03_Warehouse_Movements'!$C$2:$C$500=$A466),'03_Warehouse_Movements'!$E$2:$E$500),$C466))</f>
        <v/>
      </c>
      <c r="E466" t="s">
        <v>219</v>
      </c>
      <c r="G466" s="35"/>
      <c r="H466" s="34" t="str">
        <f t="shared" si="14"/>
        <v/>
      </c>
      <c r="I466" s="32"/>
      <c r="J466" s="32"/>
      <c r="K466" s="34"/>
      <c r="M466" s="78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35"/>
      <c r="R466" s="34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787</v>
      </c>
      <c r="B467" s="32"/>
      <c r="D467" t="str">
        <f>IF($C467="","",IFERROR(LOOKUP(2,1/('03_Warehouse_Movements'!$C$2:$C$500=$A467),'03_Warehouse_Movements'!$E$2:$E$500),$C467))</f>
        <v/>
      </c>
      <c r="E467" t="s">
        <v>219</v>
      </c>
      <c r="G467" s="35"/>
      <c r="H467" s="34" t="str">
        <f t="shared" si="14"/>
        <v/>
      </c>
      <c r="I467" s="32"/>
      <c r="J467" s="32"/>
      <c r="K467" s="34"/>
      <c r="M467" s="78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35"/>
      <c r="R467" s="34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788</v>
      </c>
      <c r="B468" s="32"/>
      <c r="D468" t="str">
        <f>IF($C468="","",IFERROR(LOOKUP(2,1/('03_Warehouse_Movements'!$C$2:$C$500=$A468),'03_Warehouse_Movements'!$E$2:$E$500),$C468))</f>
        <v/>
      </c>
      <c r="E468" t="s">
        <v>219</v>
      </c>
      <c r="G468" s="35"/>
      <c r="H468" s="34" t="str">
        <f t="shared" si="14"/>
        <v/>
      </c>
      <c r="I468" s="32"/>
      <c r="J468" s="32"/>
      <c r="K468" s="34"/>
      <c r="M468" s="78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35"/>
      <c r="R468" s="34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789</v>
      </c>
      <c r="B469" s="32"/>
      <c r="D469" t="str">
        <f>IF($C469="","",IFERROR(LOOKUP(2,1/('03_Warehouse_Movements'!$C$2:$C$500=$A469),'03_Warehouse_Movements'!$E$2:$E$500),$C469))</f>
        <v/>
      </c>
      <c r="E469" t="s">
        <v>219</v>
      </c>
      <c r="G469" s="35"/>
      <c r="H469" s="34" t="str">
        <f t="shared" si="14"/>
        <v/>
      </c>
      <c r="I469" s="32"/>
      <c r="J469" s="32"/>
      <c r="K469" s="34"/>
      <c r="M469" s="78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35"/>
      <c r="R469" s="34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790</v>
      </c>
      <c r="B470" s="32"/>
      <c r="D470" t="str">
        <f>IF($C470="","",IFERROR(LOOKUP(2,1/('03_Warehouse_Movements'!$C$2:$C$500=$A470),'03_Warehouse_Movements'!$E$2:$E$500),$C470))</f>
        <v/>
      </c>
      <c r="E470" t="s">
        <v>219</v>
      </c>
      <c r="G470" s="35"/>
      <c r="H470" s="34" t="str">
        <f t="shared" si="14"/>
        <v/>
      </c>
      <c r="I470" s="32"/>
      <c r="J470" s="32"/>
      <c r="K470" s="34"/>
      <c r="M470" s="78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35"/>
      <c r="R470" s="34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791</v>
      </c>
      <c r="B471" s="32"/>
      <c r="D471" t="str">
        <f>IF($C471="","",IFERROR(LOOKUP(2,1/('03_Warehouse_Movements'!$C$2:$C$500=$A471),'03_Warehouse_Movements'!$E$2:$E$500),$C471))</f>
        <v/>
      </c>
      <c r="E471" t="s">
        <v>219</v>
      </c>
      <c r="G471" s="35"/>
      <c r="H471" s="34" t="str">
        <f t="shared" si="14"/>
        <v/>
      </c>
      <c r="I471" s="32"/>
      <c r="J471" s="32"/>
      <c r="K471" s="34"/>
      <c r="M471" s="78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35"/>
      <c r="R471" s="34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792</v>
      </c>
      <c r="B472" s="32"/>
      <c r="D472" t="str">
        <f>IF($C472="","",IFERROR(LOOKUP(2,1/('03_Warehouse_Movements'!$C$2:$C$500=$A472),'03_Warehouse_Movements'!$E$2:$E$500),$C472))</f>
        <v/>
      </c>
      <c r="E472" t="s">
        <v>219</v>
      </c>
      <c r="G472" s="35"/>
      <c r="H472" s="34" t="str">
        <f t="shared" si="14"/>
        <v/>
      </c>
      <c r="I472" s="32"/>
      <c r="J472" s="32"/>
      <c r="K472" s="34"/>
      <c r="M472" s="78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35"/>
      <c r="R472" s="34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793</v>
      </c>
      <c r="B473" s="32"/>
      <c r="D473" t="str">
        <f>IF($C473="","",IFERROR(LOOKUP(2,1/('03_Warehouse_Movements'!$C$2:$C$500=$A473),'03_Warehouse_Movements'!$E$2:$E$500),$C473))</f>
        <v/>
      </c>
      <c r="E473" t="s">
        <v>219</v>
      </c>
      <c r="G473" s="35"/>
      <c r="H473" s="34" t="str">
        <f t="shared" si="14"/>
        <v/>
      </c>
      <c r="I473" s="32"/>
      <c r="J473" s="32"/>
      <c r="K473" s="34"/>
      <c r="M473" s="78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35"/>
      <c r="R473" s="34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794</v>
      </c>
      <c r="B474" s="32"/>
      <c r="D474" t="str">
        <f>IF($C474="","",IFERROR(LOOKUP(2,1/('03_Warehouse_Movements'!$C$2:$C$500=$A474),'03_Warehouse_Movements'!$E$2:$E$500),$C474))</f>
        <v/>
      </c>
      <c r="E474" t="s">
        <v>219</v>
      </c>
      <c r="G474" s="35"/>
      <c r="H474" s="34" t="str">
        <f t="shared" si="14"/>
        <v/>
      </c>
      <c r="I474" s="32"/>
      <c r="J474" s="32"/>
      <c r="K474" s="34"/>
      <c r="M474" s="78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35"/>
      <c r="R474" s="34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795</v>
      </c>
      <c r="B475" s="32"/>
      <c r="D475" t="str">
        <f>IF($C475="","",IFERROR(LOOKUP(2,1/('03_Warehouse_Movements'!$C$2:$C$500=$A475),'03_Warehouse_Movements'!$E$2:$E$500),$C475))</f>
        <v/>
      </c>
      <c r="E475" t="s">
        <v>219</v>
      </c>
      <c r="G475" s="35"/>
      <c r="H475" s="34" t="str">
        <f t="shared" si="14"/>
        <v/>
      </c>
      <c r="I475" s="32"/>
      <c r="J475" s="32"/>
      <c r="K475" s="34"/>
      <c r="M475" s="78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35"/>
      <c r="R475" s="34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796</v>
      </c>
      <c r="B476" s="32"/>
      <c r="D476" t="str">
        <f>IF($C476="","",IFERROR(LOOKUP(2,1/('03_Warehouse_Movements'!$C$2:$C$500=$A476),'03_Warehouse_Movements'!$E$2:$E$500),$C476))</f>
        <v/>
      </c>
      <c r="E476" t="s">
        <v>219</v>
      </c>
      <c r="G476" s="35"/>
      <c r="H476" s="34" t="str">
        <f t="shared" si="14"/>
        <v/>
      </c>
      <c r="I476" s="32"/>
      <c r="J476" s="32"/>
      <c r="K476" s="34"/>
      <c r="M476" s="78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35"/>
      <c r="R476" s="34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797</v>
      </c>
      <c r="B477" s="32"/>
      <c r="D477" t="str">
        <f>IF($C477="","",IFERROR(LOOKUP(2,1/('03_Warehouse_Movements'!$C$2:$C$500=$A477),'03_Warehouse_Movements'!$E$2:$E$500),$C477))</f>
        <v/>
      </c>
      <c r="E477" t="s">
        <v>219</v>
      </c>
      <c r="G477" s="35"/>
      <c r="H477" s="34" t="str">
        <f t="shared" si="14"/>
        <v/>
      </c>
      <c r="I477" s="32"/>
      <c r="J477" s="32"/>
      <c r="K477" s="34"/>
      <c r="M477" s="78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35"/>
      <c r="R477" s="34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798</v>
      </c>
      <c r="B478" s="32"/>
      <c r="D478" t="str">
        <f>IF($C478="","",IFERROR(LOOKUP(2,1/('03_Warehouse_Movements'!$C$2:$C$500=$A478),'03_Warehouse_Movements'!$E$2:$E$500),$C478))</f>
        <v/>
      </c>
      <c r="E478" t="s">
        <v>219</v>
      </c>
      <c r="G478" s="35"/>
      <c r="H478" s="34" t="str">
        <f t="shared" si="14"/>
        <v/>
      </c>
      <c r="I478" s="32"/>
      <c r="J478" s="32"/>
      <c r="K478" s="34"/>
      <c r="M478" s="78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35"/>
      <c r="R478" s="34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799</v>
      </c>
      <c r="B479" s="32"/>
      <c r="D479" t="str">
        <f>IF($C479="","",IFERROR(LOOKUP(2,1/('03_Warehouse_Movements'!$C$2:$C$500=$A479),'03_Warehouse_Movements'!$E$2:$E$500),$C479))</f>
        <v/>
      </c>
      <c r="E479" t="s">
        <v>219</v>
      </c>
      <c r="G479" s="35"/>
      <c r="H479" s="34" t="str">
        <f t="shared" si="14"/>
        <v/>
      </c>
      <c r="I479" s="32"/>
      <c r="J479" s="32"/>
      <c r="K479" s="34"/>
      <c r="M479" s="78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35"/>
      <c r="R479" s="34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800</v>
      </c>
      <c r="B480" s="32"/>
      <c r="D480" t="str">
        <f>IF($C480="","",IFERROR(LOOKUP(2,1/('03_Warehouse_Movements'!$C$2:$C$500=$A480),'03_Warehouse_Movements'!$E$2:$E$500),$C480))</f>
        <v/>
      </c>
      <c r="E480" t="s">
        <v>219</v>
      </c>
      <c r="G480" s="35"/>
      <c r="H480" s="34" t="str">
        <f t="shared" si="14"/>
        <v/>
      </c>
      <c r="I480" s="32"/>
      <c r="J480" s="32"/>
      <c r="K480" s="34"/>
      <c r="M480" s="78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35"/>
      <c r="R480" s="34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801</v>
      </c>
      <c r="B481" s="32"/>
      <c r="D481" t="str">
        <f>IF($C481="","",IFERROR(LOOKUP(2,1/('03_Warehouse_Movements'!$C$2:$C$500=$A481),'03_Warehouse_Movements'!$E$2:$E$500),$C481))</f>
        <v/>
      </c>
      <c r="E481" t="s">
        <v>219</v>
      </c>
      <c r="G481" s="35"/>
      <c r="H481" s="34" t="str">
        <f t="shared" si="14"/>
        <v/>
      </c>
      <c r="I481" s="32"/>
      <c r="J481" s="32"/>
      <c r="K481" s="34"/>
      <c r="M481" s="78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35"/>
      <c r="R481" s="34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802</v>
      </c>
      <c r="B482" s="32"/>
      <c r="D482" t="str">
        <f>IF($C482="","",IFERROR(LOOKUP(2,1/('03_Warehouse_Movements'!$C$2:$C$500=$A482),'03_Warehouse_Movements'!$E$2:$E$500),$C482))</f>
        <v/>
      </c>
      <c r="E482" t="s">
        <v>219</v>
      </c>
      <c r="G482" s="35"/>
      <c r="H482" s="34" t="str">
        <f t="shared" si="14"/>
        <v/>
      </c>
      <c r="I482" s="32"/>
      <c r="J482" s="32"/>
      <c r="K482" s="34"/>
      <c r="M482" s="78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35"/>
      <c r="R482" s="34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803</v>
      </c>
      <c r="B483" s="32"/>
      <c r="D483" t="str">
        <f>IF($C483="","",IFERROR(LOOKUP(2,1/('03_Warehouse_Movements'!$C$2:$C$500=$A483),'03_Warehouse_Movements'!$E$2:$E$500),$C483))</f>
        <v/>
      </c>
      <c r="E483" t="s">
        <v>219</v>
      </c>
      <c r="G483" s="35"/>
      <c r="H483" s="34" t="str">
        <f t="shared" si="14"/>
        <v/>
      </c>
      <c r="I483" s="32"/>
      <c r="J483" s="32"/>
      <c r="K483" s="34"/>
      <c r="M483" s="78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35"/>
      <c r="R483" s="34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804</v>
      </c>
      <c r="B484" s="32"/>
      <c r="D484" t="str">
        <f>IF($C484="","",IFERROR(LOOKUP(2,1/('03_Warehouse_Movements'!$C$2:$C$500=$A484),'03_Warehouse_Movements'!$E$2:$E$500),$C484))</f>
        <v/>
      </c>
      <c r="E484" t="s">
        <v>219</v>
      </c>
      <c r="G484" s="35"/>
      <c r="H484" s="34" t="str">
        <f t="shared" si="14"/>
        <v/>
      </c>
      <c r="I484" s="32"/>
      <c r="J484" s="32"/>
      <c r="K484" s="34"/>
      <c r="M484" s="78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35"/>
      <c r="R484" s="34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805</v>
      </c>
      <c r="B485" s="32"/>
      <c r="D485" t="str">
        <f>IF($C485="","",IFERROR(LOOKUP(2,1/('03_Warehouse_Movements'!$C$2:$C$500=$A485),'03_Warehouse_Movements'!$E$2:$E$500),$C485))</f>
        <v/>
      </c>
      <c r="E485" t="s">
        <v>219</v>
      </c>
      <c r="G485" s="35"/>
      <c r="H485" s="34" t="str">
        <f t="shared" si="14"/>
        <v/>
      </c>
      <c r="I485" s="32"/>
      <c r="J485" s="32"/>
      <c r="K485" s="34"/>
      <c r="M485" s="78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35"/>
      <c r="R485" s="34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806</v>
      </c>
      <c r="B486" s="32"/>
      <c r="D486" t="str">
        <f>IF($C486="","",IFERROR(LOOKUP(2,1/('03_Warehouse_Movements'!$C$2:$C$500=$A486),'03_Warehouse_Movements'!$E$2:$E$500),$C486))</f>
        <v/>
      </c>
      <c r="E486" t="s">
        <v>219</v>
      </c>
      <c r="G486" s="35"/>
      <c r="H486" s="34" t="str">
        <f t="shared" si="14"/>
        <v/>
      </c>
      <c r="I486" s="32"/>
      <c r="J486" s="32"/>
      <c r="K486" s="34"/>
      <c r="M486" s="78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35"/>
      <c r="R486" s="34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807</v>
      </c>
      <c r="B487" s="32"/>
      <c r="D487" t="str">
        <f>IF($C487="","",IFERROR(LOOKUP(2,1/('03_Warehouse_Movements'!$C$2:$C$500=$A487),'03_Warehouse_Movements'!$E$2:$E$500),$C487))</f>
        <v/>
      </c>
      <c r="E487" t="s">
        <v>219</v>
      </c>
      <c r="G487" s="35"/>
      <c r="H487" s="34" t="str">
        <f t="shared" si="14"/>
        <v/>
      </c>
      <c r="I487" s="32"/>
      <c r="J487" s="32"/>
      <c r="K487" s="34"/>
      <c r="M487" s="78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35"/>
      <c r="R487" s="34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808</v>
      </c>
      <c r="B488" s="32"/>
      <c r="D488" t="str">
        <f>IF($C488="","",IFERROR(LOOKUP(2,1/('03_Warehouse_Movements'!$C$2:$C$500=$A488),'03_Warehouse_Movements'!$E$2:$E$500),$C488))</f>
        <v/>
      </c>
      <c r="E488" t="s">
        <v>219</v>
      </c>
      <c r="G488" s="35"/>
      <c r="H488" s="34" t="str">
        <f t="shared" si="14"/>
        <v/>
      </c>
      <c r="I488" s="32"/>
      <c r="J488" s="32"/>
      <c r="K488" s="34"/>
      <c r="M488" s="78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35"/>
      <c r="R488" s="34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809</v>
      </c>
      <c r="B489" s="32"/>
      <c r="D489" t="str">
        <f>IF($C489="","",IFERROR(LOOKUP(2,1/('03_Warehouse_Movements'!$C$2:$C$500=$A489),'03_Warehouse_Movements'!$E$2:$E$500),$C489))</f>
        <v/>
      </c>
      <c r="E489" t="s">
        <v>219</v>
      </c>
      <c r="G489" s="35"/>
      <c r="H489" s="34" t="str">
        <f t="shared" si="14"/>
        <v/>
      </c>
      <c r="I489" s="32"/>
      <c r="J489" s="32"/>
      <c r="K489" s="34"/>
      <c r="M489" s="78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35"/>
      <c r="R489" s="34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810</v>
      </c>
      <c r="B490" s="32"/>
      <c r="D490" t="str">
        <f>IF($C490="","",IFERROR(LOOKUP(2,1/('03_Warehouse_Movements'!$C$2:$C$500=$A490),'03_Warehouse_Movements'!$E$2:$E$500),$C490))</f>
        <v/>
      </c>
      <c r="E490" t="s">
        <v>219</v>
      </c>
      <c r="G490" s="35"/>
      <c r="H490" s="34" t="str">
        <f t="shared" si="14"/>
        <v/>
      </c>
      <c r="I490" s="32"/>
      <c r="J490" s="32"/>
      <c r="K490" s="34"/>
      <c r="M490" s="78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35"/>
      <c r="R490" s="34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811</v>
      </c>
      <c r="B491" s="32"/>
      <c r="D491" t="str">
        <f>IF($C491="","",IFERROR(LOOKUP(2,1/('03_Warehouse_Movements'!$C$2:$C$500=$A491),'03_Warehouse_Movements'!$E$2:$E$500),$C491))</f>
        <v/>
      </c>
      <c r="E491" t="s">
        <v>219</v>
      </c>
      <c r="G491" s="35"/>
      <c r="H491" s="34" t="str">
        <f t="shared" si="14"/>
        <v/>
      </c>
      <c r="I491" s="32"/>
      <c r="J491" s="32"/>
      <c r="K491" s="34"/>
      <c r="M491" s="78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35"/>
      <c r="R491" s="34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812</v>
      </c>
      <c r="B492" s="32"/>
      <c r="D492" t="str">
        <f>IF($C492="","",IFERROR(LOOKUP(2,1/('03_Warehouse_Movements'!$C$2:$C$500=$A492),'03_Warehouse_Movements'!$E$2:$E$500),$C492))</f>
        <v/>
      </c>
      <c r="E492" t="s">
        <v>219</v>
      </c>
      <c r="G492" s="35"/>
      <c r="H492" s="34" t="str">
        <f t="shared" si="14"/>
        <v/>
      </c>
      <c r="I492" s="32"/>
      <c r="J492" s="32"/>
      <c r="K492" s="34"/>
      <c r="M492" s="78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35"/>
      <c r="R492" s="34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813</v>
      </c>
      <c r="B493" s="32"/>
      <c r="D493" t="str">
        <f>IF($C493="","",IFERROR(LOOKUP(2,1/('03_Warehouse_Movements'!$C$2:$C$500=$A493),'03_Warehouse_Movements'!$E$2:$E$500),$C493))</f>
        <v/>
      </c>
      <c r="E493" t="s">
        <v>219</v>
      </c>
      <c r="G493" s="35"/>
      <c r="H493" s="34" t="str">
        <f t="shared" si="14"/>
        <v/>
      </c>
      <c r="I493" s="32"/>
      <c r="J493" s="32"/>
      <c r="K493" s="34"/>
      <c r="M493" s="78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35"/>
      <c r="R493" s="34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814</v>
      </c>
      <c r="B494" s="32"/>
      <c r="D494" t="str">
        <f>IF($C494="","",IFERROR(LOOKUP(2,1/('03_Warehouse_Movements'!$C$2:$C$500=$A494),'03_Warehouse_Movements'!$E$2:$E$500),$C494))</f>
        <v/>
      </c>
      <c r="E494" t="s">
        <v>219</v>
      </c>
      <c r="G494" s="35"/>
      <c r="H494" s="34" t="str">
        <f t="shared" si="14"/>
        <v/>
      </c>
      <c r="I494" s="32"/>
      <c r="J494" s="32"/>
      <c r="K494" s="34"/>
      <c r="M494" s="78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35"/>
      <c r="R494" s="34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815</v>
      </c>
      <c r="B495" s="32"/>
      <c r="D495" t="str">
        <f>IF($C495="","",IFERROR(LOOKUP(2,1/('03_Warehouse_Movements'!$C$2:$C$500=$A495),'03_Warehouse_Movements'!$E$2:$E$500),$C495))</f>
        <v/>
      </c>
      <c r="E495" t="s">
        <v>219</v>
      </c>
      <c r="G495" s="35"/>
      <c r="H495" s="34" t="str">
        <f t="shared" si="14"/>
        <v/>
      </c>
      <c r="I495" s="32"/>
      <c r="J495" s="32"/>
      <c r="K495" s="34"/>
      <c r="M495" s="78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35"/>
      <c r="R495" s="34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816</v>
      </c>
      <c r="B496" s="32"/>
      <c r="D496" t="str">
        <f>IF($C496="","",IFERROR(LOOKUP(2,1/('03_Warehouse_Movements'!$C$2:$C$500=$A496),'03_Warehouse_Movements'!$E$2:$E$500),$C496))</f>
        <v/>
      </c>
      <c r="E496" t="s">
        <v>219</v>
      </c>
      <c r="G496" s="35"/>
      <c r="H496" s="34" t="str">
        <f t="shared" si="14"/>
        <v/>
      </c>
      <c r="I496" s="32"/>
      <c r="J496" s="32"/>
      <c r="K496" s="34"/>
      <c r="M496" s="78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35"/>
      <c r="R496" s="34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817</v>
      </c>
      <c r="B497" s="32"/>
      <c r="D497" t="str">
        <f>IF($C497="","",IFERROR(LOOKUP(2,1/('03_Warehouse_Movements'!$C$2:$C$500=$A497),'03_Warehouse_Movements'!$E$2:$E$500),$C497))</f>
        <v/>
      </c>
      <c r="E497" t="s">
        <v>219</v>
      </c>
      <c r="G497" s="35"/>
      <c r="H497" s="34" t="str">
        <f t="shared" si="14"/>
        <v/>
      </c>
      <c r="I497" s="32"/>
      <c r="J497" s="32"/>
      <c r="K497" s="34"/>
      <c r="M497" s="78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35"/>
      <c r="R497" s="34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818</v>
      </c>
      <c r="B498" s="32"/>
      <c r="D498" t="str">
        <f>IF($C498="","",IFERROR(LOOKUP(2,1/('03_Warehouse_Movements'!$C$2:$C$500=$A498),'03_Warehouse_Movements'!$E$2:$E$500),$C498))</f>
        <v/>
      </c>
      <c r="E498" t="s">
        <v>219</v>
      </c>
      <c r="G498" s="35"/>
      <c r="H498" s="34" t="str">
        <f t="shared" si="14"/>
        <v/>
      </c>
      <c r="I498" s="32"/>
      <c r="J498" s="32"/>
      <c r="K498" s="34"/>
      <c r="M498" s="78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35"/>
      <c r="R498" s="34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819</v>
      </c>
      <c r="B499" s="32"/>
      <c r="D499" t="str">
        <f>IF($C499="","",IFERROR(LOOKUP(2,1/('03_Warehouse_Movements'!$C$2:$C$500=$A499),'03_Warehouse_Movements'!$E$2:$E$500),$C499))</f>
        <v/>
      </c>
      <c r="E499" t="s">
        <v>219</v>
      </c>
      <c r="G499" s="35"/>
      <c r="H499" s="34" t="str">
        <f t="shared" si="14"/>
        <v/>
      </c>
      <c r="I499" s="32"/>
      <c r="J499" s="32"/>
      <c r="K499" s="34"/>
      <c r="M499" s="78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35"/>
      <c r="R499" s="34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820</v>
      </c>
      <c r="B500" s="32"/>
      <c r="D500" t="str">
        <f>IF($C500="","",IFERROR(LOOKUP(2,1/('03_Warehouse_Movements'!$C$2:$C$500=$A500),'03_Warehouse_Movements'!$E$2:$E$500),$C500))</f>
        <v/>
      </c>
      <c r="E500" t="s">
        <v>219</v>
      </c>
      <c r="G500" s="35"/>
      <c r="H500" s="34" t="str">
        <f t="shared" si="14"/>
        <v/>
      </c>
      <c r="I500" s="32"/>
      <c r="J500" s="32"/>
      <c r="K500" s="34"/>
      <c r="M500" s="78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35"/>
      <c r="R500" s="34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821</v>
      </c>
      <c r="B501" s="32"/>
      <c r="G501" s="35"/>
      <c r="H501" s="34" t="str">
        <f t="shared" si="14"/>
        <v/>
      </c>
      <c r="I501" s="32"/>
      <c r="J501" s="32"/>
      <c r="K501" s="34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822</v>
      </c>
      <c r="B502" s="32"/>
      <c r="G502" s="35"/>
      <c r="H502" s="34" t="str">
        <f t="shared" si="14"/>
        <v/>
      </c>
      <c r="I502" s="32"/>
      <c r="J502" s="32"/>
      <c r="K502" s="34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32"/>
      <c r="G503" s="35"/>
      <c r="H503" s="34" t="str">
        <f t="shared" si="14"/>
        <v/>
      </c>
      <c r="I503" s="32"/>
      <c r="J503" s="32"/>
      <c r="K503" s="34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32"/>
      <c r="G504" s="35"/>
      <c r="H504" s="34" t="str">
        <f t="shared" si="14"/>
        <v/>
      </c>
      <c r="I504" s="32"/>
      <c r="J504" s="32"/>
      <c r="K504" s="34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32"/>
      <c r="G505" s="35"/>
      <c r="H505" s="34" t="str">
        <f t="shared" si="14"/>
        <v/>
      </c>
      <c r="I505" s="32"/>
      <c r="J505" s="32"/>
      <c r="K505" s="34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32"/>
      <c r="G506" s="35"/>
      <c r="H506" s="34" t="str">
        <f t="shared" si="14"/>
        <v/>
      </c>
      <c r="I506" s="32"/>
      <c r="J506" s="32"/>
      <c r="K506" s="34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32"/>
      <c r="G507" s="35"/>
      <c r="H507" s="34" t="str">
        <f t="shared" si="14"/>
        <v/>
      </c>
      <c r="I507" s="32"/>
      <c r="J507" s="32"/>
      <c r="K507" s="34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32"/>
      <c r="G508" s="35"/>
      <c r="H508" s="34" t="str">
        <f t="shared" si="14"/>
        <v/>
      </c>
      <c r="I508" s="32"/>
      <c r="J508" s="32"/>
      <c r="K508" s="34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32"/>
      <c r="G509" s="35"/>
      <c r="H509" s="34" t="str">
        <f t="shared" si="14"/>
        <v/>
      </c>
      <c r="I509" s="32"/>
      <c r="J509" s="32"/>
      <c r="K509" s="34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32"/>
      <c r="G510" s="35"/>
      <c r="H510" s="34" t="str">
        <f t="shared" si="14"/>
        <v/>
      </c>
      <c r="I510" s="32"/>
      <c r="J510" s="32"/>
      <c r="K510" s="34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32"/>
      <c r="G511" s="35"/>
      <c r="H511" s="34" t="str">
        <f t="shared" si="14"/>
        <v/>
      </c>
      <c r="I511" s="32"/>
      <c r="J511" s="32"/>
      <c r="K511" s="34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32"/>
      <c r="G512" s="35"/>
      <c r="H512" s="34" t="str">
        <f t="shared" si="14"/>
        <v/>
      </c>
      <c r="I512" s="32"/>
      <c r="J512" s="32"/>
      <c r="K512" s="34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32"/>
      <c r="G513" s="35"/>
      <c r="H513" s="34" t="str">
        <f t="shared" si="14"/>
        <v/>
      </c>
      <c r="I513" s="32"/>
      <c r="J513" s="32"/>
      <c r="K513" s="34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32"/>
      <c r="G514" s="35"/>
      <c r="H514" s="34" t="str">
        <f t="shared" ref="H514:H577" si="16">IF(AND($F514="TEMP",$G514&gt;0,$M514&lt;&gt;""),$M514+$G514,"")</f>
        <v/>
      </c>
      <c r="I514" s="32"/>
      <c r="J514" s="32"/>
      <c r="K514" s="34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32"/>
      <c r="G515" s="35"/>
      <c r="H515" s="34" t="str">
        <f t="shared" si="16"/>
        <v/>
      </c>
      <c r="I515" s="32"/>
      <c r="J515" s="32"/>
      <c r="K515" s="34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32"/>
      <c r="G516" s="35"/>
      <c r="H516" s="34" t="str">
        <f t="shared" si="16"/>
        <v/>
      </c>
      <c r="I516" s="32"/>
      <c r="J516" s="32"/>
      <c r="K516" s="34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32"/>
      <c r="G517" s="35"/>
      <c r="H517" s="34" t="str">
        <f t="shared" si="16"/>
        <v/>
      </c>
      <c r="I517" s="32"/>
      <c r="J517" s="32"/>
      <c r="K517" s="34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32"/>
      <c r="G518" s="35"/>
      <c r="H518" s="34" t="str">
        <f t="shared" si="16"/>
        <v/>
      </c>
      <c r="I518" s="32"/>
      <c r="J518" s="32"/>
      <c r="K518" s="34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32"/>
      <c r="G519" s="35"/>
      <c r="H519" s="34" t="str">
        <f t="shared" si="16"/>
        <v/>
      </c>
      <c r="I519" s="32"/>
      <c r="J519" s="32"/>
      <c r="K519" s="34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32"/>
      <c r="G520" s="35"/>
      <c r="H520" s="34" t="str">
        <f t="shared" si="16"/>
        <v/>
      </c>
      <c r="I520" s="32"/>
      <c r="J520" s="32"/>
      <c r="K520" s="34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32"/>
      <c r="G521" s="35"/>
      <c r="H521" s="34" t="str">
        <f t="shared" si="16"/>
        <v/>
      </c>
      <c r="I521" s="32"/>
      <c r="J521" s="32"/>
      <c r="K521" s="34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32"/>
      <c r="G522" s="35"/>
      <c r="H522" s="34" t="str">
        <f t="shared" si="16"/>
        <v/>
      </c>
      <c r="I522" s="32"/>
      <c r="J522" s="32"/>
      <c r="K522" s="34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32"/>
      <c r="G523" s="35"/>
      <c r="H523" s="34" t="str">
        <f t="shared" si="16"/>
        <v/>
      </c>
      <c r="I523" s="32"/>
      <c r="J523" s="32"/>
      <c r="K523" s="34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32"/>
      <c r="G524" s="35"/>
      <c r="H524" s="34" t="str">
        <f t="shared" si="16"/>
        <v/>
      </c>
      <c r="I524" s="32"/>
      <c r="J524" s="32"/>
      <c r="K524" s="34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32"/>
      <c r="G525" s="35"/>
      <c r="H525" s="34" t="str">
        <f t="shared" si="16"/>
        <v/>
      </c>
      <c r="I525" s="32"/>
      <c r="J525" s="32"/>
      <c r="K525" s="34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32"/>
      <c r="G526" s="35"/>
      <c r="H526" s="34" t="str">
        <f t="shared" si="16"/>
        <v/>
      </c>
      <c r="I526" s="32"/>
      <c r="J526" s="32"/>
      <c r="K526" s="34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32"/>
      <c r="G527" s="35"/>
      <c r="H527" s="34" t="str">
        <f t="shared" si="16"/>
        <v/>
      </c>
      <c r="I527" s="32"/>
      <c r="J527" s="32"/>
      <c r="K527" s="34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32"/>
      <c r="G528" s="35"/>
      <c r="H528" s="34" t="str">
        <f t="shared" si="16"/>
        <v/>
      </c>
      <c r="I528" s="32"/>
      <c r="J528" s="32"/>
      <c r="K528" s="34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32"/>
      <c r="G529" s="35"/>
      <c r="H529" s="34" t="str">
        <f t="shared" si="16"/>
        <v/>
      </c>
      <c r="I529" s="32"/>
      <c r="J529" s="32"/>
      <c r="K529" s="34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32"/>
      <c r="G530" s="35"/>
      <c r="H530" s="34" t="str">
        <f t="shared" si="16"/>
        <v/>
      </c>
      <c r="I530" s="32"/>
      <c r="J530" s="32"/>
      <c r="K530" s="34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32"/>
      <c r="G531" s="35"/>
      <c r="H531" s="34" t="str">
        <f t="shared" si="16"/>
        <v/>
      </c>
      <c r="I531" s="32"/>
      <c r="J531" s="32"/>
      <c r="K531" s="34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32"/>
      <c r="G532" s="35"/>
      <c r="H532" s="34" t="str">
        <f t="shared" si="16"/>
        <v/>
      </c>
      <c r="I532" s="32"/>
      <c r="J532" s="32"/>
      <c r="K532" s="34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32"/>
      <c r="G533" s="35"/>
      <c r="H533" s="34" t="str">
        <f t="shared" si="16"/>
        <v/>
      </c>
      <c r="I533" s="32"/>
      <c r="J533" s="32"/>
      <c r="K533" s="34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32"/>
      <c r="G534" s="35"/>
      <c r="H534" s="34" t="str">
        <f t="shared" si="16"/>
        <v/>
      </c>
      <c r="I534" s="32"/>
      <c r="J534" s="32"/>
      <c r="K534" s="34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32"/>
      <c r="G535" s="35"/>
      <c r="H535" s="34" t="str">
        <f t="shared" si="16"/>
        <v/>
      </c>
      <c r="I535" s="32"/>
      <c r="J535" s="32"/>
      <c r="K535" s="34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32"/>
      <c r="G536" s="35"/>
      <c r="H536" s="34" t="str">
        <f t="shared" si="16"/>
        <v/>
      </c>
      <c r="I536" s="32"/>
      <c r="J536" s="32"/>
      <c r="K536" s="34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32"/>
      <c r="G537" s="35"/>
      <c r="H537" s="34" t="str">
        <f t="shared" si="16"/>
        <v/>
      </c>
      <c r="I537" s="32"/>
      <c r="J537" s="32"/>
      <c r="K537" s="34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32"/>
      <c r="G538" s="35"/>
      <c r="H538" s="34" t="str">
        <f t="shared" si="16"/>
        <v/>
      </c>
      <c r="I538" s="32"/>
      <c r="J538" s="32"/>
      <c r="K538" s="34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32"/>
      <c r="G539" s="35"/>
      <c r="H539" s="34" t="str">
        <f t="shared" si="16"/>
        <v/>
      </c>
      <c r="I539" s="32"/>
      <c r="J539" s="32"/>
      <c r="K539" s="34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32"/>
      <c r="G540" s="35"/>
      <c r="H540" s="34" t="str">
        <f t="shared" si="16"/>
        <v/>
      </c>
      <c r="I540" s="32"/>
      <c r="J540" s="32"/>
      <c r="K540" s="34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32"/>
      <c r="G541" s="35"/>
      <c r="H541" s="34" t="str">
        <f t="shared" si="16"/>
        <v/>
      </c>
      <c r="I541" s="32"/>
      <c r="J541" s="32"/>
      <c r="K541" s="34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32"/>
      <c r="G542" s="35"/>
      <c r="H542" s="34" t="str">
        <f t="shared" si="16"/>
        <v/>
      </c>
      <c r="I542" s="32"/>
      <c r="J542" s="32"/>
      <c r="K542" s="34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32"/>
      <c r="G543" s="35"/>
      <c r="H543" s="34" t="str">
        <f t="shared" si="16"/>
        <v/>
      </c>
      <c r="I543" s="32"/>
      <c r="J543" s="32"/>
      <c r="K543" s="34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32"/>
      <c r="G544" s="35"/>
      <c r="H544" s="34" t="str">
        <f t="shared" si="16"/>
        <v/>
      </c>
      <c r="I544" s="32"/>
      <c r="J544" s="32"/>
      <c r="K544" s="34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32"/>
      <c r="G545" s="35"/>
      <c r="H545" s="34" t="str">
        <f t="shared" si="16"/>
        <v/>
      </c>
      <c r="I545" s="32"/>
      <c r="J545" s="32"/>
      <c r="K545" s="34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32"/>
      <c r="G546" s="35"/>
      <c r="H546" s="34" t="str">
        <f t="shared" si="16"/>
        <v/>
      </c>
      <c r="I546" s="32"/>
      <c r="J546" s="32"/>
      <c r="K546" s="34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32"/>
      <c r="G547" s="35"/>
      <c r="H547" s="34" t="str">
        <f t="shared" si="16"/>
        <v/>
      </c>
      <c r="I547" s="32"/>
      <c r="J547" s="32"/>
      <c r="K547" s="34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32"/>
      <c r="G548" s="35"/>
      <c r="H548" s="34" t="str">
        <f t="shared" si="16"/>
        <v/>
      </c>
      <c r="I548" s="32"/>
      <c r="J548" s="32"/>
      <c r="K548" s="34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32"/>
      <c r="G549" s="35"/>
      <c r="H549" s="34" t="str">
        <f t="shared" si="16"/>
        <v/>
      </c>
      <c r="I549" s="32"/>
      <c r="J549" s="32"/>
      <c r="K549" s="34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32"/>
      <c r="G550" s="35"/>
      <c r="H550" s="34" t="str">
        <f t="shared" si="16"/>
        <v/>
      </c>
      <c r="I550" s="32"/>
      <c r="J550" s="32"/>
      <c r="K550" s="34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32"/>
      <c r="G551" s="35"/>
      <c r="H551" s="34" t="str">
        <f t="shared" si="16"/>
        <v/>
      </c>
      <c r="I551" s="32"/>
      <c r="J551" s="32"/>
      <c r="K551" s="34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32"/>
      <c r="G552" s="35"/>
      <c r="H552" s="34" t="str">
        <f t="shared" si="16"/>
        <v/>
      </c>
      <c r="I552" s="32"/>
      <c r="J552" s="32"/>
      <c r="K552" s="34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32"/>
      <c r="G553" s="35"/>
      <c r="H553" s="34" t="str">
        <f t="shared" si="16"/>
        <v/>
      </c>
      <c r="I553" s="32"/>
      <c r="J553" s="32"/>
      <c r="K553" s="34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32"/>
      <c r="G554" s="35"/>
      <c r="H554" s="34" t="str">
        <f t="shared" si="16"/>
        <v/>
      </c>
      <c r="I554" s="32"/>
      <c r="J554" s="32"/>
      <c r="K554" s="34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32"/>
      <c r="G555" s="35"/>
      <c r="H555" s="34" t="str">
        <f t="shared" si="16"/>
        <v/>
      </c>
      <c r="I555" s="32"/>
      <c r="J555" s="32"/>
      <c r="K555" s="34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32"/>
      <c r="G556" s="35"/>
      <c r="H556" s="34" t="str">
        <f t="shared" si="16"/>
        <v/>
      </c>
      <c r="I556" s="32"/>
      <c r="J556" s="32"/>
      <c r="K556" s="34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32"/>
      <c r="G557" s="35"/>
      <c r="H557" s="34" t="str">
        <f t="shared" si="16"/>
        <v/>
      </c>
      <c r="I557" s="32"/>
      <c r="J557" s="32"/>
      <c r="K557" s="34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32"/>
      <c r="G558" s="35"/>
      <c r="H558" s="34" t="str">
        <f t="shared" si="16"/>
        <v/>
      </c>
      <c r="I558" s="32"/>
      <c r="J558" s="32"/>
      <c r="K558" s="34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32"/>
      <c r="G559" s="35"/>
      <c r="H559" s="34" t="str">
        <f t="shared" si="16"/>
        <v/>
      </c>
      <c r="I559" s="32"/>
      <c r="J559" s="32"/>
      <c r="K559" s="34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32"/>
      <c r="G560" s="35"/>
      <c r="H560" s="34" t="str">
        <f t="shared" si="16"/>
        <v/>
      </c>
      <c r="I560" s="32"/>
      <c r="J560" s="32"/>
      <c r="K560" s="34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32"/>
      <c r="G561" s="35"/>
      <c r="H561" s="34" t="str">
        <f t="shared" si="16"/>
        <v/>
      </c>
      <c r="I561" s="32"/>
      <c r="J561" s="32"/>
      <c r="K561" s="34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32"/>
      <c r="G562" s="35"/>
      <c r="H562" s="34" t="str">
        <f t="shared" si="16"/>
        <v/>
      </c>
      <c r="I562" s="32"/>
      <c r="J562" s="32"/>
      <c r="K562" s="34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32"/>
      <c r="G563" s="35"/>
      <c r="H563" s="34" t="str">
        <f t="shared" si="16"/>
        <v/>
      </c>
      <c r="I563" s="32"/>
      <c r="J563" s="32"/>
      <c r="K563" s="34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32"/>
      <c r="G564" s="35"/>
      <c r="H564" s="34" t="str">
        <f t="shared" si="16"/>
        <v/>
      </c>
      <c r="I564" s="32"/>
      <c r="J564" s="32"/>
      <c r="K564" s="34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32"/>
      <c r="G565" s="35"/>
      <c r="H565" s="34" t="str">
        <f t="shared" si="16"/>
        <v/>
      </c>
      <c r="I565" s="32"/>
      <c r="J565" s="32"/>
      <c r="K565" s="34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32"/>
      <c r="G566" s="35"/>
      <c r="H566" s="34" t="str">
        <f t="shared" si="16"/>
        <v/>
      </c>
      <c r="I566" s="32"/>
      <c r="J566" s="32"/>
      <c r="K566" s="34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32"/>
      <c r="G567" s="35"/>
      <c r="H567" s="34" t="str">
        <f t="shared" si="16"/>
        <v/>
      </c>
      <c r="I567" s="32"/>
      <c r="J567" s="32"/>
      <c r="K567" s="34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32"/>
      <c r="G568" s="35"/>
      <c r="H568" s="34" t="str">
        <f t="shared" si="16"/>
        <v/>
      </c>
      <c r="I568" s="32"/>
      <c r="J568" s="32"/>
      <c r="K568" s="34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32"/>
      <c r="G569" s="35"/>
      <c r="H569" s="34" t="str">
        <f t="shared" si="16"/>
        <v/>
      </c>
      <c r="I569" s="32"/>
      <c r="J569" s="32"/>
      <c r="K569" s="34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32"/>
      <c r="G570" s="35"/>
      <c r="H570" s="34" t="str">
        <f t="shared" si="16"/>
        <v/>
      </c>
      <c r="I570" s="32"/>
      <c r="J570" s="32"/>
      <c r="K570" s="34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32"/>
      <c r="G571" s="35"/>
      <c r="H571" s="34" t="str">
        <f t="shared" si="16"/>
        <v/>
      </c>
      <c r="I571" s="32"/>
      <c r="J571" s="32"/>
      <c r="K571" s="34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32"/>
      <c r="G572" s="35"/>
      <c r="H572" s="34" t="str">
        <f t="shared" si="16"/>
        <v/>
      </c>
      <c r="I572" s="32"/>
      <c r="J572" s="32"/>
      <c r="K572" s="34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32"/>
      <c r="G573" s="35"/>
      <c r="H573" s="34" t="str">
        <f t="shared" si="16"/>
        <v/>
      </c>
      <c r="I573" s="32"/>
      <c r="J573" s="32"/>
      <c r="K573" s="34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32"/>
      <c r="G574" s="35"/>
      <c r="H574" s="34" t="str">
        <f t="shared" si="16"/>
        <v/>
      </c>
      <c r="I574" s="32"/>
      <c r="J574" s="32"/>
      <c r="K574" s="34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32"/>
      <c r="G575" s="35"/>
      <c r="H575" s="34" t="str">
        <f t="shared" si="16"/>
        <v/>
      </c>
      <c r="I575" s="32"/>
      <c r="J575" s="32"/>
      <c r="K575" s="34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32"/>
      <c r="G576" s="35"/>
      <c r="H576" s="34" t="str">
        <f t="shared" si="16"/>
        <v/>
      </c>
      <c r="I576" s="32"/>
      <c r="J576" s="32"/>
      <c r="K576" s="34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32"/>
      <c r="G577" s="35"/>
      <c r="H577" s="34" t="str">
        <f t="shared" si="16"/>
        <v/>
      </c>
      <c r="I577" s="32"/>
      <c r="J577" s="32"/>
      <c r="K577" s="34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32"/>
      <c r="G578" s="35"/>
      <c r="H578" s="34" t="str">
        <f t="shared" ref="H578:H641" si="17">IF(AND($F578="TEMP",$G578&gt;0,$M578&lt;&gt;""),$M578+$G578,"")</f>
        <v/>
      </c>
      <c r="I578" s="32"/>
      <c r="J578" s="32"/>
      <c r="K578" s="34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32"/>
      <c r="G579" s="35"/>
      <c r="H579" s="34" t="str">
        <f t="shared" si="17"/>
        <v/>
      </c>
      <c r="I579" s="32"/>
      <c r="J579" s="32"/>
      <c r="K579" s="34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32"/>
      <c r="G580" s="35"/>
      <c r="H580" s="34" t="str">
        <f t="shared" si="17"/>
        <v/>
      </c>
      <c r="I580" s="32"/>
      <c r="J580" s="32"/>
      <c r="K580" s="34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32"/>
      <c r="G581" s="35"/>
      <c r="H581" s="34" t="str">
        <f t="shared" si="17"/>
        <v/>
      </c>
      <c r="I581" s="32"/>
      <c r="J581" s="32"/>
      <c r="K581" s="34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32"/>
      <c r="G582" s="35"/>
      <c r="H582" s="34" t="str">
        <f t="shared" si="17"/>
        <v/>
      </c>
      <c r="I582" s="32"/>
      <c r="J582" s="32"/>
      <c r="K582" s="34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32"/>
      <c r="G583" s="35"/>
      <c r="H583" s="34" t="str">
        <f t="shared" si="17"/>
        <v/>
      </c>
      <c r="I583" s="32"/>
      <c r="J583" s="32"/>
      <c r="K583" s="34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32"/>
      <c r="G584" s="35"/>
      <c r="H584" s="34" t="str">
        <f t="shared" si="17"/>
        <v/>
      </c>
      <c r="I584" s="32"/>
      <c r="J584" s="32"/>
      <c r="K584" s="34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32"/>
      <c r="G585" s="35"/>
      <c r="H585" s="34" t="str">
        <f t="shared" si="17"/>
        <v/>
      </c>
      <c r="I585" s="32"/>
      <c r="J585" s="32"/>
      <c r="K585" s="34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32"/>
      <c r="G586" s="35"/>
      <c r="H586" s="34" t="str">
        <f t="shared" si="17"/>
        <v/>
      </c>
      <c r="I586" s="32"/>
      <c r="J586" s="32"/>
      <c r="K586" s="34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32"/>
      <c r="G587" s="35"/>
      <c r="H587" s="34" t="str">
        <f t="shared" si="17"/>
        <v/>
      </c>
      <c r="I587" s="32"/>
      <c r="J587" s="32"/>
      <c r="K587" s="34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32"/>
      <c r="G588" s="35"/>
      <c r="H588" s="34" t="str">
        <f t="shared" si="17"/>
        <v/>
      </c>
      <c r="I588" s="32"/>
      <c r="J588" s="32"/>
      <c r="K588" s="34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32"/>
      <c r="G589" s="35"/>
      <c r="H589" s="34" t="str">
        <f t="shared" si="17"/>
        <v/>
      </c>
      <c r="I589" s="32"/>
      <c r="J589" s="32"/>
      <c r="K589" s="34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32"/>
      <c r="G590" s="35"/>
      <c r="H590" s="34" t="str">
        <f t="shared" si="17"/>
        <v/>
      </c>
      <c r="I590" s="32"/>
      <c r="J590" s="32"/>
      <c r="K590" s="34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32"/>
      <c r="G591" s="35"/>
      <c r="H591" s="34" t="str">
        <f t="shared" si="17"/>
        <v/>
      </c>
      <c r="I591" s="32"/>
      <c r="J591" s="32"/>
      <c r="K591" s="34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32"/>
      <c r="G592" s="35"/>
      <c r="H592" s="34" t="str">
        <f t="shared" si="17"/>
        <v/>
      </c>
      <c r="I592" s="32"/>
      <c r="J592" s="32"/>
      <c r="K592" s="34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32"/>
      <c r="G593" s="35"/>
      <c r="H593" s="34" t="str">
        <f t="shared" si="17"/>
        <v/>
      </c>
      <c r="I593" s="32"/>
      <c r="J593" s="32"/>
      <c r="K593" s="34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32"/>
      <c r="G594" s="35"/>
      <c r="H594" s="34" t="str">
        <f t="shared" si="17"/>
        <v/>
      </c>
      <c r="I594" s="32"/>
      <c r="J594" s="32"/>
      <c r="K594" s="34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32"/>
      <c r="G595" s="35"/>
      <c r="H595" s="34" t="str">
        <f t="shared" si="17"/>
        <v/>
      </c>
      <c r="I595" s="32"/>
      <c r="J595" s="32"/>
      <c r="K595" s="34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32"/>
      <c r="G596" s="35"/>
      <c r="H596" s="34" t="str">
        <f t="shared" si="17"/>
        <v/>
      </c>
      <c r="I596" s="32"/>
      <c r="J596" s="32"/>
      <c r="K596" s="34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32"/>
      <c r="G597" s="35"/>
      <c r="H597" s="34" t="str">
        <f t="shared" si="17"/>
        <v/>
      </c>
      <c r="I597" s="32"/>
      <c r="J597" s="32"/>
      <c r="K597" s="34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32"/>
      <c r="G598" s="35"/>
      <c r="H598" s="34" t="str">
        <f t="shared" si="17"/>
        <v/>
      </c>
      <c r="I598" s="32"/>
      <c r="J598" s="32"/>
      <c r="K598" s="34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32"/>
      <c r="G599" s="35"/>
      <c r="H599" s="34" t="str">
        <f t="shared" si="17"/>
        <v/>
      </c>
      <c r="I599" s="32"/>
      <c r="J599" s="32"/>
      <c r="K599" s="34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32"/>
      <c r="G600" s="35"/>
      <c r="H600" s="34" t="str">
        <f t="shared" si="17"/>
        <v/>
      </c>
      <c r="I600" s="32"/>
      <c r="J600" s="32"/>
      <c r="K600" s="34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32"/>
      <c r="G601" s="35"/>
      <c r="H601" s="34" t="str">
        <f t="shared" si="17"/>
        <v/>
      </c>
      <c r="I601" s="32"/>
      <c r="J601" s="32"/>
      <c r="K601" s="34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32"/>
      <c r="G602" s="35"/>
      <c r="H602" s="34" t="str">
        <f t="shared" si="17"/>
        <v/>
      </c>
      <c r="I602" s="32"/>
      <c r="J602" s="32"/>
      <c r="K602" s="34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32"/>
      <c r="G603" s="35"/>
      <c r="H603" s="34" t="str">
        <f t="shared" si="17"/>
        <v/>
      </c>
      <c r="I603" s="32"/>
      <c r="J603" s="32"/>
      <c r="K603" s="34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32"/>
      <c r="G604" s="35"/>
      <c r="H604" s="34" t="str">
        <f t="shared" si="17"/>
        <v/>
      </c>
      <c r="I604" s="32"/>
      <c r="J604" s="32"/>
      <c r="K604" s="34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32"/>
      <c r="G605" s="35"/>
      <c r="H605" s="34" t="str">
        <f t="shared" si="17"/>
        <v/>
      </c>
      <c r="I605" s="32"/>
      <c r="J605" s="32"/>
      <c r="K605" s="34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32"/>
      <c r="G606" s="35"/>
      <c r="H606" s="34" t="str">
        <f t="shared" si="17"/>
        <v/>
      </c>
      <c r="I606" s="32"/>
      <c r="J606" s="32"/>
      <c r="K606" s="34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32"/>
      <c r="G607" s="35"/>
      <c r="H607" s="34" t="str">
        <f t="shared" si="17"/>
        <v/>
      </c>
      <c r="I607" s="32"/>
      <c r="J607" s="32"/>
      <c r="K607" s="34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32"/>
      <c r="G608" s="35"/>
      <c r="H608" s="34" t="str">
        <f t="shared" si="17"/>
        <v/>
      </c>
      <c r="I608" s="32"/>
      <c r="J608" s="32"/>
      <c r="K608" s="34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32"/>
      <c r="G609" s="35"/>
      <c r="H609" s="34" t="str">
        <f t="shared" si="17"/>
        <v/>
      </c>
      <c r="I609" s="32"/>
      <c r="J609" s="32"/>
      <c r="K609" s="34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32"/>
      <c r="G610" s="35"/>
      <c r="H610" s="34" t="str">
        <f t="shared" si="17"/>
        <v/>
      </c>
      <c r="I610" s="32"/>
      <c r="J610" s="32"/>
      <c r="K610" s="34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32"/>
      <c r="G611" s="35"/>
      <c r="H611" s="34" t="str">
        <f t="shared" si="17"/>
        <v/>
      </c>
      <c r="I611" s="32"/>
      <c r="J611" s="32"/>
      <c r="K611" s="34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32"/>
      <c r="G612" s="35"/>
      <c r="H612" s="34" t="str">
        <f t="shared" si="17"/>
        <v/>
      </c>
      <c r="I612" s="32"/>
      <c r="J612" s="32"/>
      <c r="K612" s="34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32"/>
      <c r="G613" s="35"/>
      <c r="H613" s="34" t="str">
        <f t="shared" si="17"/>
        <v/>
      </c>
      <c r="I613" s="32"/>
      <c r="J613" s="32"/>
      <c r="K613" s="34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32"/>
      <c r="G614" s="35"/>
      <c r="H614" s="34" t="str">
        <f t="shared" si="17"/>
        <v/>
      </c>
      <c r="I614" s="32"/>
      <c r="J614" s="32"/>
      <c r="K614" s="34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32"/>
      <c r="G615" s="35"/>
      <c r="H615" s="34" t="str">
        <f t="shared" si="17"/>
        <v/>
      </c>
      <c r="I615" s="32"/>
      <c r="J615" s="32"/>
      <c r="K615" s="34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32"/>
      <c r="G616" s="35"/>
      <c r="H616" s="34" t="str">
        <f t="shared" si="17"/>
        <v/>
      </c>
      <c r="I616" s="32"/>
      <c r="J616" s="32"/>
      <c r="K616" s="34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32"/>
      <c r="G617" s="35"/>
      <c r="H617" s="34" t="str">
        <f t="shared" si="17"/>
        <v/>
      </c>
      <c r="I617" s="32"/>
      <c r="J617" s="32"/>
      <c r="K617" s="34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32"/>
      <c r="G618" s="35"/>
      <c r="H618" s="34" t="str">
        <f t="shared" si="17"/>
        <v/>
      </c>
      <c r="I618" s="32"/>
      <c r="J618" s="32"/>
      <c r="K618" s="34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32"/>
      <c r="G619" s="35"/>
      <c r="H619" s="34" t="str">
        <f t="shared" si="17"/>
        <v/>
      </c>
      <c r="I619" s="32"/>
      <c r="J619" s="32"/>
      <c r="K619" s="34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32"/>
      <c r="G620" s="35"/>
      <c r="H620" s="34" t="str">
        <f t="shared" si="17"/>
        <v/>
      </c>
      <c r="I620" s="32"/>
      <c r="J620" s="32"/>
      <c r="K620" s="34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32"/>
      <c r="G621" s="35"/>
      <c r="H621" s="34" t="str">
        <f t="shared" si="17"/>
        <v/>
      </c>
      <c r="I621" s="32"/>
      <c r="J621" s="32"/>
      <c r="K621" s="34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32"/>
      <c r="G622" s="35"/>
      <c r="H622" s="34" t="str">
        <f t="shared" si="17"/>
        <v/>
      </c>
      <c r="I622" s="32"/>
      <c r="J622" s="32"/>
      <c r="K622" s="34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32"/>
      <c r="G623" s="35"/>
      <c r="H623" s="34" t="str">
        <f t="shared" si="17"/>
        <v/>
      </c>
      <c r="I623" s="32"/>
      <c r="J623" s="32"/>
      <c r="K623" s="34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32"/>
      <c r="G624" s="35"/>
      <c r="H624" s="34" t="str">
        <f t="shared" si="17"/>
        <v/>
      </c>
      <c r="I624" s="32"/>
      <c r="J624" s="32"/>
      <c r="K624" s="34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32"/>
      <c r="G625" s="35"/>
      <c r="H625" s="34" t="str">
        <f t="shared" si="17"/>
        <v/>
      </c>
      <c r="I625" s="32"/>
      <c r="J625" s="32"/>
      <c r="K625" s="34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32"/>
      <c r="G626" s="35"/>
      <c r="H626" s="34" t="str">
        <f t="shared" si="17"/>
        <v/>
      </c>
      <c r="I626" s="32"/>
      <c r="J626" s="32"/>
      <c r="K626" s="34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32"/>
      <c r="G627" s="35"/>
      <c r="H627" s="34" t="str">
        <f t="shared" si="17"/>
        <v/>
      </c>
      <c r="I627" s="32"/>
      <c r="J627" s="32"/>
      <c r="K627" s="34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32"/>
      <c r="G628" s="35"/>
      <c r="H628" s="34" t="str">
        <f t="shared" si="17"/>
        <v/>
      </c>
      <c r="I628" s="32"/>
      <c r="J628" s="32"/>
      <c r="K628" s="34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32"/>
      <c r="G629" s="35"/>
      <c r="H629" s="34" t="str">
        <f t="shared" si="17"/>
        <v/>
      </c>
      <c r="I629" s="32"/>
      <c r="J629" s="32"/>
      <c r="K629" s="34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32"/>
      <c r="G630" s="35"/>
      <c r="H630" s="34" t="str">
        <f t="shared" si="17"/>
        <v/>
      </c>
      <c r="I630" s="32"/>
      <c r="J630" s="32"/>
      <c r="K630" s="34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32"/>
      <c r="G631" s="35"/>
      <c r="H631" s="34" t="str">
        <f t="shared" si="17"/>
        <v/>
      </c>
      <c r="I631" s="32"/>
      <c r="J631" s="32"/>
      <c r="K631" s="34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32"/>
      <c r="G632" s="35"/>
      <c r="H632" s="34" t="str">
        <f t="shared" si="17"/>
        <v/>
      </c>
      <c r="I632" s="32"/>
      <c r="J632" s="32"/>
      <c r="K632" s="34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32"/>
      <c r="G633" s="35"/>
      <c r="H633" s="34" t="str">
        <f t="shared" si="17"/>
        <v/>
      </c>
      <c r="I633" s="32"/>
      <c r="J633" s="32"/>
      <c r="K633" s="34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32"/>
      <c r="G634" s="35"/>
      <c r="H634" s="34" t="str">
        <f t="shared" si="17"/>
        <v/>
      </c>
      <c r="I634" s="32"/>
      <c r="J634" s="32"/>
      <c r="K634" s="34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32"/>
      <c r="G635" s="35"/>
      <c r="H635" s="34" t="str">
        <f t="shared" si="17"/>
        <v/>
      </c>
      <c r="I635" s="32"/>
      <c r="J635" s="32"/>
      <c r="K635" s="34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32"/>
      <c r="G636" s="35"/>
      <c r="H636" s="34" t="str">
        <f t="shared" si="17"/>
        <v/>
      </c>
      <c r="I636" s="32"/>
      <c r="J636" s="32"/>
      <c r="K636" s="34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32"/>
      <c r="G637" s="35"/>
      <c r="H637" s="34" t="str">
        <f t="shared" si="17"/>
        <v/>
      </c>
      <c r="I637" s="32"/>
      <c r="J637" s="32"/>
      <c r="K637" s="34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32"/>
      <c r="G638" s="35"/>
      <c r="H638" s="34" t="str">
        <f t="shared" si="17"/>
        <v/>
      </c>
      <c r="I638" s="32"/>
      <c r="J638" s="32"/>
      <c r="K638" s="34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32"/>
      <c r="G639" s="35"/>
      <c r="H639" s="34" t="str">
        <f t="shared" si="17"/>
        <v/>
      </c>
      <c r="I639" s="32"/>
      <c r="J639" s="32"/>
      <c r="K639" s="34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32"/>
      <c r="G640" s="35"/>
      <c r="H640" s="34" t="str">
        <f t="shared" si="17"/>
        <v/>
      </c>
      <c r="I640" s="32"/>
      <c r="J640" s="32"/>
      <c r="K640" s="34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32"/>
      <c r="G641" s="35"/>
      <c r="H641" s="34" t="str">
        <f t="shared" si="17"/>
        <v/>
      </c>
      <c r="I641" s="32"/>
      <c r="J641" s="32"/>
      <c r="K641" s="34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32"/>
      <c r="G642" s="35"/>
      <c r="H642" s="34" t="str">
        <f t="shared" ref="H642:H705" si="18">IF(AND($F642="TEMP",$G642&gt;0,$M642&lt;&gt;""),$M642+$G642,"")</f>
        <v/>
      </c>
      <c r="I642" s="32"/>
      <c r="J642" s="32"/>
      <c r="K642" s="34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32"/>
      <c r="G643" s="35"/>
      <c r="H643" s="34" t="str">
        <f t="shared" si="18"/>
        <v/>
      </c>
      <c r="I643" s="32"/>
      <c r="J643" s="32"/>
      <c r="K643" s="34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32"/>
      <c r="G644" s="35"/>
      <c r="H644" s="34" t="str">
        <f t="shared" si="18"/>
        <v/>
      </c>
      <c r="I644" s="32"/>
      <c r="J644" s="32"/>
      <c r="K644" s="34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32"/>
      <c r="G645" s="35"/>
      <c r="H645" s="34" t="str">
        <f t="shared" si="18"/>
        <v/>
      </c>
      <c r="I645" s="32"/>
      <c r="J645" s="32"/>
      <c r="K645" s="34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32"/>
      <c r="G646" s="35"/>
      <c r="H646" s="34" t="str">
        <f t="shared" si="18"/>
        <v/>
      </c>
      <c r="I646" s="32"/>
      <c r="J646" s="32"/>
      <c r="K646" s="34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32"/>
      <c r="G647" s="35"/>
      <c r="H647" s="34" t="str">
        <f t="shared" si="18"/>
        <v/>
      </c>
      <c r="I647" s="32"/>
      <c r="J647" s="32"/>
      <c r="K647" s="34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32"/>
      <c r="G648" s="35"/>
      <c r="H648" s="34" t="str">
        <f t="shared" si="18"/>
        <v/>
      </c>
      <c r="I648" s="32"/>
      <c r="J648" s="32"/>
      <c r="K648" s="34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32"/>
      <c r="G649" s="35"/>
      <c r="H649" s="34" t="str">
        <f t="shared" si="18"/>
        <v/>
      </c>
      <c r="I649" s="32"/>
      <c r="J649" s="32"/>
      <c r="K649" s="34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32"/>
      <c r="G650" s="35"/>
      <c r="H650" s="34" t="str">
        <f t="shared" si="18"/>
        <v/>
      </c>
      <c r="I650" s="32"/>
      <c r="J650" s="32"/>
      <c r="K650" s="34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32"/>
      <c r="G651" s="35"/>
      <c r="H651" s="34" t="str">
        <f t="shared" si="18"/>
        <v/>
      </c>
      <c r="I651" s="32"/>
      <c r="J651" s="32"/>
      <c r="K651" s="34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32"/>
      <c r="G652" s="35"/>
      <c r="H652" s="34" t="str">
        <f t="shared" si="18"/>
        <v/>
      </c>
      <c r="I652" s="32"/>
      <c r="J652" s="32"/>
      <c r="K652" s="34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32"/>
      <c r="G653" s="35"/>
      <c r="H653" s="34" t="str">
        <f t="shared" si="18"/>
        <v/>
      </c>
      <c r="I653" s="32"/>
      <c r="J653" s="32"/>
      <c r="K653" s="34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32"/>
      <c r="G654" s="35"/>
      <c r="H654" s="34" t="str">
        <f t="shared" si="18"/>
        <v/>
      </c>
      <c r="I654" s="32"/>
      <c r="J654" s="32"/>
      <c r="K654" s="34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32"/>
      <c r="G655" s="35"/>
      <c r="H655" s="34" t="str">
        <f t="shared" si="18"/>
        <v/>
      </c>
      <c r="I655" s="32"/>
      <c r="J655" s="32"/>
      <c r="K655" s="34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32"/>
      <c r="G656" s="35"/>
      <c r="H656" s="34" t="str">
        <f t="shared" si="18"/>
        <v/>
      </c>
      <c r="I656" s="32"/>
      <c r="J656" s="32"/>
      <c r="K656" s="34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32"/>
      <c r="G657" s="35"/>
      <c r="H657" s="34" t="str">
        <f t="shared" si="18"/>
        <v/>
      </c>
      <c r="I657" s="32"/>
      <c r="J657" s="32"/>
      <c r="K657" s="34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32"/>
      <c r="G658" s="35"/>
      <c r="H658" s="34" t="str">
        <f t="shared" si="18"/>
        <v/>
      </c>
      <c r="I658" s="32"/>
      <c r="J658" s="32"/>
      <c r="K658" s="34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32"/>
      <c r="G659" s="35"/>
      <c r="H659" s="34" t="str">
        <f t="shared" si="18"/>
        <v/>
      </c>
      <c r="I659" s="32"/>
      <c r="J659" s="32"/>
      <c r="K659" s="34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32"/>
      <c r="G660" s="35"/>
      <c r="H660" s="34" t="str">
        <f t="shared" si="18"/>
        <v/>
      </c>
      <c r="I660" s="32"/>
      <c r="J660" s="32"/>
      <c r="K660" s="34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32"/>
      <c r="G661" s="35"/>
      <c r="H661" s="34" t="str">
        <f t="shared" si="18"/>
        <v/>
      </c>
      <c r="I661" s="32"/>
      <c r="J661" s="32"/>
      <c r="K661" s="34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32"/>
      <c r="G662" s="35"/>
      <c r="H662" s="34" t="str">
        <f t="shared" si="18"/>
        <v/>
      </c>
      <c r="I662" s="32"/>
      <c r="J662" s="32"/>
      <c r="K662" s="34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32"/>
      <c r="G663" s="35"/>
      <c r="H663" s="34" t="str">
        <f t="shared" si="18"/>
        <v/>
      </c>
      <c r="I663" s="32"/>
      <c r="J663" s="32"/>
      <c r="K663" s="34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32"/>
      <c r="G664" s="35"/>
      <c r="H664" s="34" t="str">
        <f t="shared" si="18"/>
        <v/>
      </c>
      <c r="I664" s="32"/>
      <c r="J664" s="32"/>
      <c r="K664" s="34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32"/>
      <c r="G665" s="35"/>
      <c r="H665" s="34" t="str">
        <f t="shared" si="18"/>
        <v/>
      </c>
      <c r="I665" s="32"/>
      <c r="J665" s="32"/>
      <c r="K665" s="34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32"/>
      <c r="G666" s="35"/>
      <c r="H666" s="34" t="str">
        <f t="shared" si="18"/>
        <v/>
      </c>
      <c r="I666" s="32"/>
      <c r="J666" s="32"/>
      <c r="K666" s="34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32"/>
      <c r="G667" s="35"/>
      <c r="H667" s="34" t="str">
        <f t="shared" si="18"/>
        <v/>
      </c>
      <c r="I667" s="32"/>
      <c r="J667" s="32"/>
      <c r="K667" s="34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32"/>
      <c r="G668" s="35"/>
      <c r="H668" s="34" t="str">
        <f t="shared" si="18"/>
        <v/>
      </c>
      <c r="I668" s="32"/>
      <c r="J668" s="32"/>
      <c r="K668" s="34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32"/>
      <c r="G669" s="35"/>
      <c r="H669" s="34" t="str">
        <f t="shared" si="18"/>
        <v/>
      </c>
      <c r="I669" s="32"/>
      <c r="J669" s="32"/>
      <c r="K669" s="34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32"/>
      <c r="G670" s="35"/>
      <c r="H670" s="34" t="str">
        <f t="shared" si="18"/>
        <v/>
      </c>
      <c r="I670" s="32"/>
      <c r="J670" s="32"/>
      <c r="K670" s="34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32"/>
      <c r="G671" s="35"/>
      <c r="H671" s="34" t="str">
        <f t="shared" si="18"/>
        <v/>
      </c>
      <c r="I671" s="32"/>
      <c r="J671" s="32"/>
      <c r="K671" s="34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32"/>
      <c r="G672" s="35"/>
      <c r="H672" s="34" t="str">
        <f t="shared" si="18"/>
        <v/>
      </c>
      <c r="I672" s="32"/>
      <c r="J672" s="32"/>
      <c r="K672" s="34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32"/>
      <c r="G673" s="35"/>
      <c r="H673" s="34" t="str">
        <f t="shared" si="18"/>
        <v/>
      </c>
      <c r="I673" s="32"/>
      <c r="J673" s="32"/>
      <c r="K673" s="34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32"/>
      <c r="G674" s="35"/>
      <c r="H674" s="34" t="str">
        <f t="shared" si="18"/>
        <v/>
      </c>
      <c r="I674" s="32"/>
      <c r="J674" s="32"/>
      <c r="K674" s="34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32"/>
      <c r="G675" s="35"/>
      <c r="H675" s="34" t="str">
        <f t="shared" si="18"/>
        <v/>
      </c>
      <c r="I675" s="32"/>
      <c r="J675" s="32"/>
      <c r="K675" s="34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32"/>
      <c r="G676" s="35"/>
      <c r="H676" s="34" t="str">
        <f t="shared" si="18"/>
        <v/>
      </c>
      <c r="I676" s="32"/>
      <c r="J676" s="32"/>
      <c r="K676" s="34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32"/>
      <c r="G677" s="35"/>
      <c r="H677" s="34" t="str">
        <f t="shared" si="18"/>
        <v/>
      </c>
      <c r="I677" s="32"/>
      <c r="J677" s="32"/>
      <c r="K677" s="34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32"/>
      <c r="G678" s="35"/>
      <c r="H678" s="34" t="str">
        <f t="shared" si="18"/>
        <v/>
      </c>
      <c r="I678" s="32"/>
      <c r="J678" s="32"/>
      <c r="K678" s="34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32"/>
      <c r="G679" s="35"/>
      <c r="H679" s="34" t="str">
        <f t="shared" si="18"/>
        <v/>
      </c>
      <c r="I679" s="32"/>
      <c r="J679" s="32"/>
      <c r="K679" s="34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32"/>
      <c r="G680" s="35"/>
      <c r="H680" s="34" t="str">
        <f t="shared" si="18"/>
        <v/>
      </c>
      <c r="I680" s="32"/>
      <c r="J680" s="32"/>
      <c r="K680" s="34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32"/>
      <c r="G681" s="35"/>
      <c r="H681" s="34" t="str">
        <f t="shared" si="18"/>
        <v/>
      </c>
      <c r="I681" s="32"/>
      <c r="J681" s="32"/>
      <c r="K681" s="34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32"/>
      <c r="G682" s="35"/>
      <c r="H682" s="34" t="str">
        <f t="shared" si="18"/>
        <v/>
      </c>
      <c r="I682" s="32"/>
      <c r="J682" s="32"/>
      <c r="K682" s="34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32"/>
      <c r="G683" s="35"/>
      <c r="H683" s="34" t="str">
        <f t="shared" si="18"/>
        <v/>
      </c>
      <c r="I683" s="32"/>
      <c r="J683" s="32"/>
      <c r="K683" s="34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32"/>
      <c r="G684" s="35"/>
      <c r="H684" s="34" t="str">
        <f t="shared" si="18"/>
        <v/>
      </c>
      <c r="I684" s="32"/>
      <c r="J684" s="32"/>
      <c r="K684" s="34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32"/>
      <c r="G685" s="35"/>
      <c r="H685" s="34" t="str">
        <f t="shared" si="18"/>
        <v/>
      </c>
      <c r="I685" s="32"/>
      <c r="J685" s="32"/>
      <c r="K685" s="34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32"/>
      <c r="G686" s="35"/>
      <c r="H686" s="34" t="str">
        <f t="shared" si="18"/>
        <v/>
      </c>
      <c r="I686" s="32"/>
      <c r="J686" s="32"/>
      <c r="K686" s="34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32"/>
      <c r="G687" s="35"/>
      <c r="H687" s="34" t="str">
        <f t="shared" si="18"/>
        <v/>
      </c>
      <c r="I687" s="32"/>
      <c r="J687" s="32"/>
      <c r="K687" s="34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32"/>
      <c r="G688" s="35"/>
      <c r="H688" s="34" t="str">
        <f t="shared" si="18"/>
        <v/>
      </c>
      <c r="I688" s="32"/>
      <c r="J688" s="32"/>
      <c r="K688" s="34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32"/>
      <c r="G689" s="35"/>
      <c r="H689" s="34" t="str">
        <f t="shared" si="18"/>
        <v/>
      </c>
      <c r="I689" s="32"/>
      <c r="J689" s="32"/>
      <c r="K689" s="34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32"/>
      <c r="G690" s="35"/>
      <c r="H690" s="34" t="str">
        <f t="shared" si="18"/>
        <v/>
      </c>
      <c r="I690" s="32"/>
      <c r="J690" s="32"/>
      <c r="K690" s="34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32"/>
      <c r="G691" s="35"/>
      <c r="H691" s="34" t="str">
        <f t="shared" si="18"/>
        <v/>
      </c>
      <c r="I691" s="32"/>
      <c r="J691" s="32"/>
      <c r="K691" s="34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32"/>
      <c r="G692" s="35"/>
      <c r="H692" s="34" t="str">
        <f t="shared" si="18"/>
        <v/>
      </c>
      <c r="I692" s="32"/>
      <c r="J692" s="32"/>
      <c r="K692" s="34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32"/>
      <c r="G693" s="35"/>
      <c r="H693" s="34" t="str">
        <f t="shared" si="18"/>
        <v/>
      </c>
      <c r="I693" s="32"/>
      <c r="J693" s="32"/>
      <c r="K693" s="34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32"/>
      <c r="G694" s="35"/>
      <c r="H694" s="34" t="str">
        <f t="shared" si="18"/>
        <v/>
      </c>
      <c r="I694" s="32"/>
      <c r="J694" s="32"/>
      <c r="K694" s="34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32"/>
      <c r="G695" s="35"/>
      <c r="H695" s="34" t="str">
        <f t="shared" si="18"/>
        <v/>
      </c>
      <c r="I695" s="32"/>
      <c r="J695" s="32"/>
      <c r="K695" s="34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32"/>
      <c r="G696" s="35"/>
      <c r="H696" s="34" t="str">
        <f t="shared" si="18"/>
        <v/>
      </c>
      <c r="I696" s="32"/>
      <c r="J696" s="32"/>
      <c r="K696" s="34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32"/>
      <c r="G697" s="35"/>
      <c r="H697" s="34" t="str">
        <f t="shared" si="18"/>
        <v/>
      </c>
      <c r="I697" s="32"/>
      <c r="J697" s="32"/>
      <c r="K697" s="34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32"/>
      <c r="G698" s="35"/>
      <c r="H698" s="34" t="str">
        <f t="shared" si="18"/>
        <v/>
      </c>
      <c r="I698" s="32"/>
      <c r="J698" s="32"/>
      <c r="K698" s="34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32"/>
      <c r="G699" s="35"/>
      <c r="H699" s="34" t="str">
        <f t="shared" si="18"/>
        <v/>
      </c>
      <c r="I699" s="32"/>
      <c r="J699" s="32"/>
      <c r="K699" s="34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32"/>
      <c r="G700" s="35"/>
      <c r="H700" s="34" t="str">
        <f t="shared" si="18"/>
        <v/>
      </c>
      <c r="I700" s="32"/>
      <c r="J700" s="32"/>
      <c r="K700" s="34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32"/>
      <c r="G701" s="35"/>
      <c r="H701" s="34" t="str">
        <f t="shared" si="18"/>
        <v/>
      </c>
      <c r="I701" s="32"/>
      <c r="J701" s="32"/>
      <c r="K701" s="34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32"/>
      <c r="G702" s="35"/>
      <c r="H702" s="34" t="str">
        <f t="shared" si="18"/>
        <v/>
      </c>
      <c r="I702" s="32"/>
      <c r="J702" s="32"/>
      <c r="K702" s="34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32"/>
      <c r="G703" s="35"/>
      <c r="H703" s="34" t="str">
        <f t="shared" si="18"/>
        <v/>
      </c>
      <c r="I703" s="32"/>
      <c r="J703" s="32"/>
      <c r="K703" s="34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32"/>
      <c r="G704" s="35"/>
      <c r="H704" s="34" t="str">
        <f t="shared" si="18"/>
        <v/>
      </c>
      <c r="I704" s="32"/>
      <c r="J704" s="32"/>
      <c r="K704" s="34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32"/>
      <c r="G705" s="35"/>
      <c r="H705" s="34" t="str">
        <f t="shared" si="18"/>
        <v/>
      </c>
      <c r="I705" s="32"/>
      <c r="J705" s="32"/>
      <c r="K705" s="34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32"/>
      <c r="G706" s="35"/>
      <c r="H706" s="34" t="str">
        <f t="shared" ref="H706:H769" si="19">IF(AND($F706="TEMP",$G706&gt;0,$M706&lt;&gt;""),$M706+$G706,"")</f>
        <v/>
      </c>
      <c r="I706" s="32"/>
      <c r="J706" s="32"/>
      <c r="K706" s="34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32"/>
      <c r="G707" s="35"/>
      <c r="H707" s="34" t="str">
        <f t="shared" si="19"/>
        <v/>
      </c>
      <c r="I707" s="32"/>
      <c r="J707" s="32"/>
      <c r="K707" s="34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32"/>
      <c r="G708" s="35"/>
      <c r="H708" s="34" t="str">
        <f t="shared" si="19"/>
        <v/>
      </c>
      <c r="I708" s="32"/>
      <c r="J708" s="32"/>
      <c r="K708" s="34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32"/>
      <c r="G709" s="35"/>
      <c r="H709" s="34" t="str">
        <f t="shared" si="19"/>
        <v/>
      </c>
      <c r="I709" s="32"/>
      <c r="J709" s="32"/>
      <c r="K709" s="34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32"/>
      <c r="G710" s="35"/>
      <c r="H710" s="34" t="str">
        <f t="shared" si="19"/>
        <v/>
      </c>
      <c r="I710" s="32"/>
      <c r="J710" s="32"/>
      <c r="K710" s="34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32"/>
      <c r="G711" s="35"/>
      <c r="H711" s="34" t="str">
        <f t="shared" si="19"/>
        <v/>
      </c>
      <c r="I711" s="32"/>
      <c r="J711" s="32"/>
      <c r="K711" s="34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32"/>
      <c r="G712" s="35"/>
      <c r="H712" s="34" t="str">
        <f t="shared" si="19"/>
        <v/>
      </c>
      <c r="I712" s="32"/>
      <c r="J712" s="32"/>
      <c r="K712" s="34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32"/>
      <c r="G713" s="35"/>
      <c r="H713" s="34" t="str">
        <f t="shared" si="19"/>
        <v/>
      </c>
      <c r="I713" s="32"/>
      <c r="J713" s="32"/>
      <c r="K713" s="34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32"/>
      <c r="G714" s="35"/>
      <c r="H714" s="34" t="str">
        <f t="shared" si="19"/>
        <v/>
      </c>
      <c r="I714" s="32"/>
      <c r="J714" s="32"/>
      <c r="K714" s="34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32"/>
      <c r="G715" s="35"/>
      <c r="H715" s="34" t="str">
        <f t="shared" si="19"/>
        <v/>
      </c>
      <c r="I715" s="32"/>
      <c r="J715" s="32"/>
      <c r="K715" s="34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32"/>
      <c r="G716" s="35"/>
      <c r="H716" s="34" t="str">
        <f t="shared" si="19"/>
        <v/>
      </c>
      <c r="I716" s="32"/>
      <c r="J716" s="32"/>
      <c r="K716" s="34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32"/>
      <c r="G717" s="35"/>
      <c r="H717" s="34" t="str">
        <f t="shared" si="19"/>
        <v/>
      </c>
      <c r="I717" s="32"/>
      <c r="J717" s="32"/>
      <c r="K717" s="34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32"/>
      <c r="G718" s="35"/>
      <c r="H718" s="34" t="str">
        <f t="shared" si="19"/>
        <v/>
      </c>
      <c r="I718" s="32"/>
      <c r="J718" s="32"/>
      <c r="K718" s="34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32"/>
      <c r="G719" s="35"/>
      <c r="H719" s="34" t="str">
        <f t="shared" si="19"/>
        <v/>
      </c>
      <c r="I719" s="32"/>
      <c r="J719" s="32"/>
      <c r="K719" s="34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32"/>
      <c r="G720" s="35"/>
      <c r="H720" s="34" t="str">
        <f t="shared" si="19"/>
        <v/>
      </c>
      <c r="I720" s="32"/>
      <c r="J720" s="32"/>
      <c r="K720" s="34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32"/>
      <c r="G721" s="35"/>
      <c r="H721" s="34" t="str">
        <f t="shared" si="19"/>
        <v/>
      </c>
      <c r="I721" s="32"/>
      <c r="J721" s="32"/>
      <c r="K721" s="34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32"/>
      <c r="G722" s="35"/>
      <c r="H722" s="34" t="str">
        <f t="shared" si="19"/>
        <v/>
      </c>
      <c r="I722" s="32"/>
      <c r="J722" s="32"/>
      <c r="K722" s="34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32"/>
      <c r="G723" s="35"/>
      <c r="H723" s="34" t="str">
        <f t="shared" si="19"/>
        <v/>
      </c>
      <c r="I723" s="32"/>
      <c r="J723" s="32"/>
      <c r="K723" s="34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32"/>
      <c r="G724" s="35"/>
      <c r="H724" s="34" t="str">
        <f t="shared" si="19"/>
        <v/>
      </c>
      <c r="I724" s="32"/>
      <c r="J724" s="32"/>
      <c r="K724" s="34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32"/>
      <c r="G725" s="35"/>
      <c r="H725" s="34" t="str">
        <f t="shared" si="19"/>
        <v/>
      </c>
      <c r="I725" s="32"/>
      <c r="J725" s="32"/>
      <c r="K725" s="34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32"/>
      <c r="G726" s="35"/>
      <c r="H726" s="34" t="str">
        <f t="shared" si="19"/>
        <v/>
      </c>
      <c r="I726" s="32"/>
      <c r="J726" s="32"/>
      <c r="K726" s="34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32"/>
      <c r="G727" s="35"/>
      <c r="H727" s="34" t="str">
        <f t="shared" si="19"/>
        <v/>
      </c>
      <c r="I727" s="32"/>
      <c r="J727" s="32"/>
      <c r="K727" s="34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32"/>
      <c r="G728" s="35"/>
      <c r="H728" s="34" t="str">
        <f t="shared" si="19"/>
        <v/>
      </c>
      <c r="I728" s="32"/>
      <c r="J728" s="32"/>
      <c r="K728" s="34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32"/>
      <c r="G729" s="35"/>
      <c r="H729" s="34" t="str">
        <f t="shared" si="19"/>
        <v/>
      </c>
      <c r="I729" s="32"/>
      <c r="J729" s="32"/>
      <c r="K729" s="34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32"/>
      <c r="G730" s="35"/>
      <c r="H730" s="34" t="str">
        <f t="shared" si="19"/>
        <v/>
      </c>
      <c r="I730" s="32"/>
      <c r="J730" s="32"/>
      <c r="K730" s="34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32"/>
      <c r="G731" s="35"/>
      <c r="H731" s="34" t="str">
        <f t="shared" si="19"/>
        <v/>
      </c>
      <c r="I731" s="32"/>
      <c r="J731" s="32"/>
      <c r="K731" s="34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32"/>
      <c r="G732" s="35"/>
      <c r="H732" s="34" t="str">
        <f t="shared" si="19"/>
        <v/>
      </c>
      <c r="I732" s="32"/>
      <c r="J732" s="32"/>
      <c r="K732" s="34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32"/>
      <c r="G733" s="35"/>
      <c r="H733" s="34" t="str">
        <f t="shared" si="19"/>
        <v/>
      </c>
      <c r="I733" s="32"/>
      <c r="J733" s="32"/>
      <c r="K733" s="34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32"/>
      <c r="G734" s="35"/>
      <c r="H734" s="34" t="str">
        <f t="shared" si="19"/>
        <v/>
      </c>
      <c r="I734" s="32"/>
      <c r="J734" s="32"/>
      <c r="K734" s="34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32"/>
      <c r="G735" s="35"/>
      <c r="H735" s="34" t="str">
        <f t="shared" si="19"/>
        <v/>
      </c>
      <c r="I735" s="32"/>
      <c r="J735" s="32"/>
      <c r="K735" s="34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32"/>
      <c r="G736" s="35"/>
      <c r="H736" s="34" t="str">
        <f t="shared" si="19"/>
        <v/>
      </c>
      <c r="I736" s="32"/>
      <c r="J736" s="32"/>
      <c r="K736" s="34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32"/>
      <c r="G737" s="35"/>
      <c r="H737" s="34" t="str">
        <f t="shared" si="19"/>
        <v/>
      </c>
      <c r="I737" s="32"/>
      <c r="J737" s="32"/>
      <c r="K737" s="34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32"/>
      <c r="G738" s="35"/>
      <c r="H738" s="34" t="str">
        <f t="shared" si="19"/>
        <v/>
      </c>
      <c r="I738" s="32"/>
      <c r="J738" s="32"/>
      <c r="K738" s="34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32"/>
      <c r="G739" s="35"/>
      <c r="H739" s="34" t="str">
        <f t="shared" si="19"/>
        <v/>
      </c>
      <c r="I739" s="32"/>
      <c r="J739" s="32"/>
      <c r="K739" s="34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32"/>
      <c r="G740" s="35"/>
      <c r="H740" s="34" t="str">
        <f t="shared" si="19"/>
        <v/>
      </c>
      <c r="I740" s="32"/>
      <c r="J740" s="32"/>
      <c r="K740" s="34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32"/>
      <c r="G741" s="35"/>
      <c r="H741" s="34" t="str">
        <f t="shared" si="19"/>
        <v/>
      </c>
      <c r="I741" s="32"/>
      <c r="J741" s="32"/>
      <c r="K741" s="34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32"/>
      <c r="G742" s="35"/>
      <c r="H742" s="34" t="str">
        <f t="shared" si="19"/>
        <v/>
      </c>
      <c r="I742" s="32"/>
      <c r="J742" s="32"/>
      <c r="K742" s="34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32"/>
      <c r="G743" s="35"/>
      <c r="H743" s="34" t="str">
        <f t="shared" si="19"/>
        <v/>
      </c>
      <c r="I743" s="32"/>
      <c r="J743" s="32"/>
      <c r="K743" s="34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32"/>
      <c r="G744" s="35"/>
      <c r="H744" s="34" t="str">
        <f t="shared" si="19"/>
        <v/>
      </c>
      <c r="I744" s="32"/>
      <c r="J744" s="32"/>
      <c r="K744" s="34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32"/>
      <c r="G745" s="35"/>
      <c r="H745" s="34" t="str">
        <f t="shared" si="19"/>
        <v/>
      </c>
      <c r="I745" s="32"/>
      <c r="J745" s="32"/>
      <c r="K745" s="34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32"/>
      <c r="G746" s="35"/>
      <c r="H746" s="34" t="str">
        <f t="shared" si="19"/>
        <v/>
      </c>
      <c r="I746" s="32"/>
      <c r="J746" s="32"/>
      <c r="K746" s="34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32"/>
      <c r="G747" s="35"/>
      <c r="H747" s="34" t="str">
        <f t="shared" si="19"/>
        <v/>
      </c>
      <c r="I747" s="32"/>
      <c r="J747" s="32"/>
      <c r="K747" s="34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32"/>
      <c r="G748" s="35"/>
      <c r="H748" s="34" t="str">
        <f t="shared" si="19"/>
        <v/>
      </c>
      <c r="I748" s="32"/>
      <c r="J748" s="32"/>
      <c r="K748" s="34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32"/>
      <c r="G749" s="35"/>
      <c r="H749" s="34" t="str">
        <f t="shared" si="19"/>
        <v/>
      </c>
      <c r="I749" s="32"/>
      <c r="J749" s="32"/>
      <c r="K749" s="34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32"/>
      <c r="G750" s="35"/>
      <c r="H750" s="34" t="str">
        <f t="shared" si="19"/>
        <v/>
      </c>
      <c r="I750" s="32"/>
      <c r="J750" s="32"/>
      <c r="K750" s="34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32"/>
      <c r="G751" s="35"/>
      <c r="H751" s="34" t="str">
        <f t="shared" si="19"/>
        <v/>
      </c>
      <c r="I751" s="32"/>
      <c r="J751" s="32"/>
      <c r="K751" s="34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32"/>
      <c r="G752" s="35"/>
      <c r="H752" s="34" t="str">
        <f t="shared" si="19"/>
        <v/>
      </c>
      <c r="I752" s="32"/>
      <c r="J752" s="32"/>
      <c r="K752" s="34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32"/>
      <c r="G753" s="35"/>
      <c r="H753" s="34" t="str">
        <f t="shared" si="19"/>
        <v/>
      </c>
      <c r="I753" s="32"/>
      <c r="J753" s="32"/>
      <c r="K753" s="34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32"/>
      <c r="G754" s="35"/>
      <c r="H754" s="34" t="str">
        <f t="shared" si="19"/>
        <v/>
      </c>
      <c r="I754" s="32"/>
      <c r="J754" s="32"/>
      <c r="K754" s="34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32"/>
      <c r="G755" s="35"/>
      <c r="H755" s="34" t="str">
        <f t="shared" si="19"/>
        <v/>
      </c>
      <c r="I755" s="32"/>
      <c r="J755" s="32"/>
      <c r="K755" s="34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32"/>
      <c r="G756" s="35"/>
      <c r="H756" s="34" t="str">
        <f t="shared" si="19"/>
        <v/>
      </c>
      <c r="I756" s="32"/>
      <c r="J756" s="32"/>
      <c r="K756" s="34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32"/>
      <c r="G757" s="35"/>
      <c r="H757" s="34" t="str">
        <f t="shared" si="19"/>
        <v/>
      </c>
      <c r="I757" s="32"/>
      <c r="J757" s="32"/>
      <c r="K757" s="34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32"/>
      <c r="G758" s="35"/>
      <c r="H758" s="34" t="str">
        <f t="shared" si="19"/>
        <v/>
      </c>
      <c r="I758" s="32"/>
      <c r="J758" s="32"/>
      <c r="K758" s="34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32"/>
      <c r="G759" s="35"/>
      <c r="H759" s="34" t="str">
        <f t="shared" si="19"/>
        <v/>
      </c>
      <c r="I759" s="32"/>
      <c r="J759" s="32"/>
      <c r="K759" s="34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32"/>
      <c r="G760" s="35"/>
      <c r="H760" s="34" t="str">
        <f t="shared" si="19"/>
        <v/>
      </c>
      <c r="I760" s="32"/>
      <c r="J760" s="32"/>
      <c r="K760" s="34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32"/>
      <c r="G761" s="35"/>
      <c r="H761" s="34" t="str">
        <f t="shared" si="19"/>
        <v/>
      </c>
      <c r="I761" s="32"/>
      <c r="J761" s="32"/>
      <c r="K761" s="34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32"/>
      <c r="G762" s="35"/>
      <c r="H762" s="34" t="str">
        <f t="shared" si="19"/>
        <v/>
      </c>
      <c r="I762" s="32"/>
      <c r="J762" s="32"/>
      <c r="K762" s="34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32"/>
      <c r="G763" s="35"/>
      <c r="H763" s="34" t="str">
        <f t="shared" si="19"/>
        <v/>
      </c>
      <c r="I763" s="32"/>
      <c r="J763" s="32"/>
      <c r="K763" s="34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32"/>
      <c r="G764" s="35"/>
      <c r="H764" s="34" t="str">
        <f t="shared" si="19"/>
        <v/>
      </c>
      <c r="I764" s="32"/>
      <c r="J764" s="32"/>
      <c r="K764" s="34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32"/>
      <c r="G765" s="35"/>
      <c r="H765" s="34" t="str">
        <f t="shared" si="19"/>
        <v/>
      </c>
      <c r="I765" s="32"/>
      <c r="J765" s="32"/>
      <c r="K765" s="34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32"/>
      <c r="G766" s="35"/>
      <c r="H766" s="34" t="str">
        <f t="shared" si="19"/>
        <v/>
      </c>
      <c r="I766" s="32"/>
      <c r="J766" s="32"/>
      <c r="K766" s="34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32"/>
      <c r="G767" s="35"/>
      <c r="H767" s="34" t="str">
        <f t="shared" si="19"/>
        <v/>
      </c>
      <c r="I767" s="32"/>
      <c r="J767" s="32"/>
      <c r="K767" s="34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32"/>
      <c r="G768" s="35"/>
      <c r="H768" s="34" t="str">
        <f t="shared" si="19"/>
        <v/>
      </c>
      <c r="I768" s="32"/>
      <c r="J768" s="32"/>
      <c r="K768" s="34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32"/>
      <c r="G769" s="35"/>
      <c r="H769" s="34" t="str">
        <f t="shared" si="19"/>
        <v/>
      </c>
      <c r="I769" s="32"/>
      <c r="J769" s="32"/>
      <c r="K769" s="34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32"/>
      <c r="G770" s="35"/>
      <c r="H770" s="34" t="str">
        <f t="shared" ref="H770:H833" si="20">IF(AND($F770="TEMP",$G770&gt;0,$M770&lt;&gt;""),$M770+$G770,"")</f>
        <v/>
      </c>
      <c r="I770" s="32"/>
      <c r="J770" s="32"/>
      <c r="K770" s="34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32"/>
      <c r="G771" s="35"/>
      <c r="H771" s="34" t="str">
        <f t="shared" si="20"/>
        <v/>
      </c>
      <c r="I771" s="32"/>
      <c r="J771" s="32"/>
      <c r="K771" s="34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32"/>
      <c r="G772" s="35"/>
      <c r="H772" s="34" t="str">
        <f t="shared" si="20"/>
        <v/>
      </c>
      <c r="I772" s="32"/>
      <c r="J772" s="32"/>
      <c r="K772" s="34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32"/>
      <c r="G773" s="35"/>
      <c r="H773" s="34" t="str">
        <f t="shared" si="20"/>
        <v/>
      </c>
      <c r="I773" s="32"/>
      <c r="J773" s="32"/>
      <c r="K773" s="34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32"/>
      <c r="G774" s="35"/>
      <c r="H774" s="34" t="str">
        <f t="shared" si="20"/>
        <v/>
      </c>
      <c r="I774" s="32"/>
      <c r="J774" s="32"/>
      <c r="K774" s="34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32"/>
      <c r="G775" s="35"/>
      <c r="H775" s="34" t="str">
        <f t="shared" si="20"/>
        <v/>
      </c>
      <c r="I775" s="32"/>
      <c r="J775" s="32"/>
      <c r="K775" s="34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32"/>
      <c r="G776" s="35"/>
      <c r="H776" s="34" t="str">
        <f t="shared" si="20"/>
        <v/>
      </c>
      <c r="I776" s="32"/>
      <c r="J776" s="32"/>
      <c r="K776" s="34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32"/>
      <c r="G777" s="35"/>
      <c r="H777" s="34" t="str">
        <f t="shared" si="20"/>
        <v/>
      </c>
      <c r="I777" s="32"/>
      <c r="J777" s="32"/>
      <c r="K777" s="34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32"/>
      <c r="G778" s="35"/>
      <c r="H778" s="34" t="str">
        <f t="shared" si="20"/>
        <v/>
      </c>
      <c r="I778" s="32"/>
      <c r="J778" s="32"/>
      <c r="K778" s="34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32"/>
      <c r="G779" s="35"/>
      <c r="H779" s="34" t="str">
        <f t="shared" si="20"/>
        <v/>
      </c>
      <c r="I779" s="32"/>
      <c r="J779" s="32"/>
      <c r="K779" s="34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32"/>
      <c r="G780" s="35"/>
      <c r="H780" s="34" t="str">
        <f t="shared" si="20"/>
        <v/>
      </c>
      <c r="I780" s="32"/>
      <c r="J780" s="32"/>
      <c r="K780" s="34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32"/>
      <c r="G781" s="35"/>
      <c r="H781" s="34" t="str">
        <f t="shared" si="20"/>
        <v/>
      </c>
      <c r="I781" s="32"/>
      <c r="J781" s="32"/>
      <c r="K781" s="34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32"/>
      <c r="G782" s="35"/>
      <c r="H782" s="34" t="str">
        <f t="shared" si="20"/>
        <v/>
      </c>
      <c r="I782" s="32"/>
      <c r="J782" s="32"/>
      <c r="K782" s="34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32"/>
      <c r="G783" s="35"/>
      <c r="H783" s="34" t="str">
        <f t="shared" si="20"/>
        <v/>
      </c>
      <c r="I783" s="32"/>
      <c r="J783" s="32"/>
      <c r="K783" s="34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32"/>
      <c r="G784" s="35"/>
      <c r="H784" s="34" t="str">
        <f t="shared" si="20"/>
        <v/>
      </c>
      <c r="I784" s="32"/>
      <c r="J784" s="32"/>
      <c r="K784" s="34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32"/>
      <c r="G785" s="35"/>
      <c r="H785" s="34" t="str">
        <f t="shared" si="20"/>
        <v/>
      </c>
      <c r="I785" s="32"/>
      <c r="J785" s="32"/>
      <c r="K785" s="34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32"/>
      <c r="G786" s="35"/>
      <c r="H786" s="34" t="str">
        <f t="shared" si="20"/>
        <v/>
      </c>
      <c r="I786" s="32"/>
      <c r="J786" s="32"/>
      <c r="K786" s="34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32"/>
      <c r="G787" s="35"/>
      <c r="H787" s="34" t="str">
        <f t="shared" si="20"/>
        <v/>
      </c>
      <c r="I787" s="32"/>
      <c r="J787" s="32"/>
      <c r="K787" s="34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32"/>
      <c r="G788" s="35"/>
      <c r="H788" s="34" t="str">
        <f t="shared" si="20"/>
        <v/>
      </c>
      <c r="I788" s="32"/>
      <c r="J788" s="32"/>
      <c r="K788" s="34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32"/>
      <c r="G789" s="35"/>
      <c r="H789" s="34" t="str">
        <f t="shared" si="20"/>
        <v/>
      </c>
      <c r="I789" s="32"/>
      <c r="J789" s="32"/>
      <c r="K789" s="34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32"/>
      <c r="G790" s="35"/>
      <c r="H790" s="34" t="str">
        <f t="shared" si="20"/>
        <v/>
      </c>
      <c r="I790" s="32"/>
      <c r="J790" s="32"/>
      <c r="K790" s="34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32"/>
      <c r="G791" s="35"/>
      <c r="H791" s="34" t="str">
        <f t="shared" si="20"/>
        <v/>
      </c>
      <c r="I791" s="32"/>
      <c r="J791" s="32"/>
      <c r="K791" s="34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32"/>
      <c r="G792" s="35"/>
      <c r="H792" s="34" t="str">
        <f t="shared" si="20"/>
        <v/>
      </c>
      <c r="I792" s="32"/>
      <c r="J792" s="32"/>
      <c r="K792" s="34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32"/>
      <c r="G793" s="35"/>
      <c r="H793" s="34" t="str">
        <f t="shared" si="20"/>
        <v/>
      </c>
      <c r="I793" s="32"/>
      <c r="J793" s="32"/>
      <c r="K793" s="34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32"/>
      <c r="G794" s="35"/>
      <c r="H794" s="34" t="str">
        <f t="shared" si="20"/>
        <v/>
      </c>
      <c r="I794" s="32"/>
      <c r="J794" s="32"/>
      <c r="K794" s="34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32"/>
      <c r="G795" s="35"/>
      <c r="H795" s="34" t="str">
        <f t="shared" si="20"/>
        <v/>
      </c>
      <c r="I795" s="32"/>
      <c r="J795" s="32"/>
      <c r="K795" s="34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32"/>
      <c r="G796" s="35"/>
      <c r="H796" s="34" t="str">
        <f t="shared" si="20"/>
        <v/>
      </c>
      <c r="I796" s="32"/>
      <c r="J796" s="32"/>
      <c r="K796" s="34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32"/>
      <c r="G797" s="35"/>
      <c r="H797" s="34" t="str">
        <f t="shared" si="20"/>
        <v/>
      </c>
      <c r="I797" s="32"/>
      <c r="J797" s="32"/>
      <c r="K797" s="34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32"/>
      <c r="G798" s="35"/>
      <c r="H798" s="34" t="str">
        <f t="shared" si="20"/>
        <v/>
      </c>
      <c r="I798" s="32"/>
      <c r="J798" s="32"/>
      <c r="K798" s="34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32"/>
      <c r="G799" s="35"/>
      <c r="H799" s="34" t="str">
        <f t="shared" si="20"/>
        <v/>
      </c>
      <c r="I799" s="32"/>
      <c r="J799" s="32"/>
      <c r="K799" s="34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32"/>
      <c r="G800" s="35"/>
      <c r="H800" s="34" t="str">
        <f t="shared" si="20"/>
        <v/>
      </c>
      <c r="I800" s="32"/>
      <c r="J800" s="32"/>
      <c r="K800" s="34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32"/>
      <c r="G801" s="35"/>
      <c r="H801" s="34" t="str">
        <f t="shared" si="20"/>
        <v/>
      </c>
      <c r="I801" s="32"/>
      <c r="J801" s="32"/>
      <c r="K801" s="34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32"/>
      <c r="G802" s="35"/>
      <c r="H802" s="34" t="str">
        <f t="shared" si="20"/>
        <v/>
      </c>
      <c r="I802" s="32"/>
      <c r="J802" s="32"/>
      <c r="K802" s="34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32"/>
      <c r="G803" s="35"/>
      <c r="H803" s="34" t="str">
        <f t="shared" si="20"/>
        <v/>
      </c>
      <c r="I803" s="32"/>
      <c r="J803" s="32"/>
      <c r="K803" s="34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32"/>
      <c r="G804" s="35"/>
      <c r="H804" s="34" t="str">
        <f t="shared" si="20"/>
        <v/>
      </c>
      <c r="I804" s="32"/>
      <c r="J804" s="32"/>
      <c r="K804" s="34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32"/>
      <c r="G805" s="35"/>
      <c r="H805" s="34" t="str">
        <f t="shared" si="20"/>
        <v/>
      </c>
      <c r="I805" s="32"/>
      <c r="J805" s="32"/>
      <c r="K805" s="34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32"/>
      <c r="G806" s="35"/>
      <c r="H806" s="34" t="str">
        <f t="shared" si="20"/>
        <v/>
      </c>
      <c r="I806" s="32"/>
      <c r="J806" s="32"/>
      <c r="K806" s="34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32"/>
      <c r="G807" s="35"/>
      <c r="H807" s="34" t="str">
        <f t="shared" si="20"/>
        <v/>
      </c>
      <c r="I807" s="32"/>
      <c r="J807" s="32"/>
      <c r="K807" s="34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32"/>
      <c r="G808" s="35"/>
      <c r="H808" s="34" t="str">
        <f t="shared" si="20"/>
        <v/>
      </c>
      <c r="I808" s="32"/>
      <c r="J808" s="32"/>
      <c r="K808" s="34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32"/>
      <c r="G809" s="35"/>
      <c r="H809" s="34" t="str">
        <f t="shared" si="20"/>
        <v/>
      </c>
      <c r="I809" s="32"/>
      <c r="J809" s="32"/>
      <c r="K809" s="34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32"/>
      <c r="G810" s="35"/>
      <c r="H810" s="34" t="str">
        <f t="shared" si="20"/>
        <v/>
      </c>
      <c r="I810" s="32"/>
      <c r="J810" s="32"/>
      <c r="K810" s="34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32"/>
      <c r="G811" s="35"/>
      <c r="H811" s="34" t="str">
        <f t="shared" si="20"/>
        <v/>
      </c>
      <c r="I811" s="32"/>
      <c r="J811" s="32"/>
      <c r="K811" s="34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32"/>
      <c r="G812" s="35"/>
      <c r="H812" s="34" t="str">
        <f t="shared" si="20"/>
        <v/>
      </c>
      <c r="I812" s="32"/>
      <c r="J812" s="32"/>
      <c r="K812" s="34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32"/>
      <c r="G813" s="35"/>
      <c r="H813" s="34" t="str">
        <f t="shared" si="20"/>
        <v/>
      </c>
      <c r="I813" s="32"/>
      <c r="J813" s="32"/>
      <c r="K813" s="34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32"/>
      <c r="G814" s="35"/>
      <c r="H814" s="34" t="str">
        <f t="shared" si="20"/>
        <v/>
      </c>
      <c r="I814" s="32"/>
      <c r="J814" s="32"/>
      <c r="K814" s="34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32"/>
      <c r="G815" s="35"/>
      <c r="H815" s="34" t="str">
        <f t="shared" si="20"/>
        <v/>
      </c>
      <c r="I815" s="32"/>
      <c r="J815" s="32"/>
      <c r="K815" s="34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32"/>
      <c r="G816" s="35"/>
      <c r="H816" s="34" t="str">
        <f t="shared" si="20"/>
        <v/>
      </c>
      <c r="I816" s="32"/>
      <c r="J816" s="32"/>
      <c r="K816" s="34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32"/>
      <c r="G817" s="35"/>
      <c r="H817" s="34" t="str">
        <f t="shared" si="20"/>
        <v/>
      </c>
      <c r="I817" s="32"/>
      <c r="J817" s="32"/>
      <c r="K817" s="34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32"/>
      <c r="G818" s="35"/>
      <c r="H818" s="34" t="str">
        <f t="shared" si="20"/>
        <v/>
      </c>
      <c r="I818" s="32"/>
      <c r="J818" s="32"/>
      <c r="K818" s="34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32"/>
      <c r="G819" s="35"/>
      <c r="H819" s="34" t="str">
        <f t="shared" si="20"/>
        <v/>
      </c>
      <c r="I819" s="32"/>
      <c r="J819" s="32"/>
      <c r="K819" s="34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32"/>
      <c r="G820" s="35"/>
      <c r="H820" s="34" t="str">
        <f t="shared" si="20"/>
        <v/>
      </c>
      <c r="I820" s="32"/>
      <c r="J820" s="32"/>
      <c r="K820" s="34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32"/>
      <c r="G821" s="35"/>
      <c r="H821" s="34" t="str">
        <f t="shared" si="20"/>
        <v/>
      </c>
      <c r="I821" s="32"/>
      <c r="J821" s="32"/>
      <c r="K821" s="34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32"/>
      <c r="G822" s="35"/>
      <c r="H822" s="34" t="str">
        <f t="shared" si="20"/>
        <v/>
      </c>
      <c r="I822" s="32"/>
      <c r="J822" s="32"/>
      <c r="K822" s="34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32"/>
      <c r="G823" s="35"/>
      <c r="H823" s="34" t="str">
        <f t="shared" si="20"/>
        <v/>
      </c>
      <c r="I823" s="32"/>
      <c r="J823" s="32"/>
      <c r="K823" s="34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32"/>
      <c r="G824" s="35"/>
      <c r="H824" s="34" t="str">
        <f t="shared" si="20"/>
        <v/>
      </c>
      <c r="I824" s="32"/>
      <c r="J824" s="32"/>
      <c r="K824" s="34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32"/>
      <c r="G825" s="35"/>
      <c r="H825" s="34" t="str">
        <f t="shared" si="20"/>
        <v/>
      </c>
      <c r="I825" s="32"/>
      <c r="J825" s="32"/>
      <c r="K825" s="34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32"/>
      <c r="G826" s="35"/>
      <c r="H826" s="34" t="str">
        <f t="shared" si="20"/>
        <v/>
      </c>
      <c r="I826" s="32"/>
      <c r="J826" s="32"/>
      <c r="K826" s="34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32"/>
      <c r="G827" s="35"/>
      <c r="H827" s="34" t="str">
        <f t="shared" si="20"/>
        <v/>
      </c>
      <c r="I827" s="32"/>
      <c r="J827" s="32"/>
      <c r="K827" s="34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32"/>
      <c r="G828" s="35"/>
      <c r="H828" s="34" t="str">
        <f t="shared" si="20"/>
        <v/>
      </c>
      <c r="I828" s="32"/>
      <c r="J828" s="32"/>
      <c r="K828" s="34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32"/>
      <c r="G829" s="35"/>
      <c r="H829" s="34" t="str">
        <f t="shared" si="20"/>
        <v/>
      </c>
      <c r="I829" s="32"/>
      <c r="J829" s="32"/>
      <c r="K829" s="34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32"/>
      <c r="G830" s="35"/>
      <c r="H830" s="34" t="str">
        <f t="shared" si="20"/>
        <v/>
      </c>
      <c r="I830" s="32"/>
      <c r="J830" s="32"/>
      <c r="K830" s="34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32"/>
      <c r="G831" s="35"/>
      <c r="H831" s="34" t="str">
        <f t="shared" si="20"/>
        <v/>
      </c>
      <c r="I831" s="32"/>
      <c r="J831" s="32"/>
      <c r="K831" s="34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32"/>
      <c r="G832" s="35"/>
      <c r="H832" s="34" t="str">
        <f t="shared" si="20"/>
        <v/>
      </c>
      <c r="I832" s="32"/>
      <c r="J832" s="32"/>
      <c r="K832" s="34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32"/>
      <c r="G833" s="35"/>
      <c r="H833" s="34" t="str">
        <f t="shared" si="20"/>
        <v/>
      </c>
      <c r="I833" s="32"/>
      <c r="J833" s="32"/>
      <c r="K833" s="34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32"/>
      <c r="G834" s="35"/>
      <c r="H834" s="34" t="str">
        <f t="shared" ref="H834:H897" si="21">IF(AND($F834="TEMP",$G834&gt;0,$M834&lt;&gt;""),$M834+$G834,"")</f>
        <v/>
      </c>
      <c r="I834" s="32"/>
      <c r="J834" s="32"/>
      <c r="K834" s="34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32"/>
      <c r="G835" s="35"/>
      <c r="H835" s="34" t="str">
        <f t="shared" si="21"/>
        <v/>
      </c>
      <c r="I835" s="32"/>
      <c r="J835" s="32"/>
      <c r="K835" s="34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32"/>
      <c r="G836" s="35"/>
      <c r="H836" s="34" t="str">
        <f t="shared" si="21"/>
        <v/>
      </c>
      <c r="I836" s="32"/>
      <c r="J836" s="32"/>
      <c r="K836" s="34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32"/>
      <c r="G837" s="35"/>
      <c r="H837" s="34" t="str">
        <f t="shared" si="21"/>
        <v/>
      </c>
      <c r="I837" s="32"/>
      <c r="J837" s="32"/>
      <c r="K837" s="34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32"/>
      <c r="G838" s="35"/>
      <c r="H838" s="34" t="str">
        <f t="shared" si="21"/>
        <v/>
      </c>
      <c r="I838" s="32"/>
      <c r="J838" s="32"/>
      <c r="K838" s="34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32"/>
      <c r="G839" s="35"/>
      <c r="H839" s="34" t="str">
        <f t="shared" si="21"/>
        <v/>
      </c>
      <c r="I839" s="32"/>
      <c r="J839" s="32"/>
      <c r="K839" s="34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32"/>
      <c r="G840" s="35"/>
      <c r="H840" s="34" t="str">
        <f t="shared" si="21"/>
        <v/>
      </c>
      <c r="I840" s="32"/>
      <c r="J840" s="32"/>
      <c r="K840" s="34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32"/>
      <c r="G841" s="35"/>
      <c r="H841" s="34" t="str">
        <f t="shared" si="21"/>
        <v/>
      </c>
      <c r="I841" s="32"/>
      <c r="J841" s="32"/>
      <c r="K841" s="34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32"/>
      <c r="G842" s="35"/>
      <c r="H842" s="34" t="str">
        <f t="shared" si="21"/>
        <v/>
      </c>
      <c r="I842" s="32"/>
      <c r="J842" s="32"/>
      <c r="K842" s="34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32"/>
      <c r="G843" s="35"/>
      <c r="H843" s="34" t="str">
        <f t="shared" si="21"/>
        <v/>
      </c>
      <c r="I843" s="32"/>
      <c r="J843" s="32"/>
      <c r="K843" s="34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32"/>
      <c r="G844" s="35"/>
      <c r="H844" s="34" t="str">
        <f t="shared" si="21"/>
        <v/>
      </c>
      <c r="I844" s="32"/>
      <c r="J844" s="32"/>
      <c r="K844" s="34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32"/>
      <c r="G845" s="35"/>
      <c r="H845" s="34" t="str">
        <f t="shared" si="21"/>
        <v/>
      </c>
      <c r="I845" s="32"/>
      <c r="J845" s="32"/>
      <c r="K845" s="34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32"/>
      <c r="G846" s="35"/>
      <c r="H846" s="34" t="str">
        <f t="shared" si="21"/>
        <v/>
      </c>
      <c r="I846" s="32"/>
      <c r="J846" s="32"/>
      <c r="K846" s="34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32"/>
      <c r="G847" s="35"/>
      <c r="H847" s="34" t="str">
        <f t="shared" si="21"/>
        <v/>
      </c>
      <c r="I847" s="32"/>
      <c r="J847" s="32"/>
      <c r="K847" s="34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32"/>
      <c r="G848" s="35"/>
      <c r="H848" s="34" t="str">
        <f t="shared" si="21"/>
        <v/>
      </c>
      <c r="I848" s="32"/>
      <c r="J848" s="32"/>
      <c r="K848" s="34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32"/>
      <c r="G849" s="35"/>
      <c r="H849" s="34" t="str">
        <f t="shared" si="21"/>
        <v/>
      </c>
      <c r="I849" s="32"/>
      <c r="J849" s="32"/>
      <c r="K849" s="34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32"/>
      <c r="G850" s="35"/>
      <c r="H850" s="34" t="str">
        <f t="shared" si="21"/>
        <v/>
      </c>
      <c r="I850" s="32"/>
      <c r="J850" s="32"/>
      <c r="K850" s="34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32"/>
      <c r="G851" s="35"/>
      <c r="H851" s="34" t="str">
        <f t="shared" si="21"/>
        <v/>
      </c>
      <c r="I851" s="32"/>
      <c r="J851" s="32"/>
      <c r="K851" s="34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32"/>
      <c r="G852" s="35"/>
      <c r="H852" s="34" t="str">
        <f t="shared" si="21"/>
        <v/>
      </c>
      <c r="I852" s="32"/>
      <c r="J852" s="32"/>
      <c r="K852" s="34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32"/>
      <c r="G853" s="35"/>
      <c r="H853" s="34" t="str">
        <f t="shared" si="21"/>
        <v/>
      </c>
      <c r="I853" s="32"/>
      <c r="J853" s="32"/>
      <c r="K853" s="34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32"/>
      <c r="G854" s="35"/>
      <c r="H854" s="34" t="str">
        <f t="shared" si="21"/>
        <v/>
      </c>
      <c r="I854" s="32"/>
      <c r="J854" s="32"/>
      <c r="K854" s="34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32"/>
      <c r="G855" s="35"/>
      <c r="H855" s="34" t="str">
        <f t="shared" si="21"/>
        <v/>
      </c>
      <c r="I855" s="32"/>
      <c r="J855" s="32"/>
      <c r="K855" s="34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32"/>
      <c r="G856" s="35"/>
      <c r="H856" s="34" t="str">
        <f t="shared" si="21"/>
        <v/>
      </c>
      <c r="I856" s="32"/>
      <c r="J856" s="32"/>
      <c r="K856" s="34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32"/>
      <c r="G857" s="35"/>
      <c r="H857" s="34" t="str">
        <f t="shared" si="21"/>
        <v/>
      </c>
      <c r="I857" s="32"/>
      <c r="J857" s="32"/>
      <c r="K857" s="34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32"/>
      <c r="G858" s="35"/>
      <c r="H858" s="34" t="str">
        <f t="shared" si="21"/>
        <v/>
      </c>
      <c r="I858" s="32"/>
      <c r="J858" s="32"/>
      <c r="K858" s="34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32"/>
      <c r="G859" s="35"/>
      <c r="H859" s="34" t="str">
        <f t="shared" si="21"/>
        <v/>
      </c>
      <c r="I859" s="32"/>
      <c r="J859" s="32"/>
      <c r="K859" s="34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32"/>
      <c r="G860" s="35"/>
      <c r="H860" s="34" t="str">
        <f t="shared" si="21"/>
        <v/>
      </c>
      <c r="I860" s="32"/>
      <c r="J860" s="32"/>
      <c r="K860" s="34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32"/>
      <c r="G861" s="35"/>
      <c r="H861" s="34" t="str">
        <f t="shared" si="21"/>
        <v/>
      </c>
      <c r="I861" s="32"/>
      <c r="J861" s="32"/>
      <c r="K861" s="34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32"/>
      <c r="G862" s="35"/>
      <c r="H862" s="34" t="str">
        <f t="shared" si="21"/>
        <v/>
      </c>
      <c r="I862" s="32"/>
      <c r="J862" s="32"/>
      <c r="K862" s="34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32"/>
      <c r="G863" s="35"/>
      <c r="H863" s="34" t="str">
        <f t="shared" si="21"/>
        <v/>
      </c>
      <c r="I863" s="32"/>
      <c r="J863" s="32"/>
      <c r="K863" s="34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32"/>
      <c r="G864" s="35"/>
      <c r="H864" s="34" t="str">
        <f t="shared" si="21"/>
        <v/>
      </c>
      <c r="I864" s="32"/>
      <c r="J864" s="32"/>
      <c r="K864" s="34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32"/>
      <c r="G865" s="35"/>
      <c r="H865" s="34" t="str">
        <f t="shared" si="21"/>
        <v/>
      </c>
      <c r="I865" s="32"/>
      <c r="J865" s="32"/>
      <c r="K865" s="34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32"/>
      <c r="G866" s="35"/>
      <c r="H866" s="34" t="str">
        <f t="shared" si="21"/>
        <v/>
      </c>
      <c r="I866" s="32"/>
      <c r="J866" s="32"/>
      <c r="K866" s="34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32"/>
      <c r="G867" s="35"/>
      <c r="H867" s="34" t="str">
        <f t="shared" si="21"/>
        <v/>
      </c>
      <c r="I867" s="32"/>
      <c r="J867" s="32"/>
      <c r="K867" s="34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32"/>
      <c r="G868" s="35"/>
      <c r="H868" s="34" t="str">
        <f t="shared" si="21"/>
        <v/>
      </c>
      <c r="I868" s="32"/>
      <c r="J868" s="32"/>
      <c r="K868" s="34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32"/>
      <c r="G869" s="35"/>
      <c r="H869" s="34" t="str">
        <f t="shared" si="21"/>
        <v/>
      </c>
      <c r="I869" s="32"/>
      <c r="J869" s="32"/>
      <c r="K869" s="34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32"/>
      <c r="G870" s="35"/>
      <c r="H870" s="34" t="str">
        <f t="shared" si="21"/>
        <v/>
      </c>
      <c r="I870" s="32"/>
      <c r="J870" s="32"/>
      <c r="K870" s="34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32"/>
      <c r="G871" s="35"/>
      <c r="H871" s="34" t="str">
        <f t="shared" si="21"/>
        <v/>
      </c>
      <c r="I871" s="32"/>
      <c r="J871" s="32"/>
      <c r="K871" s="34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32"/>
      <c r="G872" s="35"/>
      <c r="H872" s="34" t="str">
        <f t="shared" si="21"/>
        <v/>
      </c>
      <c r="I872" s="32"/>
      <c r="J872" s="32"/>
      <c r="K872" s="34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32"/>
      <c r="G873" s="35"/>
      <c r="H873" s="34" t="str">
        <f t="shared" si="21"/>
        <v/>
      </c>
      <c r="I873" s="32"/>
      <c r="J873" s="32"/>
      <c r="K873" s="34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32"/>
      <c r="G874" s="35"/>
      <c r="H874" s="34" t="str">
        <f t="shared" si="21"/>
        <v/>
      </c>
      <c r="I874" s="32"/>
      <c r="J874" s="32"/>
      <c r="K874" s="34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32"/>
      <c r="G875" s="35"/>
      <c r="H875" s="34" t="str">
        <f t="shared" si="21"/>
        <v/>
      </c>
      <c r="I875" s="32"/>
      <c r="J875" s="32"/>
      <c r="K875" s="34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32"/>
      <c r="G876" s="35"/>
      <c r="H876" s="34" t="str">
        <f t="shared" si="21"/>
        <v/>
      </c>
      <c r="I876" s="32"/>
      <c r="J876" s="32"/>
      <c r="K876" s="34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32"/>
      <c r="G877" s="35"/>
      <c r="H877" s="34" t="str">
        <f t="shared" si="21"/>
        <v/>
      </c>
      <c r="I877" s="32"/>
      <c r="J877" s="32"/>
      <c r="K877" s="34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32"/>
      <c r="G878" s="35"/>
      <c r="H878" s="34" t="str">
        <f t="shared" si="21"/>
        <v/>
      </c>
      <c r="I878" s="32"/>
      <c r="J878" s="32"/>
      <c r="K878" s="34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32"/>
      <c r="G879" s="35"/>
      <c r="H879" s="34" t="str">
        <f t="shared" si="21"/>
        <v/>
      </c>
      <c r="I879" s="32"/>
      <c r="J879" s="32"/>
      <c r="K879" s="34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32"/>
      <c r="G880" s="35"/>
      <c r="H880" s="34" t="str">
        <f t="shared" si="21"/>
        <v/>
      </c>
      <c r="I880" s="32"/>
      <c r="J880" s="32"/>
      <c r="K880" s="34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32"/>
      <c r="G881" s="35"/>
      <c r="H881" s="34" t="str">
        <f t="shared" si="21"/>
        <v/>
      </c>
      <c r="I881" s="32"/>
      <c r="J881" s="32"/>
      <c r="K881" s="34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32"/>
      <c r="G882" s="35"/>
      <c r="H882" s="34" t="str">
        <f t="shared" si="21"/>
        <v/>
      </c>
      <c r="I882" s="32"/>
      <c r="J882" s="32"/>
      <c r="K882" s="34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32"/>
      <c r="G883" s="35"/>
      <c r="H883" s="34" t="str">
        <f t="shared" si="21"/>
        <v/>
      </c>
      <c r="I883" s="32"/>
      <c r="J883" s="32"/>
      <c r="K883" s="34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32"/>
      <c r="G884" s="35"/>
      <c r="H884" s="34" t="str">
        <f t="shared" si="21"/>
        <v/>
      </c>
      <c r="I884" s="32"/>
      <c r="J884" s="32"/>
      <c r="K884" s="34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32"/>
      <c r="G885" s="35"/>
      <c r="H885" s="34" t="str">
        <f t="shared" si="21"/>
        <v/>
      </c>
      <c r="I885" s="32"/>
      <c r="J885" s="32"/>
      <c r="K885" s="34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32"/>
      <c r="G886" s="35"/>
      <c r="H886" s="34" t="str">
        <f t="shared" si="21"/>
        <v/>
      </c>
      <c r="I886" s="32"/>
      <c r="J886" s="32"/>
      <c r="K886" s="34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32"/>
      <c r="G887" s="35"/>
      <c r="H887" s="34" t="str">
        <f t="shared" si="21"/>
        <v/>
      </c>
      <c r="I887" s="32"/>
      <c r="J887" s="32"/>
      <c r="K887" s="34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32"/>
      <c r="G888" s="35"/>
      <c r="H888" s="34" t="str">
        <f t="shared" si="21"/>
        <v/>
      </c>
      <c r="I888" s="32"/>
      <c r="J888" s="32"/>
      <c r="K888" s="34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32"/>
      <c r="G889" s="35"/>
      <c r="H889" s="34" t="str">
        <f t="shared" si="21"/>
        <v/>
      </c>
      <c r="I889" s="32"/>
      <c r="J889" s="32"/>
      <c r="K889" s="34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32"/>
      <c r="G890" s="35"/>
      <c r="H890" s="34" t="str">
        <f t="shared" si="21"/>
        <v/>
      </c>
      <c r="I890" s="32"/>
      <c r="J890" s="32"/>
      <c r="K890" s="34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32"/>
      <c r="G891" s="35"/>
      <c r="H891" s="34" t="str">
        <f t="shared" si="21"/>
        <v/>
      </c>
      <c r="I891" s="32"/>
      <c r="J891" s="32"/>
      <c r="K891" s="34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32"/>
      <c r="G892" s="35"/>
      <c r="H892" s="34" t="str">
        <f t="shared" si="21"/>
        <v/>
      </c>
      <c r="I892" s="32"/>
      <c r="J892" s="32"/>
      <c r="K892" s="34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32"/>
      <c r="G893" s="35"/>
      <c r="H893" s="34" t="str">
        <f t="shared" si="21"/>
        <v/>
      </c>
      <c r="I893" s="32"/>
      <c r="J893" s="32"/>
      <c r="K893" s="34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32"/>
      <c r="G894" s="35"/>
      <c r="H894" s="34" t="str">
        <f t="shared" si="21"/>
        <v/>
      </c>
      <c r="I894" s="32"/>
      <c r="J894" s="32"/>
      <c r="K894" s="34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32"/>
      <c r="G895" s="35"/>
      <c r="H895" s="34" t="str">
        <f t="shared" si="21"/>
        <v/>
      </c>
      <c r="I895" s="32"/>
      <c r="J895" s="32"/>
      <c r="K895" s="34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32"/>
      <c r="G896" s="35"/>
      <c r="H896" s="34" t="str">
        <f t="shared" si="21"/>
        <v/>
      </c>
      <c r="I896" s="32"/>
      <c r="J896" s="32"/>
      <c r="K896" s="34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32"/>
      <c r="G897" s="35"/>
      <c r="H897" s="34" t="str">
        <f t="shared" si="21"/>
        <v/>
      </c>
      <c r="I897" s="32"/>
      <c r="J897" s="32"/>
      <c r="K897" s="34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32"/>
      <c r="G898" s="35"/>
      <c r="H898" s="34" t="str">
        <f t="shared" ref="H898:H961" si="22">IF(AND($F898="TEMP",$G898&gt;0,$M898&lt;&gt;""),$M898+$G898,"")</f>
        <v/>
      </c>
      <c r="I898" s="32"/>
      <c r="J898" s="32"/>
      <c r="K898" s="34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32"/>
      <c r="G899" s="35"/>
      <c r="H899" s="34" t="str">
        <f t="shared" si="22"/>
        <v/>
      </c>
      <c r="I899" s="32"/>
      <c r="J899" s="32"/>
      <c r="K899" s="34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32"/>
      <c r="G900" s="35"/>
      <c r="H900" s="34" t="str">
        <f t="shared" si="22"/>
        <v/>
      </c>
      <c r="I900" s="32"/>
      <c r="J900" s="32"/>
      <c r="K900" s="34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32"/>
      <c r="G901" s="35"/>
      <c r="H901" s="34" t="str">
        <f t="shared" si="22"/>
        <v/>
      </c>
      <c r="I901" s="32"/>
      <c r="J901" s="32"/>
      <c r="K901" s="34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32"/>
      <c r="G902" s="35"/>
      <c r="H902" s="34" t="str">
        <f t="shared" si="22"/>
        <v/>
      </c>
      <c r="I902" s="32"/>
      <c r="J902" s="32"/>
      <c r="K902" s="34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32"/>
      <c r="G903" s="35"/>
      <c r="H903" s="34" t="str">
        <f t="shared" si="22"/>
        <v/>
      </c>
      <c r="I903" s="32"/>
      <c r="J903" s="32"/>
      <c r="K903" s="34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32"/>
      <c r="G904" s="35"/>
      <c r="H904" s="34" t="str">
        <f t="shared" si="22"/>
        <v/>
      </c>
      <c r="I904" s="32"/>
      <c r="J904" s="32"/>
      <c r="K904" s="34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32"/>
      <c r="G905" s="35"/>
      <c r="H905" s="34" t="str">
        <f t="shared" si="22"/>
        <v/>
      </c>
      <c r="I905" s="32"/>
      <c r="J905" s="32"/>
      <c r="K905" s="34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32"/>
      <c r="G906" s="35"/>
      <c r="H906" s="34" t="str">
        <f t="shared" si="22"/>
        <v/>
      </c>
      <c r="I906" s="32"/>
      <c r="J906" s="32"/>
      <c r="K906" s="34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32"/>
      <c r="G907" s="35"/>
      <c r="H907" s="34" t="str">
        <f t="shared" si="22"/>
        <v/>
      </c>
      <c r="I907" s="32"/>
      <c r="J907" s="32"/>
      <c r="K907" s="34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32"/>
      <c r="G908" s="35"/>
      <c r="H908" s="34" t="str">
        <f t="shared" si="22"/>
        <v/>
      </c>
      <c r="I908" s="32"/>
      <c r="J908" s="32"/>
      <c r="K908" s="34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32"/>
      <c r="G909" s="35"/>
      <c r="H909" s="34" t="str">
        <f t="shared" si="22"/>
        <v/>
      </c>
      <c r="I909" s="32"/>
      <c r="J909" s="32"/>
      <c r="K909" s="34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32"/>
      <c r="G910" s="35"/>
      <c r="H910" s="34" t="str">
        <f t="shared" si="22"/>
        <v/>
      </c>
      <c r="I910" s="32"/>
      <c r="J910" s="32"/>
      <c r="K910" s="34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32"/>
      <c r="G911" s="35"/>
      <c r="H911" s="34" t="str">
        <f t="shared" si="22"/>
        <v/>
      </c>
      <c r="I911" s="32"/>
      <c r="J911" s="32"/>
      <c r="K911" s="34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32"/>
      <c r="G912" s="35"/>
      <c r="H912" s="34" t="str">
        <f t="shared" si="22"/>
        <v/>
      </c>
      <c r="I912" s="32"/>
      <c r="J912" s="32"/>
      <c r="K912" s="34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32"/>
      <c r="G913" s="35"/>
      <c r="H913" s="34" t="str">
        <f t="shared" si="22"/>
        <v/>
      </c>
      <c r="I913" s="32"/>
      <c r="J913" s="32"/>
      <c r="K913" s="34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32"/>
      <c r="G914" s="35"/>
      <c r="H914" s="34" t="str">
        <f t="shared" si="22"/>
        <v/>
      </c>
      <c r="I914" s="32"/>
      <c r="J914" s="32"/>
      <c r="K914" s="34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32"/>
      <c r="G915" s="35"/>
      <c r="H915" s="34" t="str">
        <f t="shared" si="22"/>
        <v/>
      </c>
      <c r="I915" s="32"/>
      <c r="J915" s="32"/>
      <c r="K915" s="34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32"/>
      <c r="G916" s="35"/>
      <c r="H916" s="34" t="str">
        <f t="shared" si="22"/>
        <v/>
      </c>
      <c r="I916" s="32"/>
      <c r="J916" s="32"/>
      <c r="K916" s="34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32"/>
      <c r="G917" s="35"/>
      <c r="H917" s="34" t="str">
        <f t="shared" si="22"/>
        <v/>
      </c>
      <c r="I917" s="32"/>
      <c r="J917" s="32"/>
      <c r="K917" s="34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32"/>
      <c r="G918" s="35"/>
      <c r="H918" s="34" t="str">
        <f t="shared" si="22"/>
        <v/>
      </c>
      <c r="I918" s="32"/>
      <c r="J918" s="32"/>
      <c r="K918" s="34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32"/>
      <c r="G919" s="35"/>
      <c r="H919" s="34" t="str">
        <f t="shared" si="22"/>
        <v/>
      </c>
      <c r="I919" s="32"/>
      <c r="J919" s="32"/>
      <c r="K919" s="34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32"/>
      <c r="G920" s="35"/>
      <c r="H920" s="34" t="str">
        <f t="shared" si="22"/>
        <v/>
      </c>
      <c r="I920" s="32"/>
      <c r="J920" s="32"/>
      <c r="K920" s="34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32"/>
      <c r="G921" s="35"/>
      <c r="H921" s="34" t="str">
        <f t="shared" si="22"/>
        <v/>
      </c>
      <c r="I921" s="32"/>
      <c r="J921" s="32"/>
      <c r="K921" s="34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32"/>
      <c r="G922" s="35"/>
      <c r="H922" s="34" t="str">
        <f t="shared" si="22"/>
        <v/>
      </c>
      <c r="I922" s="32"/>
      <c r="J922" s="32"/>
      <c r="K922" s="34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32"/>
      <c r="G923" s="35"/>
      <c r="H923" s="34" t="str">
        <f t="shared" si="22"/>
        <v/>
      </c>
      <c r="I923" s="32"/>
      <c r="J923" s="32"/>
      <c r="K923" s="34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32"/>
      <c r="G924" s="35"/>
      <c r="H924" s="34" t="str">
        <f t="shared" si="22"/>
        <v/>
      </c>
      <c r="I924" s="32"/>
      <c r="J924" s="32"/>
      <c r="K924" s="34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32"/>
      <c r="G925" s="35"/>
      <c r="H925" s="34" t="str">
        <f t="shared" si="22"/>
        <v/>
      </c>
      <c r="I925" s="32"/>
      <c r="J925" s="32"/>
      <c r="K925" s="34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32"/>
      <c r="G926" s="35"/>
      <c r="H926" s="34" t="str">
        <f t="shared" si="22"/>
        <v/>
      </c>
      <c r="I926" s="32"/>
      <c r="J926" s="32"/>
      <c r="K926" s="34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32"/>
      <c r="G927" s="35"/>
      <c r="H927" s="34" t="str">
        <f t="shared" si="22"/>
        <v/>
      </c>
      <c r="I927" s="32"/>
      <c r="J927" s="32"/>
      <c r="K927" s="34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32"/>
      <c r="G928" s="35"/>
      <c r="H928" s="34" t="str">
        <f t="shared" si="22"/>
        <v/>
      </c>
      <c r="I928" s="32"/>
      <c r="J928" s="32"/>
      <c r="K928" s="34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32"/>
      <c r="G929" s="35"/>
      <c r="H929" s="34" t="str">
        <f t="shared" si="22"/>
        <v/>
      </c>
      <c r="I929" s="32"/>
      <c r="J929" s="32"/>
      <c r="K929" s="34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32"/>
      <c r="G930" s="35"/>
      <c r="H930" s="34" t="str">
        <f t="shared" si="22"/>
        <v/>
      </c>
      <c r="I930" s="32"/>
      <c r="J930" s="32"/>
      <c r="K930" s="34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32"/>
      <c r="G931" s="35"/>
      <c r="H931" s="34" t="str">
        <f t="shared" si="22"/>
        <v/>
      </c>
      <c r="I931" s="32"/>
      <c r="J931" s="32"/>
      <c r="K931" s="34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32"/>
      <c r="G932" s="35"/>
      <c r="H932" s="34" t="str">
        <f t="shared" si="22"/>
        <v/>
      </c>
      <c r="I932" s="32"/>
      <c r="J932" s="32"/>
      <c r="K932" s="34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32"/>
      <c r="G933" s="35"/>
      <c r="H933" s="34" t="str">
        <f t="shared" si="22"/>
        <v/>
      </c>
      <c r="I933" s="32"/>
      <c r="J933" s="32"/>
      <c r="K933" s="34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32"/>
      <c r="G934" s="35"/>
      <c r="H934" s="34" t="str">
        <f t="shared" si="22"/>
        <v/>
      </c>
      <c r="I934" s="32"/>
      <c r="J934" s="32"/>
      <c r="K934" s="34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32"/>
      <c r="G935" s="35"/>
      <c r="H935" s="34" t="str">
        <f t="shared" si="22"/>
        <v/>
      </c>
      <c r="I935" s="32"/>
      <c r="J935" s="32"/>
      <c r="K935" s="34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32"/>
      <c r="G936" s="35"/>
      <c r="H936" s="34" t="str">
        <f t="shared" si="22"/>
        <v/>
      </c>
      <c r="I936" s="32"/>
      <c r="J936" s="32"/>
      <c r="K936" s="34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32"/>
      <c r="G937" s="35"/>
      <c r="H937" s="34" t="str">
        <f t="shared" si="22"/>
        <v/>
      </c>
      <c r="I937" s="32"/>
      <c r="J937" s="32"/>
      <c r="K937" s="34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32"/>
      <c r="G938" s="35"/>
      <c r="H938" s="34" t="str">
        <f t="shared" si="22"/>
        <v/>
      </c>
      <c r="I938" s="32"/>
      <c r="J938" s="32"/>
      <c r="K938" s="34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32"/>
      <c r="G939" s="35"/>
      <c r="H939" s="34" t="str">
        <f t="shared" si="22"/>
        <v/>
      </c>
      <c r="I939" s="32"/>
      <c r="J939" s="32"/>
      <c r="K939" s="34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32"/>
      <c r="G940" s="35"/>
      <c r="H940" s="34" t="str">
        <f t="shared" si="22"/>
        <v/>
      </c>
      <c r="I940" s="32"/>
      <c r="J940" s="32"/>
      <c r="K940" s="34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32"/>
      <c r="G941" s="35"/>
      <c r="H941" s="34" t="str">
        <f t="shared" si="22"/>
        <v/>
      </c>
      <c r="I941" s="32"/>
      <c r="J941" s="32"/>
      <c r="K941" s="34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32"/>
      <c r="G942" s="35"/>
      <c r="H942" s="34" t="str">
        <f t="shared" si="22"/>
        <v/>
      </c>
      <c r="I942" s="32"/>
      <c r="J942" s="32"/>
      <c r="K942" s="34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32"/>
      <c r="G943" s="35"/>
      <c r="H943" s="34" t="str">
        <f t="shared" si="22"/>
        <v/>
      </c>
      <c r="I943" s="32"/>
      <c r="J943" s="32"/>
      <c r="K943" s="34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32"/>
      <c r="G944" s="35"/>
      <c r="H944" s="34" t="str">
        <f t="shared" si="22"/>
        <v/>
      </c>
      <c r="I944" s="32"/>
      <c r="J944" s="32"/>
      <c r="K944" s="34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32"/>
      <c r="G945" s="35"/>
      <c r="H945" s="34" t="str">
        <f t="shared" si="22"/>
        <v/>
      </c>
      <c r="I945" s="32"/>
      <c r="J945" s="32"/>
      <c r="K945" s="34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32"/>
      <c r="G946" s="35"/>
      <c r="H946" s="34" t="str">
        <f t="shared" si="22"/>
        <v/>
      </c>
      <c r="I946" s="32"/>
      <c r="J946" s="32"/>
      <c r="K946" s="34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32"/>
      <c r="G947" s="35"/>
      <c r="H947" s="34" t="str">
        <f t="shared" si="22"/>
        <v/>
      </c>
      <c r="I947" s="32"/>
      <c r="J947" s="32"/>
      <c r="K947" s="34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32"/>
      <c r="G948" s="35"/>
      <c r="H948" s="34" t="str">
        <f t="shared" si="22"/>
        <v/>
      </c>
      <c r="I948" s="32"/>
      <c r="J948" s="32"/>
      <c r="K948" s="34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32"/>
      <c r="G949" s="35"/>
      <c r="H949" s="34" t="str">
        <f t="shared" si="22"/>
        <v/>
      </c>
      <c r="I949" s="32"/>
      <c r="J949" s="32"/>
      <c r="K949" s="34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32"/>
      <c r="G950" s="35"/>
      <c r="H950" s="34" t="str">
        <f t="shared" si="22"/>
        <v/>
      </c>
      <c r="I950" s="32"/>
      <c r="J950" s="32"/>
      <c r="K950" s="34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32"/>
      <c r="G951" s="35"/>
      <c r="H951" s="34" t="str">
        <f t="shared" si="22"/>
        <v/>
      </c>
      <c r="I951" s="32"/>
      <c r="J951" s="32"/>
      <c r="K951" s="34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32"/>
      <c r="G952" s="35"/>
      <c r="H952" s="34" t="str">
        <f t="shared" si="22"/>
        <v/>
      </c>
      <c r="I952" s="32"/>
      <c r="J952" s="32"/>
      <c r="K952" s="34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32"/>
      <c r="G953" s="35"/>
      <c r="H953" s="34" t="str">
        <f t="shared" si="22"/>
        <v/>
      </c>
      <c r="I953" s="32"/>
      <c r="J953" s="32"/>
      <c r="K953" s="34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32"/>
      <c r="G954" s="35"/>
      <c r="H954" s="34" t="str">
        <f t="shared" si="22"/>
        <v/>
      </c>
      <c r="I954" s="32"/>
      <c r="J954" s="32"/>
      <c r="K954" s="34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32"/>
      <c r="G955" s="35"/>
      <c r="H955" s="34" t="str">
        <f t="shared" si="22"/>
        <v/>
      </c>
      <c r="I955" s="32"/>
      <c r="J955" s="32"/>
      <c r="K955" s="34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32"/>
      <c r="G956" s="35"/>
      <c r="H956" s="34" t="str">
        <f t="shared" si="22"/>
        <v/>
      </c>
      <c r="I956" s="32"/>
      <c r="J956" s="32"/>
      <c r="K956" s="34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32"/>
      <c r="G957" s="35"/>
      <c r="H957" s="34" t="str">
        <f t="shared" si="22"/>
        <v/>
      </c>
      <c r="I957" s="32"/>
      <c r="J957" s="32"/>
      <c r="K957" s="34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32"/>
      <c r="G958" s="35"/>
      <c r="H958" s="34" t="str">
        <f t="shared" si="22"/>
        <v/>
      </c>
      <c r="I958" s="32"/>
      <c r="J958" s="32"/>
      <c r="K958" s="34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32"/>
      <c r="G959" s="35"/>
      <c r="H959" s="34" t="str">
        <f t="shared" si="22"/>
        <v/>
      </c>
      <c r="I959" s="32"/>
      <c r="J959" s="32"/>
      <c r="K959" s="34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32"/>
      <c r="G960" s="35"/>
      <c r="H960" s="34" t="str">
        <f t="shared" si="22"/>
        <v/>
      </c>
      <c r="I960" s="32"/>
      <c r="J960" s="32"/>
      <c r="K960" s="34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32"/>
      <c r="G961" s="35"/>
      <c r="H961" s="34" t="str">
        <f t="shared" si="22"/>
        <v/>
      </c>
      <c r="I961" s="32"/>
      <c r="J961" s="32"/>
      <c r="K961" s="34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32"/>
      <c r="G962" s="35"/>
      <c r="H962" s="34" t="str">
        <f t="shared" ref="H962:H1025" si="23">IF(AND($F962="TEMP",$G962&gt;0,$M962&lt;&gt;""),$M962+$G962,"")</f>
        <v/>
      </c>
      <c r="I962" s="32"/>
      <c r="J962" s="32"/>
      <c r="K962" s="34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32"/>
      <c r="G963" s="35"/>
      <c r="H963" s="34" t="str">
        <f t="shared" si="23"/>
        <v/>
      </c>
      <c r="I963" s="32"/>
      <c r="J963" s="32"/>
      <c r="K963" s="34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32"/>
      <c r="G964" s="35"/>
      <c r="H964" s="34" t="str">
        <f t="shared" si="23"/>
        <v/>
      </c>
      <c r="I964" s="32"/>
      <c r="J964" s="32"/>
      <c r="K964" s="34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32"/>
      <c r="G965" s="35"/>
      <c r="H965" s="34" t="str">
        <f t="shared" si="23"/>
        <v/>
      </c>
      <c r="I965" s="32"/>
      <c r="J965" s="32"/>
      <c r="K965" s="34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32"/>
      <c r="G966" s="35"/>
      <c r="H966" s="34" t="str">
        <f t="shared" si="23"/>
        <v/>
      </c>
      <c r="I966" s="32"/>
      <c r="J966" s="32"/>
      <c r="K966" s="34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32"/>
      <c r="G967" s="35"/>
      <c r="H967" s="34" t="str">
        <f t="shared" si="23"/>
        <v/>
      </c>
      <c r="I967" s="32"/>
      <c r="J967" s="32"/>
      <c r="K967" s="34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32"/>
      <c r="G968" s="35"/>
      <c r="H968" s="34" t="str">
        <f t="shared" si="23"/>
        <v/>
      </c>
      <c r="I968" s="32"/>
      <c r="J968" s="32"/>
      <c r="K968" s="34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32"/>
      <c r="G969" s="35"/>
      <c r="H969" s="34" t="str">
        <f t="shared" si="23"/>
        <v/>
      </c>
      <c r="I969" s="32"/>
      <c r="J969" s="32"/>
      <c r="K969" s="34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32"/>
      <c r="G970" s="35"/>
      <c r="H970" s="34" t="str">
        <f t="shared" si="23"/>
        <v/>
      </c>
      <c r="I970" s="32"/>
      <c r="J970" s="32"/>
      <c r="K970" s="34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32"/>
      <c r="G971" s="35"/>
      <c r="H971" s="34" t="str">
        <f t="shared" si="23"/>
        <v/>
      </c>
      <c r="I971" s="32"/>
      <c r="J971" s="32"/>
      <c r="K971" s="34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32"/>
      <c r="G972" s="35"/>
      <c r="H972" s="34" t="str">
        <f t="shared" si="23"/>
        <v/>
      </c>
      <c r="I972" s="32"/>
      <c r="J972" s="32"/>
      <c r="K972" s="34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32"/>
      <c r="G973" s="35"/>
      <c r="H973" s="34" t="str">
        <f t="shared" si="23"/>
        <v/>
      </c>
      <c r="I973" s="32"/>
      <c r="J973" s="32"/>
      <c r="K973" s="34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32"/>
      <c r="G974" s="35"/>
      <c r="H974" s="34" t="str">
        <f t="shared" si="23"/>
        <v/>
      </c>
      <c r="I974" s="32"/>
      <c r="J974" s="32"/>
      <c r="K974" s="34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32"/>
      <c r="G975" s="35"/>
      <c r="H975" s="34" t="str">
        <f t="shared" si="23"/>
        <v/>
      </c>
      <c r="I975" s="32"/>
      <c r="J975" s="32"/>
      <c r="K975" s="34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32"/>
      <c r="G976" s="35"/>
      <c r="H976" s="34" t="str">
        <f t="shared" si="23"/>
        <v/>
      </c>
      <c r="I976" s="32"/>
      <c r="J976" s="32"/>
      <c r="K976" s="34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32"/>
      <c r="G977" s="35"/>
      <c r="H977" s="34" t="str">
        <f t="shared" si="23"/>
        <v/>
      </c>
      <c r="I977" s="32"/>
      <c r="J977" s="32"/>
      <c r="K977" s="34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32"/>
      <c r="G978" s="35"/>
      <c r="H978" s="34" t="str">
        <f t="shared" si="23"/>
        <v/>
      </c>
      <c r="I978" s="32"/>
      <c r="J978" s="32"/>
      <c r="K978" s="34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32"/>
      <c r="G979" s="35"/>
      <c r="H979" s="34" t="str">
        <f t="shared" si="23"/>
        <v/>
      </c>
      <c r="I979" s="32"/>
      <c r="J979" s="32"/>
      <c r="K979" s="34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32"/>
      <c r="G980" s="35"/>
      <c r="H980" s="34" t="str">
        <f t="shared" si="23"/>
        <v/>
      </c>
      <c r="I980" s="32"/>
      <c r="J980" s="32"/>
      <c r="K980" s="34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32"/>
      <c r="G981" s="35"/>
      <c r="H981" s="34" t="str">
        <f t="shared" si="23"/>
        <v/>
      </c>
      <c r="I981" s="32"/>
      <c r="J981" s="32"/>
      <c r="K981" s="34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32"/>
      <c r="G982" s="35"/>
      <c r="H982" s="34" t="str">
        <f t="shared" si="23"/>
        <v/>
      </c>
      <c r="I982" s="32"/>
      <c r="J982" s="32"/>
      <c r="K982" s="34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32"/>
      <c r="G983" s="35"/>
      <c r="H983" s="34" t="str">
        <f t="shared" si="23"/>
        <v/>
      </c>
      <c r="I983" s="32"/>
      <c r="J983" s="32"/>
      <c r="K983" s="34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32"/>
      <c r="G984" s="35"/>
      <c r="H984" s="34" t="str">
        <f t="shared" si="23"/>
        <v/>
      </c>
      <c r="I984" s="32"/>
      <c r="J984" s="32"/>
      <c r="K984" s="34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32"/>
      <c r="G985" s="35"/>
      <c r="H985" s="34" t="str">
        <f t="shared" si="23"/>
        <v/>
      </c>
      <c r="I985" s="32"/>
      <c r="J985" s="32"/>
      <c r="K985" s="34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32"/>
      <c r="G986" s="35"/>
      <c r="H986" s="34" t="str">
        <f t="shared" si="23"/>
        <v/>
      </c>
      <c r="I986" s="32"/>
      <c r="J986" s="32"/>
      <c r="K986" s="34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32"/>
      <c r="G987" s="35"/>
      <c r="H987" s="34" t="str">
        <f t="shared" si="23"/>
        <v/>
      </c>
      <c r="I987" s="32"/>
      <c r="J987" s="32"/>
      <c r="K987" s="34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32"/>
      <c r="G988" s="35"/>
      <c r="H988" s="34" t="str">
        <f t="shared" si="23"/>
        <v/>
      </c>
      <c r="I988" s="32"/>
      <c r="J988" s="32"/>
      <c r="K988" s="34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32"/>
      <c r="G989" s="35"/>
      <c r="H989" s="34" t="str">
        <f t="shared" si="23"/>
        <v/>
      </c>
      <c r="I989" s="32"/>
      <c r="J989" s="32"/>
      <c r="K989" s="34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32"/>
      <c r="G990" s="35"/>
      <c r="H990" s="34" t="str">
        <f t="shared" si="23"/>
        <v/>
      </c>
      <c r="I990" s="32"/>
      <c r="J990" s="32"/>
      <c r="K990" s="34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32"/>
      <c r="G991" s="35"/>
      <c r="H991" s="34" t="str">
        <f t="shared" si="23"/>
        <v/>
      </c>
      <c r="I991" s="32"/>
      <c r="J991" s="32"/>
      <c r="K991" s="34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32"/>
      <c r="G992" s="35"/>
      <c r="H992" s="34" t="str">
        <f t="shared" si="23"/>
        <v/>
      </c>
      <c r="I992" s="32"/>
      <c r="J992" s="32"/>
      <c r="K992" s="34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32"/>
      <c r="G993" s="35"/>
      <c r="H993" s="34" t="str">
        <f t="shared" si="23"/>
        <v/>
      </c>
      <c r="I993" s="32"/>
      <c r="J993" s="32"/>
      <c r="K993" s="34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32"/>
      <c r="G994" s="35"/>
      <c r="H994" s="34" t="str">
        <f t="shared" si="23"/>
        <v/>
      </c>
      <c r="I994" s="32"/>
      <c r="J994" s="32"/>
      <c r="K994" s="34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32"/>
      <c r="G995" s="35"/>
      <c r="H995" s="34" t="str">
        <f t="shared" si="23"/>
        <v/>
      </c>
      <c r="I995" s="32"/>
      <c r="J995" s="32"/>
      <c r="K995" s="34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32"/>
      <c r="G996" s="35"/>
      <c r="H996" s="34" t="str">
        <f t="shared" si="23"/>
        <v/>
      </c>
      <c r="I996" s="32"/>
      <c r="J996" s="32"/>
      <c r="K996" s="34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32"/>
      <c r="G997" s="35"/>
      <c r="H997" s="34" t="str">
        <f t="shared" si="23"/>
        <v/>
      </c>
      <c r="I997" s="32"/>
      <c r="J997" s="32"/>
      <c r="K997" s="34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32"/>
      <c r="G998" s="35"/>
      <c r="H998" s="34" t="str">
        <f t="shared" si="23"/>
        <v/>
      </c>
      <c r="I998" s="32"/>
      <c r="J998" s="32"/>
      <c r="K998" s="34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32"/>
      <c r="G999" s="35"/>
      <c r="H999" s="34" t="str">
        <f t="shared" si="23"/>
        <v/>
      </c>
      <c r="I999" s="32"/>
      <c r="J999" s="32"/>
      <c r="K999" s="34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32"/>
      <c r="G1000" s="35"/>
      <c r="H1000" s="34" t="str">
        <f t="shared" si="23"/>
        <v/>
      </c>
      <c r="I1000" s="32"/>
      <c r="J1000" s="32"/>
      <c r="K1000" s="34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32"/>
      <c r="G1001" s="35"/>
      <c r="H1001" s="34" t="str">
        <f t="shared" si="23"/>
        <v/>
      </c>
      <c r="I1001" s="32"/>
      <c r="J1001" s="32"/>
      <c r="K1001" s="34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32"/>
      <c r="G1002" s="35"/>
      <c r="H1002" s="34" t="str">
        <f t="shared" si="23"/>
        <v/>
      </c>
      <c r="I1002" s="32"/>
      <c r="J1002" s="32"/>
      <c r="K1002" s="34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32"/>
      <c r="G1003" s="35"/>
      <c r="H1003" s="34" t="str">
        <f t="shared" si="23"/>
        <v/>
      </c>
      <c r="I1003" s="32"/>
      <c r="J1003" s="32"/>
      <c r="K1003" s="34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32"/>
      <c r="G1004" s="35"/>
      <c r="H1004" s="34" t="str">
        <f t="shared" si="23"/>
        <v/>
      </c>
      <c r="I1004" s="32"/>
      <c r="J1004" s="32"/>
      <c r="K1004" s="34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32"/>
      <c r="G1005" s="35"/>
      <c r="H1005" s="34" t="str">
        <f t="shared" si="23"/>
        <v/>
      </c>
      <c r="I1005" s="32"/>
      <c r="J1005" s="32"/>
      <c r="K1005" s="34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32"/>
      <c r="G1006" s="35"/>
      <c r="H1006" s="34" t="str">
        <f t="shared" si="23"/>
        <v/>
      </c>
      <c r="I1006" s="32"/>
      <c r="J1006" s="32"/>
      <c r="K1006" s="34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32"/>
      <c r="G1007" s="35"/>
      <c r="H1007" s="34" t="str">
        <f t="shared" si="23"/>
        <v/>
      </c>
      <c r="I1007" s="32"/>
      <c r="J1007" s="32"/>
      <c r="K1007" s="34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32"/>
      <c r="G1008" s="35"/>
      <c r="H1008" s="34" t="str">
        <f t="shared" si="23"/>
        <v/>
      </c>
      <c r="I1008" s="32"/>
      <c r="J1008" s="32"/>
      <c r="K1008" s="34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32"/>
      <c r="G1009" s="35"/>
      <c r="H1009" s="34" t="str">
        <f t="shared" si="23"/>
        <v/>
      </c>
      <c r="I1009" s="32"/>
      <c r="J1009" s="32"/>
      <c r="K1009" s="34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32"/>
      <c r="G1010" s="35"/>
      <c r="H1010" s="34" t="str">
        <f t="shared" si="23"/>
        <v/>
      </c>
      <c r="I1010" s="32"/>
      <c r="J1010" s="32"/>
      <c r="K1010" s="34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32"/>
      <c r="G1011" s="35"/>
      <c r="H1011" s="34" t="str">
        <f t="shared" si="23"/>
        <v/>
      </c>
      <c r="I1011" s="32"/>
      <c r="J1011" s="32"/>
      <c r="K1011" s="34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32"/>
      <c r="G1012" s="35"/>
      <c r="H1012" s="34" t="str">
        <f t="shared" si="23"/>
        <v/>
      </c>
      <c r="I1012" s="32"/>
      <c r="J1012" s="32"/>
      <c r="K1012" s="34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32"/>
      <c r="G1013" s="35"/>
      <c r="H1013" s="34" t="str">
        <f t="shared" si="23"/>
        <v/>
      </c>
      <c r="I1013" s="32"/>
      <c r="J1013" s="32"/>
      <c r="K1013" s="34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32"/>
      <c r="G1014" s="35"/>
      <c r="H1014" s="34" t="str">
        <f t="shared" si="23"/>
        <v/>
      </c>
      <c r="I1014" s="32"/>
      <c r="J1014" s="32"/>
      <c r="K1014" s="34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32"/>
      <c r="G1015" s="35"/>
      <c r="H1015" s="34" t="str">
        <f t="shared" si="23"/>
        <v/>
      </c>
      <c r="I1015" s="32"/>
      <c r="J1015" s="32"/>
      <c r="K1015" s="34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32"/>
      <c r="G1016" s="35"/>
      <c r="H1016" s="34" t="str">
        <f t="shared" si="23"/>
        <v/>
      </c>
      <c r="I1016" s="32"/>
      <c r="J1016" s="32"/>
      <c r="K1016" s="34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32"/>
      <c r="G1017" s="35"/>
      <c r="H1017" s="34" t="str">
        <f t="shared" si="23"/>
        <v/>
      </c>
      <c r="I1017" s="32"/>
      <c r="J1017" s="32"/>
      <c r="K1017" s="34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32"/>
      <c r="G1018" s="35"/>
      <c r="H1018" s="34" t="str">
        <f t="shared" si="23"/>
        <v/>
      </c>
      <c r="I1018" s="32"/>
      <c r="J1018" s="32"/>
      <c r="K1018" s="34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32"/>
      <c r="G1019" s="35"/>
      <c r="H1019" s="34" t="str">
        <f t="shared" si="23"/>
        <v/>
      </c>
      <c r="I1019" s="32"/>
      <c r="J1019" s="32"/>
      <c r="K1019" s="34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32"/>
      <c r="G1020" s="35"/>
      <c r="H1020" s="34" t="str">
        <f t="shared" si="23"/>
        <v/>
      </c>
      <c r="I1020" s="32"/>
      <c r="J1020" s="32"/>
      <c r="K1020" s="34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32"/>
      <c r="G1021" s="35"/>
      <c r="H1021" s="34" t="str">
        <f t="shared" si="23"/>
        <v/>
      </c>
      <c r="I1021" s="32"/>
      <c r="J1021" s="32"/>
      <c r="K1021" s="34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32"/>
      <c r="G1022" s="35"/>
      <c r="H1022" s="34" t="str">
        <f t="shared" si="23"/>
        <v/>
      </c>
      <c r="I1022" s="32"/>
      <c r="J1022" s="32"/>
      <c r="K1022" s="34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32"/>
      <c r="G1023" s="35"/>
      <c r="H1023" s="34" t="str">
        <f t="shared" si="23"/>
        <v/>
      </c>
      <c r="I1023" s="32"/>
      <c r="J1023" s="32"/>
      <c r="K1023" s="34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32"/>
      <c r="G1024" s="35"/>
      <c r="H1024" s="34" t="str">
        <f t="shared" si="23"/>
        <v/>
      </c>
      <c r="I1024" s="32"/>
      <c r="J1024" s="32"/>
      <c r="K1024" s="34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32"/>
      <c r="G1025" s="35"/>
      <c r="H1025" s="34" t="str">
        <f t="shared" si="23"/>
        <v/>
      </c>
      <c r="I1025" s="32"/>
      <c r="J1025" s="32"/>
      <c r="K1025" s="34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32"/>
      <c r="G1026" s="35"/>
      <c r="H1026" s="34" t="str">
        <f t="shared" ref="H1026:H1089" si="24">IF(AND($F1026="TEMP",$G1026&gt;0,$M1026&lt;&gt;""),$M1026+$G1026,"")</f>
        <v/>
      </c>
      <c r="I1026" s="32"/>
      <c r="J1026" s="32"/>
      <c r="K1026" s="34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32"/>
      <c r="G1027" s="35"/>
      <c r="H1027" s="34" t="str">
        <f t="shared" si="24"/>
        <v/>
      </c>
      <c r="I1027" s="32"/>
      <c r="J1027" s="32"/>
      <c r="K1027" s="34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32"/>
      <c r="G1028" s="35"/>
      <c r="H1028" s="34" t="str">
        <f t="shared" si="24"/>
        <v/>
      </c>
      <c r="I1028" s="32"/>
      <c r="J1028" s="32"/>
      <c r="K1028" s="34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32"/>
      <c r="G1029" s="35"/>
      <c r="H1029" s="34" t="str">
        <f t="shared" si="24"/>
        <v/>
      </c>
      <c r="I1029" s="32"/>
      <c r="J1029" s="32"/>
      <c r="K1029" s="34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32"/>
      <c r="G1030" s="35"/>
      <c r="H1030" s="34" t="str">
        <f t="shared" si="24"/>
        <v/>
      </c>
      <c r="I1030" s="32"/>
      <c r="J1030" s="32"/>
      <c r="K1030" s="34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32"/>
      <c r="G1031" s="35"/>
      <c r="H1031" s="34" t="str">
        <f t="shared" si="24"/>
        <v/>
      </c>
      <c r="I1031" s="32"/>
      <c r="J1031" s="32"/>
      <c r="K1031" s="34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32"/>
      <c r="G1032" s="35"/>
      <c r="H1032" s="34" t="str">
        <f t="shared" si="24"/>
        <v/>
      </c>
      <c r="I1032" s="32"/>
      <c r="J1032" s="32"/>
      <c r="K1032" s="34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32"/>
      <c r="G1033" s="35"/>
      <c r="H1033" s="34" t="str">
        <f t="shared" si="24"/>
        <v/>
      </c>
      <c r="I1033" s="32"/>
      <c r="J1033" s="32"/>
      <c r="K1033" s="34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32"/>
      <c r="G1034" s="35"/>
      <c r="H1034" s="34" t="str">
        <f t="shared" si="24"/>
        <v/>
      </c>
      <c r="I1034" s="32"/>
      <c r="J1034" s="32"/>
      <c r="K1034" s="34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32"/>
      <c r="G1035" s="35"/>
      <c r="H1035" s="34" t="str">
        <f t="shared" si="24"/>
        <v/>
      </c>
      <c r="I1035" s="32"/>
      <c r="J1035" s="32"/>
      <c r="K1035" s="34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32"/>
      <c r="G1036" s="35"/>
      <c r="H1036" s="34" t="str">
        <f t="shared" si="24"/>
        <v/>
      </c>
      <c r="I1036" s="32"/>
      <c r="J1036" s="32"/>
      <c r="K1036" s="34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32"/>
      <c r="G1037" s="35"/>
      <c r="H1037" s="34" t="str">
        <f t="shared" si="24"/>
        <v/>
      </c>
      <c r="I1037" s="32"/>
      <c r="J1037" s="32"/>
      <c r="K1037" s="34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32"/>
      <c r="G1038" s="35"/>
      <c r="H1038" s="34" t="str">
        <f t="shared" si="24"/>
        <v/>
      </c>
      <c r="I1038" s="32"/>
      <c r="J1038" s="32"/>
      <c r="K1038" s="34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32"/>
      <c r="G1039" s="35"/>
      <c r="H1039" s="34" t="str">
        <f t="shared" si="24"/>
        <v/>
      </c>
      <c r="I1039" s="32"/>
      <c r="J1039" s="32"/>
      <c r="K1039" s="34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32"/>
      <c r="G1040" s="35"/>
      <c r="H1040" s="34" t="str">
        <f t="shared" si="24"/>
        <v/>
      </c>
      <c r="I1040" s="32"/>
      <c r="J1040" s="32"/>
      <c r="K1040" s="34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32"/>
      <c r="G1041" s="35"/>
      <c r="H1041" s="34" t="str">
        <f t="shared" si="24"/>
        <v/>
      </c>
      <c r="I1041" s="32"/>
      <c r="J1041" s="32"/>
      <c r="K1041" s="34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32"/>
      <c r="G1042" s="35"/>
      <c r="H1042" s="34" t="str">
        <f t="shared" si="24"/>
        <v/>
      </c>
      <c r="I1042" s="32"/>
      <c r="J1042" s="32"/>
      <c r="K1042" s="34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32"/>
      <c r="G1043" s="35"/>
      <c r="H1043" s="34" t="str">
        <f t="shared" si="24"/>
        <v/>
      </c>
      <c r="I1043" s="32"/>
      <c r="J1043" s="32"/>
      <c r="K1043" s="34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32"/>
      <c r="G1044" s="35"/>
      <c r="H1044" s="34" t="str">
        <f t="shared" si="24"/>
        <v/>
      </c>
      <c r="I1044" s="32"/>
      <c r="J1044" s="32"/>
      <c r="K1044" s="34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32"/>
      <c r="G1045" s="35"/>
      <c r="H1045" s="34" t="str">
        <f t="shared" si="24"/>
        <v/>
      </c>
      <c r="I1045" s="32"/>
      <c r="J1045" s="32"/>
      <c r="K1045" s="34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32"/>
      <c r="G1046" s="35"/>
      <c r="H1046" s="34" t="str">
        <f t="shared" si="24"/>
        <v/>
      </c>
      <c r="I1046" s="32"/>
      <c r="J1046" s="32"/>
      <c r="K1046" s="34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32"/>
      <c r="G1047" s="35"/>
      <c r="H1047" s="34" t="str">
        <f t="shared" si="24"/>
        <v/>
      </c>
      <c r="I1047" s="32"/>
      <c r="J1047" s="32"/>
      <c r="K1047" s="34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32"/>
      <c r="G1048" s="35"/>
      <c r="H1048" s="34" t="str">
        <f t="shared" si="24"/>
        <v/>
      </c>
      <c r="I1048" s="32"/>
      <c r="J1048" s="32"/>
      <c r="K1048" s="34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32"/>
      <c r="G1049" s="35"/>
      <c r="H1049" s="34" t="str">
        <f t="shared" si="24"/>
        <v/>
      </c>
      <c r="I1049" s="32"/>
      <c r="J1049" s="32"/>
      <c r="K1049" s="34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32"/>
      <c r="G1050" s="35"/>
      <c r="H1050" s="34" t="str">
        <f t="shared" si="24"/>
        <v/>
      </c>
      <c r="I1050" s="32"/>
      <c r="J1050" s="32"/>
      <c r="K1050" s="34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32"/>
      <c r="G1051" s="35"/>
      <c r="H1051" s="34" t="str">
        <f t="shared" si="24"/>
        <v/>
      </c>
      <c r="I1051" s="32"/>
      <c r="J1051" s="32"/>
      <c r="K1051" s="34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32"/>
      <c r="G1052" s="35"/>
      <c r="H1052" s="34" t="str">
        <f t="shared" si="24"/>
        <v/>
      </c>
      <c r="I1052" s="32"/>
      <c r="J1052" s="32"/>
      <c r="K1052" s="34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32"/>
      <c r="G1053" s="35"/>
      <c r="H1053" s="34" t="str">
        <f t="shared" si="24"/>
        <v/>
      </c>
      <c r="I1053" s="32"/>
      <c r="J1053" s="32"/>
      <c r="K1053" s="34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32"/>
      <c r="G1054" s="35"/>
      <c r="H1054" s="34" t="str">
        <f t="shared" si="24"/>
        <v/>
      </c>
      <c r="I1054" s="32"/>
      <c r="J1054" s="32"/>
      <c r="K1054" s="34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32"/>
      <c r="G1055" s="35"/>
      <c r="H1055" s="34" t="str">
        <f t="shared" si="24"/>
        <v/>
      </c>
      <c r="I1055" s="32"/>
      <c r="J1055" s="32"/>
      <c r="K1055" s="34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32"/>
      <c r="G1056" s="35"/>
      <c r="H1056" s="34" t="str">
        <f t="shared" si="24"/>
        <v/>
      </c>
      <c r="I1056" s="32"/>
      <c r="J1056" s="32"/>
      <c r="K1056" s="34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32"/>
      <c r="G1057" s="35"/>
      <c r="H1057" s="34" t="str">
        <f t="shared" si="24"/>
        <v/>
      </c>
      <c r="I1057" s="32"/>
      <c r="J1057" s="32"/>
      <c r="K1057" s="34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32"/>
      <c r="G1058" s="35"/>
      <c r="H1058" s="34" t="str">
        <f t="shared" si="24"/>
        <v/>
      </c>
      <c r="I1058" s="32"/>
      <c r="J1058" s="32"/>
      <c r="K1058" s="34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32"/>
      <c r="G1059" s="35"/>
      <c r="H1059" s="34" t="str">
        <f t="shared" si="24"/>
        <v/>
      </c>
      <c r="I1059" s="32"/>
      <c r="J1059" s="32"/>
      <c r="K1059" s="34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32"/>
      <c r="G1060" s="35"/>
      <c r="H1060" s="34" t="str">
        <f t="shared" si="24"/>
        <v/>
      </c>
      <c r="I1060" s="32"/>
      <c r="J1060" s="32"/>
      <c r="K1060" s="34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32"/>
      <c r="G1061" s="35"/>
      <c r="H1061" s="34" t="str">
        <f t="shared" si="24"/>
        <v/>
      </c>
      <c r="I1061" s="32"/>
      <c r="J1061" s="32"/>
      <c r="K1061" s="34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32"/>
      <c r="G1062" s="35"/>
      <c r="H1062" s="34" t="str">
        <f t="shared" si="24"/>
        <v/>
      </c>
      <c r="I1062" s="32"/>
      <c r="J1062" s="32"/>
      <c r="K1062" s="34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32"/>
      <c r="G1063" s="35"/>
      <c r="H1063" s="34" t="str">
        <f t="shared" si="24"/>
        <v/>
      </c>
      <c r="I1063" s="32"/>
      <c r="J1063" s="32"/>
      <c r="K1063" s="34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32"/>
      <c r="G1064" s="35"/>
      <c r="H1064" s="34" t="str">
        <f t="shared" si="24"/>
        <v/>
      </c>
      <c r="I1064" s="32"/>
      <c r="J1064" s="32"/>
      <c r="K1064" s="34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32"/>
      <c r="G1065" s="35"/>
      <c r="H1065" s="34" t="str">
        <f t="shared" si="24"/>
        <v/>
      </c>
      <c r="I1065" s="32"/>
      <c r="J1065" s="32"/>
      <c r="K1065" s="34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32"/>
      <c r="G1066" s="35"/>
      <c r="H1066" s="34" t="str">
        <f t="shared" si="24"/>
        <v/>
      </c>
      <c r="I1066" s="32"/>
      <c r="J1066" s="32"/>
      <c r="K1066" s="34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32"/>
      <c r="G1067" s="35"/>
      <c r="H1067" s="34" t="str">
        <f t="shared" si="24"/>
        <v/>
      </c>
      <c r="I1067" s="32"/>
      <c r="J1067" s="32"/>
      <c r="K1067" s="34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32"/>
      <c r="G1068" s="35"/>
      <c r="H1068" s="34" t="str">
        <f t="shared" si="24"/>
        <v/>
      </c>
      <c r="I1068" s="32"/>
      <c r="J1068" s="32"/>
      <c r="K1068" s="34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32"/>
      <c r="G1069" s="35"/>
      <c r="H1069" s="34" t="str">
        <f t="shared" si="24"/>
        <v/>
      </c>
      <c r="I1069" s="32"/>
      <c r="J1069" s="32"/>
      <c r="K1069" s="34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32"/>
      <c r="G1070" s="35"/>
      <c r="H1070" s="34" t="str">
        <f t="shared" si="24"/>
        <v/>
      </c>
      <c r="I1070" s="32"/>
      <c r="J1070" s="32"/>
      <c r="K1070" s="34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32"/>
      <c r="G1071" s="35"/>
      <c r="H1071" s="34" t="str">
        <f t="shared" si="24"/>
        <v/>
      </c>
      <c r="I1071" s="32"/>
      <c r="J1071" s="32"/>
      <c r="K1071" s="34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32"/>
      <c r="G1072" s="35"/>
      <c r="H1072" s="34" t="str">
        <f t="shared" si="24"/>
        <v/>
      </c>
      <c r="I1072" s="32"/>
      <c r="J1072" s="32"/>
      <c r="K1072" s="34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32"/>
      <c r="G1073" s="35"/>
      <c r="H1073" s="34" t="str">
        <f t="shared" si="24"/>
        <v/>
      </c>
      <c r="I1073" s="32"/>
      <c r="J1073" s="32"/>
      <c r="K1073" s="34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32"/>
      <c r="G1074" s="35"/>
      <c r="H1074" s="34" t="str">
        <f t="shared" si="24"/>
        <v/>
      </c>
      <c r="I1074" s="32"/>
      <c r="J1074" s="32"/>
      <c r="K1074" s="34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32"/>
      <c r="G1075" s="35"/>
      <c r="H1075" s="34" t="str">
        <f t="shared" si="24"/>
        <v/>
      </c>
      <c r="I1075" s="32"/>
      <c r="J1075" s="32"/>
      <c r="K1075" s="34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32"/>
      <c r="G1076" s="35"/>
      <c r="H1076" s="34" t="str">
        <f t="shared" si="24"/>
        <v/>
      </c>
      <c r="I1076" s="32"/>
      <c r="J1076" s="32"/>
      <c r="K1076" s="34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32"/>
      <c r="G1077" s="35"/>
      <c r="H1077" s="34" t="str">
        <f t="shared" si="24"/>
        <v/>
      </c>
      <c r="I1077" s="32"/>
      <c r="J1077" s="32"/>
      <c r="K1077" s="34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32"/>
      <c r="G1078" s="35"/>
      <c r="H1078" s="34" t="str">
        <f t="shared" si="24"/>
        <v/>
      </c>
      <c r="I1078" s="32"/>
      <c r="J1078" s="32"/>
      <c r="K1078" s="34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32"/>
      <c r="G1079" s="35"/>
      <c r="H1079" s="34" t="str">
        <f t="shared" si="24"/>
        <v/>
      </c>
      <c r="I1079" s="32"/>
      <c r="J1079" s="32"/>
      <c r="K1079" s="34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32"/>
      <c r="G1080" s="35"/>
      <c r="H1080" s="34" t="str">
        <f t="shared" si="24"/>
        <v/>
      </c>
      <c r="I1080" s="32"/>
      <c r="J1080" s="32"/>
      <c r="K1080" s="34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32"/>
      <c r="G1081" s="35"/>
      <c r="H1081" s="34" t="str">
        <f t="shared" si="24"/>
        <v/>
      </c>
      <c r="I1081" s="32"/>
      <c r="J1081" s="32"/>
      <c r="K1081" s="34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32"/>
      <c r="G1082" s="35"/>
      <c r="H1082" s="34" t="str">
        <f t="shared" si="24"/>
        <v/>
      </c>
      <c r="I1082" s="32"/>
      <c r="J1082" s="32"/>
      <c r="K1082" s="34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32"/>
      <c r="G1083" s="35"/>
      <c r="H1083" s="34" t="str">
        <f t="shared" si="24"/>
        <v/>
      </c>
      <c r="I1083" s="32"/>
      <c r="J1083" s="32"/>
      <c r="K1083" s="34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32"/>
      <c r="G1084" s="35"/>
      <c r="H1084" s="34" t="str">
        <f t="shared" si="24"/>
        <v/>
      </c>
      <c r="I1084" s="32"/>
      <c r="J1084" s="32"/>
      <c r="K1084" s="34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32"/>
      <c r="G1085" s="35"/>
      <c r="H1085" s="34" t="str">
        <f t="shared" si="24"/>
        <v/>
      </c>
      <c r="I1085" s="32"/>
      <c r="J1085" s="32"/>
      <c r="K1085" s="34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32"/>
      <c r="G1086" s="35"/>
      <c r="H1086" s="34" t="str">
        <f t="shared" si="24"/>
        <v/>
      </c>
      <c r="I1086" s="32"/>
      <c r="J1086" s="32"/>
      <c r="K1086" s="34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32"/>
      <c r="G1087" s="35"/>
      <c r="H1087" s="34" t="str">
        <f t="shared" si="24"/>
        <v/>
      </c>
      <c r="I1087" s="32"/>
      <c r="J1087" s="32"/>
      <c r="K1087" s="34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32"/>
      <c r="G1088" s="35"/>
      <c r="H1088" s="34" t="str">
        <f t="shared" si="24"/>
        <v/>
      </c>
      <c r="I1088" s="32"/>
      <c r="J1088" s="32"/>
      <c r="K1088" s="34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32"/>
      <c r="G1089" s="35"/>
      <c r="H1089" s="34" t="str">
        <f t="shared" si="24"/>
        <v/>
      </c>
      <c r="I1089" s="32"/>
      <c r="J1089" s="32"/>
      <c r="K1089" s="34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32"/>
      <c r="G1090" s="35"/>
      <c r="H1090" s="34" t="str">
        <f t="shared" ref="H1090:H1153" si="25">IF(AND($F1090="TEMP",$G1090&gt;0,$M1090&lt;&gt;""),$M1090+$G1090,"")</f>
        <v/>
      </c>
      <c r="I1090" s="32"/>
      <c r="J1090" s="32"/>
      <c r="K1090" s="34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32"/>
      <c r="G1091" s="35"/>
      <c r="H1091" s="34" t="str">
        <f t="shared" si="25"/>
        <v/>
      </c>
      <c r="I1091" s="32"/>
      <c r="J1091" s="32"/>
      <c r="K1091" s="34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32"/>
      <c r="G1092" s="35"/>
      <c r="H1092" s="34" t="str">
        <f t="shared" si="25"/>
        <v/>
      </c>
      <c r="I1092" s="32"/>
      <c r="J1092" s="32"/>
      <c r="K1092" s="34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32"/>
      <c r="G1093" s="35"/>
      <c r="H1093" s="34" t="str">
        <f t="shared" si="25"/>
        <v/>
      </c>
      <c r="I1093" s="32"/>
      <c r="J1093" s="32"/>
      <c r="K1093" s="34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32"/>
      <c r="G1094" s="35"/>
      <c r="H1094" s="34" t="str">
        <f t="shared" si="25"/>
        <v/>
      </c>
      <c r="I1094" s="32"/>
      <c r="J1094" s="32"/>
      <c r="K1094" s="34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32"/>
      <c r="G1095" s="35"/>
      <c r="H1095" s="34" t="str">
        <f t="shared" si="25"/>
        <v/>
      </c>
      <c r="I1095" s="32"/>
      <c r="J1095" s="32"/>
      <c r="K1095" s="34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32"/>
      <c r="G1096" s="35"/>
      <c r="H1096" s="34" t="str">
        <f t="shared" si="25"/>
        <v/>
      </c>
      <c r="I1096" s="32"/>
      <c r="J1096" s="32"/>
      <c r="K1096" s="34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32"/>
      <c r="G1097" s="35"/>
      <c r="H1097" s="34" t="str">
        <f t="shared" si="25"/>
        <v/>
      </c>
      <c r="I1097" s="32"/>
      <c r="J1097" s="32"/>
      <c r="K1097" s="34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32"/>
      <c r="G1098" s="35"/>
      <c r="H1098" s="34" t="str">
        <f t="shared" si="25"/>
        <v/>
      </c>
      <c r="I1098" s="32"/>
      <c r="J1098" s="32"/>
      <c r="K1098" s="34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32"/>
      <c r="G1099" s="35"/>
      <c r="H1099" s="34" t="str">
        <f t="shared" si="25"/>
        <v/>
      </c>
      <c r="I1099" s="32"/>
      <c r="J1099" s="32"/>
      <c r="K1099" s="34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32"/>
      <c r="G1100" s="35"/>
      <c r="H1100" s="34" t="str">
        <f t="shared" si="25"/>
        <v/>
      </c>
      <c r="I1100" s="32"/>
      <c r="J1100" s="32"/>
      <c r="K1100" s="34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32"/>
      <c r="G1101" s="35"/>
      <c r="H1101" s="34" t="str">
        <f t="shared" si="25"/>
        <v/>
      </c>
      <c r="I1101" s="32"/>
      <c r="J1101" s="32"/>
      <c r="K1101" s="34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32"/>
      <c r="G1102" s="35"/>
      <c r="H1102" s="34" t="str">
        <f t="shared" si="25"/>
        <v/>
      </c>
      <c r="I1102" s="32"/>
      <c r="J1102" s="32"/>
      <c r="K1102" s="34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32"/>
      <c r="G1103" s="35"/>
      <c r="H1103" s="34" t="str">
        <f t="shared" si="25"/>
        <v/>
      </c>
      <c r="I1103" s="32"/>
      <c r="J1103" s="32"/>
      <c r="K1103" s="34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32"/>
      <c r="G1104" s="35"/>
      <c r="H1104" s="34" t="str">
        <f t="shared" si="25"/>
        <v/>
      </c>
      <c r="I1104" s="32"/>
      <c r="J1104" s="32"/>
      <c r="K1104" s="34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32"/>
      <c r="G1105" s="35"/>
      <c r="H1105" s="34" t="str">
        <f t="shared" si="25"/>
        <v/>
      </c>
      <c r="I1105" s="32"/>
      <c r="J1105" s="32"/>
      <c r="K1105" s="34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32"/>
      <c r="G1106" s="35"/>
      <c r="H1106" s="34" t="str">
        <f t="shared" si="25"/>
        <v/>
      </c>
      <c r="I1106" s="32"/>
      <c r="J1106" s="32"/>
      <c r="K1106" s="34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32"/>
      <c r="G1107" s="35"/>
      <c r="H1107" s="34" t="str">
        <f t="shared" si="25"/>
        <v/>
      </c>
      <c r="I1107" s="32"/>
      <c r="J1107" s="32"/>
      <c r="K1107" s="34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32"/>
      <c r="G1108" s="35"/>
      <c r="H1108" s="34" t="str">
        <f t="shared" si="25"/>
        <v/>
      </c>
      <c r="I1108" s="32"/>
      <c r="J1108" s="32"/>
      <c r="K1108" s="34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32"/>
      <c r="G1109" s="35"/>
      <c r="H1109" s="34" t="str">
        <f t="shared" si="25"/>
        <v/>
      </c>
      <c r="I1109" s="32"/>
      <c r="J1109" s="32"/>
      <c r="K1109" s="34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32"/>
      <c r="G1110" s="35"/>
      <c r="H1110" s="34" t="str">
        <f t="shared" si="25"/>
        <v/>
      </c>
      <c r="I1110" s="32"/>
      <c r="J1110" s="32"/>
      <c r="K1110" s="34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32"/>
      <c r="G1111" s="35"/>
      <c r="H1111" s="34" t="str">
        <f t="shared" si="25"/>
        <v/>
      </c>
      <c r="I1111" s="32"/>
      <c r="J1111" s="32"/>
      <c r="K1111" s="34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32"/>
      <c r="G1112" s="35"/>
      <c r="H1112" s="34" t="str">
        <f t="shared" si="25"/>
        <v/>
      </c>
      <c r="I1112" s="32"/>
      <c r="J1112" s="32"/>
      <c r="K1112" s="34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32"/>
      <c r="G1113" s="35"/>
      <c r="H1113" s="34" t="str">
        <f t="shared" si="25"/>
        <v/>
      </c>
      <c r="I1113" s="32"/>
      <c r="J1113" s="32"/>
      <c r="K1113" s="34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32"/>
      <c r="G1114" s="35"/>
      <c r="H1114" s="34" t="str">
        <f t="shared" si="25"/>
        <v/>
      </c>
      <c r="I1114" s="32"/>
      <c r="J1114" s="32"/>
      <c r="K1114" s="34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32"/>
      <c r="G1115" s="35"/>
      <c r="H1115" s="34" t="str">
        <f t="shared" si="25"/>
        <v/>
      </c>
      <c r="I1115" s="32"/>
      <c r="J1115" s="32"/>
      <c r="K1115" s="34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32"/>
      <c r="G1116" s="35"/>
      <c r="H1116" s="34" t="str">
        <f t="shared" si="25"/>
        <v/>
      </c>
      <c r="I1116" s="32"/>
      <c r="J1116" s="32"/>
      <c r="K1116" s="34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32"/>
      <c r="G1117" s="35"/>
      <c r="H1117" s="34" t="str">
        <f t="shared" si="25"/>
        <v/>
      </c>
      <c r="I1117" s="32"/>
      <c r="J1117" s="32"/>
      <c r="K1117" s="34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32"/>
      <c r="G1118" s="35"/>
      <c r="H1118" s="34" t="str">
        <f t="shared" si="25"/>
        <v/>
      </c>
      <c r="I1118" s="32"/>
      <c r="J1118" s="32"/>
      <c r="K1118" s="34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32"/>
      <c r="G1119" s="35"/>
      <c r="H1119" s="34" t="str">
        <f t="shared" si="25"/>
        <v/>
      </c>
      <c r="I1119" s="32"/>
      <c r="J1119" s="32"/>
      <c r="K1119" s="34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32"/>
      <c r="G1120" s="35"/>
      <c r="H1120" s="34" t="str">
        <f t="shared" si="25"/>
        <v/>
      </c>
      <c r="I1120" s="32"/>
      <c r="J1120" s="32"/>
      <c r="K1120" s="34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32"/>
      <c r="G1121" s="35"/>
      <c r="H1121" s="34" t="str">
        <f t="shared" si="25"/>
        <v/>
      </c>
      <c r="I1121" s="32"/>
      <c r="J1121" s="32"/>
      <c r="K1121" s="34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32"/>
      <c r="G1122" s="35"/>
      <c r="H1122" s="34" t="str">
        <f t="shared" si="25"/>
        <v/>
      </c>
      <c r="I1122" s="32"/>
      <c r="J1122" s="32"/>
      <c r="K1122" s="34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32"/>
      <c r="G1123" s="35"/>
      <c r="H1123" s="34" t="str">
        <f t="shared" si="25"/>
        <v/>
      </c>
      <c r="I1123" s="32"/>
      <c r="J1123" s="32"/>
      <c r="K1123" s="34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32"/>
      <c r="G1124" s="35"/>
      <c r="H1124" s="34" t="str">
        <f t="shared" si="25"/>
        <v/>
      </c>
      <c r="I1124" s="32"/>
      <c r="J1124" s="32"/>
      <c r="K1124" s="34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32"/>
      <c r="G1125" s="35"/>
      <c r="H1125" s="34" t="str">
        <f t="shared" si="25"/>
        <v/>
      </c>
      <c r="I1125" s="32"/>
      <c r="J1125" s="32"/>
      <c r="K1125" s="34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32"/>
      <c r="G1126" s="35"/>
      <c r="H1126" s="34" t="str">
        <f t="shared" si="25"/>
        <v/>
      </c>
      <c r="I1126" s="32"/>
      <c r="J1126" s="32"/>
      <c r="K1126" s="34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32"/>
      <c r="G1127" s="35"/>
      <c r="H1127" s="34" t="str">
        <f t="shared" si="25"/>
        <v/>
      </c>
      <c r="I1127" s="32"/>
      <c r="J1127" s="32"/>
      <c r="K1127" s="34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32"/>
      <c r="G1128" s="35"/>
      <c r="H1128" s="34" t="str">
        <f t="shared" si="25"/>
        <v/>
      </c>
      <c r="I1128" s="32"/>
      <c r="J1128" s="32"/>
      <c r="K1128" s="34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32"/>
      <c r="G1129" s="35"/>
      <c r="H1129" s="34" t="str">
        <f t="shared" si="25"/>
        <v/>
      </c>
      <c r="I1129" s="32"/>
      <c r="J1129" s="32"/>
      <c r="K1129" s="34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32"/>
      <c r="G1130" s="35"/>
      <c r="H1130" s="34" t="str">
        <f t="shared" si="25"/>
        <v/>
      </c>
      <c r="I1130" s="32"/>
      <c r="J1130" s="32"/>
      <c r="K1130" s="34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32"/>
      <c r="G1131" s="35"/>
      <c r="H1131" s="34" t="str">
        <f t="shared" si="25"/>
        <v/>
      </c>
      <c r="I1131" s="32"/>
      <c r="J1131" s="32"/>
      <c r="K1131" s="34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32"/>
      <c r="G1132" s="35"/>
      <c r="H1132" s="34" t="str">
        <f t="shared" si="25"/>
        <v/>
      </c>
      <c r="I1132" s="32"/>
      <c r="J1132" s="32"/>
      <c r="K1132" s="34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32"/>
      <c r="G1133" s="35"/>
      <c r="H1133" s="34" t="str">
        <f t="shared" si="25"/>
        <v/>
      </c>
      <c r="I1133" s="32"/>
      <c r="J1133" s="32"/>
      <c r="K1133" s="34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32"/>
      <c r="G1134" s="35"/>
      <c r="H1134" s="34" t="str">
        <f t="shared" si="25"/>
        <v/>
      </c>
      <c r="I1134" s="32"/>
      <c r="J1134" s="32"/>
      <c r="K1134" s="34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32"/>
      <c r="G1135" s="35"/>
      <c r="H1135" s="34" t="str">
        <f t="shared" si="25"/>
        <v/>
      </c>
      <c r="I1135" s="32"/>
      <c r="J1135" s="32"/>
      <c r="K1135" s="34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32"/>
      <c r="G1136" s="35"/>
      <c r="H1136" s="34" t="str">
        <f t="shared" si="25"/>
        <v/>
      </c>
      <c r="I1136" s="32"/>
      <c r="J1136" s="32"/>
      <c r="K1136" s="34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32"/>
      <c r="G1137" s="35"/>
      <c r="H1137" s="34" t="str">
        <f t="shared" si="25"/>
        <v/>
      </c>
      <c r="I1137" s="32"/>
      <c r="J1137" s="32"/>
      <c r="K1137" s="34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32"/>
      <c r="G1138" s="35"/>
      <c r="H1138" s="34" t="str">
        <f t="shared" si="25"/>
        <v/>
      </c>
      <c r="I1138" s="32"/>
      <c r="J1138" s="32"/>
      <c r="K1138" s="34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32"/>
      <c r="G1139" s="35"/>
      <c r="H1139" s="34" t="str">
        <f t="shared" si="25"/>
        <v/>
      </c>
      <c r="I1139" s="32"/>
      <c r="J1139" s="32"/>
      <c r="K1139" s="34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32"/>
      <c r="G1140" s="35"/>
      <c r="H1140" s="34" t="str">
        <f t="shared" si="25"/>
        <v/>
      </c>
      <c r="I1140" s="32"/>
      <c r="J1140" s="32"/>
      <c r="K1140" s="34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32"/>
      <c r="G1141" s="35"/>
      <c r="H1141" s="34" t="str">
        <f t="shared" si="25"/>
        <v/>
      </c>
      <c r="I1141" s="32"/>
      <c r="J1141" s="32"/>
      <c r="K1141" s="34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32"/>
      <c r="G1142" s="35"/>
      <c r="H1142" s="34" t="str">
        <f t="shared" si="25"/>
        <v/>
      </c>
      <c r="I1142" s="32"/>
      <c r="J1142" s="32"/>
      <c r="K1142" s="34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32"/>
      <c r="G1143" s="35"/>
      <c r="H1143" s="34" t="str">
        <f t="shared" si="25"/>
        <v/>
      </c>
      <c r="I1143" s="32"/>
      <c r="J1143" s="32"/>
      <c r="K1143" s="34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32"/>
      <c r="G1144" s="35"/>
      <c r="H1144" s="34" t="str">
        <f t="shared" si="25"/>
        <v/>
      </c>
      <c r="I1144" s="32"/>
      <c r="J1144" s="32"/>
      <c r="K1144" s="34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32"/>
      <c r="G1145" s="35"/>
      <c r="H1145" s="34" t="str">
        <f t="shared" si="25"/>
        <v/>
      </c>
      <c r="I1145" s="32"/>
      <c r="J1145" s="32"/>
      <c r="K1145" s="34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32"/>
      <c r="G1146" s="35"/>
      <c r="H1146" s="34" t="str">
        <f t="shared" si="25"/>
        <v/>
      </c>
      <c r="I1146" s="32"/>
      <c r="J1146" s="32"/>
      <c r="K1146" s="34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32"/>
      <c r="G1147" s="35"/>
      <c r="H1147" s="34" t="str">
        <f t="shared" si="25"/>
        <v/>
      </c>
      <c r="I1147" s="32"/>
      <c r="J1147" s="32"/>
      <c r="K1147" s="34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32"/>
      <c r="G1148" s="35"/>
      <c r="H1148" s="34" t="str">
        <f t="shared" si="25"/>
        <v/>
      </c>
      <c r="I1148" s="32"/>
      <c r="J1148" s="32"/>
      <c r="K1148" s="34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32"/>
      <c r="G1149" s="35"/>
      <c r="H1149" s="34" t="str">
        <f t="shared" si="25"/>
        <v/>
      </c>
      <c r="I1149" s="32"/>
      <c r="J1149" s="32"/>
      <c r="K1149" s="34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32"/>
      <c r="G1150" s="35"/>
      <c r="H1150" s="34" t="str">
        <f t="shared" si="25"/>
        <v/>
      </c>
      <c r="I1150" s="32"/>
      <c r="J1150" s="32"/>
      <c r="K1150" s="34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32"/>
      <c r="G1151" s="35"/>
      <c r="H1151" s="34" t="str">
        <f t="shared" si="25"/>
        <v/>
      </c>
      <c r="I1151" s="32"/>
      <c r="J1151" s="32"/>
      <c r="K1151" s="34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32"/>
      <c r="G1152" s="35"/>
      <c r="H1152" s="34" t="str">
        <f t="shared" si="25"/>
        <v/>
      </c>
      <c r="I1152" s="32"/>
      <c r="J1152" s="32"/>
      <c r="K1152" s="34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32"/>
      <c r="G1153" s="35"/>
      <c r="H1153" s="34" t="str">
        <f t="shared" si="25"/>
        <v/>
      </c>
      <c r="I1153" s="32"/>
      <c r="J1153" s="32"/>
      <c r="K1153" s="34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32"/>
      <c r="G1154" s="35"/>
      <c r="H1154" s="34" t="str">
        <f t="shared" ref="H1154:H1217" si="26">IF(AND($F1154="TEMP",$G1154&gt;0,$M1154&lt;&gt;""),$M1154+$G1154,"")</f>
        <v/>
      </c>
      <c r="I1154" s="32"/>
      <c r="J1154" s="32"/>
      <c r="K1154" s="34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32"/>
      <c r="G1155" s="35"/>
      <c r="H1155" s="34" t="str">
        <f t="shared" si="26"/>
        <v/>
      </c>
      <c r="I1155" s="32"/>
      <c r="J1155" s="32"/>
      <c r="K1155" s="34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32"/>
      <c r="G1156" s="35"/>
      <c r="H1156" s="34" t="str">
        <f t="shared" si="26"/>
        <v/>
      </c>
      <c r="I1156" s="32"/>
      <c r="J1156" s="32"/>
      <c r="K1156" s="34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32"/>
      <c r="G1157" s="35"/>
      <c r="H1157" s="34" t="str">
        <f t="shared" si="26"/>
        <v/>
      </c>
      <c r="I1157" s="32"/>
      <c r="J1157" s="32"/>
      <c r="K1157" s="34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32"/>
      <c r="G1158" s="35"/>
      <c r="H1158" s="34" t="str">
        <f t="shared" si="26"/>
        <v/>
      </c>
      <c r="I1158" s="32"/>
      <c r="J1158" s="32"/>
      <c r="K1158" s="34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32"/>
      <c r="G1159" s="35"/>
      <c r="H1159" s="34" t="str">
        <f t="shared" si="26"/>
        <v/>
      </c>
      <c r="I1159" s="32"/>
      <c r="J1159" s="32"/>
      <c r="K1159" s="34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32"/>
      <c r="G1160" s="35"/>
      <c r="H1160" s="34" t="str">
        <f t="shared" si="26"/>
        <v/>
      </c>
      <c r="I1160" s="32"/>
      <c r="J1160" s="32"/>
      <c r="K1160" s="34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32"/>
      <c r="G1161" s="35"/>
      <c r="H1161" s="34" t="str">
        <f t="shared" si="26"/>
        <v/>
      </c>
      <c r="I1161" s="32"/>
      <c r="J1161" s="32"/>
      <c r="K1161" s="34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32"/>
      <c r="G1162" s="35"/>
      <c r="H1162" s="34" t="str">
        <f t="shared" si="26"/>
        <v/>
      </c>
      <c r="I1162" s="32"/>
      <c r="J1162" s="32"/>
      <c r="K1162" s="34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32"/>
      <c r="G1163" s="35"/>
      <c r="H1163" s="34" t="str">
        <f t="shared" si="26"/>
        <v/>
      </c>
      <c r="I1163" s="32"/>
      <c r="J1163" s="32"/>
      <c r="K1163" s="34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32"/>
      <c r="G1164" s="35"/>
      <c r="H1164" s="34" t="str">
        <f t="shared" si="26"/>
        <v/>
      </c>
      <c r="I1164" s="32"/>
      <c r="J1164" s="32"/>
      <c r="K1164" s="34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32"/>
      <c r="G1165" s="35"/>
      <c r="H1165" s="34" t="str">
        <f t="shared" si="26"/>
        <v/>
      </c>
      <c r="I1165" s="32"/>
      <c r="J1165" s="32"/>
      <c r="K1165" s="34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32"/>
      <c r="G1166" s="35"/>
      <c r="H1166" s="34" t="str">
        <f t="shared" si="26"/>
        <v/>
      </c>
      <c r="I1166" s="32"/>
      <c r="J1166" s="32"/>
      <c r="K1166" s="34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32"/>
      <c r="G1167" s="35"/>
      <c r="H1167" s="34" t="str">
        <f t="shared" si="26"/>
        <v/>
      </c>
      <c r="I1167" s="32"/>
      <c r="J1167" s="32"/>
      <c r="K1167" s="34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32"/>
      <c r="G1168" s="35"/>
      <c r="H1168" s="34" t="str">
        <f t="shared" si="26"/>
        <v/>
      </c>
      <c r="I1168" s="32"/>
      <c r="J1168" s="32"/>
      <c r="K1168" s="34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32"/>
      <c r="G1169" s="35"/>
      <c r="H1169" s="34" t="str">
        <f t="shared" si="26"/>
        <v/>
      </c>
      <c r="I1169" s="32"/>
      <c r="J1169" s="32"/>
      <c r="K1169" s="34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32"/>
      <c r="G1170" s="35"/>
      <c r="H1170" s="34" t="str">
        <f t="shared" si="26"/>
        <v/>
      </c>
      <c r="I1170" s="32"/>
      <c r="J1170" s="32"/>
      <c r="K1170" s="34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32"/>
      <c r="G1171" s="35"/>
      <c r="H1171" s="34" t="str">
        <f t="shared" si="26"/>
        <v/>
      </c>
      <c r="I1171" s="32"/>
      <c r="J1171" s="32"/>
      <c r="K1171" s="34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32"/>
      <c r="G1172" s="35"/>
      <c r="H1172" s="34" t="str">
        <f t="shared" si="26"/>
        <v/>
      </c>
      <c r="I1172" s="32"/>
      <c r="J1172" s="32"/>
      <c r="K1172" s="34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32"/>
      <c r="G1173" s="35"/>
      <c r="H1173" s="34" t="str">
        <f t="shared" si="26"/>
        <v/>
      </c>
      <c r="I1173" s="32"/>
      <c r="J1173" s="32"/>
      <c r="K1173" s="34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32"/>
      <c r="G1174" s="35"/>
      <c r="H1174" s="34" t="str">
        <f t="shared" si="26"/>
        <v/>
      </c>
      <c r="I1174" s="32"/>
      <c r="J1174" s="32"/>
      <c r="K1174" s="34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32"/>
      <c r="G1175" s="35"/>
      <c r="H1175" s="34" t="str">
        <f t="shared" si="26"/>
        <v/>
      </c>
      <c r="I1175" s="32"/>
      <c r="J1175" s="32"/>
      <c r="K1175" s="34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32"/>
      <c r="G1176" s="35"/>
      <c r="H1176" s="34" t="str">
        <f t="shared" si="26"/>
        <v/>
      </c>
      <c r="I1176" s="32"/>
      <c r="J1176" s="32"/>
      <c r="K1176" s="34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32"/>
      <c r="G1177" s="35"/>
      <c r="H1177" s="34" t="str">
        <f t="shared" si="26"/>
        <v/>
      </c>
      <c r="I1177" s="32"/>
      <c r="J1177" s="32"/>
      <c r="K1177" s="34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32"/>
      <c r="G1178" s="35"/>
      <c r="H1178" s="34" t="str">
        <f t="shared" si="26"/>
        <v/>
      </c>
      <c r="I1178" s="32"/>
      <c r="J1178" s="32"/>
      <c r="K1178" s="34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32"/>
      <c r="G1179" s="35"/>
      <c r="H1179" s="34" t="str">
        <f t="shared" si="26"/>
        <v/>
      </c>
      <c r="I1179" s="32"/>
      <c r="J1179" s="32"/>
      <c r="K1179" s="34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32"/>
      <c r="G1180" s="35"/>
      <c r="H1180" s="34" t="str">
        <f t="shared" si="26"/>
        <v/>
      </c>
      <c r="I1180" s="32"/>
      <c r="J1180" s="32"/>
      <c r="K1180" s="34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32"/>
      <c r="G1181" s="35"/>
      <c r="H1181" s="34" t="str">
        <f t="shared" si="26"/>
        <v/>
      </c>
      <c r="I1181" s="32"/>
      <c r="J1181" s="32"/>
      <c r="K1181" s="34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32"/>
      <c r="G1182" s="35"/>
      <c r="H1182" s="34" t="str">
        <f t="shared" si="26"/>
        <v/>
      </c>
      <c r="I1182" s="32"/>
      <c r="J1182" s="32"/>
      <c r="K1182" s="34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32"/>
      <c r="G1183" s="35"/>
      <c r="H1183" s="34" t="str">
        <f t="shared" si="26"/>
        <v/>
      </c>
      <c r="I1183" s="32"/>
      <c r="J1183" s="32"/>
      <c r="K1183" s="34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32"/>
      <c r="G1184" s="35"/>
      <c r="H1184" s="34" t="str">
        <f t="shared" si="26"/>
        <v/>
      </c>
      <c r="I1184" s="32"/>
      <c r="J1184" s="32"/>
      <c r="K1184" s="34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32"/>
      <c r="G1185" s="35"/>
      <c r="H1185" s="34" t="str">
        <f t="shared" si="26"/>
        <v/>
      </c>
      <c r="I1185" s="32"/>
      <c r="J1185" s="32"/>
      <c r="K1185" s="34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32"/>
      <c r="G1186" s="35"/>
      <c r="H1186" s="34" t="str">
        <f t="shared" si="26"/>
        <v/>
      </c>
      <c r="I1186" s="32"/>
      <c r="J1186" s="32"/>
      <c r="K1186" s="34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32"/>
      <c r="G1187" s="35"/>
      <c r="H1187" s="34" t="str">
        <f t="shared" si="26"/>
        <v/>
      </c>
      <c r="I1187" s="32"/>
      <c r="J1187" s="32"/>
      <c r="K1187" s="34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32"/>
      <c r="G1188" s="35"/>
      <c r="H1188" s="34" t="str">
        <f t="shared" si="26"/>
        <v/>
      </c>
      <c r="I1188" s="32"/>
      <c r="J1188" s="32"/>
      <c r="K1188" s="34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32"/>
      <c r="G1189" s="35"/>
      <c r="H1189" s="34" t="str">
        <f t="shared" si="26"/>
        <v/>
      </c>
      <c r="I1189" s="32"/>
      <c r="J1189" s="32"/>
      <c r="K1189" s="34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32"/>
      <c r="G1190" s="35"/>
      <c r="H1190" s="34" t="str">
        <f t="shared" si="26"/>
        <v/>
      </c>
      <c r="I1190" s="32"/>
      <c r="J1190" s="32"/>
      <c r="K1190" s="34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32"/>
      <c r="G1191" s="35"/>
      <c r="H1191" s="34" t="str">
        <f t="shared" si="26"/>
        <v/>
      </c>
      <c r="I1191" s="32"/>
      <c r="J1191" s="32"/>
      <c r="K1191" s="34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32"/>
      <c r="G1192" s="35"/>
      <c r="H1192" s="34" t="str">
        <f t="shared" si="26"/>
        <v/>
      </c>
      <c r="I1192" s="32"/>
      <c r="J1192" s="32"/>
      <c r="K1192" s="34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32"/>
      <c r="G1193" s="35"/>
      <c r="H1193" s="34" t="str">
        <f t="shared" si="26"/>
        <v/>
      </c>
      <c r="I1193" s="32"/>
      <c r="J1193" s="32"/>
      <c r="K1193" s="34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32"/>
      <c r="G1194" s="35"/>
      <c r="H1194" s="34" t="str">
        <f t="shared" si="26"/>
        <v/>
      </c>
      <c r="I1194" s="32"/>
      <c r="J1194" s="32"/>
      <c r="K1194" s="34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32"/>
      <c r="G1195" s="35"/>
      <c r="H1195" s="34" t="str">
        <f t="shared" si="26"/>
        <v/>
      </c>
      <c r="I1195" s="32"/>
      <c r="J1195" s="32"/>
      <c r="K1195" s="34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32"/>
      <c r="G1196" s="35"/>
      <c r="H1196" s="34" t="str">
        <f t="shared" si="26"/>
        <v/>
      </c>
      <c r="I1196" s="32"/>
      <c r="J1196" s="32"/>
      <c r="K1196" s="34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32"/>
      <c r="G1197" s="35"/>
      <c r="H1197" s="34" t="str">
        <f t="shared" si="26"/>
        <v/>
      </c>
      <c r="I1197" s="32"/>
      <c r="J1197" s="32"/>
      <c r="K1197" s="34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32"/>
      <c r="G1198" s="35"/>
      <c r="H1198" s="34" t="str">
        <f t="shared" si="26"/>
        <v/>
      </c>
      <c r="I1198" s="32"/>
      <c r="J1198" s="32"/>
      <c r="K1198" s="34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32"/>
      <c r="G1199" s="35"/>
      <c r="H1199" s="34" t="str">
        <f t="shared" si="26"/>
        <v/>
      </c>
      <c r="I1199" s="32"/>
      <c r="J1199" s="32"/>
      <c r="K1199" s="34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32"/>
      <c r="G1200" s="35"/>
      <c r="H1200" s="34" t="str">
        <f t="shared" si="26"/>
        <v/>
      </c>
      <c r="I1200" s="32"/>
      <c r="J1200" s="32"/>
      <c r="K1200" s="34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32"/>
      <c r="G1201" s="35"/>
      <c r="H1201" s="34" t="str">
        <f t="shared" si="26"/>
        <v/>
      </c>
      <c r="I1201" s="32"/>
      <c r="J1201" s="32"/>
      <c r="K1201" s="34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32"/>
      <c r="G1202" s="35"/>
      <c r="H1202" s="34" t="str">
        <f t="shared" si="26"/>
        <v/>
      </c>
      <c r="I1202" s="32"/>
      <c r="J1202" s="32"/>
      <c r="K1202" s="34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32"/>
      <c r="G1203" s="35"/>
      <c r="H1203" s="34" t="str">
        <f t="shared" si="26"/>
        <v/>
      </c>
      <c r="I1203" s="32"/>
      <c r="J1203" s="32"/>
      <c r="K1203" s="34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32"/>
      <c r="G1204" s="35"/>
      <c r="H1204" s="34" t="str">
        <f t="shared" si="26"/>
        <v/>
      </c>
      <c r="I1204" s="32"/>
      <c r="J1204" s="32"/>
      <c r="K1204" s="34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32"/>
      <c r="G1205" s="35"/>
      <c r="H1205" s="34" t="str">
        <f t="shared" si="26"/>
        <v/>
      </c>
      <c r="I1205" s="32"/>
      <c r="J1205" s="32"/>
      <c r="K1205" s="34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32"/>
      <c r="G1206" s="35"/>
      <c r="H1206" s="34" t="str">
        <f t="shared" si="26"/>
        <v/>
      </c>
      <c r="I1206" s="32"/>
      <c r="J1206" s="32"/>
      <c r="K1206" s="34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32"/>
      <c r="G1207" s="35"/>
      <c r="H1207" s="34" t="str">
        <f t="shared" si="26"/>
        <v/>
      </c>
      <c r="I1207" s="32"/>
      <c r="J1207" s="32"/>
      <c r="K1207" s="34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32"/>
      <c r="G1208" s="35"/>
      <c r="H1208" s="34" t="str">
        <f t="shared" si="26"/>
        <v/>
      </c>
      <c r="I1208" s="32"/>
      <c r="J1208" s="32"/>
      <c r="K1208" s="34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32"/>
      <c r="G1209" s="35"/>
      <c r="H1209" s="34" t="str">
        <f t="shared" si="26"/>
        <v/>
      </c>
      <c r="I1209" s="32"/>
      <c r="J1209" s="32"/>
      <c r="K1209" s="34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32"/>
      <c r="G1210" s="35"/>
      <c r="H1210" s="34" t="str">
        <f t="shared" si="26"/>
        <v/>
      </c>
      <c r="I1210" s="32"/>
      <c r="J1210" s="32"/>
      <c r="K1210" s="34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32"/>
      <c r="G1211" s="35"/>
      <c r="H1211" s="34" t="str">
        <f t="shared" si="26"/>
        <v/>
      </c>
      <c r="I1211" s="32"/>
      <c r="J1211" s="32"/>
      <c r="K1211" s="34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32"/>
      <c r="G1212" s="35"/>
      <c r="H1212" s="34" t="str">
        <f t="shared" si="26"/>
        <v/>
      </c>
      <c r="I1212" s="32"/>
      <c r="J1212" s="32"/>
      <c r="K1212" s="34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32"/>
      <c r="G1213" s="35"/>
      <c r="H1213" s="34" t="str">
        <f t="shared" si="26"/>
        <v/>
      </c>
      <c r="I1213" s="32"/>
      <c r="J1213" s="32"/>
      <c r="K1213" s="34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32"/>
      <c r="G1214" s="35"/>
      <c r="H1214" s="34" t="str">
        <f t="shared" si="26"/>
        <v/>
      </c>
      <c r="I1214" s="32"/>
      <c r="J1214" s="32"/>
      <c r="K1214" s="34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32"/>
      <c r="G1215" s="35"/>
      <c r="H1215" s="34" t="str">
        <f t="shared" si="26"/>
        <v/>
      </c>
      <c r="I1215" s="32"/>
      <c r="J1215" s="32"/>
      <c r="K1215" s="34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32"/>
      <c r="G1216" s="35"/>
      <c r="H1216" s="34" t="str">
        <f t="shared" si="26"/>
        <v/>
      </c>
      <c r="I1216" s="32"/>
      <c r="J1216" s="32"/>
      <c r="K1216" s="34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32"/>
      <c r="G1217" s="35"/>
      <c r="H1217" s="34" t="str">
        <f t="shared" si="26"/>
        <v/>
      </c>
      <c r="I1217" s="32"/>
      <c r="J1217" s="32"/>
      <c r="K1217" s="34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32"/>
      <c r="G1218" s="35"/>
      <c r="H1218" s="34" t="str">
        <f t="shared" ref="H1218:H1281" si="27">IF(AND($F1218="TEMP",$G1218&gt;0,$M1218&lt;&gt;""),$M1218+$G1218,"")</f>
        <v/>
      </c>
      <c r="I1218" s="32"/>
      <c r="J1218" s="32"/>
      <c r="K1218" s="34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32"/>
      <c r="G1219" s="35"/>
      <c r="H1219" s="34" t="str">
        <f t="shared" si="27"/>
        <v/>
      </c>
      <c r="I1219" s="32"/>
      <c r="J1219" s="32"/>
      <c r="K1219" s="34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32"/>
      <c r="G1220" s="35"/>
      <c r="H1220" s="34" t="str">
        <f t="shared" si="27"/>
        <v/>
      </c>
      <c r="I1220" s="32"/>
      <c r="J1220" s="32"/>
      <c r="K1220" s="34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32"/>
      <c r="G1221" s="35"/>
      <c r="H1221" s="34" t="str">
        <f t="shared" si="27"/>
        <v/>
      </c>
      <c r="I1221" s="32"/>
      <c r="J1221" s="32"/>
      <c r="K1221" s="34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32"/>
      <c r="G1222" s="35"/>
      <c r="H1222" s="34" t="str">
        <f t="shared" si="27"/>
        <v/>
      </c>
      <c r="I1222" s="32"/>
      <c r="J1222" s="32"/>
      <c r="K1222" s="34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32"/>
      <c r="G1223" s="35"/>
      <c r="H1223" s="34" t="str">
        <f t="shared" si="27"/>
        <v/>
      </c>
      <c r="I1223" s="32"/>
      <c r="J1223" s="32"/>
      <c r="K1223" s="34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32"/>
      <c r="G1224" s="35"/>
      <c r="H1224" s="34" t="str">
        <f t="shared" si="27"/>
        <v/>
      </c>
      <c r="I1224" s="32"/>
      <c r="J1224" s="32"/>
      <c r="K1224" s="34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32"/>
      <c r="G1225" s="35"/>
      <c r="H1225" s="34" t="str">
        <f t="shared" si="27"/>
        <v/>
      </c>
      <c r="I1225" s="32"/>
      <c r="J1225" s="32"/>
      <c r="K1225" s="34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32"/>
      <c r="G1226" s="35"/>
      <c r="H1226" s="34" t="str">
        <f t="shared" si="27"/>
        <v/>
      </c>
      <c r="I1226" s="32"/>
      <c r="J1226" s="32"/>
      <c r="K1226" s="34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32"/>
      <c r="G1227" s="35"/>
      <c r="H1227" s="34" t="str">
        <f t="shared" si="27"/>
        <v/>
      </c>
      <c r="I1227" s="32"/>
      <c r="J1227" s="32"/>
      <c r="K1227" s="34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32"/>
      <c r="G1228" s="35"/>
      <c r="H1228" s="34" t="str">
        <f t="shared" si="27"/>
        <v/>
      </c>
      <c r="I1228" s="32"/>
      <c r="J1228" s="32"/>
      <c r="K1228" s="34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32"/>
      <c r="G1229" s="35"/>
      <c r="H1229" s="34" t="str">
        <f t="shared" si="27"/>
        <v/>
      </c>
      <c r="I1229" s="32"/>
      <c r="J1229" s="32"/>
      <c r="K1229" s="34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32"/>
      <c r="G1230" s="35"/>
      <c r="H1230" s="34" t="str">
        <f t="shared" si="27"/>
        <v/>
      </c>
      <c r="I1230" s="32"/>
      <c r="J1230" s="32"/>
      <c r="K1230" s="34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32"/>
      <c r="G1231" s="35"/>
      <c r="H1231" s="34" t="str">
        <f t="shared" si="27"/>
        <v/>
      </c>
      <c r="I1231" s="32"/>
      <c r="J1231" s="32"/>
      <c r="K1231" s="34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32"/>
      <c r="G1232" s="35"/>
      <c r="H1232" s="34" t="str">
        <f t="shared" si="27"/>
        <v/>
      </c>
      <c r="I1232" s="32"/>
      <c r="J1232" s="32"/>
      <c r="K1232" s="34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32"/>
      <c r="G1233" s="35"/>
      <c r="H1233" s="34" t="str">
        <f t="shared" si="27"/>
        <v/>
      </c>
      <c r="I1233" s="32"/>
      <c r="J1233" s="32"/>
      <c r="K1233" s="34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32"/>
      <c r="G1234" s="35"/>
      <c r="H1234" s="34" t="str">
        <f t="shared" si="27"/>
        <v/>
      </c>
      <c r="I1234" s="32"/>
      <c r="J1234" s="32"/>
      <c r="K1234" s="34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32"/>
      <c r="G1235" s="35"/>
      <c r="H1235" s="34" t="str">
        <f t="shared" si="27"/>
        <v/>
      </c>
      <c r="I1235" s="32"/>
      <c r="J1235" s="32"/>
      <c r="K1235" s="34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32"/>
      <c r="G1236" s="35"/>
      <c r="H1236" s="34" t="str">
        <f t="shared" si="27"/>
        <v/>
      </c>
      <c r="I1236" s="32"/>
      <c r="J1236" s="32"/>
      <c r="K1236" s="34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32"/>
      <c r="G1237" s="35"/>
      <c r="H1237" s="34" t="str">
        <f t="shared" si="27"/>
        <v/>
      </c>
      <c r="I1237" s="32"/>
      <c r="J1237" s="32"/>
      <c r="K1237" s="34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32"/>
      <c r="G1238" s="35"/>
      <c r="H1238" s="34" t="str">
        <f t="shared" si="27"/>
        <v/>
      </c>
      <c r="I1238" s="32"/>
      <c r="J1238" s="32"/>
      <c r="K1238" s="34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32"/>
      <c r="G1239" s="35"/>
      <c r="H1239" s="34" t="str">
        <f t="shared" si="27"/>
        <v/>
      </c>
      <c r="I1239" s="32"/>
      <c r="J1239" s="32"/>
      <c r="K1239" s="34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32"/>
      <c r="G1240" s="35"/>
      <c r="H1240" s="34" t="str">
        <f t="shared" si="27"/>
        <v/>
      </c>
      <c r="I1240" s="32"/>
      <c r="J1240" s="32"/>
      <c r="K1240" s="34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32"/>
      <c r="G1241" s="35"/>
      <c r="H1241" s="34" t="str">
        <f t="shared" si="27"/>
        <v/>
      </c>
      <c r="I1241" s="32"/>
      <c r="J1241" s="32"/>
      <c r="K1241" s="34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32"/>
      <c r="G1242" s="35"/>
      <c r="H1242" s="34" t="str">
        <f t="shared" si="27"/>
        <v/>
      </c>
      <c r="I1242" s="32"/>
      <c r="J1242" s="32"/>
      <c r="K1242" s="34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32"/>
      <c r="G1243" s="35"/>
      <c r="H1243" s="34" t="str">
        <f t="shared" si="27"/>
        <v/>
      </c>
      <c r="I1243" s="32"/>
      <c r="J1243" s="32"/>
      <c r="K1243" s="34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32"/>
      <c r="G1244" s="35"/>
      <c r="H1244" s="34" t="str">
        <f t="shared" si="27"/>
        <v/>
      </c>
      <c r="I1244" s="32"/>
      <c r="J1244" s="32"/>
      <c r="K1244" s="34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32"/>
      <c r="G1245" s="35"/>
      <c r="H1245" s="34" t="str">
        <f t="shared" si="27"/>
        <v/>
      </c>
      <c r="I1245" s="32"/>
      <c r="J1245" s="32"/>
      <c r="K1245" s="34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32"/>
      <c r="G1246" s="35"/>
      <c r="H1246" s="34" t="str">
        <f t="shared" si="27"/>
        <v/>
      </c>
      <c r="I1246" s="32"/>
      <c r="J1246" s="32"/>
      <c r="K1246" s="34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32"/>
      <c r="G1247" s="35"/>
      <c r="H1247" s="34" t="str">
        <f t="shared" si="27"/>
        <v/>
      </c>
      <c r="I1247" s="32"/>
      <c r="J1247" s="32"/>
      <c r="K1247" s="34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32"/>
      <c r="G1248" s="35"/>
      <c r="H1248" s="34" t="str">
        <f t="shared" si="27"/>
        <v/>
      </c>
      <c r="I1248" s="32"/>
      <c r="J1248" s="32"/>
      <c r="K1248" s="34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32"/>
      <c r="G1249" s="35"/>
      <c r="H1249" s="34" t="str">
        <f t="shared" si="27"/>
        <v/>
      </c>
      <c r="I1249" s="32"/>
      <c r="J1249" s="32"/>
      <c r="K1249" s="34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32"/>
      <c r="G1250" s="35"/>
      <c r="H1250" s="34" t="str">
        <f t="shared" si="27"/>
        <v/>
      </c>
      <c r="I1250" s="32"/>
      <c r="J1250" s="32"/>
      <c r="K1250" s="34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32"/>
      <c r="G1251" s="35"/>
      <c r="H1251" s="34" t="str">
        <f t="shared" si="27"/>
        <v/>
      </c>
      <c r="I1251" s="32"/>
      <c r="J1251" s="32"/>
      <c r="K1251" s="34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32"/>
      <c r="G1252" s="35"/>
      <c r="H1252" s="34" t="str">
        <f t="shared" si="27"/>
        <v/>
      </c>
      <c r="I1252" s="32"/>
      <c r="J1252" s="32"/>
      <c r="K1252" s="34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32"/>
      <c r="G1253" s="35"/>
      <c r="H1253" s="34" t="str">
        <f t="shared" si="27"/>
        <v/>
      </c>
      <c r="I1253" s="32"/>
      <c r="J1253" s="32"/>
      <c r="K1253" s="34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32"/>
      <c r="G1254" s="35"/>
      <c r="H1254" s="34" t="str">
        <f t="shared" si="27"/>
        <v/>
      </c>
      <c r="I1254" s="32"/>
      <c r="J1254" s="32"/>
      <c r="K1254" s="34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32"/>
      <c r="G1255" s="35"/>
      <c r="H1255" s="34" t="str">
        <f t="shared" si="27"/>
        <v/>
      </c>
      <c r="I1255" s="32"/>
      <c r="J1255" s="32"/>
      <c r="K1255" s="34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32"/>
      <c r="G1256" s="35"/>
      <c r="H1256" s="34" t="str">
        <f t="shared" si="27"/>
        <v/>
      </c>
      <c r="I1256" s="32"/>
      <c r="J1256" s="32"/>
      <c r="K1256" s="34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32"/>
      <c r="G1257" s="35"/>
      <c r="H1257" s="34" t="str">
        <f t="shared" si="27"/>
        <v/>
      </c>
      <c r="I1257" s="32"/>
      <c r="J1257" s="32"/>
      <c r="K1257" s="34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32"/>
      <c r="G1258" s="35"/>
      <c r="H1258" s="34" t="str">
        <f t="shared" si="27"/>
        <v/>
      </c>
      <c r="I1258" s="32"/>
      <c r="J1258" s="32"/>
      <c r="K1258" s="34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32"/>
      <c r="G1259" s="35"/>
      <c r="H1259" s="34" t="str">
        <f t="shared" si="27"/>
        <v/>
      </c>
      <c r="I1259" s="32"/>
      <c r="J1259" s="32"/>
      <c r="K1259" s="34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32"/>
      <c r="G1260" s="35"/>
      <c r="H1260" s="34" t="str">
        <f t="shared" si="27"/>
        <v/>
      </c>
      <c r="I1260" s="32"/>
      <c r="J1260" s="32"/>
      <c r="K1260" s="34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32"/>
      <c r="G1261" s="35"/>
      <c r="H1261" s="34" t="str">
        <f t="shared" si="27"/>
        <v/>
      </c>
      <c r="I1261" s="32"/>
      <c r="J1261" s="32"/>
      <c r="K1261" s="34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32"/>
      <c r="G1262" s="35"/>
      <c r="H1262" s="34" t="str">
        <f t="shared" si="27"/>
        <v/>
      </c>
      <c r="I1262" s="32"/>
      <c r="J1262" s="32"/>
      <c r="K1262" s="34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32"/>
      <c r="G1263" s="35"/>
      <c r="H1263" s="34" t="str">
        <f t="shared" si="27"/>
        <v/>
      </c>
      <c r="I1263" s="32"/>
      <c r="J1263" s="32"/>
      <c r="K1263" s="34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32"/>
      <c r="G1264" s="35"/>
      <c r="H1264" s="34" t="str">
        <f t="shared" si="27"/>
        <v/>
      </c>
      <c r="I1264" s="32"/>
      <c r="J1264" s="32"/>
      <c r="K1264" s="34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32"/>
      <c r="G1265" s="35"/>
      <c r="H1265" s="34" t="str">
        <f t="shared" si="27"/>
        <v/>
      </c>
      <c r="I1265" s="32"/>
      <c r="J1265" s="32"/>
      <c r="K1265" s="34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32"/>
      <c r="G1266" s="35"/>
      <c r="H1266" s="34" t="str">
        <f t="shared" si="27"/>
        <v/>
      </c>
      <c r="I1266" s="32"/>
      <c r="J1266" s="32"/>
      <c r="K1266" s="34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32"/>
      <c r="G1267" s="35"/>
      <c r="H1267" s="34" t="str">
        <f t="shared" si="27"/>
        <v/>
      </c>
      <c r="I1267" s="32"/>
      <c r="J1267" s="32"/>
      <c r="K1267" s="34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32"/>
      <c r="G1268" s="35"/>
      <c r="H1268" s="34" t="str">
        <f t="shared" si="27"/>
        <v/>
      </c>
      <c r="I1268" s="32"/>
      <c r="J1268" s="32"/>
      <c r="K1268" s="34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32"/>
      <c r="G1269" s="35"/>
      <c r="H1269" s="34" t="str">
        <f t="shared" si="27"/>
        <v/>
      </c>
      <c r="I1269" s="32"/>
      <c r="J1269" s="32"/>
      <c r="K1269" s="34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32"/>
      <c r="G1270" s="35"/>
      <c r="H1270" s="34" t="str">
        <f t="shared" si="27"/>
        <v/>
      </c>
      <c r="I1270" s="32"/>
      <c r="J1270" s="32"/>
      <c r="K1270" s="34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32"/>
      <c r="G1271" s="35"/>
      <c r="H1271" s="34" t="str">
        <f t="shared" si="27"/>
        <v/>
      </c>
      <c r="I1271" s="32"/>
      <c r="J1271" s="32"/>
      <c r="K1271" s="34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32"/>
      <c r="G1272" s="35"/>
      <c r="H1272" s="34" t="str">
        <f t="shared" si="27"/>
        <v/>
      </c>
      <c r="I1272" s="32"/>
      <c r="J1272" s="32"/>
      <c r="K1272" s="34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32"/>
      <c r="G1273" s="35"/>
      <c r="H1273" s="34" t="str">
        <f t="shared" si="27"/>
        <v/>
      </c>
      <c r="I1273" s="32"/>
      <c r="J1273" s="32"/>
      <c r="K1273" s="34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32"/>
      <c r="G1274" s="35"/>
      <c r="H1274" s="34" t="str">
        <f t="shared" si="27"/>
        <v/>
      </c>
      <c r="I1274" s="32"/>
      <c r="J1274" s="32"/>
      <c r="K1274" s="34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32"/>
      <c r="G1275" s="35"/>
      <c r="H1275" s="34" t="str">
        <f t="shared" si="27"/>
        <v/>
      </c>
      <c r="I1275" s="32"/>
      <c r="J1275" s="32"/>
      <c r="K1275" s="34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32"/>
      <c r="G1276" s="35"/>
      <c r="H1276" s="34" t="str">
        <f t="shared" si="27"/>
        <v/>
      </c>
      <c r="I1276" s="32"/>
      <c r="J1276" s="32"/>
      <c r="K1276" s="34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32"/>
      <c r="G1277" s="35"/>
      <c r="H1277" s="34" t="str">
        <f t="shared" si="27"/>
        <v/>
      </c>
      <c r="I1277" s="32"/>
      <c r="J1277" s="32"/>
      <c r="K1277" s="34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32"/>
      <c r="G1278" s="35"/>
      <c r="H1278" s="34" t="str">
        <f t="shared" si="27"/>
        <v/>
      </c>
      <c r="I1278" s="32"/>
      <c r="J1278" s="32"/>
      <c r="K1278" s="34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32"/>
      <c r="G1279" s="35"/>
      <c r="H1279" s="34" t="str">
        <f t="shared" si="27"/>
        <v/>
      </c>
      <c r="I1279" s="32"/>
      <c r="J1279" s="32"/>
      <c r="K1279" s="34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32"/>
      <c r="G1280" s="35"/>
      <c r="H1280" s="34" t="str">
        <f t="shared" si="27"/>
        <v/>
      </c>
      <c r="I1280" s="32"/>
      <c r="J1280" s="32"/>
      <c r="K1280" s="34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32"/>
      <c r="G1281" s="35"/>
      <c r="H1281" s="34" t="str">
        <f t="shared" si="27"/>
        <v/>
      </c>
      <c r="I1281" s="32"/>
      <c r="J1281" s="32"/>
      <c r="K1281" s="34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32"/>
      <c r="G1282" s="35"/>
      <c r="H1282" s="34" t="str">
        <f t="shared" ref="H1282:H1345" si="28">IF(AND($F1282="TEMP",$G1282&gt;0,$M1282&lt;&gt;""),$M1282+$G1282,"")</f>
        <v/>
      </c>
      <c r="I1282" s="32"/>
      <c r="J1282" s="32"/>
      <c r="K1282" s="34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32"/>
      <c r="G1283" s="35"/>
      <c r="H1283" s="34" t="str">
        <f t="shared" si="28"/>
        <v/>
      </c>
      <c r="I1283" s="32"/>
      <c r="J1283" s="32"/>
      <c r="K1283" s="34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32"/>
      <c r="G1284" s="35"/>
      <c r="H1284" s="34" t="str">
        <f t="shared" si="28"/>
        <v/>
      </c>
      <c r="I1284" s="32"/>
      <c r="J1284" s="32"/>
      <c r="K1284" s="34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32"/>
      <c r="G1285" s="35"/>
      <c r="H1285" s="34" t="str">
        <f t="shared" si="28"/>
        <v/>
      </c>
      <c r="I1285" s="32"/>
      <c r="J1285" s="32"/>
      <c r="K1285" s="34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32"/>
      <c r="G1286" s="35"/>
      <c r="H1286" s="34" t="str">
        <f t="shared" si="28"/>
        <v/>
      </c>
      <c r="I1286" s="32"/>
      <c r="J1286" s="32"/>
      <c r="K1286" s="34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32"/>
      <c r="G1287" s="35"/>
      <c r="H1287" s="34" t="str">
        <f t="shared" si="28"/>
        <v/>
      </c>
      <c r="I1287" s="32"/>
      <c r="J1287" s="32"/>
      <c r="K1287" s="34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32"/>
      <c r="G1288" s="35"/>
      <c r="H1288" s="34" t="str">
        <f t="shared" si="28"/>
        <v/>
      </c>
      <c r="I1288" s="32"/>
      <c r="J1288" s="32"/>
      <c r="K1288" s="34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32"/>
      <c r="G1289" s="35"/>
      <c r="H1289" s="34" t="str">
        <f t="shared" si="28"/>
        <v/>
      </c>
      <c r="I1289" s="32"/>
      <c r="J1289" s="32"/>
      <c r="K1289" s="34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32"/>
      <c r="G1290" s="35"/>
      <c r="H1290" s="34" t="str">
        <f t="shared" si="28"/>
        <v/>
      </c>
      <c r="I1290" s="32"/>
      <c r="J1290" s="32"/>
      <c r="K1290" s="34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32"/>
      <c r="G1291" s="35"/>
      <c r="H1291" s="34" t="str">
        <f t="shared" si="28"/>
        <v/>
      </c>
      <c r="I1291" s="32"/>
      <c r="J1291" s="32"/>
      <c r="K1291" s="34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32"/>
      <c r="G1292" s="35"/>
      <c r="H1292" s="34" t="str">
        <f t="shared" si="28"/>
        <v/>
      </c>
      <c r="I1292" s="32"/>
      <c r="J1292" s="32"/>
      <c r="K1292" s="34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32"/>
      <c r="G1293" s="35"/>
      <c r="H1293" s="34" t="str">
        <f t="shared" si="28"/>
        <v/>
      </c>
      <c r="I1293" s="32"/>
      <c r="J1293" s="32"/>
      <c r="K1293" s="34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32"/>
      <c r="G1294" s="35"/>
      <c r="H1294" s="34" t="str">
        <f t="shared" si="28"/>
        <v/>
      </c>
      <c r="I1294" s="32"/>
      <c r="J1294" s="32"/>
      <c r="K1294" s="34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32"/>
      <c r="G1295" s="35"/>
      <c r="H1295" s="34" t="str">
        <f t="shared" si="28"/>
        <v/>
      </c>
      <c r="I1295" s="32"/>
      <c r="J1295" s="32"/>
      <c r="K1295" s="34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32"/>
      <c r="G1296" s="35"/>
      <c r="H1296" s="34" t="str">
        <f t="shared" si="28"/>
        <v/>
      </c>
      <c r="I1296" s="32"/>
      <c r="J1296" s="32"/>
      <c r="K1296" s="34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32"/>
      <c r="G1297" s="35"/>
      <c r="H1297" s="34" t="str">
        <f t="shared" si="28"/>
        <v/>
      </c>
      <c r="I1297" s="32"/>
      <c r="J1297" s="32"/>
      <c r="K1297" s="34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32"/>
      <c r="G1298" s="35"/>
      <c r="H1298" s="34" t="str">
        <f t="shared" si="28"/>
        <v/>
      </c>
      <c r="I1298" s="32"/>
      <c r="J1298" s="32"/>
      <c r="K1298" s="34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32"/>
      <c r="G1299" s="35"/>
      <c r="H1299" s="34" t="str">
        <f t="shared" si="28"/>
        <v/>
      </c>
      <c r="I1299" s="32"/>
      <c r="J1299" s="32"/>
      <c r="K1299" s="34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32"/>
      <c r="G1300" s="35"/>
      <c r="H1300" s="34" t="str">
        <f t="shared" si="28"/>
        <v/>
      </c>
      <c r="I1300" s="32"/>
      <c r="J1300" s="32"/>
      <c r="K1300" s="34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32"/>
      <c r="G1301" s="35"/>
      <c r="H1301" s="34" t="str">
        <f t="shared" si="28"/>
        <v/>
      </c>
      <c r="I1301" s="32"/>
      <c r="J1301" s="32"/>
      <c r="K1301" s="34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32"/>
      <c r="G1302" s="35"/>
      <c r="H1302" s="34" t="str">
        <f t="shared" si="28"/>
        <v/>
      </c>
      <c r="I1302" s="32"/>
      <c r="J1302" s="32"/>
      <c r="K1302" s="34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32"/>
      <c r="G1303" s="35"/>
      <c r="H1303" s="34" t="str">
        <f t="shared" si="28"/>
        <v/>
      </c>
      <c r="I1303" s="32"/>
      <c r="J1303" s="32"/>
      <c r="K1303" s="34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32"/>
      <c r="G1304" s="35"/>
      <c r="H1304" s="34" t="str">
        <f t="shared" si="28"/>
        <v/>
      </c>
      <c r="I1304" s="32"/>
      <c r="J1304" s="32"/>
      <c r="K1304" s="34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32"/>
      <c r="G1305" s="35"/>
      <c r="H1305" s="34" t="str">
        <f t="shared" si="28"/>
        <v/>
      </c>
      <c r="I1305" s="32"/>
      <c r="J1305" s="32"/>
      <c r="K1305" s="34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32"/>
      <c r="G1306" s="35"/>
      <c r="H1306" s="34" t="str">
        <f t="shared" si="28"/>
        <v/>
      </c>
      <c r="I1306" s="32"/>
      <c r="J1306" s="32"/>
      <c r="K1306" s="34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32"/>
      <c r="G1307" s="35"/>
      <c r="H1307" s="34" t="str">
        <f t="shared" si="28"/>
        <v/>
      </c>
      <c r="I1307" s="32"/>
      <c r="J1307" s="32"/>
      <c r="K1307" s="34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32"/>
      <c r="G1308" s="35"/>
      <c r="H1308" s="34" t="str">
        <f t="shared" si="28"/>
        <v/>
      </c>
      <c r="I1308" s="32"/>
      <c r="J1308" s="32"/>
      <c r="K1308" s="34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32"/>
      <c r="G1309" s="35"/>
      <c r="H1309" s="34" t="str">
        <f t="shared" si="28"/>
        <v/>
      </c>
      <c r="I1309" s="32"/>
      <c r="J1309" s="32"/>
      <c r="K1309" s="34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32"/>
      <c r="G1310" s="35"/>
      <c r="H1310" s="34" t="str">
        <f t="shared" si="28"/>
        <v/>
      </c>
      <c r="I1310" s="32"/>
      <c r="J1310" s="32"/>
      <c r="K1310" s="34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32"/>
      <c r="G1311" s="35"/>
      <c r="H1311" s="34" t="str">
        <f t="shared" si="28"/>
        <v/>
      </c>
      <c r="I1311" s="32"/>
      <c r="J1311" s="32"/>
      <c r="K1311" s="34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32"/>
      <c r="G1312" s="35"/>
      <c r="H1312" s="34" t="str">
        <f t="shared" si="28"/>
        <v/>
      </c>
      <c r="I1312" s="32"/>
      <c r="J1312" s="32"/>
      <c r="K1312" s="34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32"/>
      <c r="G1313" s="35"/>
      <c r="H1313" s="34" t="str">
        <f t="shared" si="28"/>
        <v/>
      </c>
      <c r="I1313" s="32"/>
      <c r="J1313" s="32"/>
      <c r="K1313" s="34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32"/>
      <c r="G1314" s="35"/>
      <c r="H1314" s="34" t="str">
        <f t="shared" si="28"/>
        <v/>
      </c>
      <c r="I1314" s="32"/>
      <c r="J1314" s="32"/>
      <c r="K1314" s="34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32"/>
      <c r="G1315" s="35"/>
      <c r="H1315" s="34" t="str">
        <f t="shared" si="28"/>
        <v/>
      </c>
      <c r="I1315" s="32"/>
      <c r="J1315" s="32"/>
      <c r="K1315" s="34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32"/>
      <c r="G1316" s="35"/>
      <c r="H1316" s="34" t="str">
        <f t="shared" si="28"/>
        <v/>
      </c>
      <c r="I1316" s="32"/>
      <c r="J1316" s="32"/>
      <c r="K1316" s="34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32"/>
      <c r="G1317" s="35"/>
      <c r="H1317" s="34" t="str">
        <f t="shared" si="28"/>
        <v/>
      </c>
      <c r="I1317" s="32"/>
      <c r="J1317" s="32"/>
      <c r="K1317" s="34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32"/>
      <c r="G1318" s="35"/>
      <c r="H1318" s="34" t="str">
        <f t="shared" si="28"/>
        <v/>
      </c>
      <c r="I1318" s="32"/>
      <c r="J1318" s="32"/>
      <c r="K1318" s="34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32"/>
      <c r="G1319" s="35"/>
      <c r="H1319" s="34" t="str">
        <f t="shared" si="28"/>
        <v/>
      </c>
      <c r="I1319" s="32"/>
      <c r="J1319" s="32"/>
      <c r="K1319" s="34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32"/>
      <c r="G1320" s="35"/>
      <c r="H1320" s="34" t="str">
        <f t="shared" si="28"/>
        <v/>
      </c>
      <c r="I1320" s="32"/>
      <c r="J1320" s="32"/>
      <c r="K1320" s="34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32"/>
      <c r="G1321" s="35"/>
      <c r="H1321" s="34" t="str">
        <f t="shared" si="28"/>
        <v/>
      </c>
      <c r="I1321" s="32"/>
      <c r="J1321" s="32"/>
      <c r="K1321" s="34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32"/>
      <c r="G1322" s="35"/>
      <c r="H1322" s="34" t="str">
        <f t="shared" si="28"/>
        <v/>
      </c>
      <c r="I1322" s="32"/>
      <c r="J1322" s="32"/>
      <c r="K1322" s="34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32"/>
      <c r="G1323" s="35"/>
      <c r="H1323" s="34" t="str">
        <f t="shared" si="28"/>
        <v/>
      </c>
      <c r="I1323" s="32"/>
      <c r="J1323" s="32"/>
      <c r="K1323" s="34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32"/>
      <c r="G1324" s="35"/>
      <c r="H1324" s="34" t="str">
        <f t="shared" si="28"/>
        <v/>
      </c>
      <c r="I1324" s="32"/>
      <c r="J1324" s="32"/>
      <c r="K1324" s="34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32"/>
      <c r="G1325" s="35"/>
      <c r="H1325" s="34" t="str">
        <f t="shared" si="28"/>
        <v/>
      </c>
      <c r="I1325" s="32"/>
      <c r="J1325" s="32"/>
      <c r="K1325" s="34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32"/>
      <c r="G1326" s="35"/>
      <c r="H1326" s="34" t="str">
        <f t="shared" si="28"/>
        <v/>
      </c>
      <c r="I1326" s="32"/>
      <c r="J1326" s="32"/>
      <c r="K1326" s="34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32"/>
      <c r="G1327" s="35"/>
      <c r="H1327" s="34" t="str">
        <f t="shared" si="28"/>
        <v/>
      </c>
      <c r="I1327" s="32"/>
      <c r="J1327" s="32"/>
      <c r="K1327" s="34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32"/>
      <c r="G1328" s="35"/>
      <c r="H1328" s="34" t="str">
        <f t="shared" si="28"/>
        <v/>
      </c>
      <c r="I1328" s="32"/>
      <c r="J1328" s="32"/>
      <c r="K1328" s="34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32"/>
      <c r="G1329" s="35"/>
      <c r="H1329" s="34" t="str">
        <f t="shared" si="28"/>
        <v/>
      </c>
      <c r="I1329" s="32"/>
      <c r="J1329" s="32"/>
      <c r="K1329" s="34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32"/>
      <c r="G1330" s="35"/>
      <c r="H1330" s="34" t="str">
        <f t="shared" si="28"/>
        <v/>
      </c>
      <c r="I1330" s="32"/>
      <c r="J1330" s="32"/>
      <c r="K1330" s="34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32"/>
      <c r="G1331" s="35"/>
      <c r="H1331" s="34" t="str">
        <f t="shared" si="28"/>
        <v/>
      </c>
      <c r="I1331" s="32"/>
      <c r="J1331" s="32"/>
      <c r="K1331" s="34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32"/>
      <c r="G1332" s="35"/>
      <c r="H1332" s="34" t="str">
        <f t="shared" si="28"/>
        <v/>
      </c>
      <c r="I1332" s="32"/>
      <c r="J1332" s="32"/>
      <c r="K1332" s="34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32"/>
      <c r="G1333" s="35"/>
      <c r="H1333" s="34" t="str">
        <f t="shared" si="28"/>
        <v/>
      </c>
      <c r="I1333" s="32"/>
      <c r="J1333" s="32"/>
      <c r="K1333" s="34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32"/>
      <c r="G1334" s="35"/>
      <c r="H1334" s="34" t="str">
        <f t="shared" si="28"/>
        <v/>
      </c>
      <c r="I1334" s="32"/>
      <c r="J1334" s="32"/>
      <c r="K1334" s="34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32"/>
      <c r="G1335" s="35"/>
      <c r="H1335" s="34" t="str">
        <f t="shared" si="28"/>
        <v/>
      </c>
      <c r="I1335" s="32"/>
      <c r="J1335" s="32"/>
      <c r="K1335" s="34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32"/>
      <c r="G1336" s="35"/>
      <c r="H1336" s="34" t="str">
        <f t="shared" si="28"/>
        <v/>
      </c>
      <c r="I1336" s="32"/>
      <c r="J1336" s="32"/>
      <c r="K1336" s="34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32"/>
      <c r="G1337" s="35"/>
      <c r="H1337" s="34" t="str">
        <f t="shared" si="28"/>
        <v/>
      </c>
      <c r="I1337" s="32"/>
      <c r="J1337" s="32"/>
      <c r="K1337" s="34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32"/>
      <c r="G1338" s="35"/>
      <c r="H1338" s="34" t="str">
        <f t="shared" si="28"/>
        <v/>
      </c>
      <c r="I1338" s="32"/>
      <c r="J1338" s="32"/>
      <c r="K1338" s="34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32"/>
      <c r="G1339" s="35"/>
      <c r="H1339" s="34" t="str">
        <f t="shared" si="28"/>
        <v/>
      </c>
      <c r="I1339" s="32"/>
      <c r="J1339" s="32"/>
      <c r="K1339" s="34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32"/>
      <c r="G1340" s="35"/>
      <c r="H1340" s="34" t="str">
        <f t="shared" si="28"/>
        <v/>
      </c>
      <c r="I1340" s="32"/>
      <c r="J1340" s="32"/>
      <c r="K1340" s="34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32"/>
      <c r="G1341" s="35"/>
      <c r="H1341" s="34" t="str">
        <f t="shared" si="28"/>
        <v/>
      </c>
      <c r="I1341" s="32"/>
      <c r="J1341" s="32"/>
      <c r="K1341" s="34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32"/>
      <c r="G1342" s="35"/>
      <c r="H1342" s="34" t="str">
        <f t="shared" si="28"/>
        <v/>
      </c>
      <c r="I1342" s="32"/>
      <c r="J1342" s="32"/>
      <c r="K1342" s="34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32"/>
      <c r="G1343" s="35"/>
      <c r="H1343" s="34" t="str">
        <f t="shared" si="28"/>
        <v/>
      </c>
      <c r="I1343" s="32"/>
      <c r="J1343" s="32"/>
      <c r="K1343" s="34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32"/>
      <c r="G1344" s="35"/>
      <c r="H1344" s="34" t="str">
        <f t="shared" si="28"/>
        <v/>
      </c>
      <c r="I1344" s="32"/>
      <c r="J1344" s="32"/>
      <c r="K1344" s="34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32"/>
      <c r="G1345" s="35"/>
      <c r="H1345" s="34" t="str">
        <f t="shared" si="28"/>
        <v/>
      </c>
      <c r="I1345" s="32"/>
      <c r="J1345" s="32"/>
      <c r="K1345" s="34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32"/>
      <c r="G1346" s="35"/>
      <c r="H1346" s="34" t="str">
        <f t="shared" ref="H1346:H1409" si="29">IF(AND($F1346="TEMP",$G1346&gt;0,$M1346&lt;&gt;""),$M1346+$G1346,"")</f>
        <v/>
      </c>
      <c r="I1346" s="32"/>
      <c r="J1346" s="32"/>
      <c r="K1346" s="34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32"/>
      <c r="G1347" s="35"/>
      <c r="H1347" s="34" t="str">
        <f t="shared" si="29"/>
        <v/>
      </c>
      <c r="I1347" s="32"/>
      <c r="J1347" s="32"/>
      <c r="K1347" s="34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32"/>
      <c r="G1348" s="35"/>
      <c r="H1348" s="34" t="str">
        <f t="shared" si="29"/>
        <v/>
      </c>
      <c r="I1348" s="32"/>
      <c r="J1348" s="32"/>
      <c r="K1348" s="34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32"/>
      <c r="G1349" s="35"/>
      <c r="H1349" s="34" t="str">
        <f t="shared" si="29"/>
        <v/>
      </c>
      <c r="I1349" s="32"/>
      <c r="J1349" s="32"/>
      <c r="K1349" s="34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32"/>
      <c r="G1350" s="35"/>
      <c r="H1350" s="34" t="str">
        <f t="shared" si="29"/>
        <v/>
      </c>
      <c r="I1350" s="32"/>
      <c r="J1350" s="32"/>
      <c r="K1350" s="34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32"/>
      <c r="G1351" s="35"/>
      <c r="H1351" s="34" t="str">
        <f t="shared" si="29"/>
        <v/>
      </c>
      <c r="I1351" s="32"/>
      <c r="J1351" s="32"/>
      <c r="K1351" s="34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32"/>
      <c r="G1352" s="35"/>
      <c r="H1352" s="34" t="str">
        <f t="shared" si="29"/>
        <v/>
      </c>
      <c r="I1352" s="32"/>
      <c r="J1352" s="32"/>
      <c r="K1352" s="34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32"/>
      <c r="G1353" s="35"/>
      <c r="H1353" s="34" t="str">
        <f t="shared" si="29"/>
        <v/>
      </c>
      <c r="I1353" s="32"/>
      <c r="J1353" s="32"/>
      <c r="K1353" s="34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32"/>
      <c r="G1354" s="35"/>
      <c r="H1354" s="34" t="str">
        <f t="shared" si="29"/>
        <v/>
      </c>
      <c r="I1354" s="32"/>
      <c r="J1354" s="32"/>
      <c r="K1354" s="34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32"/>
      <c r="G1355" s="35"/>
      <c r="H1355" s="34" t="str">
        <f t="shared" si="29"/>
        <v/>
      </c>
      <c r="I1355" s="32"/>
      <c r="J1355" s="32"/>
      <c r="K1355" s="34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32"/>
      <c r="G1356" s="35"/>
      <c r="H1356" s="34" t="str">
        <f t="shared" si="29"/>
        <v/>
      </c>
      <c r="I1356" s="32"/>
      <c r="J1356" s="32"/>
      <c r="K1356" s="34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32"/>
      <c r="G1357" s="35"/>
      <c r="H1357" s="34" t="str">
        <f t="shared" si="29"/>
        <v/>
      </c>
      <c r="I1357" s="32"/>
      <c r="J1357" s="32"/>
      <c r="K1357" s="34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32"/>
      <c r="G1358" s="35"/>
      <c r="H1358" s="34" t="str">
        <f t="shared" si="29"/>
        <v/>
      </c>
      <c r="I1358" s="32"/>
      <c r="J1358" s="32"/>
      <c r="K1358" s="34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32"/>
      <c r="G1359" s="35"/>
      <c r="H1359" s="34" t="str">
        <f t="shared" si="29"/>
        <v/>
      </c>
      <c r="I1359" s="32"/>
      <c r="J1359" s="32"/>
      <c r="K1359" s="34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32"/>
      <c r="G1360" s="35"/>
      <c r="H1360" s="34" t="str">
        <f t="shared" si="29"/>
        <v/>
      </c>
      <c r="I1360" s="32"/>
      <c r="J1360" s="32"/>
      <c r="K1360" s="34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32"/>
      <c r="G1361" s="35"/>
      <c r="H1361" s="34" t="str">
        <f t="shared" si="29"/>
        <v/>
      </c>
      <c r="I1361" s="32"/>
      <c r="J1361" s="32"/>
      <c r="K1361" s="34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32"/>
      <c r="G1362" s="35"/>
      <c r="H1362" s="34" t="str">
        <f t="shared" si="29"/>
        <v/>
      </c>
      <c r="I1362" s="32"/>
      <c r="J1362" s="32"/>
      <c r="K1362" s="34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32"/>
      <c r="G1363" s="35"/>
      <c r="H1363" s="34" t="str">
        <f t="shared" si="29"/>
        <v/>
      </c>
      <c r="I1363" s="32"/>
      <c r="J1363" s="32"/>
      <c r="K1363" s="34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32"/>
      <c r="G1364" s="35"/>
      <c r="H1364" s="34" t="str">
        <f t="shared" si="29"/>
        <v/>
      </c>
      <c r="I1364" s="32"/>
      <c r="J1364" s="32"/>
      <c r="K1364" s="34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32"/>
      <c r="G1365" s="35"/>
      <c r="H1365" s="34" t="str">
        <f t="shared" si="29"/>
        <v/>
      </c>
      <c r="I1365" s="32"/>
      <c r="J1365" s="32"/>
      <c r="K1365" s="34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32"/>
      <c r="G1366" s="35"/>
      <c r="H1366" s="34" t="str">
        <f t="shared" si="29"/>
        <v/>
      </c>
      <c r="I1366" s="32"/>
      <c r="J1366" s="32"/>
      <c r="K1366" s="34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32"/>
      <c r="G1367" s="35"/>
      <c r="H1367" s="34" t="str">
        <f t="shared" si="29"/>
        <v/>
      </c>
      <c r="I1367" s="32"/>
      <c r="J1367" s="32"/>
      <c r="K1367" s="34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32"/>
      <c r="G1368" s="35"/>
      <c r="H1368" s="34" t="str">
        <f t="shared" si="29"/>
        <v/>
      </c>
      <c r="I1368" s="32"/>
      <c r="J1368" s="32"/>
      <c r="K1368" s="34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32"/>
      <c r="G1369" s="35"/>
      <c r="H1369" s="34" t="str">
        <f t="shared" si="29"/>
        <v/>
      </c>
      <c r="I1369" s="32"/>
      <c r="J1369" s="32"/>
      <c r="K1369" s="34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32"/>
      <c r="G1370" s="35"/>
      <c r="H1370" s="34" t="str">
        <f t="shared" si="29"/>
        <v/>
      </c>
      <c r="I1370" s="32"/>
      <c r="J1370" s="32"/>
      <c r="K1370" s="34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32"/>
      <c r="G1371" s="35"/>
      <c r="H1371" s="34" t="str">
        <f t="shared" si="29"/>
        <v/>
      </c>
      <c r="I1371" s="32"/>
      <c r="J1371" s="32"/>
      <c r="K1371" s="34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32"/>
      <c r="G1372" s="35"/>
      <c r="H1372" s="34" t="str">
        <f t="shared" si="29"/>
        <v/>
      </c>
      <c r="I1372" s="32"/>
      <c r="J1372" s="32"/>
      <c r="K1372" s="34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32"/>
      <c r="G1373" s="35"/>
      <c r="H1373" s="34" t="str">
        <f t="shared" si="29"/>
        <v/>
      </c>
      <c r="I1373" s="32"/>
      <c r="J1373" s="32"/>
      <c r="K1373" s="34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32"/>
      <c r="G1374" s="35"/>
      <c r="H1374" s="34" t="str">
        <f t="shared" si="29"/>
        <v/>
      </c>
      <c r="I1374" s="32"/>
      <c r="J1374" s="32"/>
      <c r="K1374" s="34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32"/>
      <c r="G1375" s="35"/>
      <c r="H1375" s="34" t="str">
        <f t="shared" si="29"/>
        <v/>
      </c>
      <c r="I1375" s="32"/>
      <c r="J1375" s="32"/>
      <c r="K1375" s="34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32"/>
      <c r="G1376" s="35"/>
      <c r="H1376" s="34" t="str">
        <f t="shared" si="29"/>
        <v/>
      </c>
      <c r="I1376" s="32"/>
      <c r="J1376" s="32"/>
      <c r="K1376" s="34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32"/>
      <c r="G1377" s="35"/>
      <c r="H1377" s="34" t="str">
        <f t="shared" si="29"/>
        <v/>
      </c>
      <c r="I1377" s="32"/>
      <c r="J1377" s="32"/>
      <c r="K1377" s="34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32"/>
      <c r="G1378" s="35"/>
      <c r="H1378" s="34" t="str">
        <f t="shared" si="29"/>
        <v/>
      </c>
      <c r="I1378" s="32"/>
      <c r="J1378" s="32"/>
      <c r="K1378" s="34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32"/>
      <c r="G1379" s="35"/>
      <c r="H1379" s="34" t="str">
        <f t="shared" si="29"/>
        <v/>
      </c>
      <c r="I1379" s="32"/>
      <c r="J1379" s="32"/>
      <c r="K1379" s="34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32"/>
      <c r="G1380" s="35"/>
      <c r="H1380" s="34" t="str">
        <f t="shared" si="29"/>
        <v/>
      </c>
      <c r="I1380" s="32"/>
      <c r="J1380" s="32"/>
      <c r="K1380" s="34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32"/>
      <c r="G1381" s="35"/>
      <c r="H1381" s="34" t="str">
        <f t="shared" si="29"/>
        <v/>
      </c>
      <c r="I1381" s="32"/>
      <c r="J1381" s="32"/>
      <c r="K1381" s="34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32"/>
      <c r="G1382" s="35"/>
      <c r="H1382" s="34" t="str">
        <f t="shared" si="29"/>
        <v/>
      </c>
      <c r="I1382" s="32"/>
      <c r="J1382" s="32"/>
      <c r="K1382" s="34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32"/>
      <c r="G1383" s="35"/>
      <c r="H1383" s="34" t="str">
        <f t="shared" si="29"/>
        <v/>
      </c>
      <c r="I1383" s="32"/>
      <c r="J1383" s="32"/>
      <c r="K1383" s="34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32"/>
      <c r="G1384" s="35"/>
      <c r="H1384" s="34" t="str">
        <f t="shared" si="29"/>
        <v/>
      </c>
      <c r="I1384" s="32"/>
      <c r="J1384" s="32"/>
      <c r="K1384" s="34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32"/>
      <c r="G1385" s="35"/>
      <c r="H1385" s="34" t="str">
        <f t="shared" si="29"/>
        <v/>
      </c>
      <c r="I1385" s="32"/>
      <c r="J1385" s="32"/>
      <c r="K1385" s="34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32"/>
      <c r="G1386" s="35"/>
      <c r="H1386" s="34" t="str">
        <f t="shared" si="29"/>
        <v/>
      </c>
      <c r="I1386" s="32"/>
      <c r="J1386" s="32"/>
      <c r="K1386" s="34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32"/>
      <c r="G1387" s="35"/>
      <c r="H1387" s="34" t="str">
        <f t="shared" si="29"/>
        <v/>
      </c>
      <c r="I1387" s="32"/>
      <c r="J1387" s="32"/>
      <c r="K1387" s="34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32"/>
      <c r="G1388" s="35"/>
      <c r="H1388" s="34" t="str">
        <f t="shared" si="29"/>
        <v/>
      </c>
      <c r="I1388" s="32"/>
      <c r="J1388" s="32"/>
      <c r="K1388" s="34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32"/>
      <c r="G1389" s="35"/>
      <c r="H1389" s="34" t="str">
        <f t="shared" si="29"/>
        <v/>
      </c>
      <c r="I1389" s="32"/>
      <c r="J1389" s="32"/>
      <c r="K1389" s="34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32"/>
      <c r="G1390" s="35"/>
      <c r="H1390" s="34" t="str">
        <f t="shared" si="29"/>
        <v/>
      </c>
      <c r="I1390" s="32"/>
      <c r="J1390" s="32"/>
      <c r="K1390" s="34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32"/>
      <c r="G1391" s="35"/>
      <c r="H1391" s="34" t="str">
        <f t="shared" si="29"/>
        <v/>
      </c>
      <c r="I1391" s="32"/>
      <c r="J1391" s="32"/>
      <c r="K1391" s="34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32"/>
      <c r="G1392" s="35"/>
      <c r="H1392" s="34" t="str">
        <f t="shared" si="29"/>
        <v/>
      </c>
      <c r="I1392" s="32"/>
      <c r="J1392" s="32"/>
      <c r="K1392" s="34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32"/>
      <c r="G1393" s="35"/>
      <c r="H1393" s="34" t="str">
        <f t="shared" si="29"/>
        <v/>
      </c>
      <c r="I1393" s="32"/>
      <c r="J1393" s="32"/>
      <c r="K1393" s="34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32"/>
      <c r="G1394" s="35"/>
      <c r="H1394" s="34" t="str">
        <f t="shared" si="29"/>
        <v/>
      </c>
      <c r="I1394" s="32"/>
      <c r="J1394" s="32"/>
      <c r="K1394" s="34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32"/>
      <c r="G1395" s="35"/>
      <c r="H1395" s="34" t="str">
        <f t="shared" si="29"/>
        <v/>
      </c>
      <c r="I1395" s="32"/>
      <c r="J1395" s="32"/>
      <c r="K1395" s="34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32"/>
      <c r="G1396" s="35"/>
      <c r="H1396" s="34" t="str">
        <f t="shared" si="29"/>
        <v/>
      </c>
      <c r="I1396" s="32"/>
      <c r="J1396" s="32"/>
      <c r="K1396" s="34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32"/>
      <c r="G1397" s="35"/>
      <c r="H1397" s="34" t="str">
        <f t="shared" si="29"/>
        <v/>
      </c>
      <c r="I1397" s="32"/>
      <c r="J1397" s="32"/>
      <c r="K1397" s="34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32"/>
      <c r="G1398" s="35"/>
      <c r="H1398" s="34" t="str">
        <f t="shared" si="29"/>
        <v/>
      </c>
      <c r="I1398" s="32"/>
      <c r="J1398" s="32"/>
      <c r="K1398" s="34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32"/>
      <c r="G1399" s="35"/>
      <c r="H1399" s="34" t="str">
        <f t="shared" si="29"/>
        <v/>
      </c>
      <c r="I1399" s="32"/>
      <c r="J1399" s="32"/>
      <c r="K1399" s="34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32"/>
      <c r="G1400" s="35"/>
      <c r="H1400" s="34" t="str">
        <f t="shared" si="29"/>
        <v/>
      </c>
      <c r="I1400" s="32"/>
      <c r="J1400" s="32"/>
      <c r="K1400" s="34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32"/>
      <c r="G1401" s="35"/>
      <c r="H1401" s="34" t="str">
        <f t="shared" si="29"/>
        <v/>
      </c>
      <c r="I1401" s="32"/>
      <c r="J1401" s="32"/>
      <c r="K1401" s="34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32"/>
      <c r="G1402" s="35"/>
      <c r="H1402" s="34" t="str">
        <f t="shared" si="29"/>
        <v/>
      </c>
      <c r="I1402" s="32"/>
      <c r="J1402" s="32"/>
      <c r="K1402" s="34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32"/>
      <c r="G1403" s="35"/>
      <c r="H1403" s="34" t="str">
        <f t="shared" si="29"/>
        <v/>
      </c>
      <c r="I1403" s="32"/>
      <c r="J1403" s="32"/>
      <c r="K1403" s="34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32"/>
      <c r="G1404" s="35"/>
      <c r="H1404" s="34" t="str">
        <f t="shared" si="29"/>
        <v/>
      </c>
      <c r="I1404" s="32"/>
      <c r="J1404" s="32"/>
      <c r="K1404" s="34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32"/>
      <c r="G1405" s="35"/>
      <c r="H1405" s="34" t="str">
        <f t="shared" si="29"/>
        <v/>
      </c>
      <c r="I1405" s="32"/>
      <c r="J1405" s="32"/>
      <c r="K1405" s="34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32"/>
      <c r="G1406" s="35"/>
      <c r="H1406" s="34" t="str">
        <f t="shared" si="29"/>
        <v/>
      </c>
      <c r="I1406" s="32"/>
      <c r="J1406" s="32"/>
      <c r="K1406" s="34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32"/>
      <c r="G1407" s="35"/>
      <c r="H1407" s="34" t="str">
        <f t="shared" si="29"/>
        <v/>
      </c>
      <c r="I1407" s="32"/>
      <c r="J1407" s="32"/>
      <c r="K1407" s="34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32"/>
      <c r="G1408" s="35"/>
      <c r="H1408" s="34" t="str">
        <f t="shared" si="29"/>
        <v/>
      </c>
      <c r="I1408" s="32"/>
      <c r="J1408" s="32"/>
      <c r="K1408" s="34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32"/>
      <c r="G1409" s="35"/>
      <c r="H1409" s="34" t="str">
        <f t="shared" si="29"/>
        <v/>
      </c>
      <c r="I1409" s="32"/>
      <c r="J1409" s="32"/>
      <c r="K1409" s="34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32"/>
      <c r="G1410" s="35"/>
      <c r="H1410" s="34" t="str">
        <f t="shared" ref="H1410:H1473" si="30">IF(AND($F1410="TEMP",$G1410&gt;0,$M1410&lt;&gt;""),$M1410+$G1410,"")</f>
        <v/>
      </c>
      <c r="I1410" s="32"/>
      <c r="J1410" s="32"/>
      <c r="K1410" s="34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32"/>
      <c r="G1411" s="35"/>
      <c r="H1411" s="34" t="str">
        <f t="shared" si="30"/>
        <v/>
      </c>
      <c r="I1411" s="32"/>
      <c r="J1411" s="32"/>
      <c r="K1411" s="34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32"/>
      <c r="G1412" s="35"/>
      <c r="H1412" s="34" t="str">
        <f t="shared" si="30"/>
        <v/>
      </c>
      <c r="I1412" s="32"/>
      <c r="J1412" s="32"/>
      <c r="K1412" s="34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32"/>
      <c r="G1413" s="35"/>
      <c r="H1413" s="34" t="str">
        <f t="shared" si="30"/>
        <v/>
      </c>
      <c r="I1413" s="32"/>
      <c r="J1413" s="32"/>
      <c r="K1413" s="34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32"/>
      <c r="G1414" s="35"/>
      <c r="H1414" s="34" t="str">
        <f t="shared" si="30"/>
        <v/>
      </c>
      <c r="I1414" s="32"/>
      <c r="J1414" s="32"/>
      <c r="K1414" s="34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32"/>
      <c r="G1415" s="35"/>
      <c r="H1415" s="34" t="str">
        <f t="shared" si="30"/>
        <v/>
      </c>
      <c r="I1415" s="32"/>
      <c r="J1415" s="32"/>
      <c r="K1415" s="34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32"/>
      <c r="G1416" s="35"/>
      <c r="H1416" s="34" t="str">
        <f t="shared" si="30"/>
        <v/>
      </c>
      <c r="I1416" s="32"/>
      <c r="J1416" s="32"/>
      <c r="K1416" s="34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32"/>
      <c r="G1417" s="35"/>
      <c r="H1417" s="34" t="str">
        <f t="shared" si="30"/>
        <v/>
      </c>
      <c r="I1417" s="32"/>
      <c r="J1417" s="32"/>
      <c r="K1417" s="34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32"/>
      <c r="G1418" s="35"/>
      <c r="H1418" s="34" t="str">
        <f t="shared" si="30"/>
        <v/>
      </c>
      <c r="I1418" s="32"/>
      <c r="J1418" s="32"/>
      <c r="K1418" s="34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32"/>
      <c r="G1419" s="35"/>
      <c r="H1419" s="34" t="str">
        <f t="shared" si="30"/>
        <v/>
      </c>
      <c r="I1419" s="32"/>
      <c r="J1419" s="32"/>
      <c r="K1419" s="34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32"/>
      <c r="G1420" s="35"/>
      <c r="H1420" s="34" t="str">
        <f t="shared" si="30"/>
        <v/>
      </c>
      <c r="I1420" s="32"/>
      <c r="J1420" s="32"/>
      <c r="K1420" s="34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32"/>
      <c r="G1421" s="35"/>
      <c r="H1421" s="34" t="str">
        <f t="shared" si="30"/>
        <v/>
      </c>
      <c r="I1421" s="32"/>
      <c r="J1421" s="32"/>
      <c r="K1421" s="34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32"/>
      <c r="G1422" s="35"/>
      <c r="H1422" s="34" t="str">
        <f t="shared" si="30"/>
        <v/>
      </c>
      <c r="I1422" s="32"/>
      <c r="J1422" s="32"/>
      <c r="K1422" s="34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32"/>
      <c r="G1423" s="35"/>
      <c r="H1423" s="34" t="str">
        <f t="shared" si="30"/>
        <v/>
      </c>
      <c r="I1423" s="32"/>
      <c r="J1423" s="32"/>
      <c r="K1423" s="34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32"/>
      <c r="G1424" s="35"/>
      <c r="H1424" s="34" t="str">
        <f t="shared" si="30"/>
        <v/>
      </c>
      <c r="I1424" s="32"/>
      <c r="J1424" s="32"/>
      <c r="K1424" s="34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32"/>
      <c r="G1425" s="35"/>
      <c r="H1425" s="34" t="str">
        <f t="shared" si="30"/>
        <v/>
      </c>
      <c r="I1425" s="32"/>
      <c r="J1425" s="32"/>
      <c r="K1425" s="34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32"/>
      <c r="G1426" s="35"/>
      <c r="H1426" s="34" t="str">
        <f t="shared" si="30"/>
        <v/>
      </c>
      <c r="I1426" s="32"/>
      <c r="J1426" s="32"/>
      <c r="K1426" s="34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32"/>
      <c r="G1427" s="35"/>
      <c r="H1427" s="34" t="str">
        <f t="shared" si="30"/>
        <v/>
      </c>
      <c r="I1427" s="32"/>
      <c r="J1427" s="32"/>
      <c r="K1427" s="34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32"/>
      <c r="G1428" s="35"/>
      <c r="H1428" s="34" t="str">
        <f t="shared" si="30"/>
        <v/>
      </c>
      <c r="I1428" s="32"/>
      <c r="J1428" s="32"/>
      <c r="K1428" s="34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32"/>
      <c r="G1429" s="35"/>
      <c r="H1429" s="34" t="str">
        <f t="shared" si="30"/>
        <v/>
      </c>
      <c r="I1429" s="32"/>
      <c r="J1429" s="32"/>
      <c r="K1429" s="34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32"/>
      <c r="G1430" s="35"/>
      <c r="H1430" s="34" t="str">
        <f t="shared" si="30"/>
        <v/>
      </c>
      <c r="I1430" s="32"/>
      <c r="J1430" s="32"/>
      <c r="K1430" s="34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32"/>
      <c r="G1431" s="35"/>
      <c r="H1431" s="34" t="str">
        <f t="shared" si="30"/>
        <v/>
      </c>
      <c r="I1431" s="32"/>
      <c r="J1431" s="32"/>
      <c r="K1431" s="34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32"/>
      <c r="G1432" s="35"/>
      <c r="H1432" s="34" t="str">
        <f t="shared" si="30"/>
        <v/>
      </c>
      <c r="I1432" s="32"/>
      <c r="J1432" s="32"/>
      <c r="K1432" s="34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32"/>
      <c r="G1433" s="35"/>
      <c r="H1433" s="34" t="str">
        <f t="shared" si="30"/>
        <v/>
      </c>
      <c r="I1433" s="32"/>
      <c r="J1433" s="32"/>
      <c r="K1433" s="34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32"/>
      <c r="G1434" s="35"/>
      <c r="H1434" s="34" t="str">
        <f t="shared" si="30"/>
        <v/>
      </c>
      <c r="I1434" s="32"/>
      <c r="J1434" s="32"/>
      <c r="K1434" s="34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32"/>
      <c r="G1435" s="35"/>
      <c r="H1435" s="34" t="str">
        <f t="shared" si="30"/>
        <v/>
      </c>
      <c r="I1435" s="32"/>
      <c r="J1435" s="32"/>
      <c r="K1435" s="34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32"/>
      <c r="G1436" s="35"/>
      <c r="H1436" s="34" t="str">
        <f t="shared" si="30"/>
        <v/>
      </c>
      <c r="I1436" s="32"/>
      <c r="J1436" s="32"/>
      <c r="K1436" s="34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32"/>
      <c r="G1437" s="35"/>
      <c r="H1437" s="34" t="str">
        <f t="shared" si="30"/>
        <v/>
      </c>
      <c r="I1437" s="32"/>
      <c r="J1437" s="32"/>
      <c r="K1437" s="34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32"/>
      <c r="G1438" s="35"/>
      <c r="H1438" s="34" t="str">
        <f t="shared" si="30"/>
        <v/>
      </c>
      <c r="I1438" s="32"/>
      <c r="J1438" s="32"/>
      <c r="K1438" s="34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32"/>
      <c r="G1439" s="35"/>
      <c r="H1439" s="34" t="str">
        <f t="shared" si="30"/>
        <v/>
      </c>
      <c r="I1439" s="32"/>
      <c r="J1439" s="32"/>
      <c r="K1439" s="34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32"/>
      <c r="G1440" s="35"/>
      <c r="H1440" s="34" t="str">
        <f t="shared" si="30"/>
        <v/>
      </c>
      <c r="I1440" s="32"/>
      <c r="J1440" s="32"/>
      <c r="K1440" s="34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32"/>
      <c r="G1441" s="35"/>
      <c r="H1441" s="34" t="str">
        <f t="shared" si="30"/>
        <v/>
      </c>
      <c r="I1441" s="32"/>
      <c r="J1441" s="32"/>
      <c r="K1441" s="34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32"/>
      <c r="G1442" s="35"/>
      <c r="H1442" s="34" t="str">
        <f t="shared" si="30"/>
        <v/>
      </c>
      <c r="I1442" s="32"/>
      <c r="J1442" s="32"/>
      <c r="K1442" s="34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32"/>
      <c r="G1443" s="35"/>
      <c r="H1443" s="34" t="str">
        <f t="shared" si="30"/>
        <v/>
      </c>
      <c r="I1443" s="32"/>
      <c r="J1443" s="32"/>
      <c r="K1443" s="34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32"/>
      <c r="G1444" s="35"/>
      <c r="H1444" s="34" t="str">
        <f t="shared" si="30"/>
        <v/>
      </c>
      <c r="I1444" s="32"/>
      <c r="J1444" s="32"/>
      <c r="K1444" s="34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32"/>
      <c r="G1445" s="35"/>
      <c r="H1445" s="34" t="str">
        <f t="shared" si="30"/>
        <v/>
      </c>
      <c r="I1445" s="32"/>
      <c r="J1445" s="32"/>
      <c r="K1445" s="34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32"/>
      <c r="G1446" s="35"/>
      <c r="H1446" s="34" t="str">
        <f t="shared" si="30"/>
        <v/>
      </c>
      <c r="I1446" s="32"/>
      <c r="J1446" s="32"/>
      <c r="K1446" s="34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32"/>
      <c r="G1447" s="35"/>
      <c r="H1447" s="34" t="str">
        <f t="shared" si="30"/>
        <v/>
      </c>
      <c r="I1447" s="32"/>
      <c r="J1447" s="32"/>
      <c r="K1447" s="34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32"/>
      <c r="G1448" s="35"/>
      <c r="H1448" s="34" t="str">
        <f t="shared" si="30"/>
        <v/>
      </c>
      <c r="I1448" s="32"/>
      <c r="J1448" s="32"/>
      <c r="K1448" s="34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32"/>
      <c r="G1449" s="35"/>
      <c r="H1449" s="34" t="str">
        <f t="shared" si="30"/>
        <v/>
      </c>
      <c r="I1449" s="32"/>
      <c r="J1449" s="32"/>
      <c r="K1449" s="34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32"/>
      <c r="G1450" s="35"/>
      <c r="H1450" s="34" t="str">
        <f t="shared" si="30"/>
        <v/>
      </c>
      <c r="I1450" s="32"/>
      <c r="J1450" s="32"/>
      <c r="K1450" s="34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32"/>
      <c r="G1451" s="35"/>
      <c r="H1451" s="34" t="str">
        <f t="shared" si="30"/>
        <v/>
      </c>
      <c r="I1451" s="32"/>
      <c r="J1451" s="32"/>
      <c r="K1451" s="34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32"/>
      <c r="G1452" s="35"/>
      <c r="H1452" s="34" t="str">
        <f t="shared" si="30"/>
        <v/>
      </c>
      <c r="I1452" s="32"/>
      <c r="J1452" s="32"/>
      <c r="K1452" s="34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32"/>
      <c r="G1453" s="35"/>
      <c r="H1453" s="34" t="str">
        <f t="shared" si="30"/>
        <v/>
      </c>
      <c r="I1453" s="32"/>
      <c r="J1453" s="32"/>
      <c r="K1453" s="34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32"/>
      <c r="G1454" s="35"/>
      <c r="H1454" s="34" t="str">
        <f t="shared" si="30"/>
        <v/>
      </c>
      <c r="I1454" s="32"/>
      <c r="J1454" s="32"/>
      <c r="K1454" s="34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32"/>
      <c r="G1455" s="35"/>
      <c r="H1455" s="34" t="str">
        <f t="shared" si="30"/>
        <v/>
      </c>
      <c r="I1455" s="32"/>
      <c r="J1455" s="32"/>
      <c r="K1455" s="34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32"/>
      <c r="G1456" s="35"/>
      <c r="H1456" s="34" t="str">
        <f t="shared" si="30"/>
        <v/>
      </c>
      <c r="I1456" s="32"/>
      <c r="J1456" s="32"/>
      <c r="K1456" s="34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32"/>
      <c r="G1457" s="35"/>
      <c r="H1457" s="34" t="str">
        <f t="shared" si="30"/>
        <v/>
      </c>
      <c r="I1457" s="32"/>
      <c r="J1457" s="32"/>
      <c r="K1457" s="34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32"/>
      <c r="G1458" s="35"/>
      <c r="H1458" s="34" t="str">
        <f t="shared" si="30"/>
        <v/>
      </c>
      <c r="I1458" s="32"/>
      <c r="J1458" s="32"/>
      <c r="K1458" s="34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32"/>
      <c r="G1459" s="35"/>
      <c r="H1459" s="34" t="str">
        <f t="shared" si="30"/>
        <v/>
      </c>
      <c r="I1459" s="32"/>
      <c r="J1459" s="32"/>
      <c r="K1459" s="34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32"/>
      <c r="G1460" s="35"/>
      <c r="H1460" s="34" t="str">
        <f t="shared" si="30"/>
        <v/>
      </c>
      <c r="I1460" s="32"/>
      <c r="J1460" s="32"/>
      <c r="K1460" s="34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32"/>
      <c r="G1461" s="35"/>
      <c r="H1461" s="34" t="str">
        <f t="shared" si="30"/>
        <v/>
      </c>
      <c r="I1461" s="32"/>
      <c r="J1461" s="32"/>
      <c r="K1461" s="34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32"/>
      <c r="G1462" s="35"/>
      <c r="H1462" s="34" t="str">
        <f t="shared" si="30"/>
        <v/>
      </c>
      <c r="I1462" s="32"/>
      <c r="J1462" s="32"/>
      <c r="K1462" s="34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32"/>
      <c r="G1463" s="35"/>
      <c r="H1463" s="34" t="str">
        <f t="shared" si="30"/>
        <v/>
      </c>
      <c r="I1463" s="32"/>
      <c r="J1463" s="32"/>
      <c r="K1463" s="34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32"/>
      <c r="G1464" s="35"/>
      <c r="H1464" s="34" t="str">
        <f t="shared" si="30"/>
        <v/>
      </c>
      <c r="I1464" s="32"/>
      <c r="J1464" s="32"/>
      <c r="K1464" s="34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32"/>
      <c r="G1465" s="35"/>
      <c r="H1465" s="34" t="str">
        <f t="shared" si="30"/>
        <v/>
      </c>
      <c r="I1465" s="32"/>
      <c r="J1465" s="32"/>
      <c r="K1465" s="34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32"/>
      <c r="G1466" s="35"/>
      <c r="H1466" s="34" t="str">
        <f t="shared" si="30"/>
        <v/>
      </c>
      <c r="I1466" s="32"/>
      <c r="J1466" s="32"/>
      <c r="K1466" s="34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32"/>
      <c r="G1467" s="35"/>
      <c r="H1467" s="34" t="str">
        <f t="shared" si="30"/>
        <v/>
      </c>
      <c r="I1467" s="32"/>
      <c r="J1467" s="32"/>
      <c r="K1467" s="34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32"/>
      <c r="G1468" s="35"/>
      <c r="H1468" s="34" t="str">
        <f t="shared" si="30"/>
        <v/>
      </c>
      <c r="I1468" s="32"/>
      <c r="J1468" s="32"/>
      <c r="K1468" s="34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32"/>
      <c r="G1469" s="35"/>
      <c r="H1469" s="34" t="str">
        <f t="shared" si="30"/>
        <v/>
      </c>
      <c r="I1469" s="32"/>
      <c r="J1469" s="32"/>
      <c r="K1469" s="34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32"/>
      <c r="G1470" s="35"/>
      <c r="H1470" s="34" t="str">
        <f t="shared" si="30"/>
        <v/>
      </c>
      <c r="I1470" s="32"/>
      <c r="J1470" s="32"/>
      <c r="K1470" s="34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32"/>
      <c r="G1471" s="35"/>
      <c r="H1471" s="34" t="str">
        <f t="shared" si="30"/>
        <v/>
      </c>
      <c r="I1471" s="32"/>
      <c r="J1471" s="32"/>
      <c r="K1471" s="34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32"/>
      <c r="G1472" s="35"/>
      <c r="H1472" s="34" t="str">
        <f t="shared" si="30"/>
        <v/>
      </c>
      <c r="I1472" s="32"/>
      <c r="J1472" s="32"/>
      <c r="K1472" s="34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32"/>
      <c r="G1473" s="35"/>
      <c r="H1473" s="34" t="str">
        <f t="shared" si="30"/>
        <v/>
      </c>
      <c r="I1473" s="32"/>
      <c r="J1473" s="32"/>
      <c r="K1473" s="34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32"/>
      <c r="G1474" s="35"/>
      <c r="H1474" s="34" t="str">
        <f t="shared" ref="H1474:H1537" si="31">IF(AND($F1474="TEMP",$G1474&gt;0,$M1474&lt;&gt;""),$M1474+$G1474,"")</f>
        <v/>
      </c>
      <c r="I1474" s="32"/>
      <c r="J1474" s="32"/>
      <c r="K1474" s="34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32"/>
      <c r="G1475" s="35"/>
      <c r="H1475" s="34" t="str">
        <f t="shared" si="31"/>
        <v/>
      </c>
      <c r="I1475" s="32"/>
      <c r="J1475" s="32"/>
      <c r="K1475" s="34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32"/>
      <c r="G1476" s="35"/>
      <c r="H1476" s="34" t="str">
        <f t="shared" si="31"/>
        <v/>
      </c>
      <c r="I1476" s="32"/>
      <c r="J1476" s="32"/>
      <c r="K1476" s="34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32"/>
      <c r="G1477" s="35"/>
      <c r="H1477" s="34" t="str">
        <f t="shared" si="31"/>
        <v/>
      </c>
      <c r="I1477" s="32"/>
      <c r="J1477" s="32"/>
      <c r="K1477" s="34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32"/>
      <c r="G1478" s="35"/>
      <c r="H1478" s="34" t="str">
        <f t="shared" si="31"/>
        <v/>
      </c>
      <c r="I1478" s="32"/>
      <c r="J1478" s="32"/>
      <c r="K1478" s="34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32"/>
      <c r="G1479" s="35"/>
      <c r="H1479" s="34" t="str">
        <f t="shared" si="31"/>
        <v/>
      </c>
      <c r="I1479" s="32"/>
      <c r="J1479" s="32"/>
      <c r="K1479" s="34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32"/>
      <c r="G1480" s="35"/>
      <c r="H1480" s="34" t="str">
        <f t="shared" si="31"/>
        <v/>
      </c>
      <c r="I1480" s="32"/>
      <c r="J1480" s="32"/>
      <c r="K1480" s="34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32"/>
      <c r="G1481" s="35"/>
      <c r="H1481" s="34" t="str">
        <f t="shared" si="31"/>
        <v/>
      </c>
      <c r="I1481" s="32"/>
      <c r="J1481" s="32"/>
      <c r="K1481" s="34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32"/>
      <c r="G1482" s="35"/>
      <c r="H1482" s="34" t="str">
        <f t="shared" si="31"/>
        <v/>
      </c>
      <c r="I1482" s="32"/>
      <c r="J1482" s="32"/>
      <c r="K1482" s="34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32"/>
      <c r="G1483" s="35"/>
      <c r="H1483" s="34" t="str">
        <f t="shared" si="31"/>
        <v/>
      </c>
      <c r="I1483" s="32"/>
      <c r="J1483" s="32"/>
      <c r="K1483" s="34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32"/>
      <c r="G1484" s="35"/>
      <c r="H1484" s="34" t="str">
        <f t="shared" si="31"/>
        <v/>
      </c>
      <c r="I1484" s="32"/>
      <c r="J1484" s="32"/>
      <c r="K1484" s="34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32"/>
      <c r="G1485" s="35"/>
      <c r="H1485" s="34" t="str">
        <f t="shared" si="31"/>
        <v/>
      </c>
      <c r="I1485" s="32"/>
      <c r="J1485" s="32"/>
      <c r="K1485" s="34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32"/>
      <c r="G1486" s="35"/>
      <c r="H1486" s="34" t="str">
        <f t="shared" si="31"/>
        <v/>
      </c>
      <c r="I1486" s="32"/>
      <c r="J1486" s="32"/>
      <c r="K1486" s="34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32"/>
      <c r="G1487" s="35"/>
      <c r="H1487" s="34" t="str">
        <f t="shared" si="31"/>
        <v/>
      </c>
      <c r="I1487" s="32"/>
      <c r="J1487" s="32"/>
      <c r="K1487" s="34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32"/>
      <c r="G1488" s="35"/>
      <c r="H1488" s="34" t="str">
        <f t="shared" si="31"/>
        <v/>
      </c>
      <c r="I1488" s="32"/>
      <c r="J1488" s="32"/>
      <c r="K1488" s="34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32"/>
      <c r="G1489" s="35"/>
      <c r="H1489" s="34" t="str">
        <f t="shared" si="31"/>
        <v/>
      </c>
      <c r="I1489" s="32"/>
      <c r="J1489" s="32"/>
      <c r="K1489" s="34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32"/>
      <c r="G1490" s="35"/>
      <c r="H1490" s="34" t="str">
        <f t="shared" si="31"/>
        <v/>
      </c>
      <c r="I1490" s="32"/>
      <c r="J1490" s="32"/>
      <c r="K1490" s="34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32"/>
      <c r="G1491" s="35"/>
      <c r="H1491" s="34" t="str">
        <f t="shared" si="31"/>
        <v/>
      </c>
      <c r="I1491" s="32"/>
      <c r="J1491" s="32"/>
      <c r="K1491" s="34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32"/>
      <c r="G1492" s="35"/>
      <c r="H1492" s="34" t="str">
        <f t="shared" si="31"/>
        <v/>
      </c>
      <c r="I1492" s="32"/>
      <c r="J1492" s="32"/>
      <c r="K1492" s="34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32"/>
      <c r="G1493" s="35"/>
      <c r="H1493" s="34" t="str">
        <f t="shared" si="31"/>
        <v/>
      </c>
      <c r="I1493" s="32"/>
      <c r="J1493" s="32"/>
      <c r="K1493" s="34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32"/>
      <c r="G1494" s="35"/>
      <c r="H1494" s="34" t="str">
        <f t="shared" si="31"/>
        <v/>
      </c>
      <c r="I1494" s="32"/>
      <c r="J1494" s="32"/>
      <c r="K1494" s="34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32"/>
      <c r="G1495" s="35"/>
      <c r="H1495" s="34" t="str">
        <f t="shared" si="31"/>
        <v/>
      </c>
      <c r="I1495" s="32"/>
      <c r="J1495" s="32"/>
      <c r="K1495" s="34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32"/>
      <c r="G1496" s="35"/>
      <c r="H1496" s="34" t="str">
        <f t="shared" si="31"/>
        <v/>
      </c>
      <c r="I1496" s="32"/>
      <c r="J1496" s="32"/>
      <c r="K1496" s="34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32"/>
      <c r="G1497" s="35"/>
      <c r="H1497" s="34" t="str">
        <f t="shared" si="31"/>
        <v/>
      </c>
      <c r="I1497" s="32"/>
      <c r="J1497" s="32"/>
      <c r="K1497" s="34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32"/>
      <c r="G1498" s="35"/>
      <c r="H1498" s="34" t="str">
        <f t="shared" si="31"/>
        <v/>
      </c>
      <c r="I1498" s="32"/>
      <c r="J1498" s="32"/>
      <c r="K1498" s="34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32"/>
      <c r="G1499" s="35"/>
      <c r="H1499" s="34" t="str">
        <f t="shared" si="31"/>
        <v/>
      </c>
      <c r="I1499" s="32"/>
      <c r="J1499" s="32"/>
      <c r="K1499" s="34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32"/>
      <c r="G1500" s="35"/>
      <c r="H1500" s="34" t="str">
        <f t="shared" si="31"/>
        <v/>
      </c>
      <c r="I1500" s="32"/>
      <c r="J1500" s="32"/>
      <c r="K1500" s="34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32"/>
      <c r="G1501" s="35"/>
      <c r="H1501" s="34" t="str">
        <f t="shared" si="31"/>
        <v/>
      </c>
      <c r="I1501" s="32"/>
      <c r="J1501" s="32"/>
      <c r="K1501" s="34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32"/>
      <c r="G1502" s="35"/>
      <c r="H1502" s="34" t="str">
        <f t="shared" si="31"/>
        <v/>
      </c>
      <c r="I1502" s="32"/>
      <c r="J1502" s="32"/>
      <c r="K1502" s="34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32"/>
      <c r="G1503" s="35"/>
      <c r="H1503" s="34" t="str">
        <f t="shared" si="31"/>
        <v/>
      </c>
      <c r="I1503" s="32"/>
      <c r="J1503" s="32"/>
      <c r="K1503" s="34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32"/>
      <c r="G1504" s="35"/>
      <c r="H1504" s="34" t="str">
        <f t="shared" si="31"/>
        <v/>
      </c>
      <c r="I1504" s="32"/>
      <c r="J1504" s="32"/>
      <c r="K1504" s="34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32"/>
      <c r="G1505" s="35"/>
      <c r="H1505" s="34" t="str">
        <f t="shared" si="31"/>
        <v/>
      </c>
      <c r="I1505" s="32"/>
      <c r="J1505" s="32"/>
      <c r="K1505" s="34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32"/>
      <c r="G1506" s="35"/>
      <c r="H1506" s="34" t="str">
        <f t="shared" si="31"/>
        <v/>
      </c>
      <c r="I1506" s="32"/>
      <c r="J1506" s="32"/>
      <c r="K1506" s="34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32"/>
      <c r="G1507" s="35"/>
      <c r="H1507" s="34" t="str">
        <f t="shared" si="31"/>
        <v/>
      </c>
      <c r="I1507" s="32"/>
      <c r="J1507" s="32"/>
      <c r="K1507" s="34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32"/>
      <c r="G1508" s="35"/>
      <c r="H1508" s="34" t="str">
        <f t="shared" si="31"/>
        <v/>
      </c>
      <c r="I1508" s="32"/>
      <c r="J1508" s="32"/>
      <c r="K1508" s="34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32"/>
      <c r="G1509" s="35"/>
      <c r="H1509" s="34" t="str">
        <f t="shared" si="31"/>
        <v/>
      </c>
      <c r="I1509" s="32"/>
      <c r="J1509" s="32"/>
      <c r="K1509" s="34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32"/>
      <c r="G1510" s="35"/>
      <c r="H1510" s="34" t="str">
        <f t="shared" si="31"/>
        <v/>
      </c>
      <c r="I1510" s="32"/>
      <c r="J1510" s="32"/>
      <c r="K1510" s="34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32"/>
      <c r="G1511" s="35"/>
      <c r="H1511" s="34" t="str">
        <f t="shared" si="31"/>
        <v/>
      </c>
      <c r="I1511" s="32"/>
      <c r="J1511" s="32"/>
      <c r="K1511" s="34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32"/>
      <c r="G1512" s="35"/>
      <c r="H1512" s="34" t="str">
        <f t="shared" si="31"/>
        <v/>
      </c>
      <c r="I1512" s="32"/>
      <c r="J1512" s="32"/>
      <c r="K1512" s="34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32"/>
      <c r="G1513" s="35"/>
      <c r="H1513" s="34" t="str">
        <f t="shared" si="31"/>
        <v/>
      </c>
      <c r="I1513" s="32"/>
      <c r="J1513" s="32"/>
      <c r="K1513" s="34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32"/>
      <c r="G1514" s="35"/>
      <c r="H1514" s="34" t="str">
        <f t="shared" si="31"/>
        <v/>
      </c>
      <c r="I1514" s="32"/>
      <c r="J1514" s="32"/>
      <c r="K1514" s="34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32"/>
      <c r="G1515" s="35"/>
      <c r="H1515" s="34" t="str">
        <f t="shared" si="31"/>
        <v/>
      </c>
      <c r="I1515" s="32"/>
      <c r="J1515" s="32"/>
      <c r="K1515" s="34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32"/>
      <c r="G1516" s="35"/>
      <c r="H1516" s="34" t="str">
        <f t="shared" si="31"/>
        <v/>
      </c>
      <c r="I1516" s="32"/>
      <c r="J1516" s="32"/>
      <c r="K1516" s="34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32"/>
      <c r="G1517" s="35"/>
      <c r="H1517" s="34" t="str">
        <f t="shared" si="31"/>
        <v/>
      </c>
      <c r="I1517" s="32"/>
      <c r="J1517" s="32"/>
      <c r="K1517" s="34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32"/>
      <c r="G1518" s="35"/>
      <c r="H1518" s="34" t="str">
        <f t="shared" si="31"/>
        <v/>
      </c>
      <c r="I1518" s="32"/>
      <c r="J1518" s="32"/>
      <c r="K1518" s="34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32"/>
      <c r="G1519" s="35"/>
      <c r="H1519" s="34" t="str">
        <f t="shared" si="31"/>
        <v/>
      </c>
      <c r="I1519" s="32"/>
      <c r="J1519" s="32"/>
      <c r="K1519" s="34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32"/>
      <c r="G1520" s="35"/>
      <c r="H1520" s="34" t="str">
        <f t="shared" si="31"/>
        <v/>
      </c>
      <c r="I1520" s="32"/>
      <c r="J1520" s="32"/>
      <c r="K1520" s="34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32"/>
      <c r="G1521" s="35"/>
      <c r="H1521" s="34" t="str">
        <f t="shared" si="31"/>
        <v/>
      </c>
      <c r="I1521" s="32"/>
      <c r="J1521" s="32"/>
      <c r="K1521" s="34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32"/>
      <c r="G1522" s="35"/>
      <c r="H1522" s="34" t="str">
        <f t="shared" si="31"/>
        <v/>
      </c>
      <c r="I1522" s="32"/>
      <c r="J1522" s="32"/>
      <c r="K1522" s="34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32"/>
      <c r="G1523" s="35"/>
      <c r="H1523" s="34" t="str">
        <f t="shared" si="31"/>
        <v/>
      </c>
      <c r="I1523" s="32"/>
      <c r="J1523" s="32"/>
      <c r="K1523" s="34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32"/>
      <c r="G1524" s="35"/>
      <c r="H1524" s="34" t="str">
        <f t="shared" si="31"/>
        <v/>
      </c>
      <c r="I1524" s="32"/>
      <c r="J1524" s="32"/>
      <c r="K1524" s="34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32"/>
      <c r="G1525" s="35"/>
      <c r="H1525" s="34" t="str">
        <f t="shared" si="31"/>
        <v/>
      </c>
      <c r="I1525" s="32"/>
      <c r="J1525" s="32"/>
      <c r="K1525" s="34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32"/>
      <c r="G1526" s="35"/>
      <c r="H1526" s="34" t="str">
        <f t="shared" si="31"/>
        <v/>
      </c>
      <c r="I1526" s="32"/>
      <c r="J1526" s="32"/>
      <c r="K1526" s="34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32"/>
      <c r="G1527" s="35"/>
      <c r="H1527" s="34" t="str">
        <f t="shared" si="31"/>
        <v/>
      </c>
      <c r="I1527" s="32"/>
      <c r="J1527" s="32"/>
      <c r="K1527" s="34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32"/>
      <c r="G1528" s="35"/>
      <c r="H1528" s="34" t="str">
        <f t="shared" si="31"/>
        <v/>
      </c>
      <c r="I1528" s="32"/>
      <c r="J1528" s="32"/>
      <c r="K1528" s="34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32"/>
      <c r="G1529" s="35"/>
      <c r="H1529" s="34" t="str">
        <f t="shared" si="31"/>
        <v/>
      </c>
      <c r="I1529" s="32"/>
      <c r="J1529" s="32"/>
      <c r="K1529" s="34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32"/>
      <c r="G1530" s="35"/>
      <c r="H1530" s="34" t="str">
        <f t="shared" si="31"/>
        <v/>
      </c>
      <c r="I1530" s="32"/>
      <c r="J1530" s="32"/>
      <c r="K1530" s="34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32"/>
      <c r="G1531" s="35"/>
      <c r="H1531" s="34" t="str">
        <f t="shared" si="31"/>
        <v/>
      </c>
      <c r="I1531" s="32"/>
      <c r="J1531" s="32"/>
      <c r="K1531" s="34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32"/>
      <c r="G1532" s="35"/>
      <c r="H1532" s="34" t="str">
        <f t="shared" si="31"/>
        <v/>
      </c>
      <c r="I1532" s="32"/>
      <c r="J1532" s="32"/>
      <c r="K1532" s="34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32"/>
      <c r="G1533" s="35"/>
      <c r="H1533" s="34" t="str">
        <f t="shared" si="31"/>
        <v/>
      </c>
      <c r="I1533" s="32"/>
      <c r="J1533" s="32"/>
      <c r="K1533" s="34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32"/>
      <c r="G1534" s="35"/>
      <c r="H1534" s="34" t="str">
        <f t="shared" si="31"/>
        <v/>
      </c>
      <c r="I1534" s="32"/>
      <c r="J1534" s="32"/>
      <c r="K1534" s="34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32"/>
      <c r="G1535" s="35"/>
      <c r="H1535" s="34" t="str">
        <f t="shared" si="31"/>
        <v/>
      </c>
      <c r="I1535" s="32"/>
      <c r="J1535" s="32"/>
      <c r="K1535" s="34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32"/>
      <c r="G1536" s="35"/>
      <c r="H1536" s="34" t="str">
        <f t="shared" si="31"/>
        <v/>
      </c>
      <c r="I1536" s="32"/>
      <c r="J1536" s="32"/>
      <c r="K1536" s="34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32"/>
      <c r="G1537" s="35"/>
      <c r="H1537" s="34" t="str">
        <f t="shared" si="31"/>
        <v/>
      </c>
      <c r="I1537" s="32"/>
      <c r="J1537" s="32"/>
      <c r="K1537" s="34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32"/>
      <c r="G1538" s="35"/>
      <c r="H1538" s="34" t="str">
        <f t="shared" ref="H1538:H1601" si="32">IF(AND($F1538="TEMP",$G1538&gt;0,$M1538&lt;&gt;""),$M1538+$G1538,"")</f>
        <v/>
      </c>
      <c r="I1538" s="32"/>
      <c r="J1538" s="32"/>
      <c r="K1538" s="34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32"/>
      <c r="G1539" s="35"/>
      <c r="H1539" s="34" t="str">
        <f t="shared" si="32"/>
        <v/>
      </c>
      <c r="I1539" s="32"/>
      <c r="J1539" s="32"/>
      <c r="K1539" s="34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32"/>
      <c r="G1540" s="35"/>
      <c r="H1540" s="34" t="str">
        <f t="shared" si="32"/>
        <v/>
      </c>
      <c r="I1540" s="32"/>
      <c r="J1540" s="32"/>
      <c r="K1540" s="34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32"/>
      <c r="G1541" s="35"/>
      <c r="H1541" s="34" t="str">
        <f t="shared" si="32"/>
        <v/>
      </c>
      <c r="I1541" s="32"/>
      <c r="J1541" s="32"/>
      <c r="K1541" s="34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32"/>
      <c r="G1542" s="35"/>
      <c r="H1542" s="34" t="str">
        <f t="shared" si="32"/>
        <v/>
      </c>
      <c r="I1542" s="32"/>
      <c r="J1542" s="32"/>
      <c r="K1542" s="34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32"/>
      <c r="G1543" s="35"/>
      <c r="H1543" s="34" t="str">
        <f t="shared" si="32"/>
        <v/>
      </c>
      <c r="I1543" s="32"/>
      <c r="J1543" s="32"/>
      <c r="K1543" s="34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32"/>
      <c r="G1544" s="35"/>
      <c r="H1544" s="34" t="str">
        <f t="shared" si="32"/>
        <v/>
      </c>
      <c r="I1544" s="32"/>
      <c r="J1544" s="32"/>
      <c r="K1544" s="34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32"/>
      <c r="G1545" s="35"/>
      <c r="H1545" s="34" t="str">
        <f t="shared" si="32"/>
        <v/>
      </c>
      <c r="I1545" s="32"/>
      <c r="J1545" s="32"/>
      <c r="K1545" s="34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32"/>
      <c r="G1546" s="35"/>
      <c r="H1546" s="34" t="str">
        <f t="shared" si="32"/>
        <v/>
      </c>
      <c r="I1546" s="32"/>
      <c r="J1546" s="32"/>
      <c r="K1546" s="34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32"/>
      <c r="G1547" s="35"/>
      <c r="H1547" s="34" t="str">
        <f t="shared" si="32"/>
        <v/>
      </c>
      <c r="I1547" s="32"/>
      <c r="J1547" s="32"/>
      <c r="K1547" s="34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32"/>
      <c r="G1548" s="35"/>
      <c r="H1548" s="34" t="str">
        <f t="shared" si="32"/>
        <v/>
      </c>
      <c r="I1548" s="32"/>
      <c r="J1548" s="32"/>
      <c r="K1548" s="34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32"/>
      <c r="G1549" s="35"/>
      <c r="H1549" s="34" t="str">
        <f t="shared" si="32"/>
        <v/>
      </c>
      <c r="I1549" s="32"/>
      <c r="J1549" s="32"/>
      <c r="K1549" s="34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32"/>
      <c r="G1550" s="35"/>
      <c r="H1550" s="34" t="str">
        <f t="shared" si="32"/>
        <v/>
      </c>
      <c r="I1550" s="32"/>
      <c r="J1550" s="32"/>
      <c r="K1550" s="34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32"/>
      <c r="G1551" s="35"/>
      <c r="H1551" s="34" t="str">
        <f t="shared" si="32"/>
        <v/>
      </c>
      <c r="I1551" s="32"/>
      <c r="J1551" s="32"/>
      <c r="K1551" s="34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32"/>
      <c r="G1552" s="35"/>
      <c r="H1552" s="34" t="str">
        <f t="shared" si="32"/>
        <v/>
      </c>
      <c r="I1552" s="32"/>
      <c r="J1552" s="32"/>
      <c r="K1552" s="34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32"/>
      <c r="G1553" s="35"/>
      <c r="H1553" s="34" t="str">
        <f t="shared" si="32"/>
        <v/>
      </c>
      <c r="I1553" s="32"/>
      <c r="J1553" s="32"/>
      <c r="K1553" s="34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32"/>
      <c r="G1554" s="35"/>
      <c r="H1554" s="34" t="str">
        <f t="shared" si="32"/>
        <v/>
      </c>
      <c r="I1554" s="32"/>
      <c r="J1554" s="32"/>
      <c r="K1554" s="34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32"/>
      <c r="G1555" s="35"/>
      <c r="H1555" s="34" t="str">
        <f t="shared" si="32"/>
        <v/>
      </c>
      <c r="I1555" s="32"/>
      <c r="J1555" s="32"/>
      <c r="K1555" s="34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32"/>
      <c r="G1556" s="35"/>
      <c r="H1556" s="34" t="str">
        <f t="shared" si="32"/>
        <v/>
      </c>
      <c r="I1556" s="32"/>
      <c r="J1556" s="32"/>
      <c r="K1556" s="34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32"/>
      <c r="G1557" s="35"/>
      <c r="H1557" s="34" t="str">
        <f t="shared" si="32"/>
        <v/>
      </c>
      <c r="I1557" s="32"/>
      <c r="J1557" s="32"/>
      <c r="K1557" s="34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32"/>
      <c r="G1558" s="35"/>
      <c r="H1558" s="34" t="str">
        <f t="shared" si="32"/>
        <v/>
      </c>
      <c r="I1558" s="32"/>
      <c r="J1558" s="32"/>
      <c r="K1558" s="34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32"/>
      <c r="G1559" s="35"/>
      <c r="H1559" s="34" t="str">
        <f t="shared" si="32"/>
        <v/>
      </c>
      <c r="I1559" s="32"/>
      <c r="J1559" s="32"/>
      <c r="K1559" s="34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32"/>
      <c r="G1560" s="35"/>
      <c r="H1560" s="34" t="str">
        <f t="shared" si="32"/>
        <v/>
      </c>
      <c r="I1560" s="32"/>
      <c r="J1560" s="32"/>
      <c r="K1560" s="34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32"/>
      <c r="G1561" s="35"/>
      <c r="H1561" s="34" t="str">
        <f t="shared" si="32"/>
        <v/>
      </c>
      <c r="I1561" s="32"/>
      <c r="J1561" s="32"/>
      <c r="K1561" s="34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32"/>
      <c r="G1562" s="35"/>
      <c r="H1562" s="34" t="str">
        <f t="shared" si="32"/>
        <v/>
      </c>
      <c r="I1562" s="32"/>
      <c r="J1562" s="32"/>
      <c r="K1562" s="34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32"/>
      <c r="G1563" s="35"/>
      <c r="H1563" s="34" t="str">
        <f t="shared" si="32"/>
        <v/>
      </c>
      <c r="I1563" s="32"/>
      <c r="J1563" s="32"/>
      <c r="K1563" s="34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32"/>
      <c r="G1564" s="35"/>
      <c r="H1564" s="34" t="str">
        <f t="shared" si="32"/>
        <v/>
      </c>
      <c r="I1564" s="32"/>
      <c r="J1564" s="32"/>
      <c r="K1564" s="34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32"/>
      <c r="G1565" s="35"/>
      <c r="H1565" s="34" t="str">
        <f t="shared" si="32"/>
        <v/>
      </c>
      <c r="I1565" s="32"/>
      <c r="J1565" s="32"/>
      <c r="K1565" s="34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32"/>
      <c r="G1566" s="35"/>
      <c r="H1566" s="34" t="str">
        <f t="shared" si="32"/>
        <v/>
      </c>
      <c r="I1566" s="32"/>
      <c r="J1566" s="32"/>
      <c r="K1566" s="34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32"/>
      <c r="G1567" s="35"/>
      <c r="H1567" s="34" t="str">
        <f t="shared" si="32"/>
        <v/>
      </c>
      <c r="I1567" s="32"/>
      <c r="J1567" s="32"/>
      <c r="K1567" s="34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32"/>
      <c r="G1568" s="35"/>
      <c r="H1568" s="34" t="str">
        <f t="shared" si="32"/>
        <v/>
      </c>
      <c r="I1568" s="32"/>
      <c r="J1568" s="32"/>
      <c r="K1568" s="34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32"/>
      <c r="G1569" s="35"/>
      <c r="H1569" s="34" t="str">
        <f t="shared" si="32"/>
        <v/>
      </c>
      <c r="I1569" s="32"/>
      <c r="J1569" s="32"/>
      <c r="K1569" s="34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32"/>
      <c r="G1570" s="35"/>
      <c r="H1570" s="34" t="str">
        <f t="shared" si="32"/>
        <v/>
      </c>
      <c r="I1570" s="32"/>
      <c r="J1570" s="32"/>
      <c r="K1570" s="34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32"/>
      <c r="G1571" s="35"/>
      <c r="H1571" s="34" t="str">
        <f t="shared" si="32"/>
        <v/>
      </c>
      <c r="I1571" s="32"/>
      <c r="J1571" s="32"/>
      <c r="K1571" s="34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32"/>
      <c r="G1572" s="35"/>
      <c r="H1572" s="34" t="str">
        <f t="shared" si="32"/>
        <v/>
      </c>
      <c r="I1572" s="32"/>
      <c r="J1572" s="32"/>
      <c r="K1572" s="34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32"/>
      <c r="G1573" s="35"/>
      <c r="H1573" s="34" t="str">
        <f t="shared" si="32"/>
        <v/>
      </c>
      <c r="I1573" s="32"/>
      <c r="J1573" s="32"/>
      <c r="K1573" s="34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32"/>
      <c r="G1574" s="35"/>
      <c r="H1574" s="34" t="str">
        <f t="shared" si="32"/>
        <v/>
      </c>
      <c r="I1574" s="32"/>
      <c r="J1574" s="32"/>
      <c r="K1574" s="34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32"/>
      <c r="G1575" s="35"/>
      <c r="H1575" s="34" t="str">
        <f t="shared" si="32"/>
        <v/>
      </c>
      <c r="I1575" s="32"/>
      <c r="J1575" s="32"/>
      <c r="K1575" s="34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32"/>
      <c r="G1576" s="35"/>
      <c r="H1576" s="34" t="str">
        <f t="shared" si="32"/>
        <v/>
      </c>
      <c r="I1576" s="32"/>
      <c r="J1576" s="32"/>
      <c r="K1576" s="34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32"/>
      <c r="G1577" s="35"/>
      <c r="H1577" s="34" t="str">
        <f t="shared" si="32"/>
        <v/>
      </c>
      <c r="I1577" s="32"/>
      <c r="J1577" s="32"/>
      <c r="K1577" s="34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32"/>
      <c r="G1578" s="35"/>
      <c r="H1578" s="34" t="str">
        <f t="shared" si="32"/>
        <v/>
      </c>
      <c r="I1578" s="32"/>
      <c r="J1578" s="32"/>
      <c r="K1578" s="34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32"/>
      <c r="G1579" s="35"/>
      <c r="H1579" s="34" t="str">
        <f t="shared" si="32"/>
        <v/>
      </c>
      <c r="I1579" s="32"/>
      <c r="J1579" s="32"/>
      <c r="K1579" s="34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32"/>
      <c r="G1580" s="35"/>
      <c r="H1580" s="34" t="str">
        <f t="shared" si="32"/>
        <v/>
      </c>
      <c r="I1580" s="32"/>
      <c r="J1580" s="32"/>
      <c r="K1580" s="34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32"/>
      <c r="G1581" s="35"/>
      <c r="H1581" s="34" t="str">
        <f t="shared" si="32"/>
        <v/>
      </c>
      <c r="I1581" s="32"/>
      <c r="J1581" s="32"/>
      <c r="K1581" s="34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32"/>
      <c r="G1582" s="35"/>
      <c r="H1582" s="34" t="str">
        <f t="shared" si="32"/>
        <v/>
      </c>
      <c r="I1582" s="32"/>
      <c r="J1582" s="32"/>
      <c r="K1582" s="34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32"/>
      <c r="G1583" s="35"/>
      <c r="H1583" s="34" t="str">
        <f t="shared" si="32"/>
        <v/>
      </c>
      <c r="I1583" s="32"/>
      <c r="J1583" s="32"/>
      <c r="K1583" s="34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32"/>
      <c r="G1584" s="35"/>
      <c r="H1584" s="34" t="str">
        <f t="shared" si="32"/>
        <v/>
      </c>
      <c r="I1584" s="32"/>
      <c r="J1584" s="32"/>
      <c r="K1584" s="34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32"/>
      <c r="G1585" s="35"/>
      <c r="H1585" s="34" t="str">
        <f t="shared" si="32"/>
        <v/>
      </c>
      <c r="I1585" s="32"/>
      <c r="J1585" s="32"/>
      <c r="K1585" s="34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32"/>
      <c r="G1586" s="35"/>
      <c r="H1586" s="34" t="str">
        <f t="shared" si="32"/>
        <v/>
      </c>
      <c r="I1586" s="32"/>
      <c r="J1586" s="32"/>
      <c r="K1586" s="34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32"/>
      <c r="G1587" s="35"/>
      <c r="H1587" s="34" t="str">
        <f t="shared" si="32"/>
        <v/>
      </c>
      <c r="I1587" s="32"/>
      <c r="J1587" s="32"/>
      <c r="K1587" s="34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32"/>
      <c r="G1588" s="35"/>
      <c r="H1588" s="34" t="str">
        <f t="shared" si="32"/>
        <v/>
      </c>
      <c r="I1588" s="32"/>
      <c r="J1588" s="32"/>
      <c r="K1588" s="34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32"/>
      <c r="G1589" s="35"/>
      <c r="H1589" s="34" t="str">
        <f t="shared" si="32"/>
        <v/>
      </c>
      <c r="I1589" s="32"/>
      <c r="J1589" s="32"/>
      <c r="K1589" s="34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32"/>
      <c r="G1590" s="35"/>
      <c r="H1590" s="34" t="str">
        <f t="shared" si="32"/>
        <v/>
      </c>
      <c r="I1590" s="32"/>
      <c r="J1590" s="32"/>
      <c r="K1590" s="34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32"/>
      <c r="G1591" s="35"/>
      <c r="H1591" s="34" t="str">
        <f t="shared" si="32"/>
        <v/>
      </c>
      <c r="I1591" s="32"/>
      <c r="J1591" s="32"/>
      <c r="K1591" s="34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32"/>
      <c r="G1592" s="35"/>
      <c r="H1592" s="34" t="str">
        <f t="shared" si="32"/>
        <v/>
      </c>
      <c r="I1592" s="32"/>
      <c r="J1592" s="32"/>
      <c r="K1592" s="34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32"/>
      <c r="G1593" s="35"/>
      <c r="H1593" s="34" t="str">
        <f t="shared" si="32"/>
        <v/>
      </c>
      <c r="I1593" s="32"/>
      <c r="J1593" s="32"/>
      <c r="K1593" s="34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32"/>
      <c r="G1594" s="35"/>
      <c r="H1594" s="34" t="str">
        <f t="shared" si="32"/>
        <v/>
      </c>
      <c r="I1594" s="32"/>
      <c r="J1594" s="32"/>
      <c r="K1594" s="34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32"/>
      <c r="G1595" s="35"/>
      <c r="H1595" s="34" t="str">
        <f t="shared" si="32"/>
        <v/>
      </c>
      <c r="I1595" s="32"/>
      <c r="J1595" s="32"/>
      <c r="K1595" s="34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32"/>
      <c r="G1596" s="35"/>
      <c r="H1596" s="34" t="str">
        <f t="shared" si="32"/>
        <v/>
      </c>
      <c r="I1596" s="32"/>
      <c r="J1596" s="32"/>
      <c r="K1596" s="34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32"/>
      <c r="G1597" s="35"/>
      <c r="H1597" s="34" t="str">
        <f t="shared" si="32"/>
        <v/>
      </c>
      <c r="I1597" s="32"/>
      <c r="J1597" s="32"/>
      <c r="K1597" s="34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32"/>
      <c r="G1598" s="35"/>
      <c r="H1598" s="34" t="str">
        <f t="shared" si="32"/>
        <v/>
      </c>
      <c r="I1598" s="32"/>
      <c r="J1598" s="32"/>
      <c r="K1598" s="34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32"/>
      <c r="G1599" s="35"/>
      <c r="H1599" s="34" t="str">
        <f t="shared" si="32"/>
        <v/>
      </c>
      <c r="I1599" s="32"/>
      <c r="J1599" s="32"/>
      <c r="K1599" s="34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32"/>
      <c r="G1600" s="35"/>
      <c r="H1600" s="34" t="str">
        <f t="shared" si="32"/>
        <v/>
      </c>
      <c r="I1600" s="32"/>
      <c r="J1600" s="32"/>
      <c r="K1600" s="34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32"/>
      <c r="G1601" s="35"/>
      <c r="H1601" s="34" t="str">
        <f t="shared" si="32"/>
        <v/>
      </c>
      <c r="I1601" s="32"/>
      <c r="J1601" s="32"/>
      <c r="K1601" s="34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32"/>
      <c r="G1602" s="35"/>
      <c r="H1602" s="34" t="str">
        <f t="shared" ref="H1602:H1665" si="33">IF(AND($F1602="TEMP",$G1602&gt;0,$M1602&lt;&gt;""),$M1602+$G1602,"")</f>
        <v/>
      </c>
      <c r="I1602" s="32"/>
      <c r="J1602" s="32"/>
      <c r="K1602" s="34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32"/>
      <c r="G1603" s="35"/>
      <c r="H1603" s="34" t="str">
        <f t="shared" si="33"/>
        <v/>
      </c>
      <c r="I1603" s="32"/>
      <c r="J1603" s="32"/>
      <c r="K1603" s="34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32"/>
      <c r="G1604" s="35"/>
      <c r="H1604" s="34" t="str">
        <f t="shared" si="33"/>
        <v/>
      </c>
      <c r="I1604" s="32"/>
      <c r="J1604" s="32"/>
      <c r="K1604" s="34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32"/>
      <c r="G1605" s="35"/>
      <c r="H1605" s="34" t="str">
        <f t="shared" si="33"/>
        <v/>
      </c>
      <c r="I1605" s="32"/>
      <c r="J1605" s="32"/>
      <c r="K1605" s="34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32"/>
      <c r="G1606" s="35"/>
      <c r="H1606" s="34" t="str">
        <f t="shared" si="33"/>
        <v/>
      </c>
      <c r="I1606" s="32"/>
      <c r="J1606" s="32"/>
      <c r="K1606" s="34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32"/>
      <c r="G1607" s="35"/>
      <c r="H1607" s="34" t="str">
        <f t="shared" si="33"/>
        <v/>
      </c>
      <c r="I1607" s="32"/>
      <c r="J1607" s="32"/>
      <c r="K1607" s="34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32"/>
      <c r="G1608" s="35"/>
      <c r="H1608" s="34" t="str">
        <f t="shared" si="33"/>
        <v/>
      </c>
      <c r="I1608" s="32"/>
      <c r="J1608" s="32"/>
      <c r="K1608" s="34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32"/>
      <c r="G1609" s="35"/>
      <c r="H1609" s="34" t="str">
        <f t="shared" si="33"/>
        <v/>
      </c>
      <c r="I1609" s="32"/>
      <c r="J1609" s="32"/>
      <c r="K1609" s="34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32"/>
      <c r="G1610" s="35"/>
      <c r="H1610" s="34" t="str">
        <f t="shared" si="33"/>
        <v/>
      </c>
      <c r="I1610" s="32"/>
      <c r="J1610" s="32"/>
      <c r="K1610" s="34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32"/>
      <c r="G1611" s="35"/>
      <c r="H1611" s="34" t="str">
        <f t="shared" si="33"/>
        <v/>
      </c>
      <c r="I1611" s="32"/>
      <c r="J1611" s="32"/>
      <c r="K1611" s="34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32"/>
      <c r="G1612" s="35"/>
      <c r="H1612" s="34" t="str">
        <f t="shared" si="33"/>
        <v/>
      </c>
      <c r="I1612" s="32"/>
      <c r="J1612" s="32"/>
      <c r="K1612" s="34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32"/>
      <c r="G1613" s="35"/>
      <c r="H1613" s="34" t="str">
        <f t="shared" si="33"/>
        <v/>
      </c>
      <c r="I1613" s="32"/>
      <c r="J1613" s="32"/>
      <c r="K1613" s="34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32"/>
      <c r="G1614" s="35"/>
      <c r="H1614" s="34" t="str">
        <f t="shared" si="33"/>
        <v/>
      </c>
      <c r="I1614" s="32"/>
      <c r="J1614" s="32"/>
      <c r="K1614" s="34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32"/>
      <c r="G1615" s="35"/>
      <c r="H1615" s="34" t="str">
        <f t="shared" si="33"/>
        <v/>
      </c>
      <c r="I1615" s="32"/>
      <c r="J1615" s="32"/>
      <c r="K1615" s="34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32"/>
      <c r="G1616" s="35"/>
      <c r="H1616" s="34" t="str">
        <f t="shared" si="33"/>
        <v/>
      </c>
      <c r="I1616" s="32"/>
      <c r="J1616" s="32"/>
      <c r="K1616" s="34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32"/>
      <c r="G1617" s="35"/>
      <c r="H1617" s="34" t="str">
        <f t="shared" si="33"/>
        <v/>
      </c>
      <c r="I1617" s="32"/>
      <c r="J1617" s="32"/>
      <c r="K1617" s="34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32"/>
      <c r="G1618" s="35"/>
      <c r="H1618" s="34" t="str">
        <f t="shared" si="33"/>
        <v/>
      </c>
      <c r="I1618" s="32"/>
      <c r="J1618" s="32"/>
      <c r="K1618" s="34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32"/>
      <c r="G1619" s="35"/>
      <c r="H1619" s="34" t="str">
        <f t="shared" si="33"/>
        <v/>
      </c>
      <c r="I1619" s="32"/>
      <c r="J1619" s="32"/>
      <c r="K1619" s="34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32"/>
      <c r="G1620" s="35"/>
      <c r="H1620" s="34" t="str">
        <f t="shared" si="33"/>
        <v/>
      </c>
      <c r="I1620" s="32"/>
      <c r="J1620" s="32"/>
      <c r="K1620" s="34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32"/>
      <c r="G1621" s="35"/>
      <c r="H1621" s="34" t="str">
        <f t="shared" si="33"/>
        <v/>
      </c>
      <c r="I1621" s="32"/>
      <c r="J1621" s="32"/>
      <c r="K1621" s="34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32"/>
      <c r="G1622" s="35"/>
      <c r="H1622" s="34" t="str">
        <f t="shared" si="33"/>
        <v/>
      </c>
      <c r="I1622" s="32"/>
      <c r="J1622" s="32"/>
      <c r="K1622" s="34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32"/>
      <c r="G1623" s="35"/>
      <c r="H1623" s="34" t="str">
        <f t="shared" si="33"/>
        <v/>
      </c>
      <c r="I1623" s="32"/>
      <c r="J1623" s="32"/>
      <c r="K1623" s="34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32"/>
      <c r="G1624" s="35"/>
      <c r="H1624" s="34" t="str">
        <f t="shared" si="33"/>
        <v/>
      </c>
      <c r="I1624" s="32"/>
      <c r="J1624" s="32"/>
      <c r="K1624" s="34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32"/>
      <c r="G1625" s="35"/>
      <c r="H1625" s="34" t="str">
        <f t="shared" si="33"/>
        <v/>
      </c>
      <c r="I1625" s="32"/>
      <c r="J1625" s="32"/>
      <c r="K1625" s="34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32"/>
      <c r="G1626" s="35"/>
      <c r="H1626" s="34" t="str">
        <f t="shared" si="33"/>
        <v/>
      </c>
      <c r="I1626" s="32"/>
      <c r="J1626" s="32"/>
      <c r="K1626" s="34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32"/>
      <c r="G1627" s="35"/>
      <c r="H1627" s="34" t="str">
        <f t="shared" si="33"/>
        <v/>
      </c>
      <c r="I1627" s="32"/>
      <c r="J1627" s="32"/>
      <c r="K1627" s="34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32"/>
      <c r="G1628" s="35"/>
      <c r="H1628" s="34" t="str">
        <f t="shared" si="33"/>
        <v/>
      </c>
      <c r="I1628" s="32"/>
      <c r="J1628" s="32"/>
      <c r="K1628" s="34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32"/>
      <c r="G1629" s="35"/>
      <c r="H1629" s="34" t="str">
        <f t="shared" si="33"/>
        <v/>
      </c>
      <c r="I1629" s="32"/>
      <c r="J1629" s="32"/>
      <c r="K1629" s="34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32"/>
      <c r="G1630" s="35"/>
      <c r="H1630" s="34" t="str">
        <f t="shared" si="33"/>
        <v/>
      </c>
      <c r="I1630" s="32"/>
      <c r="J1630" s="32"/>
      <c r="K1630" s="34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32"/>
      <c r="G1631" s="35"/>
      <c r="H1631" s="34" t="str">
        <f t="shared" si="33"/>
        <v/>
      </c>
      <c r="I1631" s="32"/>
      <c r="J1631" s="32"/>
      <c r="K1631" s="34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32"/>
      <c r="G1632" s="35"/>
      <c r="H1632" s="34" t="str">
        <f t="shared" si="33"/>
        <v/>
      </c>
      <c r="I1632" s="32"/>
      <c r="J1632" s="32"/>
      <c r="K1632" s="34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32"/>
      <c r="G1633" s="35"/>
      <c r="H1633" s="34" t="str">
        <f t="shared" si="33"/>
        <v/>
      </c>
      <c r="I1633" s="32"/>
      <c r="J1633" s="32"/>
      <c r="K1633" s="34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32"/>
      <c r="G1634" s="35"/>
      <c r="H1634" s="34" t="str">
        <f t="shared" si="33"/>
        <v/>
      </c>
      <c r="I1634" s="32"/>
      <c r="J1634" s="32"/>
      <c r="K1634" s="34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32"/>
      <c r="G1635" s="35"/>
      <c r="H1635" s="34" t="str">
        <f t="shared" si="33"/>
        <v/>
      </c>
      <c r="I1635" s="32"/>
      <c r="J1635" s="32"/>
      <c r="K1635" s="34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32"/>
      <c r="G1636" s="35"/>
      <c r="H1636" s="34" t="str">
        <f t="shared" si="33"/>
        <v/>
      </c>
      <c r="I1636" s="32"/>
      <c r="J1636" s="32"/>
      <c r="K1636" s="34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32"/>
      <c r="G1637" s="35"/>
      <c r="H1637" s="34" t="str">
        <f t="shared" si="33"/>
        <v/>
      </c>
      <c r="I1637" s="32"/>
      <c r="J1637" s="32"/>
      <c r="K1637" s="34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32"/>
      <c r="G1638" s="35"/>
      <c r="H1638" s="34" t="str">
        <f t="shared" si="33"/>
        <v/>
      </c>
      <c r="I1638" s="32"/>
      <c r="J1638" s="32"/>
      <c r="K1638" s="34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32"/>
      <c r="G1639" s="35"/>
      <c r="H1639" s="34" t="str">
        <f t="shared" si="33"/>
        <v/>
      </c>
      <c r="I1639" s="32"/>
      <c r="J1639" s="32"/>
      <c r="K1639" s="34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32"/>
      <c r="G1640" s="35"/>
      <c r="H1640" s="34" t="str">
        <f t="shared" si="33"/>
        <v/>
      </c>
      <c r="I1640" s="32"/>
      <c r="J1640" s="32"/>
      <c r="K1640" s="34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32"/>
      <c r="G1641" s="35"/>
      <c r="H1641" s="34" t="str">
        <f t="shared" si="33"/>
        <v/>
      </c>
      <c r="I1641" s="32"/>
      <c r="J1641" s="32"/>
      <c r="K1641" s="34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32"/>
      <c r="G1642" s="35"/>
      <c r="H1642" s="34" t="str">
        <f t="shared" si="33"/>
        <v/>
      </c>
      <c r="I1642" s="32"/>
      <c r="J1642" s="32"/>
      <c r="K1642" s="34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32"/>
      <c r="G1643" s="35"/>
      <c r="H1643" s="34" t="str">
        <f t="shared" si="33"/>
        <v/>
      </c>
      <c r="I1643" s="32"/>
      <c r="J1643" s="32"/>
      <c r="K1643" s="34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32"/>
      <c r="G1644" s="35"/>
      <c r="H1644" s="34" t="str">
        <f t="shared" si="33"/>
        <v/>
      </c>
      <c r="I1644" s="32"/>
      <c r="J1644" s="32"/>
      <c r="K1644" s="34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32"/>
      <c r="G1645" s="35"/>
      <c r="H1645" s="34" t="str">
        <f t="shared" si="33"/>
        <v/>
      </c>
      <c r="I1645" s="32"/>
      <c r="J1645" s="32"/>
      <c r="K1645" s="34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32"/>
      <c r="G1646" s="35"/>
      <c r="H1646" s="34" t="str">
        <f t="shared" si="33"/>
        <v/>
      </c>
      <c r="I1646" s="32"/>
      <c r="J1646" s="32"/>
      <c r="K1646" s="34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32"/>
      <c r="G1647" s="35"/>
      <c r="H1647" s="34" t="str">
        <f t="shared" si="33"/>
        <v/>
      </c>
      <c r="I1647" s="32"/>
      <c r="J1647" s="32"/>
      <c r="K1647" s="34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32"/>
      <c r="G1648" s="35"/>
      <c r="H1648" s="34" t="str">
        <f t="shared" si="33"/>
        <v/>
      </c>
      <c r="I1648" s="32"/>
      <c r="J1648" s="32"/>
      <c r="K1648" s="34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32"/>
      <c r="G1649" s="35"/>
      <c r="H1649" s="34" t="str">
        <f t="shared" si="33"/>
        <v/>
      </c>
      <c r="I1649" s="32"/>
      <c r="J1649" s="32"/>
      <c r="K1649" s="34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32"/>
      <c r="G1650" s="35"/>
      <c r="H1650" s="34" t="str">
        <f t="shared" si="33"/>
        <v/>
      </c>
      <c r="I1650" s="32"/>
      <c r="J1650" s="32"/>
      <c r="K1650" s="34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32"/>
      <c r="G1651" s="35"/>
      <c r="H1651" s="34" t="str">
        <f t="shared" si="33"/>
        <v/>
      </c>
      <c r="I1651" s="32"/>
      <c r="J1651" s="32"/>
      <c r="K1651" s="34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32"/>
      <c r="G1652" s="35"/>
      <c r="H1652" s="34" t="str">
        <f t="shared" si="33"/>
        <v/>
      </c>
      <c r="I1652" s="32"/>
      <c r="J1652" s="32"/>
      <c r="K1652" s="34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32"/>
      <c r="G1653" s="35"/>
      <c r="H1653" s="34" t="str">
        <f t="shared" si="33"/>
        <v/>
      </c>
      <c r="I1653" s="32"/>
      <c r="J1653" s="32"/>
      <c r="K1653" s="34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32"/>
      <c r="G1654" s="35"/>
      <c r="H1654" s="34" t="str">
        <f t="shared" si="33"/>
        <v/>
      </c>
      <c r="I1654" s="32"/>
      <c r="J1654" s="32"/>
      <c r="K1654" s="34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32"/>
      <c r="G1655" s="35"/>
      <c r="H1655" s="34" t="str">
        <f t="shared" si="33"/>
        <v/>
      </c>
      <c r="I1655" s="32"/>
      <c r="J1655" s="32"/>
      <c r="K1655" s="34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32"/>
      <c r="G1656" s="35"/>
      <c r="H1656" s="34" t="str">
        <f t="shared" si="33"/>
        <v/>
      </c>
      <c r="I1656" s="32"/>
      <c r="J1656" s="32"/>
      <c r="K1656" s="34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32"/>
      <c r="G1657" s="35"/>
      <c r="H1657" s="34" t="str">
        <f t="shared" si="33"/>
        <v/>
      </c>
      <c r="I1657" s="32"/>
      <c r="J1657" s="32"/>
      <c r="K1657" s="34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32"/>
      <c r="G1658" s="35"/>
      <c r="H1658" s="34" t="str">
        <f t="shared" si="33"/>
        <v/>
      </c>
      <c r="I1658" s="32"/>
      <c r="J1658" s="32"/>
      <c r="K1658" s="34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32"/>
      <c r="G1659" s="35"/>
      <c r="H1659" s="34" t="str">
        <f t="shared" si="33"/>
        <v/>
      </c>
      <c r="I1659" s="32"/>
      <c r="J1659" s="32"/>
      <c r="K1659" s="34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32"/>
      <c r="G1660" s="35"/>
      <c r="H1660" s="34" t="str">
        <f t="shared" si="33"/>
        <v/>
      </c>
      <c r="I1660" s="32"/>
      <c r="J1660" s="32"/>
      <c r="K1660" s="34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32"/>
      <c r="G1661" s="35"/>
      <c r="H1661" s="34" t="str">
        <f t="shared" si="33"/>
        <v/>
      </c>
      <c r="I1661" s="32"/>
      <c r="J1661" s="32"/>
      <c r="K1661" s="34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32"/>
      <c r="G1662" s="35"/>
      <c r="H1662" s="34" t="str">
        <f t="shared" si="33"/>
        <v/>
      </c>
      <c r="I1662" s="32"/>
      <c r="J1662" s="32"/>
      <c r="K1662" s="34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32"/>
      <c r="G1663" s="35"/>
      <c r="H1663" s="34" t="str">
        <f t="shared" si="33"/>
        <v/>
      </c>
      <c r="I1663" s="32"/>
      <c r="J1663" s="32"/>
      <c r="K1663" s="34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32"/>
      <c r="G1664" s="35"/>
      <c r="H1664" s="34" t="str">
        <f t="shared" si="33"/>
        <v/>
      </c>
      <c r="I1664" s="32"/>
      <c r="J1664" s="32"/>
      <c r="K1664" s="34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32"/>
      <c r="G1665" s="35"/>
      <c r="H1665" s="34" t="str">
        <f t="shared" si="33"/>
        <v/>
      </c>
      <c r="I1665" s="32"/>
      <c r="J1665" s="32"/>
      <c r="K1665" s="34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32"/>
      <c r="G1666" s="35"/>
      <c r="H1666" s="34" t="str">
        <f t="shared" ref="H1666:H1729" si="34">IF(AND($F1666="TEMP",$G1666&gt;0,$M1666&lt;&gt;""),$M1666+$G1666,"")</f>
        <v/>
      </c>
      <c r="I1666" s="32"/>
      <c r="J1666" s="32"/>
      <c r="K1666" s="34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32"/>
      <c r="G1667" s="35"/>
      <c r="H1667" s="34" t="str">
        <f t="shared" si="34"/>
        <v/>
      </c>
      <c r="I1667" s="32"/>
      <c r="J1667" s="32"/>
      <c r="K1667" s="34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32"/>
      <c r="G1668" s="35"/>
      <c r="H1668" s="34" t="str">
        <f t="shared" si="34"/>
        <v/>
      </c>
      <c r="I1668" s="32"/>
      <c r="J1668" s="32"/>
      <c r="K1668" s="34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32"/>
      <c r="G1669" s="35"/>
      <c r="H1669" s="34" t="str">
        <f t="shared" si="34"/>
        <v/>
      </c>
      <c r="I1669" s="32"/>
      <c r="J1669" s="32"/>
      <c r="K1669" s="34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32"/>
      <c r="G1670" s="35"/>
      <c r="H1670" s="34" t="str">
        <f t="shared" si="34"/>
        <v/>
      </c>
      <c r="I1670" s="32"/>
      <c r="J1670" s="32"/>
      <c r="K1670" s="34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32"/>
      <c r="G1671" s="35"/>
      <c r="H1671" s="34" t="str">
        <f t="shared" si="34"/>
        <v/>
      </c>
      <c r="I1671" s="32"/>
      <c r="J1671" s="32"/>
      <c r="K1671" s="34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32"/>
      <c r="G1672" s="35"/>
      <c r="H1672" s="34" t="str">
        <f t="shared" si="34"/>
        <v/>
      </c>
      <c r="I1672" s="32"/>
      <c r="J1672" s="32"/>
      <c r="K1672" s="34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32"/>
      <c r="G1673" s="35"/>
      <c r="H1673" s="34" t="str">
        <f t="shared" si="34"/>
        <v/>
      </c>
      <c r="I1673" s="32"/>
      <c r="J1673" s="32"/>
      <c r="K1673" s="34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32"/>
      <c r="G1674" s="35"/>
      <c r="H1674" s="34" t="str">
        <f t="shared" si="34"/>
        <v/>
      </c>
      <c r="I1674" s="32"/>
      <c r="J1674" s="32"/>
      <c r="K1674" s="34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32"/>
      <c r="G1675" s="35"/>
      <c r="H1675" s="34" t="str">
        <f t="shared" si="34"/>
        <v/>
      </c>
      <c r="I1675" s="32"/>
      <c r="J1675" s="32"/>
      <c r="K1675" s="34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32"/>
      <c r="G1676" s="35"/>
      <c r="H1676" s="34" t="str">
        <f t="shared" si="34"/>
        <v/>
      </c>
      <c r="I1676" s="32"/>
      <c r="J1676" s="32"/>
      <c r="K1676" s="34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32"/>
      <c r="G1677" s="35"/>
      <c r="H1677" s="34" t="str">
        <f t="shared" si="34"/>
        <v/>
      </c>
      <c r="I1677" s="32"/>
      <c r="J1677" s="32"/>
      <c r="K1677" s="34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32"/>
      <c r="G1678" s="35"/>
      <c r="H1678" s="34" t="str">
        <f t="shared" si="34"/>
        <v/>
      </c>
      <c r="I1678" s="32"/>
      <c r="J1678" s="32"/>
      <c r="K1678" s="34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32"/>
      <c r="G1679" s="35"/>
      <c r="H1679" s="34" t="str">
        <f t="shared" si="34"/>
        <v/>
      </c>
      <c r="I1679" s="32"/>
      <c r="J1679" s="32"/>
      <c r="K1679" s="34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32"/>
      <c r="G1680" s="35"/>
      <c r="H1680" s="34" t="str">
        <f t="shared" si="34"/>
        <v/>
      </c>
      <c r="I1680" s="32"/>
      <c r="J1680" s="32"/>
      <c r="K1680" s="34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32"/>
      <c r="G1681" s="35"/>
      <c r="H1681" s="34" t="str">
        <f t="shared" si="34"/>
        <v/>
      </c>
      <c r="I1681" s="32"/>
      <c r="J1681" s="32"/>
      <c r="K1681" s="34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32"/>
      <c r="G1682" s="35"/>
      <c r="H1682" s="34" t="str">
        <f t="shared" si="34"/>
        <v/>
      </c>
      <c r="I1682" s="32"/>
      <c r="J1682" s="32"/>
      <c r="K1682" s="34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32"/>
      <c r="G1683" s="35"/>
      <c r="H1683" s="34" t="str">
        <f t="shared" si="34"/>
        <v/>
      </c>
      <c r="I1683" s="32"/>
      <c r="J1683" s="32"/>
      <c r="K1683" s="34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32"/>
      <c r="G1684" s="35"/>
      <c r="H1684" s="34" t="str">
        <f t="shared" si="34"/>
        <v/>
      </c>
      <c r="I1684" s="32"/>
      <c r="J1684" s="32"/>
      <c r="K1684" s="34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32"/>
      <c r="G1685" s="35"/>
      <c r="H1685" s="34" t="str">
        <f t="shared" si="34"/>
        <v/>
      </c>
      <c r="I1685" s="32"/>
      <c r="J1685" s="32"/>
      <c r="K1685" s="34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32"/>
      <c r="G1686" s="35"/>
      <c r="H1686" s="34" t="str">
        <f t="shared" si="34"/>
        <v/>
      </c>
      <c r="I1686" s="32"/>
      <c r="J1686" s="32"/>
      <c r="K1686" s="34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32"/>
      <c r="G1687" s="35"/>
      <c r="H1687" s="34" t="str">
        <f t="shared" si="34"/>
        <v/>
      </c>
      <c r="I1687" s="32"/>
      <c r="J1687" s="32"/>
      <c r="K1687" s="34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32"/>
      <c r="G1688" s="35"/>
      <c r="H1688" s="34" t="str">
        <f t="shared" si="34"/>
        <v/>
      </c>
      <c r="I1688" s="32"/>
      <c r="J1688" s="32"/>
      <c r="K1688" s="34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32"/>
      <c r="G1689" s="35"/>
      <c r="H1689" s="34" t="str">
        <f t="shared" si="34"/>
        <v/>
      </c>
      <c r="I1689" s="32"/>
      <c r="J1689" s="32"/>
      <c r="K1689" s="34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32"/>
      <c r="G1690" s="35"/>
      <c r="H1690" s="34" t="str">
        <f t="shared" si="34"/>
        <v/>
      </c>
      <c r="I1690" s="32"/>
      <c r="J1690" s="32"/>
      <c r="K1690" s="34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32"/>
      <c r="G1691" s="35"/>
      <c r="H1691" s="34" t="str">
        <f t="shared" si="34"/>
        <v/>
      </c>
      <c r="I1691" s="32"/>
      <c r="J1691" s="32"/>
      <c r="K1691" s="34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32"/>
      <c r="G1692" s="35"/>
      <c r="H1692" s="34" t="str">
        <f t="shared" si="34"/>
        <v/>
      </c>
      <c r="I1692" s="32"/>
      <c r="J1692" s="32"/>
      <c r="K1692" s="34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32"/>
      <c r="G1693" s="35"/>
      <c r="H1693" s="34" t="str">
        <f t="shared" si="34"/>
        <v/>
      </c>
      <c r="I1693" s="32"/>
      <c r="J1693" s="32"/>
      <c r="K1693" s="34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32"/>
      <c r="G1694" s="35"/>
      <c r="H1694" s="34" t="str">
        <f t="shared" si="34"/>
        <v/>
      </c>
      <c r="I1694" s="32"/>
      <c r="J1694" s="32"/>
      <c r="K1694" s="34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32"/>
      <c r="G1695" s="35"/>
      <c r="H1695" s="34" t="str">
        <f t="shared" si="34"/>
        <v/>
      </c>
      <c r="I1695" s="32"/>
      <c r="J1695" s="32"/>
      <c r="K1695" s="34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32"/>
      <c r="G1696" s="35"/>
      <c r="H1696" s="34" t="str">
        <f t="shared" si="34"/>
        <v/>
      </c>
      <c r="I1696" s="32"/>
      <c r="J1696" s="32"/>
      <c r="K1696" s="34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32"/>
      <c r="G1697" s="35"/>
      <c r="H1697" s="34" t="str">
        <f t="shared" si="34"/>
        <v/>
      </c>
      <c r="I1697" s="32"/>
      <c r="J1697" s="32"/>
      <c r="K1697" s="34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32"/>
      <c r="G1698" s="35"/>
      <c r="H1698" s="34" t="str">
        <f t="shared" si="34"/>
        <v/>
      </c>
      <c r="I1698" s="32"/>
      <c r="J1698" s="32"/>
      <c r="K1698" s="34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32"/>
      <c r="G1699" s="35"/>
      <c r="H1699" s="34" t="str">
        <f t="shared" si="34"/>
        <v/>
      </c>
      <c r="I1699" s="32"/>
      <c r="J1699" s="32"/>
      <c r="K1699" s="34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32"/>
      <c r="G1700" s="35"/>
      <c r="H1700" s="34" t="str">
        <f t="shared" si="34"/>
        <v/>
      </c>
      <c r="I1700" s="32"/>
      <c r="J1700" s="32"/>
      <c r="K1700" s="34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32"/>
      <c r="G1701" s="35"/>
      <c r="H1701" s="34" t="str">
        <f t="shared" si="34"/>
        <v/>
      </c>
      <c r="I1701" s="32"/>
      <c r="J1701" s="32"/>
      <c r="K1701" s="34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32"/>
      <c r="G1702" s="35"/>
      <c r="H1702" s="34" t="str">
        <f t="shared" si="34"/>
        <v/>
      </c>
      <c r="I1702" s="32"/>
      <c r="J1702" s="32"/>
      <c r="K1702" s="34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32"/>
      <c r="G1703" s="35"/>
      <c r="H1703" s="34" t="str">
        <f t="shared" si="34"/>
        <v/>
      </c>
      <c r="I1703" s="32"/>
      <c r="J1703" s="32"/>
      <c r="K1703" s="34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32"/>
      <c r="G1704" s="35"/>
      <c r="H1704" s="34" t="str">
        <f t="shared" si="34"/>
        <v/>
      </c>
      <c r="I1704" s="32"/>
      <c r="J1704" s="32"/>
      <c r="K1704" s="34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32"/>
      <c r="G1705" s="35"/>
      <c r="H1705" s="34" t="str">
        <f t="shared" si="34"/>
        <v/>
      </c>
      <c r="I1705" s="32"/>
      <c r="J1705" s="32"/>
      <c r="K1705" s="34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32"/>
      <c r="G1706" s="35"/>
      <c r="H1706" s="34" t="str">
        <f t="shared" si="34"/>
        <v/>
      </c>
      <c r="I1706" s="32"/>
      <c r="J1706" s="32"/>
      <c r="K1706" s="34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32"/>
      <c r="G1707" s="35"/>
      <c r="H1707" s="34" t="str">
        <f t="shared" si="34"/>
        <v/>
      </c>
      <c r="I1707" s="32"/>
      <c r="J1707" s="32"/>
      <c r="K1707" s="34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32"/>
      <c r="G1708" s="35"/>
      <c r="H1708" s="34" t="str">
        <f t="shared" si="34"/>
        <v/>
      </c>
      <c r="I1708" s="32"/>
      <c r="J1708" s="32"/>
      <c r="K1708" s="34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32"/>
      <c r="G1709" s="35"/>
      <c r="H1709" s="34" t="str">
        <f t="shared" si="34"/>
        <v/>
      </c>
      <c r="I1709" s="32"/>
      <c r="J1709" s="32"/>
      <c r="K1709" s="34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32"/>
      <c r="G1710" s="35"/>
      <c r="H1710" s="34" t="str">
        <f t="shared" si="34"/>
        <v/>
      </c>
      <c r="I1710" s="32"/>
      <c r="J1710" s="32"/>
      <c r="K1710" s="34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32"/>
      <c r="G1711" s="35"/>
      <c r="H1711" s="34" t="str">
        <f t="shared" si="34"/>
        <v/>
      </c>
      <c r="I1711" s="32"/>
      <c r="J1711" s="32"/>
      <c r="K1711" s="34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32"/>
      <c r="G1712" s="35"/>
      <c r="H1712" s="34" t="str">
        <f t="shared" si="34"/>
        <v/>
      </c>
      <c r="I1712" s="32"/>
      <c r="J1712" s="32"/>
      <c r="K1712" s="34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32"/>
      <c r="G1713" s="35"/>
      <c r="H1713" s="34" t="str">
        <f t="shared" si="34"/>
        <v/>
      </c>
      <c r="I1713" s="32"/>
      <c r="J1713" s="32"/>
      <c r="K1713" s="34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32"/>
      <c r="G1714" s="35"/>
      <c r="H1714" s="34" t="str">
        <f t="shared" si="34"/>
        <v/>
      </c>
      <c r="I1714" s="32"/>
      <c r="J1714" s="32"/>
      <c r="K1714" s="34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32"/>
      <c r="G1715" s="35"/>
      <c r="H1715" s="34" t="str">
        <f t="shared" si="34"/>
        <v/>
      </c>
      <c r="I1715" s="32"/>
      <c r="J1715" s="32"/>
      <c r="K1715" s="34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32"/>
      <c r="G1716" s="35"/>
      <c r="H1716" s="34" t="str">
        <f t="shared" si="34"/>
        <v/>
      </c>
      <c r="I1716" s="32"/>
      <c r="J1716" s="32"/>
      <c r="K1716" s="34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32"/>
      <c r="G1717" s="35"/>
      <c r="H1717" s="34" t="str">
        <f t="shared" si="34"/>
        <v/>
      </c>
      <c r="I1717" s="32"/>
      <c r="J1717" s="32"/>
      <c r="K1717" s="34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32"/>
      <c r="G1718" s="35"/>
      <c r="H1718" s="34" t="str">
        <f t="shared" si="34"/>
        <v/>
      </c>
      <c r="I1718" s="32"/>
      <c r="J1718" s="32"/>
      <c r="K1718" s="34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32"/>
      <c r="G1719" s="35"/>
      <c r="H1719" s="34" t="str">
        <f t="shared" si="34"/>
        <v/>
      </c>
      <c r="I1719" s="32"/>
      <c r="J1719" s="32"/>
      <c r="K1719" s="34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32"/>
      <c r="G1720" s="35"/>
      <c r="H1720" s="34" t="str">
        <f t="shared" si="34"/>
        <v/>
      </c>
      <c r="I1720" s="32"/>
      <c r="J1720" s="32"/>
      <c r="K1720" s="34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32"/>
      <c r="G1721" s="35"/>
      <c r="H1721" s="34" t="str">
        <f t="shared" si="34"/>
        <v/>
      </c>
      <c r="I1721" s="32"/>
      <c r="J1721" s="32"/>
      <c r="K1721" s="34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32"/>
      <c r="G1722" s="35"/>
      <c r="H1722" s="34" t="str">
        <f t="shared" si="34"/>
        <v/>
      </c>
      <c r="I1722" s="32"/>
      <c r="J1722" s="32"/>
      <c r="K1722" s="34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32"/>
      <c r="G1723" s="35"/>
      <c r="H1723" s="34" t="str">
        <f t="shared" si="34"/>
        <v/>
      </c>
      <c r="I1723" s="32"/>
      <c r="J1723" s="32"/>
      <c r="K1723" s="34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32"/>
      <c r="G1724" s="35"/>
      <c r="H1724" s="34" t="str">
        <f t="shared" si="34"/>
        <v/>
      </c>
      <c r="I1724" s="32"/>
      <c r="J1724" s="32"/>
      <c r="K1724" s="34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32"/>
      <c r="G1725" s="35"/>
      <c r="H1725" s="34" t="str">
        <f t="shared" si="34"/>
        <v/>
      </c>
      <c r="I1725" s="32"/>
      <c r="J1725" s="32"/>
      <c r="K1725" s="34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32"/>
      <c r="G1726" s="35"/>
      <c r="H1726" s="34" t="str">
        <f t="shared" si="34"/>
        <v/>
      </c>
      <c r="I1726" s="32"/>
      <c r="J1726" s="32"/>
      <c r="K1726" s="34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32"/>
      <c r="G1727" s="35"/>
      <c r="H1727" s="34" t="str">
        <f t="shared" si="34"/>
        <v/>
      </c>
      <c r="I1727" s="32"/>
      <c r="J1727" s="32"/>
      <c r="K1727" s="34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32"/>
      <c r="G1728" s="35"/>
      <c r="H1728" s="34" t="str">
        <f t="shared" si="34"/>
        <v/>
      </c>
      <c r="I1728" s="32"/>
      <c r="J1728" s="32"/>
      <c r="K1728" s="34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32"/>
      <c r="G1729" s="35"/>
      <c r="H1729" s="34" t="str">
        <f t="shared" si="34"/>
        <v/>
      </c>
      <c r="I1729" s="32"/>
      <c r="J1729" s="32"/>
      <c r="K1729" s="34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32"/>
      <c r="G1730" s="35"/>
      <c r="H1730" s="34" t="str">
        <f t="shared" ref="H1730:H1793" si="35">IF(AND($F1730="TEMP",$G1730&gt;0,$M1730&lt;&gt;""),$M1730+$G1730,"")</f>
        <v/>
      </c>
      <c r="I1730" s="32"/>
      <c r="J1730" s="32"/>
      <c r="K1730" s="34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32"/>
      <c r="G1731" s="35"/>
      <c r="H1731" s="34" t="str">
        <f t="shared" si="35"/>
        <v/>
      </c>
      <c r="I1731" s="32"/>
      <c r="J1731" s="32"/>
      <c r="K1731" s="34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32"/>
      <c r="G1732" s="35"/>
      <c r="H1732" s="34" t="str">
        <f t="shared" si="35"/>
        <v/>
      </c>
      <c r="I1732" s="32"/>
      <c r="J1732" s="32"/>
      <c r="K1732" s="34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32"/>
      <c r="G1733" s="35"/>
      <c r="H1733" s="34" t="str">
        <f t="shared" si="35"/>
        <v/>
      </c>
      <c r="I1733" s="32"/>
      <c r="J1733" s="32"/>
      <c r="K1733" s="34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32"/>
      <c r="G1734" s="35"/>
      <c r="H1734" s="34" t="str">
        <f t="shared" si="35"/>
        <v/>
      </c>
      <c r="I1734" s="32"/>
      <c r="J1734" s="32"/>
      <c r="K1734" s="34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32"/>
      <c r="G1735" s="35"/>
      <c r="H1735" s="34" t="str">
        <f t="shared" si="35"/>
        <v/>
      </c>
      <c r="I1735" s="32"/>
      <c r="J1735" s="32"/>
      <c r="K1735" s="34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32"/>
      <c r="G1736" s="35"/>
      <c r="H1736" s="34" t="str">
        <f t="shared" si="35"/>
        <v/>
      </c>
      <c r="I1736" s="32"/>
      <c r="J1736" s="32"/>
      <c r="K1736" s="34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32"/>
      <c r="G1737" s="35"/>
      <c r="H1737" s="34" t="str">
        <f t="shared" si="35"/>
        <v/>
      </c>
      <c r="I1737" s="32"/>
      <c r="J1737" s="32"/>
      <c r="K1737" s="34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32"/>
      <c r="G1738" s="35"/>
      <c r="H1738" s="34" t="str">
        <f t="shared" si="35"/>
        <v/>
      </c>
      <c r="I1738" s="32"/>
      <c r="J1738" s="32"/>
      <c r="K1738" s="34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32"/>
      <c r="G1739" s="35"/>
      <c r="H1739" s="34" t="str">
        <f t="shared" si="35"/>
        <v/>
      </c>
      <c r="I1739" s="32"/>
      <c r="J1739" s="32"/>
      <c r="K1739" s="34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32"/>
      <c r="G1740" s="35"/>
      <c r="H1740" s="34" t="str">
        <f t="shared" si="35"/>
        <v/>
      </c>
      <c r="I1740" s="32"/>
      <c r="J1740" s="32"/>
      <c r="K1740" s="34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32"/>
      <c r="G1741" s="35"/>
      <c r="H1741" s="34" t="str">
        <f t="shared" si="35"/>
        <v/>
      </c>
      <c r="I1741" s="32"/>
      <c r="J1741" s="32"/>
      <c r="K1741" s="34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32"/>
      <c r="G1742" s="35"/>
      <c r="H1742" s="34" t="str">
        <f t="shared" si="35"/>
        <v/>
      </c>
      <c r="I1742" s="32"/>
      <c r="J1742" s="32"/>
      <c r="K1742" s="34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32"/>
      <c r="G1743" s="35"/>
      <c r="H1743" s="34" t="str">
        <f t="shared" si="35"/>
        <v/>
      </c>
      <c r="I1743" s="32"/>
      <c r="J1743" s="32"/>
      <c r="K1743" s="34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32"/>
      <c r="G1744" s="35"/>
      <c r="H1744" s="34" t="str">
        <f t="shared" si="35"/>
        <v/>
      </c>
      <c r="I1744" s="32"/>
      <c r="J1744" s="32"/>
      <c r="K1744" s="34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32"/>
      <c r="G1745" s="35"/>
      <c r="H1745" s="34" t="str">
        <f t="shared" si="35"/>
        <v/>
      </c>
      <c r="I1745" s="32"/>
      <c r="J1745" s="32"/>
      <c r="K1745" s="34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32"/>
      <c r="G1746" s="35"/>
      <c r="H1746" s="34" t="str">
        <f t="shared" si="35"/>
        <v/>
      </c>
      <c r="I1746" s="32"/>
      <c r="J1746" s="32"/>
      <c r="K1746" s="34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32"/>
      <c r="G1747" s="35"/>
      <c r="H1747" s="34" t="str">
        <f t="shared" si="35"/>
        <v/>
      </c>
      <c r="I1747" s="32"/>
      <c r="J1747" s="32"/>
      <c r="K1747" s="34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32"/>
      <c r="G1748" s="35"/>
      <c r="H1748" s="34" t="str">
        <f t="shared" si="35"/>
        <v/>
      </c>
      <c r="I1748" s="32"/>
      <c r="J1748" s="32"/>
      <c r="K1748" s="34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32"/>
      <c r="G1749" s="35"/>
      <c r="H1749" s="34" t="str">
        <f t="shared" si="35"/>
        <v/>
      </c>
      <c r="I1749" s="32"/>
      <c r="J1749" s="32"/>
      <c r="K1749" s="34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32"/>
      <c r="G1750" s="35"/>
      <c r="H1750" s="34" t="str">
        <f t="shared" si="35"/>
        <v/>
      </c>
      <c r="I1750" s="32"/>
      <c r="J1750" s="32"/>
      <c r="K1750" s="34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32"/>
      <c r="G1751" s="35"/>
      <c r="H1751" s="34" t="str">
        <f t="shared" si="35"/>
        <v/>
      </c>
      <c r="I1751" s="32"/>
      <c r="J1751" s="32"/>
      <c r="K1751" s="34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32"/>
      <c r="G1752" s="35"/>
      <c r="H1752" s="34" t="str">
        <f t="shared" si="35"/>
        <v/>
      </c>
      <c r="I1752" s="32"/>
      <c r="J1752" s="32"/>
      <c r="K1752" s="34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32"/>
      <c r="G1753" s="35"/>
      <c r="H1753" s="34" t="str">
        <f t="shared" si="35"/>
        <v/>
      </c>
      <c r="I1753" s="32"/>
      <c r="J1753" s="32"/>
      <c r="K1753" s="34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32"/>
      <c r="G1754" s="35"/>
      <c r="H1754" s="34" t="str">
        <f t="shared" si="35"/>
        <v/>
      </c>
      <c r="I1754" s="32"/>
      <c r="J1754" s="32"/>
      <c r="K1754" s="34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32"/>
      <c r="G1755" s="35"/>
      <c r="H1755" s="34" t="str">
        <f t="shared" si="35"/>
        <v/>
      </c>
      <c r="I1755" s="32"/>
      <c r="J1755" s="32"/>
      <c r="K1755" s="34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32"/>
      <c r="G1756" s="35"/>
      <c r="H1756" s="34" t="str">
        <f t="shared" si="35"/>
        <v/>
      </c>
      <c r="I1756" s="32"/>
      <c r="J1756" s="32"/>
      <c r="K1756" s="34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32"/>
      <c r="G1757" s="35"/>
      <c r="H1757" s="34" t="str">
        <f t="shared" si="35"/>
        <v/>
      </c>
      <c r="I1757" s="32"/>
      <c r="J1757" s="32"/>
      <c r="K1757" s="34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32"/>
      <c r="G1758" s="35"/>
      <c r="H1758" s="34" t="str">
        <f t="shared" si="35"/>
        <v/>
      </c>
      <c r="I1758" s="32"/>
      <c r="J1758" s="32"/>
      <c r="K1758" s="34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32"/>
      <c r="G1759" s="35"/>
      <c r="H1759" s="34" t="str">
        <f t="shared" si="35"/>
        <v/>
      </c>
      <c r="I1759" s="32"/>
      <c r="J1759" s="32"/>
      <c r="K1759" s="34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32"/>
      <c r="G1760" s="35"/>
      <c r="H1760" s="34" t="str">
        <f t="shared" si="35"/>
        <v/>
      </c>
      <c r="I1760" s="32"/>
      <c r="J1760" s="32"/>
      <c r="K1760" s="34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32"/>
      <c r="G1761" s="35"/>
      <c r="H1761" s="34" t="str">
        <f t="shared" si="35"/>
        <v/>
      </c>
      <c r="I1761" s="32"/>
      <c r="J1761" s="32"/>
      <c r="K1761" s="34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32"/>
      <c r="G1762" s="35"/>
      <c r="H1762" s="34" t="str">
        <f t="shared" si="35"/>
        <v/>
      </c>
      <c r="I1762" s="32"/>
      <c r="J1762" s="32"/>
      <c r="K1762" s="34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32"/>
      <c r="G1763" s="35"/>
      <c r="H1763" s="34" t="str">
        <f t="shared" si="35"/>
        <v/>
      </c>
      <c r="I1763" s="32"/>
      <c r="J1763" s="32"/>
      <c r="K1763" s="34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32"/>
      <c r="G1764" s="35"/>
      <c r="H1764" s="34" t="str">
        <f t="shared" si="35"/>
        <v/>
      </c>
      <c r="I1764" s="32"/>
      <c r="J1764" s="32"/>
      <c r="K1764" s="34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32"/>
      <c r="G1765" s="35"/>
      <c r="H1765" s="34" t="str">
        <f t="shared" si="35"/>
        <v/>
      </c>
      <c r="I1765" s="32"/>
      <c r="J1765" s="32"/>
      <c r="K1765" s="34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32"/>
      <c r="G1766" s="35"/>
      <c r="H1766" s="34" t="str">
        <f t="shared" si="35"/>
        <v/>
      </c>
      <c r="I1766" s="32"/>
      <c r="J1766" s="32"/>
      <c r="K1766" s="34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32"/>
      <c r="G1767" s="35"/>
      <c r="H1767" s="34" t="str">
        <f t="shared" si="35"/>
        <v/>
      </c>
      <c r="I1767" s="32"/>
      <c r="J1767" s="32"/>
      <c r="K1767" s="34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32"/>
      <c r="G1768" s="35"/>
      <c r="H1768" s="34" t="str">
        <f t="shared" si="35"/>
        <v/>
      </c>
      <c r="I1768" s="32"/>
      <c r="J1768" s="32"/>
      <c r="K1768" s="34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32"/>
      <c r="G1769" s="35"/>
      <c r="H1769" s="34" t="str">
        <f t="shared" si="35"/>
        <v/>
      </c>
      <c r="I1769" s="32"/>
      <c r="J1769" s="32"/>
      <c r="K1769" s="34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32"/>
      <c r="G1770" s="35"/>
      <c r="H1770" s="34" t="str">
        <f t="shared" si="35"/>
        <v/>
      </c>
      <c r="I1770" s="32"/>
      <c r="J1770" s="32"/>
      <c r="K1770" s="34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32"/>
      <c r="G1771" s="35"/>
      <c r="H1771" s="34" t="str">
        <f t="shared" si="35"/>
        <v/>
      </c>
      <c r="I1771" s="32"/>
      <c r="J1771" s="32"/>
      <c r="K1771" s="34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32"/>
      <c r="G1772" s="35"/>
      <c r="H1772" s="34" t="str">
        <f t="shared" si="35"/>
        <v/>
      </c>
      <c r="I1772" s="32"/>
      <c r="J1772" s="32"/>
      <c r="K1772" s="34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32"/>
      <c r="G1773" s="35"/>
      <c r="H1773" s="34" t="str">
        <f t="shared" si="35"/>
        <v/>
      </c>
      <c r="I1773" s="32"/>
      <c r="J1773" s="32"/>
      <c r="K1773" s="34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32"/>
      <c r="G1774" s="35"/>
      <c r="H1774" s="34" t="str">
        <f t="shared" si="35"/>
        <v/>
      </c>
      <c r="I1774" s="32"/>
      <c r="J1774" s="32"/>
      <c r="K1774" s="34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32"/>
      <c r="G1775" s="35"/>
      <c r="H1775" s="34" t="str">
        <f t="shared" si="35"/>
        <v/>
      </c>
      <c r="I1775" s="32"/>
      <c r="J1775" s="32"/>
      <c r="K1775" s="34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32"/>
      <c r="G1776" s="35"/>
      <c r="H1776" s="34" t="str">
        <f t="shared" si="35"/>
        <v/>
      </c>
      <c r="I1776" s="32"/>
      <c r="J1776" s="32"/>
      <c r="K1776" s="34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32"/>
      <c r="G1777" s="35"/>
      <c r="H1777" s="34" t="str">
        <f t="shared" si="35"/>
        <v/>
      </c>
      <c r="I1777" s="32"/>
      <c r="J1777" s="32"/>
      <c r="K1777" s="34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32"/>
      <c r="G1778" s="35"/>
      <c r="H1778" s="34" t="str">
        <f t="shared" si="35"/>
        <v/>
      </c>
      <c r="I1778" s="32"/>
      <c r="J1778" s="32"/>
      <c r="K1778" s="34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32"/>
      <c r="G1779" s="35"/>
      <c r="H1779" s="34" t="str">
        <f t="shared" si="35"/>
        <v/>
      </c>
      <c r="I1779" s="32"/>
      <c r="J1779" s="32"/>
      <c r="K1779" s="34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32"/>
      <c r="G1780" s="35"/>
      <c r="H1780" s="34" t="str">
        <f t="shared" si="35"/>
        <v/>
      </c>
      <c r="I1780" s="32"/>
      <c r="J1780" s="32"/>
      <c r="K1780" s="34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32"/>
      <c r="G1781" s="35"/>
      <c r="H1781" s="34" t="str">
        <f t="shared" si="35"/>
        <v/>
      </c>
      <c r="I1781" s="32"/>
      <c r="J1781" s="32"/>
      <c r="K1781" s="34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32"/>
      <c r="G1782" s="35"/>
      <c r="H1782" s="34" t="str">
        <f t="shared" si="35"/>
        <v/>
      </c>
      <c r="I1782" s="32"/>
      <c r="J1782" s="32"/>
      <c r="K1782" s="34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32"/>
      <c r="G1783" s="35"/>
      <c r="H1783" s="34" t="str">
        <f t="shared" si="35"/>
        <v/>
      </c>
      <c r="I1783" s="32"/>
      <c r="J1783" s="32"/>
      <c r="K1783" s="34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32"/>
      <c r="G1784" s="35"/>
      <c r="H1784" s="34" t="str">
        <f t="shared" si="35"/>
        <v/>
      </c>
      <c r="I1784" s="32"/>
      <c r="J1784" s="32"/>
      <c r="K1784" s="34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32"/>
      <c r="G1785" s="35"/>
      <c r="H1785" s="34" t="str">
        <f t="shared" si="35"/>
        <v/>
      </c>
      <c r="I1785" s="32"/>
      <c r="J1785" s="32"/>
      <c r="K1785" s="34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32"/>
      <c r="G1786" s="35"/>
      <c r="H1786" s="34" t="str">
        <f t="shared" si="35"/>
        <v/>
      </c>
      <c r="I1786" s="32"/>
      <c r="J1786" s="32"/>
      <c r="K1786" s="34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32"/>
      <c r="G1787" s="35"/>
      <c r="H1787" s="34" t="str">
        <f t="shared" si="35"/>
        <v/>
      </c>
      <c r="I1787" s="32"/>
      <c r="J1787" s="32"/>
      <c r="K1787" s="34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32"/>
      <c r="G1788" s="35"/>
      <c r="H1788" s="34" t="str">
        <f t="shared" si="35"/>
        <v/>
      </c>
      <c r="I1788" s="32"/>
      <c r="J1788" s="32"/>
      <c r="K1788" s="34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32"/>
      <c r="G1789" s="35"/>
      <c r="H1789" s="34" t="str">
        <f t="shared" si="35"/>
        <v/>
      </c>
      <c r="I1789" s="32"/>
      <c r="J1789" s="32"/>
      <c r="K1789" s="34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32"/>
      <c r="G1790" s="35"/>
      <c r="H1790" s="34" t="str">
        <f t="shared" si="35"/>
        <v/>
      </c>
      <c r="I1790" s="32"/>
      <c r="J1790" s="32"/>
      <c r="K1790" s="34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32"/>
      <c r="G1791" s="35"/>
      <c r="H1791" s="34" t="str">
        <f t="shared" si="35"/>
        <v/>
      </c>
      <c r="I1791" s="32"/>
      <c r="J1791" s="32"/>
      <c r="K1791" s="34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32"/>
      <c r="G1792" s="35"/>
      <c r="H1792" s="34" t="str">
        <f t="shared" si="35"/>
        <v/>
      </c>
      <c r="I1792" s="32"/>
      <c r="J1792" s="32"/>
      <c r="K1792" s="34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32"/>
      <c r="G1793" s="35"/>
      <c r="H1793" s="34" t="str">
        <f t="shared" si="35"/>
        <v/>
      </c>
      <c r="I1793" s="32"/>
      <c r="J1793" s="32"/>
      <c r="K1793" s="34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32"/>
      <c r="G1794" s="35"/>
      <c r="H1794" s="34" t="str">
        <f t="shared" ref="H1794:H1857" si="36">IF(AND($F1794="TEMP",$G1794&gt;0,$M1794&lt;&gt;""),$M1794+$G1794,"")</f>
        <v/>
      </c>
      <c r="I1794" s="32"/>
      <c r="J1794" s="32"/>
      <c r="K1794" s="34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32"/>
      <c r="G1795" s="35"/>
      <c r="H1795" s="34" t="str">
        <f t="shared" si="36"/>
        <v/>
      </c>
      <c r="I1795" s="32"/>
      <c r="J1795" s="32"/>
      <c r="K1795" s="34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32"/>
      <c r="G1796" s="35"/>
      <c r="H1796" s="34" t="str">
        <f t="shared" si="36"/>
        <v/>
      </c>
      <c r="I1796" s="32"/>
      <c r="J1796" s="32"/>
      <c r="K1796" s="34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32"/>
      <c r="G1797" s="35"/>
      <c r="H1797" s="34" t="str">
        <f t="shared" si="36"/>
        <v/>
      </c>
      <c r="I1797" s="32"/>
      <c r="J1797" s="32"/>
      <c r="K1797" s="34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32"/>
      <c r="G1798" s="35"/>
      <c r="H1798" s="34" t="str">
        <f t="shared" si="36"/>
        <v/>
      </c>
      <c r="I1798" s="32"/>
      <c r="J1798" s="32"/>
      <c r="K1798" s="34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32"/>
      <c r="G1799" s="35"/>
      <c r="H1799" s="34" t="str">
        <f t="shared" si="36"/>
        <v/>
      </c>
      <c r="I1799" s="32"/>
      <c r="J1799" s="32"/>
      <c r="K1799" s="34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32"/>
      <c r="G1800" s="35"/>
      <c r="H1800" s="34" t="str">
        <f t="shared" si="36"/>
        <v/>
      </c>
      <c r="I1800" s="32"/>
      <c r="J1800" s="32"/>
      <c r="K1800" s="34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32"/>
      <c r="G1801" s="35"/>
      <c r="H1801" s="34" t="str">
        <f t="shared" si="36"/>
        <v/>
      </c>
      <c r="I1801" s="32"/>
      <c r="J1801" s="32"/>
      <c r="K1801" s="34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32"/>
      <c r="G1802" s="35"/>
      <c r="H1802" s="34" t="str">
        <f t="shared" si="36"/>
        <v/>
      </c>
      <c r="I1802" s="32"/>
      <c r="J1802" s="32"/>
      <c r="K1802" s="34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32"/>
      <c r="G1803" s="35"/>
      <c r="H1803" s="34" t="str">
        <f t="shared" si="36"/>
        <v/>
      </c>
      <c r="I1803" s="32"/>
      <c r="J1803" s="32"/>
      <c r="K1803" s="34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32"/>
      <c r="G1804" s="35"/>
      <c r="H1804" s="34" t="str">
        <f t="shared" si="36"/>
        <v/>
      </c>
      <c r="I1804" s="32"/>
      <c r="J1804" s="32"/>
      <c r="K1804" s="34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32"/>
      <c r="G1805" s="35"/>
      <c r="H1805" s="34" t="str">
        <f t="shared" si="36"/>
        <v/>
      </c>
      <c r="I1805" s="32"/>
      <c r="J1805" s="32"/>
      <c r="K1805" s="34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32"/>
      <c r="G1806" s="35"/>
      <c r="H1806" s="34" t="str">
        <f t="shared" si="36"/>
        <v/>
      </c>
      <c r="I1806" s="32"/>
      <c r="J1806" s="32"/>
      <c r="K1806" s="34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32"/>
      <c r="G1807" s="35"/>
      <c r="H1807" s="34" t="str">
        <f t="shared" si="36"/>
        <v/>
      </c>
      <c r="I1807" s="32"/>
      <c r="J1807" s="32"/>
      <c r="K1807" s="34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32"/>
      <c r="G1808" s="35"/>
      <c r="H1808" s="34" t="str">
        <f t="shared" si="36"/>
        <v/>
      </c>
      <c r="I1808" s="32"/>
      <c r="J1808" s="32"/>
      <c r="K1808" s="34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32"/>
      <c r="G1809" s="35"/>
      <c r="H1809" s="34" t="str">
        <f t="shared" si="36"/>
        <v/>
      </c>
      <c r="I1809" s="32"/>
      <c r="J1809" s="32"/>
      <c r="K1809" s="34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32"/>
      <c r="G1810" s="35"/>
      <c r="H1810" s="34" t="str">
        <f t="shared" si="36"/>
        <v/>
      </c>
      <c r="I1810" s="32"/>
      <c r="J1810" s="32"/>
      <c r="K1810" s="34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32"/>
      <c r="G1811" s="35"/>
      <c r="H1811" s="34" t="str">
        <f t="shared" si="36"/>
        <v/>
      </c>
      <c r="I1811" s="32"/>
      <c r="J1811" s="32"/>
      <c r="K1811" s="34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32"/>
      <c r="G1812" s="35"/>
      <c r="H1812" s="34" t="str">
        <f t="shared" si="36"/>
        <v/>
      </c>
      <c r="I1812" s="32"/>
      <c r="J1812" s="32"/>
      <c r="K1812" s="34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32"/>
      <c r="G1813" s="35"/>
      <c r="H1813" s="34" t="str">
        <f t="shared" si="36"/>
        <v/>
      </c>
      <c r="I1813" s="32"/>
      <c r="J1813" s="32"/>
      <c r="K1813" s="34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32"/>
      <c r="G1814" s="35"/>
      <c r="H1814" s="34" t="str">
        <f t="shared" si="36"/>
        <v/>
      </c>
      <c r="I1814" s="32"/>
      <c r="J1814" s="32"/>
      <c r="K1814" s="34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32"/>
      <c r="G1815" s="35"/>
      <c r="H1815" s="34" t="str">
        <f t="shared" si="36"/>
        <v/>
      </c>
      <c r="I1815" s="32"/>
      <c r="J1815" s="32"/>
      <c r="K1815" s="34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32"/>
      <c r="G1816" s="35"/>
      <c r="H1816" s="34" t="str">
        <f t="shared" si="36"/>
        <v/>
      </c>
      <c r="I1816" s="32"/>
      <c r="J1816" s="32"/>
      <c r="K1816" s="34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32"/>
      <c r="G1817" s="35"/>
      <c r="H1817" s="34" t="str">
        <f t="shared" si="36"/>
        <v/>
      </c>
      <c r="I1817" s="32"/>
      <c r="J1817" s="32"/>
      <c r="K1817" s="34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32"/>
      <c r="G1818" s="35"/>
      <c r="H1818" s="34" t="str">
        <f t="shared" si="36"/>
        <v/>
      </c>
      <c r="I1818" s="32"/>
      <c r="J1818" s="32"/>
      <c r="K1818" s="34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32"/>
      <c r="G1819" s="35"/>
      <c r="H1819" s="34" t="str">
        <f t="shared" si="36"/>
        <v/>
      </c>
      <c r="I1819" s="32"/>
      <c r="J1819" s="32"/>
      <c r="K1819" s="34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32"/>
      <c r="G1820" s="35"/>
      <c r="H1820" s="34" t="str">
        <f t="shared" si="36"/>
        <v/>
      </c>
      <c r="I1820" s="32"/>
      <c r="J1820" s="32"/>
      <c r="K1820" s="34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32"/>
      <c r="G1821" s="35"/>
      <c r="H1821" s="34" t="str">
        <f t="shared" si="36"/>
        <v/>
      </c>
      <c r="I1821" s="32"/>
      <c r="J1821" s="32"/>
      <c r="K1821" s="34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32"/>
      <c r="G1822" s="35"/>
      <c r="H1822" s="34" t="str">
        <f t="shared" si="36"/>
        <v/>
      </c>
      <c r="I1822" s="32"/>
      <c r="J1822" s="32"/>
      <c r="K1822" s="34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32"/>
      <c r="G1823" s="35"/>
      <c r="H1823" s="34" t="str">
        <f t="shared" si="36"/>
        <v/>
      </c>
      <c r="I1823" s="32"/>
      <c r="J1823" s="32"/>
      <c r="K1823" s="34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32"/>
      <c r="G1824" s="35"/>
      <c r="H1824" s="34" t="str">
        <f t="shared" si="36"/>
        <v/>
      </c>
      <c r="I1824" s="32"/>
      <c r="J1824" s="32"/>
      <c r="K1824" s="34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32"/>
      <c r="G1825" s="35"/>
      <c r="H1825" s="34" t="str">
        <f t="shared" si="36"/>
        <v/>
      </c>
      <c r="I1825" s="32"/>
      <c r="J1825" s="32"/>
      <c r="K1825" s="34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32"/>
      <c r="G1826" s="35"/>
      <c r="H1826" s="34" t="str">
        <f t="shared" si="36"/>
        <v/>
      </c>
      <c r="I1826" s="32"/>
      <c r="J1826" s="32"/>
      <c r="K1826" s="34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32"/>
      <c r="G1827" s="35"/>
      <c r="H1827" s="34" t="str">
        <f t="shared" si="36"/>
        <v/>
      </c>
      <c r="I1827" s="32"/>
      <c r="J1827" s="32"/>
      <c r="K1827" s="34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32"/>
      <c r="G1828" s="35"/>
      <c r="H1828" s="34" t="str">
        <f t="shared" si="36"/>
        <v/>
      </c>
      <c r="I1828" s="32"/>
      <c r="J1828" s="32"/>
      <c r="K1828" s="34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32"/>
      <c r="G1829" s="35"/>
      <c r="H1829" s="34" t="str">
        <f t="shared" si="36"/>
        <v/>
      </c>
      <c r="I1829" s="32"/>
      <c r="J1829" s="32"/>
      <c r="K1829" s="34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32"/>
      <c r="G1830" s="35"/>
      <c r="H1830" s="34" t="str">
        <f t="shared" si="36"/>
        <v/>
      </c>
      <c r="I1830" s="32"/>
      <c r="J1830" s="32"/>
      <c r="K1830" s="34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32"/>
      <c r="G1831" s="35"/>
      <c r="H1831" s="34" t="str">
        <f t="shared" si="36"/>
        <v/>
      </c>
      <c r="I1831" s="32"/>
      <c r="J1831" s="32"/>
      <c r="K1831" s="34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32"/>
      <c r="G1832" s="35"/>
      <c r="H1832" s="34" t="str">
        <f t="shared" si="36"/>
        <v/>
      </c>
      <c r="I1832" s="32"/>
      <c r="J1832" s="32"/>
      <c r="K1832" s="34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32"/>
      <c r="G1833" s="35"/>
      <c r="H1833" s="34" t="str">
        <f t="shared" si="36"/>
        <v/>
      </c>
      <c r="I1833" s="32"/>
      <c r="J1833" s="32"/>
      <c r="K1833" s="34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32"/>
      <c r="G1834" s="35"/>
      <c r="H1834" s="34" t="str">
        <f t="shared" si="36"/>
        <v/>
      </c>
      <c r="I1834" s="32"/>
      <c r="J1834" s="32"/>
      <c r="K1834" s="34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32"/>
      <c r="G1835" s="35"/>
      <c r="H1835" s="34" t="str">
        <f t="shared" si="36"/>
        <v/>
      </c>
      <c r="I1835" s="32"/>
      <c r="J1835" s="32"/>
      <c r="K1835" s="34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32"/>
      <c r="G1836" s="35"/>
      <c r="H1836" s="34" t="str">
        <f t="shared" si="36"/>
        <v/>
      </c>
      <c r="I1836" s="32"/>
      <c r="J1836" s="32"/>
      <c r="K1836" s="34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32"/>
      <c r="G1837" s="35"/>
      <c r="H1837" s="34" t="str">
        <f t="shared" si="36"/>
        <v/>
      </c>
      <c r="I1837" s="32"/>
      <c r="J1837" s="32"/>
      <c r="K1837" s="34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32"/>
      <c r="G1838" s="35"/>
      <c r="H1838" s="34" t="str">
        <f t="shared" si="36"/>
        <v/>
      </c>
      <c r="I1838" s="32"/>
      <c r="J1838" s="32"/>
      <c r="K1838" s="34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32"/>
      <c r="G1839" s="35"/>
      <c r="H1839" s="34" t="str">
        <f t="shared" si="36"/>
        <v/>
      </c>
      <c r="I1839" s="32"/>
      <c r="J1839" s="32"/>
      <c r="K1839" s="34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32"/>
      <c r="G1840" s="35"/>
      <c r="H1840" s="34" t="str">
        <f t="shared" si="36"/>
        <v/>
      </c>
      <c r="I1840" s="32"/>
      <c r="J1840" s="32"/>
      <c r="K1840" s="34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32"/>
      <c r="G1841" s="35"/>
      <c r="H1841" s="34" t="str">
        <f t="shared" si="36"/>
        <v/>
      </c>
      <c r="I1841" s="32"/>
      <c r="J1841" s="32"/>
      <c r="K1841" s="34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32"/>
      <c r="G1842" s="35"/>
      <c r="H1842" s="34" t="str">
        <f t="shared" si="36"/>
        <v/>
      </c>
      <c r="I1842" s="32"/>
      <c r="J1842" s="32"/>
      <c r="K1842" s="34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32"/>
      <c r="G1843" s="35"/>
      <c r="H1843" s="34" t="str">
        <f t="shared" si="36"/>
        <v/>
      </c>
      <c r="I1843" s="32"/>
      <c r="J1843" s="32"/>
      <c r="K1843" s="34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32"/>
      <c r="G1844" s="35"/>
      <c r="H1844" s="34" t="str">
        <f t="shared" si="36"/>
        <v/>
      </c>
      <c r="I1844" s="32"/>
      <c r="J1844" s="32"/>
      <c r="K1844" s="34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32"/>
      <c r="G1845" s="35"/>
      <c r="H1845" s="34" t="str">
        <f t="shared" si="36"/>
        <v/>
      </c>
      <c r="I1845" s="32"/>
      <c r="J1845" s="32"/>
      <c r="K1845" s="34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32"/>
      <c r="G1846" s="35"/>
      <c r="H1846" s="34" t="str">
        <f t="shared" si="36"/>
        <v/>
      </c>
      <c r="I1846" s="32"/>
      <c r="J1846" s="32"/>
      <c r="K1846" s="34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32"/>
      <c r="G1847" s="35"/>
      <c r="H1847" s="34" t="str">
        <f t="shared" si="36"/>
        <v/>
      </c>
      <c r="I1847" s="32"/>
      <c r="J1847" s="32"/>
      <c r="K1847" s="34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32"/>
      <c r="G1848" s="35"/>
      <c r="H1848" s="34" t="str">
        <f t="shared" si="36"/>
        <v/>
      </c>
      <c r="I1848" s="32"/>
      <c r="J1848" s="32"/>
      <c r="K1848" s="34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32"/>
      <c r="G1849" s="35"/>
      <c r="H1849" s="34" t="str">
        <f t="shared" si="36"/>
        <v/>
      </c>
      <c r="I1849" s="32"/>
      <c r="J1849" s="32"/>
      <c r="K1849" s="34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32"/>
      <c r="G1850" s="35"/>
      <c r="H1850" s="34" t="str">
        <f t="shared" si="36"/>
        <v/>
      </c>
      <c r="I1850" s="32"/>
      <c r="J1850" s="32"/>
      <c r="K1850" s="34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32"/>
      <c r="G1851" s="35"/>
      <c r="H1851" s="34" t="str">
        <f t="shared" si="36"/>
        <v/>
      </c>
      <c r="I1851" s="32"/>
      <c r="J1851" s="32"/>
      <c r="K1851" s="34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32"/>
      <c r="G1852" s="35"/>
      <c r="H1852" s="34" t="str">
        <f t="shared" si="36"/>
        <v/>
      </c>
      <c r="I1852" s="32"/>
      <c r="J1852" s="32"/>
      <c r="K1852" s="34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32"/>
      <c r="G1853" s="35"/>
      <c r="H1853" s="34" t="str">
        <f t="shared" si="36"/>
        <v/>
      </c>
      <c r="I1853" s="32"/>
      <c r="J1853" s="32"/>
      <c r="K1853" s="34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32"/>
      <c r="G1854" s="35"/>
      <c r="H1854" s="34" t="str">
        <f t="shared" si="36"/>
        <v/>
      </c>
      <c r="I1854" s="32"/>
      <c r="J1854" s="32"/>
      <c r="K1854" s="34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32"/>
      <c r="G1855" s="35"/>
      <c r="H1855" s="34" t="str">
        <f t="shared" si="36"/>
        <v/>
      </c>
      <c r="I1855" s="32"/>
      <c r="J1855" s="32"/>
      <c r="K1855" s="34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32"/>
      <c r="G1856" s="35"/>
      <c r="H1856" s="34" t="str">
        <f t="shared" si="36"/>
        <v/>
      </c>
      <c r="I1856" s="32"/>
      <c r="J1856" s="32"/>
      <c r="K1856" s="34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32"/>
      <c r="G1857" s="35"/>
      <c r="H1857" s="34" t="str">
        <f t="shared" si="36"/>
        <v/>
      </c>
      <c r="I1857" s="32"/>
      <c r="J1857" s="32"/>
      <c r="K1857" s="34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32"/>
      <c r="G1858" s="35"/>
      <c r="H1858" s="34" t="str">
        <f t="shared" ref="H1858:H1921" si="37">IF(AND($F1858="TEMP",$G1858&gt;0,$M1858&lt;&gt;""),$M1858+$G1858,"")</f>
        <v/>
      </c>
      <c r="I1858" s="32"/>
      <c r="J1858" s="32"/>
      <c r="K1858" s="34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32"/>
      <c r="G1859" s="35"/>
      <c r="H1859" s="34" t="str">
        <f t="shared" si="37"/>
        <v/>
      </c>
      <c r="I1859" s="32"/>
      <c r="J1859" s="32"/>
      <c r="K1859" s="34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32"/>
      <c r="G1860" s="35"/>
      <c r="H1860" s="34" t="str">
        <f t="shared" si="37"/>
        <v/>
      </c>
      <c r="I1860" s="32"/>
      <c r="J1860" s="32"/>
      <c r="K1860" s="34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32"/>
      <c r="G1861" s="35"/>
      <c r="H1861" s="34" t="str">
        <f t="shared" si="37"/>
        <v/>
      </c>
      <c r="I1861" s="32"/>
      <c r="J1861" s="32"/>
      <c r="K1861" s="34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32"/>
      <c r="G1862" s="35"/>
      <c r="H1862" s="34" t="str">
        <f t="shared" si="37"/>
        <v/>
      </c>
      <c r="I1862" s="32"/>
      <c r="J1862" s="32"/>
      <c r="K1862" s="34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32"/>
      <c r="G1863" s="35"/>
      <c r="H1863" s="34" t="str">
        <f t="shared" si="37"/>
        <v/>
      </c>
      <c r="I1863" s="32"/>
      <c r="J1863" s="32"/>
      <c r="K1863" s="34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32"/>
      <c r="G1864" s="35"/>
      <c r="H1864" s="34" t="str">
        <f t="shared" si="37"/>
        <v/>
      </c>
      <c r="I1864" s="32"/>
      <c r="J1864" s="32"/>
      <c r="K1864" s="34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32"/>
      <c r="G1865" s="35"/>
      <c r="H1865" s="34" t="str">
        <f t="shared" si="37"/>
        <v/>
      </c>
      <c r="I1865" s="32"/>
      <c r="J1865" s="32"/>
      <c r="K1865" s="34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32"/>
      <c r="G1866" s="35"/>
      <c r="H1866" s="34" t="str">
        <f t="shared" si="37"/>
        <v/>
      </c>
      <c r="I1866" s="32"/>
      <c r="J1866" s="32"/>
      <c r="K1866" s="34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32"/>
      <c r="G1867" s="35"/>
      <c r="H1867" s="34" t="str">
        <f t="shared" si="37"/>
        <v/>
      </c>
      <c r="I1867" s="32"/>
      <c r="J1867" s="32"/>
      <c r="K1867" s="34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32"/>
      <c r="G1868" s="35"/>
      <c r="H1868" s="34" t="str">
        <f t="shared" si="37"/>
        <v/>
      </c>
      <c r="I1868" s="32"/>
      <c r="J1868" s="32"/>
      <c r="K1868" s="34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32"/>
      <c r="G1869" s="35"/>
      <c r="H1869" s="34" t="str">
        <f t="shared" si="37"/>
        <v/>
      </c>
      <c r="I1869" s="32"/>
      <c r="J1869" s="32"/>
      <c r="K1869" s="34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32"/>
      <c r="G1870" s="35"/>
      <c r="H1870" s="34" t="str">
        <f t="shared" si="37"/>
        <v/>
      </c>
      <c r="I1870" s="32"/>
      <c r="J1870" s="32"/>
      <c r="K1870" s="34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32"/>
      <c r="G1871" s="35"/>
      <c r="H1871" s="34" t="str">
        <f t="shared" si="37"/>
        <v/>
      </c>
      <c r="I1871" s="32"/>
      <c r="J1871" s="32"/>
      <c r="K1871" s="34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32"/>
      <c r="G1872" s="35"/>
      <c r="H1872" s="34" t="str">
        <f t="shared" si="37"/>
        <v/>
      </c>
      <c r="I1872" s="32"/>
      <c r="J1872" s="32"/>
      <c r="K1872" s="34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32"/>
      <c r="G1873" s="35"/>
      <c r="H1873" s="34" t="str">
        <f t="shared" si="37"/>
        <v/>
      </c>
      <c r="I1873" s="32"/>
      <c r="J1873" s="32"/>
      <c r="K1873" s="34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32"/>
      <c r="G1874" s="35"/>
      <c r="H1874" s="34" t="str">
        <f t="shared" si="37"/>
        <v/>
      </c>
      <c r="I1874" s="32"/>
      <c r="J1874" s="32"/>
      <c r="K1874" s="34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32"/>
      <c r="G1875" s="35"/>
      <c r="H1875" s="34" t="str">
        <f t="shared" si="37"/>
        <v/>
      </c>
      <c r="I1875" s="32"/>
      <c r="J1875" s="32"/>
      <c r="K1875" s="34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32"/>
      <c r="G1876" s="35"/>
      <c r="H1876" s="34" t="str">
        <f t="shared" si="37"/>
        <v/>
      </c>
      <c r="I1876" s="32"/>
      <c r="J1876" s="32"/>
      <c r="K1876" s="34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32"/>
      <c r="G1877" s="35"/>
      <c r="H1877" s="34" t="str">
        <f t="shared" si="37"/>
        <v/>
      </c>
      <c r="I1877" s="32"/>
      <c r="J1877" s="32"/>
      <c r="K1877" s="34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32"/>
      <c r="G1878" s="35"/>
      <c r="H1878" s="34" t="str">
        <f t="shared" si="37"/>
        <v/>
      </c>
      <c r="I1878" s="32"/>
      <c r="J1878" s="32"/>
      <c r="K1878" s="34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32"/>
      <c r="G1879" s="35"/>
      <c r="H1879" s="34" t="str">
        <f t="shared" si="37"/>
        <v/>
      </c>
      <c r="I1879" s="32"/>
      <c r="J1879" s="32"/>
      <c r="K1879" s="34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32"/>
      <c r="G1880" s="35"/>
      <c r="H1880" s="34" t="str">
        <f t="shared" si="37"/>
        <v/>
      </c>
      <c r="I1880" s="32"/>
      <c r="J1880" s="32"/>
      <c r="K1880" s="34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32"/>
      <c r="G1881" s="35"/>
      <c r="H1881" s="34" t="str">
        <f t="shared" si="37"/>
        <v/>
      </c>
      <c r="I1881" s="32"/>
      <c r="J1881" s="32"/>
      <c r="K1881" s="34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32"/>
      <c r="G1882" s="35"/>
      <c r="H1882" s="34" t="str">
        <f t="shared" si="37"/>
        <v/>
      </c>
      <c r="I1882" s="32"/>
      <c r="J1882" s="32"/>
      <c r="K1882" s="34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32"/>
      <c r="G1883" s="35"/>
      <c r="H1883" s="34" t="str">
        <f t="shared" si="37"/>
        <v/>
      </c>
      <c r="I1883" s="32"/>
      <c r="J1883" s="32"/>
      <c r="K1883" s="34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32"/>
      <c r="G1884" s="35"/>
      <c r="H1884" s="34" t="str">
        <f t="shared" si="37"/>
        <v/>
      </c>
      <c r="I1884" s="32"/>
      <c r="J1884" s="32"/>
      <c r="K1884" s="34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32"/>
      <c r="G1885" s="35"/>
      <c r="H1885" s="34" t="str">
        <f t="shared" si="37"/>
        <v/>
      </c>
      <c r="I1885" s="32"/>
      <c r="J1885" s="32"/>
      <c r="K1885" s="34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32"/>
      <c r="G1886" s="35"/>
      <c r="H1886" s="34" t="str">
        <f t="shared" si="37"/>
        <v/>
      </c>
      <c r="I1886" s="32"/>
      <c r="J1886" s="32"/>
      <c r="K1886" s="34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32"/>
      <c r="G1887" s="35"/>
      <c r="H1887" s="34" t="str">
        <f t="shared" si="37"/>
        <v/>
      </c>
      <c r="I1887" s="32"/>
      <c r="J1887" s="32"/>
      <c r="K1887" s="34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32"/>
      <c r="G1888" s="35"/>
      <c r="H1888" s="34" t="str">
        <f t="shared" si="37"/>
        <v/>
      </c>
      <c r="I1888" s="32"/>
      <c r="J1888" s="32"/>
      <c r="K1888" s="34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32"/>
      <c r="G1889" s="35"/>
      <c r="H1889" s="34" t="str">
        <f t="shared" si="37"/>
        <v/>
      </c>
      <c r="I1889" s="32"/>
      <c r="J1889" s="32"/>
      <c r="K1889" s="34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32"/>
      <c r="G1890" s="35"/>
      <c r="H1890" s="34" t="str">
        <f t="shared" si="37"/>
        <v/>
      </c>
      <c r="I1890" s="32"/>
      <c r="J1890" s="32"/>
      <c r="K1890" s="34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32"/>
      <c r="G1891" s="35"/>
      <c r="H1891" s="34" t="str">
        <f t="shared" si="37"/>
        <v/>
      </c>
      <c r="I1891" s="32"/>
      <c r="J1891" s="32"/>
      <c r="K1891" s="34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32"/>
      <c r="G1892" s="35"/>
      <c r="H1892" s="34" t="str">
        <f t="shared" si="37"/>
        <v/>
      </c>
      <c r="I1892" s="32"/>
      <c r="J1892" s="32"/>
      <c r="K1892" s="34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32"/>
      <c r="G1893" s="35"/>
      <c r="H1893" s="34" t="str">
        <f t="shared" si="37"/>
        <v/>
      </c>
      <c r="I1893" s="32"/>
      <c r="J1893" s="32"/>
      <c r="K1893" s="34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32"/>
      <c r="G1894" s="35"/>
      <c r="H1894" s="34" t="str">
        <f t="shared" si="37"/>
        <v/>
      </c>
      <c r="I1894" s="32"/>
      <c r="J1894" s="32"/>
      <c r="K1894" s="34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32"/>
      <c r="G1895" s="35"/>
      <c r="H1895" s="34" t="str">
        <f t="shared" si="37"/>
        <v/>
      </c>
      <c r="I1895" s="32"/>
      <c r="J1895" s="32"/>
      <c r="K1895" s="34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32"/>
      <c r="G1896" s="35"/>
      <c r="H1896" s="34" t="str">
        <f t="shared" si="37"/>
        <v/>
      </c>
      <c r="I1896" s="32"/>
      <c r="J1896" s="32"/>
      <c r="K1896" s="34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32"/>
      <c r="G1897" s="35"/>
      <c r="H1897" s="34" t="str">
        <f t="shared" si="37"/>
        <v/>
      </c>
      <c r="I1897" s="32"/>
      <c r="J1897" s="32"/>
      <c r="K1897" s="34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32"/>
      <c r="G1898" s="35"/>
      <c r="H1898" s="34" t="str">
        <f t="shared" si="37"/>
        <v/>
      </c>
      <c r="I1898" s="32"/>
      <c r="J1898" s="32"/>
      <c r="K1898" s="34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32"/>
      <c r="G1899" s="35"/>
      <c r="H1899" s="34" t="str">
        <f t="shared" si="37"/>
        <v/>
      </c>
      <c r="I1899" s="32"/>
      <c r="J1899" s="32"/>
      <c r="K1899" s="34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32"/>
      <c r="G1900" s="35"/>
      <c r="H1900" s="34" t="str">
        <f t="shared" si="37"/>
        <v/>
      </c>
      <c r="I1900" s="32"/>
      <c r="J1900" s="32"/>
      <c r="K1900" s="34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32"/>
      <c r="G1901" s="35"/>
      <c r="H1901" s="34" t="str">
        <f t="shared" si="37"/>
        <v/>
      </c>
      <c r="I1901" s="32"/>
      <c r="J1901" s="32"/>
      <c r="K1901" s="34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32"/>
      <c r="G1902" s="35"/>
      <c r="H1902" s="34" t="str">
        <f t="shared" si="37"/>
        <v/>
      </c>
      <c r="I1902" s="32"/>
      <c r="J1902" s="32"/>
      <c r="K1902" s="34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32"/>
      <c r="G1903" s="35"/>
      <c r="H1903" s="34" t="str">
        <f t="shared" si="37"/>
        <v/>
      </c>
      <c r="I1903" s="32"/>
      <c r="J1903" s="32"/>
      <c r="K1903" s="34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32"/>
      <c r="G1904" s="35"/>
      <c r="H1904" s="34" t="str">
        <f t="shared" si="37"/>
        <v/>
      </c>
      <c r="I1904" s="32"/>
      <c r="J1904" s="32"/>
      <c r="K1904" s="34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32"/>
      <c r="G1905" s="35"/>
      <c r="H1905" s="34" t="str">
        <f t="shared" si="37"/>
        <v/>
      </c>
      <c r="I1905" s="32"/>
      <c r="J1905" s="32"/>
      <c r="K1905" s="34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32"/>
      <c r="G1906" s="35"/>
      <c r="H1906" s="34" t="str">
        <f t="shared" si="37"/>
        <v/>
      </c>
      <c r="I1906" s="32"/>
      <c r="J1906" s="32"/>
      <c r="K1906" s="34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32"/>
      <c r="G1907" s="35"/>
      <c r="H1907" s="34" t="str">
        <f t="shared" si="37"/>
        <v/>
      </c>
      <c r="I1907" s="32"/>
      <c r="J1907" s="32"/>
      <c r="K1907" s="34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32"/>
      <c r="G1908" s="35"/>
      <c r="H1908" s="34" t="str">
        <f t="shared" si="37"/>
        <v/>
      </c>
      <c r="I1908" s="32"/>
      <c r="J1908" s="32"/>
      <c r="K1908" s="34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32"/>
      <c r="G1909" s="35"/>
      <c r="H1909" s="34" t="str">
        <f t="shared" si="37"/>
        <v/>
      </c>
      <c r="I1909" s="32"/>
      <c r="J1909" s="32"/>
      <c r="K1909" s="34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32"/>
      <c r="G1910" s="35"/>
      <c r="H1910" s="34" t="str">
        <f t="shared" si="37"/>
        <v/>
      </c>
      <c r="I1910" s="32"/>
      <c r="J1910" s="32"/>
      <c r="K1910" s="34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32"/>
      <c r="G1911" s="35"/>
      <c r="H1911" s="34" t="str">
        <f t="shared" si="37"/>
        <v/>
      </c>
      <c r="I1911" s="32"/>
      <c r="J1911" s="32"/>
      <c r="K1911" s="34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32"/>
      <c r="G1912" s="35"/>
      <c r="H1912" s="34" t="str">
        <f t="shared" si="37"/>
        <v/>
      </c>
      <c r="I1912" s="32"/>
      <c r="J1912" s="32"/>
      <c r="K1912" s="34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32"/>
      <c r="G1913" s="35"/>
      <c r="H1913" s="34" t="str">
        <f t="shared" si="37"/>
        <v/>
      </c>
      <c r="I1913" s="32"/>
      <c r="J1913" s="32"/>
      <c r="K1913" s="34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32"/>
      <c r="G1914" s="35"/>
      <c r="H1914" s="34" t="str">
        <f t="shared" si="37"/>
        <v/>
      </c>
      <c r="I1914" s="32"/>
      <c r="J1914" s="32"/>
      <c r="K1914" s="34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32"/>
      <c r="G1915" s="35"/>
      <c r="H1915" s="34" t="str">
        <f t="shared" si="37"/>
        <v/>
      </c>
      <c r="I1915" s="32"/>
      <c r="J1915" s="32"/>
      <c r="K1915" s="34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32"/>
      <c r="G1916" s="35"/>
      <c r="H1916" s="34" t="str">
        <f t="shared" si="37"/>
        <v/>
      </c>
      <c r="I1916" s="32"/>
      <c r="J1916" s="32"/>
      <c r="K1916" s="34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32"/>
      <c r="G1917" s="35"/>
      <c r="H1917" s="34" t="str">
        <f t="shared" si="37"/>
        <v/>
      </c>
      <c r="I1917" s="32"/>
      <c r="J1917" s="32"/>
      <c r="K1917" s="34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32"/>
      <c r="G1918" s="35"/>
      <c r="H1918" s="34" t="str">
        <f t="shared" si="37"/>
        <v/>
      </c>
      <c r="I1918" s="32"/>
      <c r="J1918" s="32"/>
      <c r="K1918" s="34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32"/>
      <c r="G1919" s="35"/>
      <c r="H1919" s="34" t="str">
        <f t="shared" si="37"/>
        <v/>
      </c>
      <c r="I1919" s="32"/>
      <c r="J1919" s="32"/>
      <c r="K1919" s="34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32"/>
      <c r="G1920" s="35"/>
      <c r="H1920" s="34" t="str">
        <f t="shared" si="37"/>
        <v/>
      </c>
      <c r="I1920" s="32"/>
      <c r="J1920" s="32"/>
      <c r="K1920" s="34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32"/>
      <c r="G1921" s="35"/>
      <c r="H1921" s="34" t="str">
        <f t="shared" si="37"/>
        <v/>
      </c>
      <c r="I1921" s="32"/>
      <c r="J1921" s="32"/>
      <c r="K1921" s="34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32"/>
      <c r="G1922" s="35"/>
      <c r="H1922" s="34" t="str">
        <f t="shared" ref="H1922:H1985" si="38">IF(AND($F1922="TEMP",$G1922&gt;0,$M1922&lt;&gt;""),$M1922+$G1922,"")</f>
        <v/>
      </c>
      <c r="I1922" s="32"/>
      <c r="J1922" s="32"/>
      <c r="K1922" s="34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32"/>
      <c r="G1923" s="35"/>
      <c r="H1923" s="34" t="str">
        <f t="shared" si="38"/>
        <v/>
      </c>
      <c r="I1923" s="32"/>
      <c r="J1923" s="32"/>
      <c r="K1923" s="34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32"/>
      <c r="G1924" s="35"/>
      <c r="H1924" s="34" t="str">
        <f t="shared" si="38"/>
        <v/>
      </c>
      <c r="I1924" s="32"/>
      <c r="J1924" s="32"/>
      <c r="K1924" s="34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32"/>
      <c r="G1925" s="35"/>
      <c r="H1925" s="34" t="str">
        <f t="shared" si="38"/>
        <v/>
      </c>
      <c r="I1925" s="32"/>
      <c r="J1925" s="32"/>
      <c r="K1925" s="34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32"/>
      <c r="G1926" s="35"/>
      <c r="H1926" s="34" t="str">
        <f t="shared" si="38"/>
        <v/>
      </c>
      <c r="I1926" s="32"/>
      <c r="J1926" s="32"/>
      <c r="K1926" s="34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32"/>
      <c r="G1927" s="35"/>
      <c r="H1927" s="34" t="str">
        <f t="shared" si="38"/>
        <v/>
      </c>
      <c r="I1927" s="32"/>
      <c r="J1927" s="32"/>
      <c r="K1927" s="34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32"/>
      <c r="G1928" s="35"/>
      <c r="H1928" s="34" t="str">
        <f t="shared" si="38"/>
        <v/>
      </c>
      <c r="I1928" s="32"/>
      <c r="J1928" s="32"/>
      <c r="K1928" s="34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32"/>
      <c r="G1929" s="35"/>
      <c r="H1929" s="34" t="str">
        <f t="shared" si="38"/>
        <v/>
      </c>
      <c r="I1929" s="32"/>
      <c r="J1929" s="32"/>
      <c r="K1929" s="34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32"/>
      <c r="G1930" s="35"/>
      <c r="H1930" s="34" t="str">
        <f t="shared" si="38"/>
        <v/>
      </c>
      <c r="I1930" s="32"/>
      <c r="J1930" s="32"/>
      <c r="K1930" s="34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32"/>
      <c r="G1931" s="35"/>
      <c r="H1931" s="34" t="str">
        <f t="shared" si="38"/>
        <v/>
      </c>
      <c r="I1931" s="32"/>
      <c r="J1931" s="32"/>
      <c r="K1931" s="34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32"/>
      <c r="G1932" s="35"/>
      <c r="H1932" s="34" t="str">
        <f t="shared" si="38"/>
        <v/>
      </c>
      <c r="I1932" s="32"/>
      <c r="J1932" s="32"/>
      <c r="K1932" s="34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32"/>
      <c r="G1933" s="35"/>
      <c r="H1933" s="34" t="str">
        <f t="shared" si="38"/>
        <v/>
      </c>
      <c r="I1933" s="32"/>
      <c r="J1933" s="32"/>
      <c r="K1933" s="34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32"/>
      <c r="G1934" s="35"/>
      <c r="H1934" s="34" t="str">
        <f t="shared" si="38"/>
        <v/>
      </c>
      <c r="I1934" s="32"/>
      <c r="J1934" s="32"/>
      <c r="K1934" s="34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32"/>
      <c r="G1935" s="35"/>
      <c r="H1935" s="34" t="str">
        <f t="shared" si="38"/>
        <v/>
      </c>
      <c r="I1935" s="32"/>
      <c r="J1935" s="32"/>
      <c r="K1935" s="34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32"/>
      <c r="G1936" s="35"/>
      <c r="H1936" s="34" t="str">
        <f t="shared" si="38"/>
        <v/>
      </c>
      <c r="I1936" s="32"/>
      <c r="J1936" s="32"/>
      <c r="K1936" s="34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32"/>
      <c r="G1937" s="35"/>
      <c r="H1937" s="34" t="str">
        <f t="shared" si="38"/>
        <v/>
      </c>
      <c r="I1937" s="32"/>
      <c r="J1937" s="32"/>
      <c r="K1937" s="34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32"/>
      <c r="G1938" s="35"/>
      <c r="H1938" s="34" t="str">
        <f t="shared" si="38"/>
        <v/>
      </c>
      <c r="I1938" s="32"/>
      <c r="J1938" s="32"/>
      <c r="K1938" s="34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32"/>
      <c r="G1939" s="35"/>
      <c r="H1939" s="34" t="str">
        <f t="shared" si="38"/>
        <v/>
      </c>
      <c r="I1939" s="32"/>
      <c r="J1939" s="32"/>
      <c r="K1939" s="34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32"/>
      <c r="G1940" s="35"/>
      <c r="H1940" s="34" t="str">
        <f t="shared" si="38"/>
        <v/>
      </c>
      <c r="I1940" s="32"/>
      <c r="J1940" s="32"/>
      <c r="K1940" s="34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32"/>
      <c r="G1941" s="35"/>
      <c r="H1941" s="34" t="str">
        <f t="shared" si="38"/>
        <v/>
      </c>
      <c r="I1941" s="32"/>
      <c r="J1941" s="32"/>
      <c r="K1941" s="34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32"/>
      <c r="G1942" s="35"/>
      <c r="H1942" s="34" t="str">
        <f t="shared" si="38"/>
        <v/>
      </c>
      <c r="I1942" s="32"/>
      <c r="J1942" s="32"/>
      <c r="K1942" s="34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32"/>
      <c r="G1943" s="35"/>
      <c r="H1943" s="34" t="str">
        <f t="shared" si="38"/>
        <v/>
      </c>
      <c r="I1943" s="32"/>
      <c r="J1943" s="32"/>
      <c r="K1943" s="34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32"/>
      <c r="G1944" s="35"/>
      <c r="H1944" s="34" t="str">
        <f t="shared" si="38"/>
        <v/>
      </c>
      <c r="I1944" s="32"/>
      <c r="J1944" s="32"/>
      <c r="K1944" s="34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32"/>
      <c r="G1945" s="35"/>
      <c r="H1945" s="34" t="str">
        <f t="shared" si="38"/>
        <v/>
      </c>
      <c r="I1945" s="32"/>
      <c r="J1945" s="32"/>
      <c r="K1945" s="34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32"/>
      <c r="G1946" s="35"/>
      <c r="H1946" s="34" t="str">
        <f t="shared" si="38"/>
        <v/>
      </c>
      <c r="I1946" s="32"/>
      <c r="J1946" s="32"/>
      <c r="K1946" s="34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32"/>
      <c r="G1947" s="35"/>
      <c r="H1947" s="34" t="str">
        <f t="shared" si="38"/>
        <v/>
      </c>
      <c r="I1947" s="32"/>
      <c r="J1947" s="32"/>
      <c r="K1947" s="34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32"/>
      <c r="G1948" s="35"/>
      <c r="H1948" s="34" t="str">
        <f t="shared" si="38"/>
        <v/>
      </c>
      <c r="I1948" s="32"/>
      <c r="J1948" s="32"/>
      <c r="K1948" s="34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32"/>
      <c r="G1949" s="35"/>
      <c r="H1949" s="34" t="str">
        <f t="shared" si="38"/>
        <v/>
      </c>
      <c r="I1949" s="32"/>
      <c r="J1949" s="32"/>
      <c r="K1949" s="34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32"/>
      <c r="G1950" s="35"/>
      <c r="H1950" s="34" t="str">
        <f t="shared" si="38"/>
        <v/>
      </c>
      <c r="I1950" s="32"/>
      <c r="J1950" s="32"/>
      <c r="K1950" s="34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32"/>
      <c r="G1951" s="35"/>
      <c r="H1951" s="34" t="str">
        <f t="shared" si="38"/>
        <v/>
      </c>
      <c r="I1951" s="32"/>
      <c r="J1951" s="32"/>
      <c r="K1951" s="34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32"/>
      <c r="G1952" s="35"/>
      <c r="H1952" s="34" t="str">
        <f t="shared" si="38"/>
        <v/>
      </c>
      <c r="I1952" s="32"/>
      <c r="J1952" s="32"/>
      <c r="K1952" s="34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32"/>
      <c r="G1953" s="35"/>
      <c r="H1953" s="34" t="str">
        <f t="shared" si="38"/>
        <v/>
      </c>
      <c r="I1953" s="32"/>
      <c r="J1953" s="32"/>
      <c r="K1953" s="34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32"/>
      <c r="G1954" s="35"/>
      <c r="H1954" s="34" t="str">
        <f t="shared" si="38"/>
        <v/>
      </c>
      <c r="I1954" s="32"/>
      <c r="J1954" s="32"/>
      <c r="K1954" s="34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32"/>
      <c r="G1955" s="35"/>
      <c r="H1955" s="34" t="str">
        <f t="shared" si="38"/>
        <v/>
      </c>
      <c r="I1955" s="32"/>
      <c r="J1955" s="32"/>
      <c r="K1955" s="34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32"/>
      <c r="G1956" s="35"/>
      <c r="H1956" s="34" t="str">
        <f t="shared" si="38"/>
        <v/>
      </c>
      <c r="I1956" s="32"/>
      <c r="J1956" s="32"/>
      <c r="K1956" s="34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32"/>
      <c r="G1957" s="35"/>
      <c r="H1957" s="34" t="str">
        <f t="shared" si="38"/>
        <v/>
      </c>
      <c r="I1957" s="32"/>
      <c r="J1957" s="32"/>
      <c r="K1957" s="34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32"/>
      <c r="G1958" s="35"/>
      <c r="H1958" s="34" t="str">
        <f t="shared" si="38"/>
        <v/>
      </c>
      <c r="I1958" s="32"/>
      <c r="J1958" s="32"/>
      <c r="K1958" s="34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32"/>
      <c r="G1959" s="35"/>
      <c r="H1959" s="34" t="str">
        <f t="shared" si="38"/>
        <v/>
      </c>
      <c r="I1959" s="32"/>
      <c r="J1959" s="32"/>
      <c r="K1959" s="34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32"/>
      <c r="G1960" s="35"/>
      <c r="H1960" s="34" t="str">
        <f t="shared" si="38"/>
        <v/>
      </c>
      <c r="I1960" s="32"/>
      <c r="J1960" s="32"/>
      <c r="K1960" s="34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32"/>
      <c r="G1961" s="35"/>
      <c r="H1961" s="34" t="str">
        <f t="shared" si="38"/>
        <v/>
      </c>
      <c r="I1961" s="32"/>
      <c r="J1961" s="32"/>
      <c r="K1961" s="34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32"/>
      <c r="G1962" s="35"/>
      <c r="H1962" s="34" t="str">
        <f t="shared" si="38"/>
        <v/>
      </c>
      <c r="I1962" s="32"/>
      <c r="J1962" s="32"/>
      <c r="K1962" s="34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32"/>
      <c r="G1963" s="35"/>
      <c r="H1963" s="34" t="str">
        <f t="shared" si="38"/>
        <v/>
      </c>
      <c r="I1963" s="32"/>
      <c r="J1963" s="32"/>
      <c r="K1963" s="34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32"/>
      <c r="G1964" s="35"/>
      <c r="H1964" s="34" t="str">
        <f t="shared" si="38"/>
        <v/>
      </c>
      <c r="I1964" s="32"/>
      <c r="J1964" s="32"/>
      <c r="K1964" s="34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32"/>
      <c r="G1965" s="35"/>
      <c r="H1965" s="34" t="str">
        <f t="shared" si="38"/>
        <v/>
      </c>
      <c r="I1965" s="32"/>
      <c r="J1965" s="32"/>
      <c r="K1965" s="34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32"/>
      <c r="G1966" s="35"/>
      <c r="H1966" s="34" t="str">
        <f t="shared" si="38"/>
        <v/>
      </c>
      <c r="I1966" s="32"/>
      <c r="J1966" s="32"/>
      <c r="K1966" s="34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32"/>
      <c r="G1967" s="35"/>
      <c r="H1967" s="34" t="str">
        <f t="shared" si="38"/>
        <v/>
      </c>
      <c r="I1967" s="32"/>
      <c r="J1967" s="32"/>
      <c r="K1967" s="34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32"/>
      <c r="G1968" s="35"/>
      <c r="H1968" s="34" t="str">
        <f t="shared" si="38"/>
        <v/>
      </c>
      <c r="I1968" s="32"/>
      <c r="J1968" s="32"/>
      <c r="K1968" s="34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32"/>
      <c r="G1969" s="35"/>
      <c r="H1969" s="34" t="str">
        <f t="shared" si="38"/>
        <v/>
      </c>
      <c r="I1969" s="32"/>
      <c r="J1969" s="32"/>
      <c r="K1969" s="34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32"/>
      <c r="G1970" s="35"/>
      <c r="H1970" s="34" t="str">
        <f t="shared" si="38"/>
        <v/>
      </c>
      <c r="I1970" s="32"/>
      <c r="J1970" s="32"/>
      <c r="K1970" s="34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32"/>
      <c r="G1971" s="35"/>
      <c r="H1971" s="34" t="str">
        <f t="shared" si="38"/>
        <v/>
      </c>
      <c r="I1971" s="32"/>
      <c r="J1971" s="32"/>
      <c r="K1971" s="34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32"/>
      <c r="G1972" s="35"/>
      <c r="H1972" s="34" t="str">
        <f t="shared" si="38"/>
        <v/>
      </c>
      <c r="I1972" s="32"/>
      <c r="J1972" s="32"/>
      <c r="K1972" s="34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32"/>
      <c r="G1973" s="35"/>
      <c r="H1973" s="34" t="str">
        <f t="shared" si="38"/>
        <v/>
      </c>
      <c r="I1973" s="32"/>
      <c r="J1973" s="32"/>
      <c r="K1973" s="34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32"/>
      <c r="G1974" s="35"/>
      <c r="H1974" s="34" t="str">
        <f t="shared" si="38"/>
        <v/>
      </c>
      <c r="I1974" s="32"/>
      <c r="J1974" s="32"/>
      <c r="K1974" s="34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32"/>
      <c r="G1975" s="35"/>
      <c r="H1975" s="34" t="str">
        <f t="shared" si="38"/>
        <v/>
      </c>
      <c r="I1975" s="32"/>
      <c r="J1975" s="32"/>
      <c r="K1975" s="34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32"/>
      <c r="G1976" s="35"/>
      <c r="H1976" s="34" t="str">
        <f t="shared" si="38"/>
        <v/>
      </c>
      <c r="I1976" s="32"/>
      <c r="J1976" s="32"/>
      <c r="K1976" s="34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32"/>
      <c r="G1977" s="35"/>
      <c r="H1977" s="34" t="str">
        <f t="shared" si="38"/>
        <v/>
      </c>
      <c r="I1977" s="32"/>
      <c r="J1977" s="32"/>
      <c r="K1977" s="34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32"/>
      <c r="G1978" s="35"/>
      <c r="H1978" s="34" t="str">
        <f t="shared" si="38"/>
        <v/>
      </c>
      <c r="I1978" s="32"/>
      <c r="J1978" s="32"/>
      <c r="K1978" s="34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32"/>
      <c r="G1979" s="35"/>
      <c r="H1979" s="34" t="str">
        <f t="shared" si="38"/>
        <v/>
      </c>
      <c r="I1979" s="32"/>
      <c r="J1979" s="32"/>
      <c r="K1979" s="34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32"/>
      <c r="G1980" s="35"/>
      <c r="H1980" s="34" t="str">
        <f t="shared" si="38"/>
        <v/>
      </c>
      <c r="I1980" s="32"/>
      <c r="J1980" s="32"/>
      <c r="K1980" s="34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32"/>
      <c r="G1981" s="35"/>
      <c r="H1981" s="34" t="str">
        <f t="shared" si="38"/>
        <v/>
      </c>
      <c r="I1981" s="32"/>
      <c r="J1981" s="32"/>
      <c r="K1981" s="34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32"/>
      <c r="G1982" s="35"/>
      <c r="H1982" s="34" t="str">
        <f t="shared" si="38"/>
        <v/>
      </c>
      <c r="I1982" s="32"/>
      <c r="J1982" s="32"/>
      <c r="K1982" s="34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32"/>
      <c r="G1983" s="35"/>
      <c r="H1983" s="34" t="str">
        <f t="shared" si="38"/>
        <v/>
      </c>
      <c r="I1983" s="32"/>
      <c r="J1983" s="32"/>
      <c r="K1983" s="34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32"/>
      <c r="G1984" s="35"/>
      <c r="H1984" s="34" t="str">
        <f t="shared" si="38"/>
        <v/>
      </c>
      <c r="I1984" s="32"/>
      <c r="J1984" s="32"/>
      <c r="K1984" s="34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32"/>
      <c r="G1985" s="35"/>
      <c r="H1985" s="34" t="str">
        <f t="shared" si="38"/>
        <v/>
      </c>
      <c r="I1985" s="32"/>
      <c r="J1985" s="32"/>
      <c r="K1985" s="34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32"/>
      <c r="G1986" s="35"/>
      <c r="H1986" s="34" t="str">
        <f t="shared" ref="H1986:H2002" si="39">IF(AND($F1986="TEMP",$G1986&gt;0,$M1986&lt;&gt;""),$M1986+$G1986,"")</f>
        <v/>
      </c>
      <c r="I1986" s="32"/>
      <c r="J1986" s="32"/>
      <c r="K1986" s="34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32"/>
      <c r="G1987" s="35"/>
      <c r="H1987" s="34" t="str">
        <f t="shared" si="39"/>
        <v/>
      </c>
      <c r="I1987" s="32"/>
      <c r="J1987" s="32"/>
      <c r="K1987" s="34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32"/>
      <c r="G1988" s="35"/>
      <c r="H1988" s="34" t="str">
        <f t="shared" si="39"/>
        <v/>
      </c>
      <c r="I1988" s="32"/>
      <c r="J1988" s="32"/>
      <c r="K1988" s="34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32"/>
      <c r="G1989" s="35"/>
      <c r="H1989" s="34" t="str">
        <f t="shared" si="39"/>
        <v/>
      </c>
      <c r="I1989" s="32"/>
      <c r="J1989" s="32"/>
      <c r="K1989" s="34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32"/>
      <c r="G1990" s="35"/>
      <c r="H1990" s="34" t="str">
        <f t="shared" si="39"/>
        <v/>
      </c>
      <c r="I1990" s="32"/>
      <c r="J1990" s="32"/>
      <c r="K1990" s="34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32"/>
      <c r="G1991" s="35"/>
      <c r="H1991" s="34" t="str">
        <f t="shared" si="39"/>
        <v/>
      </c>
      <c r="I1991" s="32"/>
      <c r="J1991" s="32"/>
      <c r="K1991" s="34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32"/>
      <c r="G1992" s="35"/>
      <c r="H1992" s="34" t="str">
        <f t="shared" si="39"/>
        <v/>
      </c>
      <c r="I1992" s="32"/>
      <c r="J1992" s="32"/>
      <c r="K1992" s="34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32"/>
      <c r="G1993" s="35"/>
      <c r="H1993" s="34" t="str">
        <f t="shared" si="39"/>
        <v/>
      </c>
      <c r="I1993" s="32"/>
      <c r="J1993" s="32"/>
      <c r="K1993" s="34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32"/>
      <c r="G1994" s="35"/>
      <c r="H1994" s="34" t="str">
        <f t="shared" si="39"/>
        <v/>
      </c>
      <c r="I1994" s="32"/>
      <c r="J1994" s="32"/>
      <c r="K1994" s="34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32"/>
      <c r="G1995" s="35"/>
      <c r="H1995" s="34" t="str">
        <f t="shared" si="39"/>
        <v/>
      </c>
      <c r="I1995" s="32"/>
      <c r="J1995" s="32"/>
      <c r="K1995" s="34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32"/>
      <c r="G1996" s="35"/>
      <c r="H1996" s="34" t="str">
        <f t="shared" si="39"/>
        <v/>
      </c>
      <c r="I1996" s="32"/>
      <c r="J1996" s="32"/>
      <c r="K1996" s="34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32"/>
      <c r="G1997" s="35"/>
      <c r="H1997" s="34" t="str">
        <f t="shared" si="39"/>
        <v/>
      </c>
      <c r="I1997" s="32"/>
      <c r="J1997" s="32"/>
      <c r="K1997" s="34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32"/>
      <c r="G1998" s="35"/>
      <c r="H1998" s="34" t="str">
        <f t="shared" si="39"/>
        <v/>
      </c>
      <c r="I1998" s="32"/>
      <c r="J1998" s="32"/>
      <c r="K1998" s="34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32"/>
      <c r="G1999" s="35"/>
      <c r="H1999" s="34" t="str">
        <f t="shared" si="39"/>
        <v/>
      </c>
      <c r="I1999" s="32"/>
      <c r="J1999" s="32"/>
      <c r="K1999" s="34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32"/>
      <c r="G2000" s="35"/>
      <c r="H2000" s="34" t="str">
        <f t="shared" si="39"/>
        <v/>
      </c>
      <c r="I2000" s="32"/>
      <c r="J2000" s="32"/>
      <c r="K2000" s="34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32"/>
      <c r="G2001" s="35"/>
      <c r="H2001" s="34" t="str">
        <f t="shared" si="39"/>
        <v/>
      </c>
      <c r="I2001" s="32"/>
      <c r="J2001" s="32"/>
      <c r="K2001" s="34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823</v>
      </c>
      <c r="B2002" s="32"/>
      <c r="D2002" t="str">
        <f>IF($C2002="","",IFERROR(LOOKUP(2,1/('03_Warehouse_Movements'!$C$2:$C$500=$A2002),'03_Warehouse_Movements'!$E$2:$E$500),$C2002))</f>
        <v/>
      </c>
      <c r="E2002" t="s">
        <v>219</v>
      </c>
      <c r="G2002" s="35"/>
      <c r="H2002" s="34" t="str">
        <f t="shared" si="39"/>
        <v/>
      </c>
      <c r="I2002" s="32"/>
      <c r="J2002" s="32"/>
      <c r="K2002" s="34"/>
      <c r="M2002" s="78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41" priority="3" stopIfTrue="1">
      <formula>AND(TRIM($A2)="",OR($B2&lt;&gt;"",$C2&lt;&gt;"",$D2&lt;&gt;"",$E2&lt;&gt;"",$I2&lt;&gt;"",$J2&lt;&gt;""))</formula>
    </cfRule>
    <cfRule type="expression" dxfId="40" priority="4">
      <formula>AND(TRIM($A2)&lt;&gt;"",NOT(AND(LEFT($A2,4)="PAL-",LEN($A2)=11,ISNUMBER(--MID($A2,5,7)))))</formula>
    </cfRule>
    <cfRule type="expression" dxfId="39" priority="5">
      <formula>AND(TRIM($A2)&lt;&gt;"",COUNTIF($A$2:$A$2002,$A2)&gt;1)</formula>
    </cfRule>
    <cfRule type="expression" dxfId="38" priority="6">
      <formula>AND(TRIM($A2)&lt;&gt;"",$C2&lt;&gt;"",$D2&lt;&gt;"",$D2&lt;&gt;"0",$C2&lt;&gt;$D2)</formula>
    </cfRule>
  </conditionalFormatting>
  <conditionalFormatting sqref="C8">
    <cfRule type="expression" dxfId="37" priority="1" stopIfTrue="1">
      <formula>AND(TRIM($A8)="",OR($B8&lt;&gt;"",$C8&lt;&gt;"",$D8&lt;&gt;"",$E8&lt;&gt;"",$F8&lt;&gt;"",$I8&lt;&gt;""))</formula>
    </cfRule>
    <cfRule type="expression" dxfId="36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76" t="s">
        <v>824</v>
      </c>
      <c r="B1" s="76" t="s">
        <v>825</v>
      </c>
      <c r="C1" s="76" t="s">
        <v>826</v>
      </c>
      <c r="D1" s="76" t="s">
        <v>827</v>
      </c>
      <c r="E1" s="76" t="s">
        <v>828</v>
      </c>
      <c r="F1" s="76" t="s">
        <v>829</v>
      </c>
      <c r="G1" s="76" t="s">
        <v>197</v>
      </c>
      <c r="H1" s="76" t="s">
        <v>830</v>
      </c>
      <c r="I1" s="76" t="s">
        <v>21</v>
      </c>
      <c r="J1" s="48" t="s">
        <v>831</v>
      </c>
      <c r="K1" s="48" t="s">
        <v>832</v>
      </c>
      <c r="L1" s="48" t="s">
        <v>833</v>
      </c>
      <c r="M1" s="48" t="s">
        <v>834</v>
      </c>
      <c r="N1" s="48" t="s">
        <v>835</v>
      </c>
      <c r="O1" t="s">
        <v>836</v>
      </c>
      <c r="P1" t="s">
        <v>837</v>
      </c>
      <c r="Q1" t="s">
        <v>838</v>
      </c>
    </row>
    <row r="2" spans="1:17">
      <c r="A2" t="s">
        <v>226</v>
      </c>
      <c r="B2" t="s">
        <v>839</v>
      </c>
      <c r="E2" t="s">
        <v>840</v>
      </c>
      <c r="F2">
        <v>1</v>
      </c>
      <c r="G2">
        <v>0</v>
      </c>
      <c r="H2" t="str">
        <f t="shared" ref="H2:H33" si="0">A2</f>
        <v>STAGED</v>
      </c>
      <c r="I2" t="s">
        <v>841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842</v>
      </c>
      <c r="B3" t="s">
        <v>839</v>
      </c>
      <c r="E3" t="s">
        <v>843</v>
      </c>
      <c r="F3">
        <v>1</v>
      </c>
      <c r="G3">
        <v>0</v>
      </c>
      <c r="H3" t="str">
        <f t="shared" si="0"/>
        <v>STAGE_OUT</v>
      </c>
      <c r="I3" t="s">
        <v>844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845</v>
      </c>
      <c r="B4" t="s">
        <v>839</v>
      </c>
      <c r="E4" t="s">
        <v>846</v>
      </c>
      <c r="F4">
        <v>2</v>
      </c>
      <c r="G4">
        <v>0</v>
      </c>
      <c r="H4" t="str">
        <f t="shared" si="0"/>
        <v>QUARANTINE</v>
      </c>
      <c r="I4" t="s">
        <v>847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848</v>
      </c>
      <c r="B5" t="s">
        <v>849</v>
      </c>
      <c r="C5" t="s">
        <v>850</v>
      </c>
      <c r="D5" t="s">
        <v>851</v>
      </c>
      <c r="E5" t="s">
        <v>852</v>
      </c>
      <c r="F5">
        <v>1</v>
      </c>
      <c r="G5">
        <v>2</v>
      </c>
      <c r="H5" t="str">
        <f t="shared" si="0"/>
        <v>Z1</v>
      </c>
      <c r="I5" t="s">
        <v>853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854</v>
      </c>
      <c r="B6" t="s">
        <v>849</v>
      </c>
      <c r="C6" t="s">
        <v>855</v>
      </c>
      <c r="D6">
        <v>1</v>
      </c>
      <c r="E6" t="s">
        <v>856</v>
      </c>
      <c r="F6">
        <v>4</v>
      </c>
      <c r="G6">
        <v>2</v>
      </c>
      <c r="H6" t="str">
        <f t="shared" si="0"/>
        <v>A</v>
      </c>
      <c r="I6" t="s">
        <v>857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858</v>
      </c>
      <c r="B7" t="s">
        <v>849</v>
      </c>
      <c r="C7" t="s">
        <v>855</v>
      </c>
      <c r="D7">
        <v>1</v>
      </c>
      <c r="E7" t="s">
        <v>856</v>
      </c>
      <c r="F7">
        <v>4</v>
      </c>
      <c r="G7">
        <v>2</v>
      </c>
      <c r="H7" t="str">
        <f t="shared" si="0"/>
        <v>Between rows segment 02</v>
      </c>
      <c r="I7" t="s">
        <v>859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860</v>
      </c>
      <c r="B8" t="s">
        <v>849</v>
      </c>
      <c r="C8" t="s">
        <v>850</v>
      </c>
      <c r="D8" t="s">
        <v>861</v>
      </c>
      <c r="E8" t="s">
        <v>862</v>
      </c>
      <c r="F8">
        <v>3</v>
      </c>
      <c r="G8">
        <v>7</v>
      </c>
      <c r="H8" t="str">
        <f t="shared" si="0"/>
        <v>01</v>
      </c>
      <c r="I8" t="s">
        <v>863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235</v>
      </c>
      <c r="B9" t="s">
        <v>864</v>
      </c>
      <c r="E9" t="s">
        <v>862</v>
      </c>
      <c r="F9">
        <v>3</v>
      </c>
      <c r="G9">
        <v>0</v>
      </c>
      <c r="H9" t="str">
        <f t="shared" si="0"/>
        <v>UNSAFE</v>
      </c>
      <c r="I9" t="s">
        <v>865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866</v>
      </c>
      <c r="B10" t="s">
        <v>849</v>
      </c>
      <c r="C10" t="s">
        <v>855</v>
      </c>
      <c r="D10">
        <v>1</v>
      </c>
      <c r="E10" t="s">
        <v>856</v>
      </c>
      <c r="F10">
        <v>4</v>
      </c>
      <c r="G10">
        <v>2</v>
      </c>
      <c r="H10" t="str">
        <f t="shared" si="0"/>
        <v>SAMPLE: Grid A03</v>
      </c>
      <c r="I10" t="s">
        <v>867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868</v>
      </c>
      <c r="B11" t="s">
        <v>849</v>
      </c>
      <c r="C11" t="s">
        <v>855</v>
      </c>
      <c r="D11">
        <v>1</v>
      </c>
      <c r="E11" t="s">
        <v>856</v>
      </c>
      <c r="F11">
        <v>4</v>
      </c>
      <c r="G11">
        <v>2</v>
      </c>
      <c r="H11" t="str">
        <f t="shared" si="0"/>
        <v>SAMPLE: Grid A04</v>
      </c>
      <c r="I11" t="s">
        <v>869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259</v>
      </c>
      <c r="B12" t="s">
        <v>849</v>
      </c>
      <c r="C12" t="s">
        <v>855</v>
      </c>
      <c r="D12">
        <v>1</v>
      </c>
      <c r="E12" t="s">
        <v>856</v>
      </c>
      <c r="F12">
        <v>4</v>
      </c>
      <c r="G12">
        <v>2</v>
      </c>
      <c r="H12" t="str">
        <f t="shared" si="0"/>
        <v>SAMPLE: Power Supplies</v>
      </c>
      <c r="I12" t="s">
        <v>870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262</v>
      </c>
      <c r="B13" t="s">
        <v>849</v>
      </c>
      <c r="C13" t="s">
        <v>855</v>
      </c>
      <c r="D13">
        <v>1</v>
      </c>
      <c r="E13" t="s">
        <v>856</v>
      </c>
      <c r="F13">
        <v>4</v>
      </c>
      <c r="G13">
        <v>2</v>
      </c>
      <c r="H13" t="str">
        <f t="shared" si="0"/>
        <v>SAMPLE: Imaging Equipment</v>
      </c>
      <c r="I13" t="s">
        <v>871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265</v>
      </c>
      <c r="B14" t="s">
        <v>849</v>
      </c>
      <c r="C14" t="s">
        <v>855</v>
      </c>
      <c r="D14">
        <v>1</v>
      </c>
      <c r="E14" t="s">
        <v>856</v>
      </c>
      <c r="F14">
        <v>4</v>
      </c>
      <c r="G14">
        <v>2</v>
      </c>
      <c r="H14" t="str">
        <f t="shared" si="0"/>
        <v>SAMPLE: Misc Hardware</v>
      </c>
      <c r="I14" t="s">
        <v>872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269</v>
      </c>
      <c r="B15" t="s">
        <v>849</v>
      </c>
      <c r="C15" t="s">
        <v>855</v>
      </c>
      <c r="D15">
        <v>1</v>
      </c>
      <c r="E15" t="s">
        <v>856</v>
      </c>
      <c r="F15">
        <v>4</v>
      </c>
      <c r="G15">
        <v>2</v>
      </c>
      <c r="H15" t="str">
        <f t="shared" si="0"/>
        <v>SAMPLE: Dell Devices</v>
      </c>
      <c r="I15" t="s">
        <v>873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272</v>
      </c>
      <c r="B16" t="s">
        <v>849</v>
      </c>
      <c r="C16" t="s">
        <v>855</v>
      </c>
      <c r="D16">
        <v>1</v>
      </c>
      <c r="E16" t="s">
        <v>856</v>
      </c>
      <c r="F16">
        <v>4</v>
      </c>
      <c r="G16">
        <v>2</v>
      </c>
      <c r="H16" t="str">
        <f t="shared" si="0"/>
        <v>PAL-0000013</v>
      </c>
      <c r="I16" t="s">
        <v>874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274</v>
      </c>
      <c r="B17" t="s">
        <v>849</v>
      </c>
      <c r="C17" t="s">
        <v>855</v>
      </c>
      <c r="D17">
        <v>1</v>
      </c>
      <c r="E17" t="s">
        <v>856</v>
      </c>
      <c r="F17">
        <v>4</v>
      </c>
      <c r="G17">
        <v>2</v>
      </c>
      <c r="H17" t="str">
        <f t="shared" si="0"/>
        <v>SAMPLE: Cables &amp; Adapters</v>
      </c>
      <c r="I17" t="s">
        <v>875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277</v>
      </c>
      <c r="B18" t="s">
        <v>849</v>
      </c>
      <c r="C18" t="s">
        <v>855</v>
      </c>
      <c r="D18">
        <v>1</v>
      </c>
      <c r="E18" t="s">
        <v>856</v>
      </c>
      <c r="F18">
        <v>4</v>
      </c>
      <c r="G18">
        <v>2</v>
      </c>
      <c r="H18" t="str">
        <f t="shared" si="0"/>
        <v>SAMPLE: Racks &amp; Rails</v>
      </c>
      <c r="I18" t="s">
        <v>876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281</v>
      </c>
      <c r="B19" t="s">
        <v>849</v>
      </c>
      <c r="C19" t="s">
        <v>855</v>
      </c>
      <c r="D19">
        <v>1</v>
      </c>
      <c r="E19" t="s">
        <v>856</v>
      </c>
      <c r="F19">
        <v>4</v>
      </c>
      <c r="G19">
        <v>2</v>
      </c>
      <c r="H19" t="str">
        <f t="shared" si="0"/>
        <v>SAMPLE: Networking Gear</v>
      </c>
      <c r="I19" t="s">
        <v>877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284</v>
      </c>
      <c r="B20" t="s">
        <v>849</v>
      </c>
      <c r="C20" t="s">
        <v>855</v>
      </c>
      <c r="D20">
        <v>1</v>
      </c>
      <c r="E20" t="s">
        <v>856</v>
      </c>
      <c r="F20">
        <v>4</v>
      </c>
      <c r="G20">
        <v>2</v>
      </c>
      <c r="H20" t="str">
        <f t="shared" si="0"/>
        <v>SAMPLE: Keyboards &amp; Mice</v>
      </c>
      <c r="I20" t="s">
        <v>878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287</v>
      </c>
      <c r="B21" t="s">
        <v>849</v>
      </c>
      <c r="C21" t="s">
        <v>855</v>
      </c>
      <c r="D21">
        <v>1</v>
      </c>
      <c r="E21" t="s">
        <v>856</v>
      </c>
      <c r="F21">
        <v>4</v>
      </c>
      <c r="G21">
        <v>2</v>
      </c>
      <c r="H21" t="str">
        <f t="shared" si="0"/>
        <v>SAMPLE: Spare Parts</v>
      </c>
      <c r="I21" t="s">
        <v>879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290</v>
      </c>
      <c r="B22" t="s">
        <v>849</v>
      </c>
      <c r="C22" t="s">
        <v>855</v>
      </c>
      <c r="D22">
        <v>1</v>
      </c>
      <c r="E22" t="s">
        <v>856</v>
      </c>
      <c r="F22">
        <v>4</v>
      </c>
      <c r="G22">
        <v>2</v>
      </c>
      <c r="H22" t="str">
        <f t="shared" si="0"/>
        <v>PAL-0000019</v>
      </c>
      <c r="I22" t="s">
        <v>880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292</v>
      </c>
      <c r="B23" t="s">
        <v>849</v>
      </c>
      <c r="C23" t="s">
        <v>855</v>
      </c>
      <c r="D23">
        <v>1</v>
      </c>
      <c r="E23" t="s">
        <v>856</v>
      </c>
      <c r="F23">
        <v>4</v>
      </c>
      <c r="G23">
        <v>2</v>
      </c>
      <c r="H23" t="str">
        <f t="shared" si="0"/>
        <v>PAL-0000020</v>
      </c>
      <c r="I23" t="s">
        <v>881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294</v>
      </c>
      <c r="B24" t="s">
        <v>849</v>
      </c>
      <c r="C24" t="s">
        <v>855</v>
      </c>
      <c r="D24">
        <v>1</v>
      </c>
      <c r="E24" t="s">
        <v>856</v>
      </c>
      <c r="F24">
        <v>4</v>
      </c>
      <c r="G24">
        <v>2</v>
      </c>
      <c r="H24" t="str">
        <f t="shared" si="0"/>
        <v>PAL-0000021</v>
      </c>
      <c r="I24" t="s">
        <v>882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296</v>
      </c>
      <c r="B25" t="s">
        <v>849</v>
      </c>
      <c r="C25" t="s">
        <v>855</v>
      </c>
      <c r="D25">
        <v>1</v>
      </c>
      <c r="E25" t="s">
        <v>856</v>
      </c>
      <c r="F25">
        <v>4</v>
      </c>
      <c r="G25">
        <v>2</v>
      </c>
      <c r="H25" t="str">
        <f t="shared" si="0"/>
        <v>PAL-0000022</v>
      </c>
      <c r="I25" t="s">
        <v>883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299</v>
      </c>
      <c r="B26" t="s">
        <v>849</v>
      </c>
      <c r="C26" t="s">
        <v>855</v>
      </c>
      <c r="D26">
        <v>1</v>
      </c>
      <c r="E26" t="s">
        <v>856</v>
      </c>
      <c r="F26">
        <v>4</v>
      </c>
      <c r="G26">
        <v>2</v>
      </c>
      <c r="H26" t="str">
        <f t="shared" si="0"/>
        <v>PAL-0000023</v>
      </c>
      <c r="I26" t="s">
        <v>884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301</v>
      </c>
      <c r="B27" t="s">
        <v>849</v>
      </c>
      <c r="C27" t="s">
        <v>855</v>
      </c>
      <c r="D27">
        <v>1</v>
      </c>
      <c r="E27" t="s">
        <v>856</v>
      </c>
      <c r="F27">
        <v>4</v>
      </c>
      <c r="G27">
        <v>2</v>
      </c>
      <c r="H27" t="str">
        <f t="shared" si="0"/>
        <v>PAL-0000024</v>
      </c>
      <c r="I27" t="s">
        <v>885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303</v>
      </c>
      <c r="B28" t="s">
        <v>849</v>
      </c>
      <c r="C28" t="s">
        <v>267</v>
      </c>
      <c r="D28">
        <v>1</v>
      </c>
      <c r="E28" t="s">
        <v>856</v>
      </c>
      <c r="F28">
        <v>4</v>
      </c>
      <c r="G28">
        <v>2</v>
      </c>
      <c r="H28" t="str">
        <f t="shared" si="0"/>
        <v>PAL-0000025</v>
      </c>
      <c r="I28" t="s">
        <v>886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305</v>
      </c>
      <c r="B29" t="s">
        <v>849</v>
      </c>
      <c r="C29" t="s">
        <v>267</v>
      </c>
      <c r="D29">
        <v>1</v>
      </c>
      <c r="E29" t="s">
        <v>856</v>
      </c>
      <c r="F29">
        <v>4</v>
      </c>
      <c r="G29">
        <v>2</v>
      </c>
      <c r="H29" t="str">
        <f t="shared" si="0"/>
        <v>PAL-0000026</v>
      </c>
      <c r="I29" t="s">
        <v>887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307</v>
      </c>
      <c r="B30" t="s">
        <v>849</v>
      </c>
      <c r="C30" t="s">
        <v>267</v>
      </c>
      <c r="D30">
        <v>1</v>
      </c>
      <c r="E30" t="s">
        <v>856</v>
      </c>
      <c r="F30">
        <v>4</v>
      </c>
      <c r="G30">
        <v>2</v>
      </c>
      <c r="H30" t="str">
        <f t="shared" si="0"/>
        <v>PAL-0000027</v>
      </c>
      <c r="I30" t="s">
        <v>888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309</v>
      </c>
      <c r="B31" t="s">
        <v>849</v>
      </c>
      <c r="C31" t="s">
        <v>267</v>
      </c>
      <c r="D31">
        <v>1</v>
      </c>
      <c r="E31" t="s">
        <v>856</v>
      </c>
      <c r="F31">
        <v>4</v>
      </c>
      <c r="G31">
        <v>2</v>
      </c>
      <c r="H31" t="str">
        <f t="shared" si="0"/>
        <v>PAL-0000028</v>
      </c>
      <c r="I31" t="s">
        <v>889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311</v>
      </c>
      <c r="B32" t="s">
        <v>849</v>
      </c>
      <c r="C32" t="s">
        <v>267</v>
      </c>
      <c r="D32">
        <v>1</v>
      </c>
      <c r="E32" t="s">
        <v>856</v>
      </c>
      <c r="F32">
        <v>4</v>
      </c>
      <c r="G32">
        <v>2</v>
      </c>
      <c r="H32" t="str">
        <f t="shared" si="0"/>
        <v>PAL-0000029</v>
      </c>
      <c r="I32" t="s">
        <v>890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314</v>
      </c>
      <c r="B33" t="s">
        <v>849</v>
      </c>
      <c r="C33" t="s">
        <v>267</v>
      </c>
      <c r="D33">
        <v>1</v>
      </c>
      <c r="E33" t="s">
        <v>856</v>
      </c>
      <c r="F33">
        <v>4</v>
      </c>
      <c r="G33">
        <v>2</v>
      </c>
      <c r="H33" t="str">
        <f t="shared" si="0"/>
        <v>PAL-0000030</v>
      </c>
      <c r="I33" t="s">
        <v>891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316</v>
      </c>
      <c r="B34" t="s">
        <v>849</v>
      </c>
      <c r="C34" t="s">
        <v>267</v>
      </c>
      <c r="D34">
        <v>1</v>
      </c>
      <c r="E34" t="s">
        <v>856</v>
      </c>
      <c r="F34">
        <v>4</v>
      </c>
      <c r="G34">
        <v>2</v>
      </c>
      <c r="H34" t="str">
        <f t="shared" ref="H34:H65" si="9">A34</f>
        <v>PAL-0000031</v>
      </c>
      <c r="I34" t="s">
        <v>892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318</v>
      </c>
      <c r="B35" t="s">
        <v>849</v>
      </c>
      <c r="C35" t="s">
        <v>267</v>
      </c>
      <c r="D35">
        <v>1</v>
      </c>
      <c r="E35" t="s">
        <v>856</v>
      </c>
      <c r="F35">
        <v>4</v>
      </c>
      <c r="G35">
        <v>2</v>
      </c>
      <c r="H35" t="str">
        <f t="shared" si="9"/>
        <v>PAL-0000032</v>
      </c>
      <c r="I35" t="s">
        <v>893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320</v>
      </c>
      <c r="B36" t="s">
        <v>849</v>
      </c>
      <c r="C36" t="s">
        <v>267</v>
      </c>
      <c r="D36">
        <v>1</v>
      </c>
      <c r="E36" t="s">
        <v>856</v>
      </c>
      <c r="F36">
        <v>4</v>
      </c>
      <c r="G36">
        <v>2</v>
      </c>
      <c r="H36" t="str">
        <f t="shared" si="9"/>
        <v>PAL-0000033</v>
      </c>
      <c r="I36" t="s">
        <v>894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322</v>
      </c>
      <c r="B37" t="s">
        <v>849</v>
      </c>
      <c r="C37" t="s">
        <v>267</v>
      </c>
      <c r="D37">
        <v>1</v>
      </c>
      <c r="E37" t="s">
        <v>856</v>
      </c>
      <c r="F37">
        <v>4</v>
      </c>
      <c r="G37">
        <v>2</v>
      </c>
      <c r="H37" t="str">
        <f t="shared" si="9"/>
        <v>PAL-0000034</v>
      </c>
      <c r="I37" t="s">
        <v>895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324</v>
      </c>
      <c r="B38" t="s">
        <v>849</v>
      </c>
      <c r="C38" t="s">
        <v>267</v>
      </c>
      <c r="D38">
        <v>1</v>
      </c>
      <c r="E38" t="s">
        <v>856</v>
      </c>
      <c r="F38">
        <v>4</v>
      </c>
      <c r="G38">
        <v>2</v>
      </c>
      <c r="H38" t="str">
        <f t="shared" si="9"/>
        <v>PAL-0000035</v>
      </c>
      <c r="I38" t="s">
        <v>896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326</v>
      </c>
      <c r="B39" t="s">
        <v>849</v>
      </c>
      <c r="C39" t="s">
        <v>267</v>
      </c>
      <c r="D39">
        <v>1</v>
      </c>
      <c r="E39" t="s">
        <v>856</v>
      </c>
      <c r="F39">
        <v>4</v>
      </c>
      <c r="G39">
        <v>2</v>
      </c>
      <c r="H39" t="str">
        <f t="shared" si="9"/>
        <v>PAL-0000036</v>
      </c>
      <c r="I39" t="s">
        <v>897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329</v>
      </c>
      <c r="B40" t="s">
        <v>849</v>
      </c>
      <c r="C40" t="s">
        <v>267</v>
      </c>
      <c r="D40">
        <v>1</v>
      </c>
      <c r="E40" t="s">
        <v>856</v>
      </c>
      <c r="F40">
        <v>4</v>
      </c>
      <c r="G40">
        <v>2</v>
      </c>
      <c r="H40" t="str">
        <f t="shared" si="9"/>
        <v>PAL-0000037</v>
      </c>
      <c r="I40" t="s">
        <v>898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331</v>
      </c>
      <c r="B41" t="s">
        <v>849</v>
      </c>
      <c r="C41" t="s">
        <v>267</v>
      </c>
      <c r="D41">
        <v>1</v>
      </c>
      <c r="E41" t="s">
        <v>856</v>
      </c>
      <c r="F41">
        <v>4</v>
      </c>
      <c r="G41">
        <v>2</v>
      </c>
      <c r="H41" t="str">
        <f t="shared" si="9"/>
        <v>PAL-0000038</v>
      </c>
      <c r="I41" t="s">
        <v>899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333</v>
      </c>
      <c r="B42" t="s">
        <v>849</v>
      </c>
      <c r="C42" t="s">
        <v>267</v>
      </c>
      <c r="D42">
        <v>1</v>
      </c>
      <c r="E42" t="s">
        <v>856</v>
      </c>
      <c r="F42">
        <v>4</v>
      </c>
      <c r="G42">
        <v>2</v>
      </c>
      <c r="H42" t="str">
        <f t="shared" si="9"/>
        <v>PAL-0000039</v>
      </c>
      <c r="I42" t="s">
        <v>900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335</v>
      </c>
      <c r="B43" t="s">
        <v>849</v>
      </c>
      <c r="C43" t="s">
        <v>267</v>
      </c>
      <c r="D43">
        <v>1</v>
      </c>
      <c r="E43" t="s">
        <v>856</v>
      </c>
      <c r="F43">
        <v>4</v>
      </c>
      <c r="G43">
        <v>2</v>
      </c>
      <c r="H43" t="str">
        <f t="shared" si="9"/>
        <v>PAL-0000040</v>
      </c>
      <c r="I43" t="s">
        <v>901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337</v>
      </c>
      <c r="B44" t="s">
        <v>849</v>
      </c>
      <c r="C44" t="s">
        <v>267</v>
      </c>
      <c r="D44">
        <v>1</v>
      </c>
      <c r="E44" t="s">
        <v>856</v>
      </c>
      <c r="F44">
        <v>4</v>
      </c>
      <c r="G44">
        <v>2</v>
      </c>
      <c r="H44" t="str">
        <f t="shared" si="9"/>
        <v>PAL-0000041</v>
      </c>
      <c r="I44" t="s">
        <v>902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339</v>
      </c>
      <c r="B45" t="s">
        <v>849</v>
      </c>
      <c r="C45" t="s">
        <v>267</v>
      </c>
      <c r="D45">
        <v>1</v>
      </c>
      <c r="E45" t="s">
        <v>856</v>
      </c>
      <c r="F45">
        <v>4</v>
      </c>
      <c r="G45">
        <v>2</v>
      </c>
      <c r="H45" t="str">
        <f t="shared" si="9"/>
        <v>PAL-0000042</v>
      </c>
      <c r="I45" t="s">
        <v>903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341</v>
      </c>
      <c r="B46" t="s">
        <v>849</v>
      </c>
      <c r="C46" t="s">
        <v>267</v>
      </c>
      <c r="D46">
        <v>1</v>
      </c>
      <c r="E46" t="s">
        <v>856</v>
      </c>
      <c r="F46">
        <v>4</v>
      </c>
      <c r="G46">
        <v>2</v>
      </c>
      <c r="H46" t="str">
        <f t="shared" si="9"/>
        <v>PAL-0000043</v>
      </c>
      <c r="I46" t="s">
        <v>904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344</v>
      </c>
      <c r="B47" t="s">
        <v>849</v>
      </c>
      <c r="C47" t="s">
        <v>267</v>
      </c>
      <c r="D47">
        <v>1</v>
      </c>
      <c r="E47" t="s">
        <v>856</v>
      </c>
      <c r="F47">
        <v>4</v>
      </c>
      <c r="G47">
        <v>2</v>
      </c>
      <c r="H47" t="str">
        <f t="shared" si="9"/>
        <v>PAL-0000044</v>
      </c>
      <c r="I47" t="s">
        <v>905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346</v>
      </c>
      <c r="B48" t="s">
        <v>849</v>
      </c>
      <c r="C48" t="s">
        <v>906</v>
      </c>
      <c r="D48">
        <v>1</v>
      </c>
      <c r="E48" t="s">
        <v>856</v>
      </c>
      <c r="F48">
        <v>4</v>
      </c>
      <c r="G48">
        <v>2</v>
      </c>
      <c r="H48" t="str">
        <f t="shared" si="9"/>
        <v>PAL-0000045</v>
      </c>
      <c r="I48" t="s">
        <v>907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348</v>
      </c>
      <c r="B49" t="s">
        <v>849</v>
      </c>
      <c r="C49" t="s">
        <v>906</v>
      </c>
      <c r="D49">
        <v>1</v>
      </c>
      <c r="E49" t="s">
        <v>856</v>
      </c>
      <c r="F49">
        <v>4</v>
      </c>
      <c r="G49">
        <v>2</v>
      </c>
      <c r="H49" t="str">
        <f t="shared" si="9"/>
        <v>PAL-0000046</v>
      </c>
      <c r="I49" t="s">
        <v>908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350</v>
      </c>
      <c r="B50" t="s">
        <v>849</v>
      </c>
      <c r="C50" t="s">
        <v>906</v>
      </c>
      <c r="D50">
        <v>1</v>
      </c>
      <c r="E50" t="s">
        <v>856</v>
      </c>
      <c r="F50">
        <v>4</v>
      </c>
      <c r="G50">
        <v>2</v>
      </c>
      <c r="H50" t="str">
        <f t="shared" si="9"/>
        <v>PAL-0000047</v>
      </c>
      <c r="I50" t="s">
        <v>909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352</v>
      </c>
      <c r="B51" t="s">
        <v>849</v>
      </c>
      <c r="C51" t="s">
        <v>906</v>
      </c>
      <c r="D51">
        <v>1</v>
      </c>
      <c r="E51" t="s">
        <v>856</v>
      </c>
      <c r="F51">
        <v>4</v>
      </c>
      <c r="G51">
        <v>2</v>
      </c>
      <c r="H51" t="str">
        <f t="shared" si="9"/>
        <v>PAL-0000048</v>
      </c>
      <c r="I51" t="s">
        <v>910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354</v>
      </c>
      <c r="B52" t="s">
        <v>849</v>
      </c>
      <c r="C52" t="s">
        <v>906</v>
      </c>
      <c r="D52">
        <v>1</v>
      </c>
      <c r="E52" t="s">
        <v>856</v>
      </c>
      <c r="F52">
        <v>4</v>
      </c>
      <c r="G52">
        <v>2</v>
      </c>
      <c r="H52" t="str">
        <f t="shared" si="9"/>
        <v>PAL-0000049</v>
      </c>
      <c r="I52" t="s">
        <v>911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356</v>
      </c>
      <c r="B53" t="s">
        <v>849</v>
      </c>
      <c r="C53" t="s">
        <v>906</v>
      </c>
      <c r="D53">
        <v>1</v>
      </c>
      <c r="E53" t="s">
        <v>856</v>
      </c>
      <c r="F53">
        <v>4</v>
      </c>
      <c r="G53">
        <v>2</v>
      </c>
      <c r="H53" t="str">
        <f t="shared" si="9"/>
        <v>PAL-0000050</v>
      </c>
      <c r="I53" t="s">
        <v>912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359</v>
      </c>
      <c r="B54" t="s">
        <v>849</v>
      </c>
      <c r="C54" t="s">
        <v>906</v>
      </c>
      <c r="D54">
        <v>1</v>
      </c>
      <c r="E54" t="s">
        <v>856</v>
      </c>
      <c r="F54">
        <v>4</v>
      </c>
      <c r="G54">
        <v>2</v>
      </c>
      <c r="H54" t="str">
        <f t="shared" si="9"/>
        <v>RETIRED</v>
      </c>
      <c r="I54" t="s">
        <v>913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362</v>
      </c>
      <c r="B55" t="s">
        <v>849</v>
      </c>
      <c r="C55" t="s">
        <v>906</v>
      </c>
      <c r="D55">
        <v>1</v>
      </c>
      <c r="E55" t="s">
        <v>856</v>
      </c>
      <c r="F55">
        <v>4</v>
      </c>
      <c r="G55">
        <v>2</v>
      </c>
      <c r="H55" t="str">
        <f t="shared" si="9"/>
        <v>PAL-0000052</v>
      </c>
      <c r="I55" t="s">
        <v>914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364</v>
      </c>
      <c r="B56" t="s">
        <v>849</v>
      </c>
      <c r="C56" t="s">
        <v>906</v>
      </c>
      <c r="D56">
        <v>1</v>
      </c>
      <c r="E56" t="s">
        <v>856</v>
      </c>
      <c r="F56">
        <v>4</v>
      </c>
      <c r="G56">
        <v>2</v>
      </c>
      <c r="H56" t="str">
        <f t="shared" si="9"/>
        <v>PAL-0000053</v>
      </c>
      <c r="I56" t="s">
        <v>915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366</v>
      </c>
      <c r="B57" t="s">
        <v>849</v>
      </c>
      <c r="C57" t="s">
        <v>906</v>
      </c>
      <c r="D57">
        <v>1</v>
      </c>
      <c r="E57" t="s">
        <v>856</v>
      </c>
      <c r="F57">
        <v>4</v>
      </c>
      <c r="G57">
        <v>2</v>
      </c>
      <c r="H57" t="str">
        <f t="shared" si="9"/>
        <v>PAL-0000054</v>
      </c>
      <c r="I57" t="s">
        <v>916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368</v>
      </c>
      <c r="B58" t="s">
        <v>849</v>
      </c>
      <c r="C58" t="s">
        <v>906</v>
      </c>
      <c r="D58">
        <v>1</v>
      </c>
      <c r="E58" t="s">
        <v>856</v>
      </c>
      <c r="F58">
        <v>4</v>
      </c>
      <c r="G58">
        <v>2</v>
      </c>
      <c r="H58" t="str">
        <f t="shared" si="9"/>
        <v>PAL-0000055</v>
      </c>
      <c r="I58" t="s">
        <v>917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370</v>
      </c>
      <c r="B59" t="s">
        <v>849</v>
      </c>
      <c r="C59" t="s">
        <v>906</v>
      </c>
      <c r="D59">
        <v>1</v>
      </c>
      <c r="E59" t="s">
        <v>856</v>
      </c>
      <c r="F59">
        <v>4</v>
      </c>
      <c r="G59">
        <v>2</v>
      </c>
      <c r="H59" t="str">
        <f t="shared" si="9"/>
        <v>PAL-0000056</v>
      </c>
      <c r="I59" t="s">
        <v>918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372</v>
      </c>
      <c r="B60" t="s">
        <v>849</v>
      </c>
      <c r="C60" t="s">
        <v>906</v>
      </c>
      <c r="D60">
        <v>1</v>
      </c>
      <c r="E60" t="s">
        <v>856</v>
      </c>
      <c r="F60">
        <v>4</v>
      </c>
      <c r="G60">
        <v>2</v>
      </c>
      <c r="H60" t="str">
        <f t="shared" si="9"/>
        <v>PAL-0000057</v>
      </c>
      <c r="I60" t="s">
        <v>919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375</v>
      </c>
      <c r="B61" t="s">
        <v>849</v>
      </c>
      <c r="C61" t="s">
        <v>906</v>
      </c>
      <c r="D61">
        <v>1</v>
      </c>
      <c r="E61" t="s">
        <v>856</v>
      </c>
      <c r="F61">
        <v>4</v>
      </c>
      <c r="G61">
        <v>2</v>
      </c>
      <c r="H61" t="str">
        <f t="shared" si="9"/>
        <v>PAL-0000058</v>
      </c>
      <c r="I61" t="s">
        <v>920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377</v>
      </c>
      <c r="B62" t="s">
        <v>849</v>
      </c>
      <c r="C62" t="s">
        <v>906</v>
      </c>
      <c r="D62">
        <v>1</v>
      </c>
      <c r="E62" t="s">
        <v>856</v>
      </c>
      <c r="F62">
        <v>4</v>
      </c>
      <c r="G62">
        <v>2</v>
      </c>
      <c r="H62" t="str">
        <f t="shared" si="9"/>
        <v>PAL-0000059</v>
      </c>
      <c r="I62" t="s">
        <v>921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379</v>
      </c>
      <c r="B63" t="s">
        <v>849</v>
      </c>
      <c r="C63" t="s">
        <v>906</v>
      </c>
      <c r="D63">
        <v>1</v>
      </c>
      <c r="E63" t="s">
        <v>856</v>
      </c>
      <c r="F63">
        <v>4</v>
      </c>
      <c r="G63">
        <v>2</v>
      </c>
      <c r="H63" t="str">
        <f t="shared" si="9"/>
        <v>PAL-0000060</v>
      </c>
      <c r="I63" t="s">
        <v>922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381</v>
      </c>
      <c r="B64" t="s">
        <v>849</v>
      </c>
      <c r="C64" t="s">
        <v>906</v>
      </c>
      <c r="D64">
        <v>1</v>
      </c>
      <c r="E64" t="s">
        <v>856</v>
      </c>
      <c r="F64">
        <v>4</v>
      </c>
      <c r="G64">
        <v>2</v>
      </c>
      <c r="H64" t="str">
        <f t="shared" si="9"/>
        <v>PAL-0000061</v>
      </c>
      <c r="I64" t="s">
        <v>923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924</v>
      </c>
      <c r="B65" t="s">
        <v>849</v>
      </c>
      <c r="C65" t="s">
        <v>906</v>
      </c>
      <c r="D65">
        <v>1</v>
      </c>
      <c r="E65" t="s">
        <v>856</v>
      </c>
      <c r="F65">
        <v>4</v>
      </c>
      <c r="G65">
        <v>2</v>
      </c>
      <c r="H65" t="str">
        <f t="shared" si="9"/>
        <v>SAMPLE: Grid C18</v>
      </c>
      <c r="I65" t="s">
        <v>925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926</v>
      </c>
      <c r="B66" t="s">
        <v>849</v>
      </c>
      <c r="C66" t="s">
        <v>906</v>
      </c>
      <c r="D66">
        <v>1</v>
      </c>
      <c r="E66" t="s">
        <v>856</v>
      </c>
      <c r="F66">
        <v>4</v>
      </c>
      <c r="G66">
        <v>2</v>
      </c>
      <c r="H66" t="str">
        <f t="shared" ref="H66:H97" si="13">A66</f>
        <v>SAMPLE: Grid C19</v>
      </c>
      <c r="I66" t="s">
        <v>927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928</v>
      </c>
      <c r="B67" t="s">
        <v>849</v>
      </c>
      <c r="C67" t="s">
        <v>906</v>
      </c>
      <c r="D67">
        <v>1</v>
      </c>
      <c r="E67" t="s">
        <v>856</v>
      </c>
      <c r="F67">
        <v>4</v>
      </c>
      <c r="G67">
        <v>2</v>
      </c>
      <c r="H67" t="str">
        <f t="shared" si="13"/>
        <v>SAMPLE: Grid C20</v>
      </c>
      <c r="I67" t="s">
        <v>929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930</v>
      </c>
      <c r="B68" t="s">
        <v>849</v>
      </c>
      <c r="C68" t="s">
        <v>931</v>
      </c>
      <c r="D68">
        <v>1</v>
      </c>
      <c r="E68" t="s">
        <v>856</v>
      </c>
      <c r="F68">
        <v>4</v>
      </c>
      <c r="G68">
        <v>2</v>
      </c>
      <c r="H68" t="str">
        <f t="shared" si="13"/>
        <v>D</v>
      </c>
      <c r="I68" t="s">
        <v>932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933</v>
      </c>
      <c r="B69" t="s">
        <v>849</v>
      </c>
      <c r="C69" t="s">
        <v>931</v>
      </c>
      <c r="D69">
        <v>1</v>
      </c>
      <c r="E69" t="s">
        <v>856</v>
      </c>
      <c r="F69">
        <v>4</v>
      </c>
      <c r="G69">
        <v>2</v>
      </c>
      <c r="H69" t="str">
        <f t="shared" si="13"/>
        <v>SAMPLE: Grid D02</v>
      </c>
      <c r="I69" t="s">
        <v>934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935</v>
      </c>
      <c r="B70" t="s">
        <v>849</v>
      </c>
      <c r="C70" t="s">
        <v>931</v>
      </c>
      <c r="D70">
        <v>1</v>
      </c>
      <c r="E70" t="s">
        <v>856</v>
      </c>
      <c r="F70">
        <v>4</v>
      </c>
      <c r="G70">
        <v>2</v>
      </c>
      <c r="H70" t="str">
        <f t="shared" si="13"/>
        <v>SAMPLE: Grid D03</v>
      </c>
      <c r="I70" t="s">
        <v>936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937</v>
      </c>
      <c r="B71" t="s">
        <v>849</v>
      </c>
      <c r="C71" t="s">
        <v>931</v>
      </c>
      <c r="D71">
        <v>1</v>
      </c>
      <c r="E71" t="s">
        <v>856</v>
      </c>
      <c r="F71">
        <v>4</v>
      </c>
      <c r="G71">
        <v>2</v>
      </c>
      <c r="H71" t="str">
        <f t="shared" si="13"/>
        <v>SAMPLE: Grid D04</v>
      </c>
      <c r="I71" t="s">
        <v>938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939</v>
      </c>
      <c r="B72" t="s">
        <v>849</v>
      </c>
      <c r="C72" t="s">
        <v>931</v>
      </c>
      <c r="D72">
        <v>1</v>
      </c>
      <c r="E72" t="s">
        <v>856</v>
      </c>
      <c r="F72">
        <v>4</v>
      </c>
      <c r="G72">
        <v>2</v>
      </c>
      <c r="H72" t="str">
        <f t="shared" si="13"/>
        <v>SAMPLE: Grid D05</v>
      </c>
      <c r="I72" t="s">
        <v>940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941</v>
      </c>
      <c r="B73" t="s">
        <v>849</v>
      </c>
      <c r="C73" t="s">
        <v>931</v>
      </c>
      <c r="D73">
        <v>1</v>
      </c>
      <c r="E73" t="s">
        <v>856</v>
      </c>
      <c r="F73">
        <v>4</v>
      </c>
      <c r="G73">
        <v>2</v>
      </c>
      <c r="H73" t="str">
        <f t="shared" si="13"/>
        <v>SAMPLE: Grid D06</v>
      </c>
      <c r="I73" t="s">
        <v>942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943</v>
      </c>
      <c r="B74" t="s">
        <v>849</v>
      </c>
      <c r="C74" t="s">
        <v>931</v>
      </c>
      <c r="D74">
        <v>1</v>
      </c>
      <c r="E74" t="s">
        <v>856</v>
      </c>
      <c r="F74">
        <v>4</v>
      </c>
      <c r="G74">
        <v>2</v>
      </c>
      <c r="H74" t="str">
        <f t="shared" si="13"/>
        <v>SAMPLE: Grid D07</v>
      </c>
      <c r="I74" t="s">
        <v>944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945</v>
      </c>
      <c r="B75" t="s">
        <v>849</v>
      </c>
      <c r="C75" t="s">
        <v>931</v>
      </c>
      <c r="D75">
        <v>1</v>
      </c>
      <c r="E75" t="s">
        <v>856</v>
      </c>
      <c r="F75">
        <v>4</v>
      </c>
      <c r="G75">
        <v>2</v>
      </c>
      <c r="H75" t="str">
        <f t="shared" si="13"/>
        <v>SAMPLE: Grid D08</v>
      </c>
      <c r="I75" t="s">
        <v>946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947</v>
      </c>
      <c r="B76" t="s">
        <v>849</v>
      </c>
      <c r="C76" t="s">
        <v>931</v>
      </c>
      <c r="D76">
        <v>1</v>
      </c>
      <c r="E76" t="s">
        <v>856</v>
      </c>
      <c r="F76">
        <v>4</v>
      </c>
      <c r="G76">
        <v>2</v>
      </c>
      <c r="H76" t="str">
        <f t="shared" si="13"/>
        <v>SAMPLE: Grid D09</v>
      </c>
      <c r="I76" t="s">
        <v>948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949</v>
      </c>
      <c r="B77" t="s">
        <v>849</v>
      </c>
      <c r="C77" t="s">
        <v>931</v>
      </c>
      <c r="D77">
        <v>1</v>
      </c>
      <c r="E77" t="s">
        <v>856</v>
      </c>
      <c r="F77">
        <v>4</v>
      </c>
      <c r="G77">
        <v>2</v>
      </c>
      <c r="H77" t="str">
        <f t="shared" si="13"/>
        <v>SAMPLE: Grid D10</v>
      </c>
      <c r="I77" t="s">
        <v>950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951</v>
      </c>
      <c r="B78" t="s">
        <v>849</v>
      </c>
      <c r="C78" t="s">
        <v>931</v>
      </c>
      <c r="D78">
        <v>1</v>
      </c>
      <c r="E78" t="s">
        <v>856</v>
      </c>
      <c r="F78">
        <v>4</v>
      </c>
      <c r="G78">
        <v>2</v>
      </c>
      <c r="H78" t="str">
        <f t="shared" si="13"/>
        <v>SAMPLE: Grid D11</v>
      </c>
      <c r="I78" t="s">
        <v>952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953</v>
      </c>
      <c r="B79" t="s">
        <v>849</v>
      </c>
      <c r="C79" t="s">
        <v>931</v>
      </c>
      <c r="D79">
        <v>1</v>
      </c>
      <c r="E79" t="s">
        <v>856</v>
      </c>
      <c r="F79">
        <v>4</v>
      </c>
      <c r="G79">
        <v>2</v>
      </c>
      <c r="H79" t="str">
        <f t="shared" si="13"/>
        <v>SAMPLE: Grid D12</v>
      </c>
      <c r="I79" t="s">
        <v>954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955</v>
      </c>
      <c r="B80" t="s">
        <v>849</v>
      </c>
      <c r="C80" t="s">
        <v>931</v>
      </c>
      <c r="D80">
        <v>1</v>
      </c>
      <c r="E80" t="s">
        <v>856</v>
      </c>
      <c r="F80">
        <v>4</v>
      </c>
      <c r="G80">
        <v>2</v>
      </c>
      <c r="H80" t="str">
        <f t="shared" si="13"/>
        <v>SAMPLE: Grid D13</v>
      </c>
      <c r="I80" t="s">
        <v>956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957</v>
      </c>
      <c r="B81" t="s">
        <v>849</v>
      </c>
      <c r="C81" t="s">
        <v>931</v>
      </c>
      <c r="D81">
        <v>1</v>
      </c>
      <c r="E81" t="s">
        <v>856</v>
      </c>
      <c r="F81">
        <v>4</v>
      </c>
      <c r="G81">
        <v>2</v>
      </c>
      <c r="H81" t="str">
        <f t="shared" si="13"/>
        <v>SAMPLE: Grid D14</v>
      </c>
      <c r="I81" t="s">
        <v>958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959</v>
      </c>
      <c r="B82" t="s">
        <v>849</v>
      </c>
      <c r="C82" t="s">
        <v>931</v>
      </c>
      <c r="D82">
        <v>1</v>
      </c>
      <c r="E82" t="s">
        <v>856</v>
      </c>
      <c r="F82">
        <v>4</v>
      </c>
      <c r="G82">
        <v>2</v>
      </c>
      <c r="H82" t="str">
        <f t="shared" si="13"/>
        <v>SAMPLE: Grid D15</v>
      </c>
      <c r="I82" t="s">
        <v>960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961</v>
      </c>
      <c r="B83" t="s">
        <v>849</v>
      </c>
      <c r="C83" t="s">
        <v>931</v>
      </c>
      <c r="D83">
        <v>1</v>
      </c>
      <c r="E83" t="s">
        <v>856</v>
      </c>
      <c r="F83">
        <v>4</v>
      </c>
      <c r="G83">
        <v>2</v>
      </c>
      <c r="H83" t="str">
        <f t="shared" si="13"/>
        <v>SAMPLE: Grid D16</v>
      </c>
      <c r="I83" t="s">
        <v>962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963</v>
      </c>
      <c r="B84" t="s">
        <v>849</v>
      </c>
      <c r="C84" t="s">
        <v>931</v>
      </c>
      <c r="D84">
        <v>1</v>
      </c>
      <c r="E84" t="s">
        <v>856</v>
      </c>
      <c r="F84">
        <v>4</v>
      </c>
      <c r="G84">
        <v>2</v>
      </c>
      <c r="H84" t="str">
        <f t="shared" si="13"/>
        <v>SAMPLE: Grid D17</v>
      </c>
      <c r="I84" t="s">
        <v>964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965</v>
      </c>
      <c r="B85" t="s">
        <v>849</v>
      </c>
      <c r="C85" t="s">
        <v>931</v>
      </c>
      <c r="D85">
        <v>1</v>
      </c>
      <c r="E85" t="s">
        <v>856</v>
      </c>
      <c r="F85">
        <v>4</v>
      </c>
      <c r="G85">
        <v>2</v>
      </c>
      <c r="H85" t="str">
        <f t="shared" si="13"/>
        <v>SAMPLE: Grid D18</v>
      </c>
      <c r="I85" t="s">
        <v>966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967</v>
      </c>
      <c r="B86" t="s">
        <v>849</v>
      </c>
      <c r="C86" t="s">
        <v>931</v>
      </c>
      <c r="D86">
        <v>1</v>
      </c>
      <c r="E86" t="s">
        <v>856</v>
      </c>
      <c r="F86">
        <v>4</v>
      </c>
      <c r="G86">
        <v>2</v>
      </c>
      <c r="H86" t="str">
        <f t="shared" si="13"/>
        <v>SAMPLE: Grid D19</v>
      </c>
      <c r="I86" t="s">
        <v>968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969</v>
      </c>
      <c r="B87" t="s">
        <v>849</v>
      </c>
      <c r="C87" t="s">
        <v>931</v>
      </c>
      <c r="D87">
        <v>1</v>
      </c>
      <c r="E87" t="s">
        <v>856</v>
      </c>
      <c r="F87">
        <v>4</v>
      </c>
      <c r="G87">
        <v>2</v>
      </c>
      <c r="H87" t="str">
        <f t="shared" si="13"/>
        <v>SAMPLE: Grid D20</v>
      </c>
      <c r="I87" t="s">
        <v>970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971</v>
      </c>
      <c r="B88" t="s">
        <v>849</v>
      </c>
      <c r="C88" t="s">
        <v>972</v>
      </c>
      <c r="D88">
        <v>1</v>
      </c>
      <c r="E88" t="s">
        <v>856</v>
      </c>
      <c r="F88">
        <v>4</v>
      </c>
      <c r="G88">
        <v>2</v>
      </c>
      <c r="H88" t="str">
        <f t="shared" si="13"/>
        <v>E</v>
      </c>
      <c r="I88" t="s">
        <v>973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974</v>
      </c>
      <c r="B89" t="s">
        <v>849</v>
      </c>
      <c r="C89" t="s">
        <v>972</v>
      </c>
      <c r="D89">
        <v>1</v>
      </c>
      <c r="E89" t="s">
        <v>856</v>
      </c>
      <c r="F89">
        <v>4</v>
      </c>
      <c r="G89">
        <v>2</v>
      </c>
      <c r="H89" t="str">
        <f t="shared" si="13"/>
        <v>SAMPLE: Grid E02</v>
      </c>
      <c r="I89" t="s">
        <v>975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976</v>
      </c>
      <c r="B90" t="s">
        <v>849</v>
      </c>
      <c r="C90" t="s">
        <v>972</v>
      </c>
      <c r="D90">
        <v>1</v>
      </c>
      <c r="E90" t="s">
        <v>856</v>
      </c>
      <c r="F90">
        <v>4</v>
      </c>
      <c r="G90">
        <v>2</v>
      </c>
      <c r="H90" t="str">
        <f t="shared" si="13"/>
        <v>SAMPLE: Grid E03</v>
      </c>
      <c r="I90" t="s">
        <v>977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978</v>
      </c>
      <c r="B91" t="s">
        <v>849</v>
      </c>
      <c r="C91" t="s">
        <v>972</v>
      </c>
      <c r="D91">
        <v>1</v>
      </c>
      <c r="E91" t="s">
        <v>856</v>
      </c>
      <c r="F91">
        <v>4</v>
      </c>
      <c r="G91">
        <v>2</v>
      </c>
      <c r="H91" t="str">
        <f t="shared" si="13"/>
        <v>SAMPLE: Grid E04</v>
      </c>
      <c r="I91" t="s">
        <v>979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980</v>
      </c>
      <c r="B92" t="s">
        <v>849</v>
      </c>
      <c r="C92" t="s">
        <v>972</v>
      </c>
      <c r="D92">
        <v>1</v>
      </c>
      <c r="E92" t="s">
        <v>856</v>
      </c>
      <c r="F92">
        <v>4</v>
      </c>
      <c r="G92">
        <v>2</v>
      </c>
      <c r="H92" t="str">
        <f t="shared" si="13"/>
        <v>SAMPLE: Grid E05</v>
      </c>
      <c r="I92" t="s">
        <v>981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982</v>
      </c>
      <c r="B93" t="s">
        <v>849</v>
      </c>
      <c r="C93" t="s">
        <v>972</v>
      </c>
      <c r="D93">
        <v>1</v>
      </c>
      <c r="E93" t="s">
        <v>856</v>
      </c>
      <c r="F93">
        <v>4</v>
      </c>
      <c r="G93">
        <v>2</v>
      </c>
      <c r="H93" t="str">
        <f t="shared" si="13"/>
        <v>SAMPLE: Grid E06</v>
      </c>
      <c r="I93" t="s">
        <v>983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984</v>
      </c>
      <c r="B94" t="s">
        <v>849</v>
      </c>
      <c r="C94" t="s">
        <v>972</v>
      </c>
      <c r="D94">
        <v>1</v>
      </c>
      <c r="E94" t="s">
        <v>856</v>
      </c>
      <c r="F94">
        <v>4</v>
      </c>
      <c r="G94">
        <v>2</v>
      </c>
      <c r="H94" t="str">
        <f t="shared" si="13"/>
        <v>SAMPLE: Grid E07</v>
      </c>
      <c r="I94" t="s">
        <v>985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986</v>
      </c>
      <c r="B95" t="s">
        <v>849</v>
      </c>
      <c r="C95" t="s">
        <v>972</v>
      </c>
      <c r="D95">
        <v>1</v>
      </c>
      <c r="E95" t="s">
        <v>856</v>
      </c>
      <c r="F95">
        <v>4</v>
      </c>
      <c r="G95">
        <v>2</v>
      </c>
      <c r="H95" t="str">
        <f t="shared" si="13"/>
        <v>SAMPLE: Grid E08</v>
      </c>
      <c r="I95" t="s">
        <v>987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988</v>
      </c>
      <c r="B96" t="s">
        <v>849</v>
      </c>
      <c r="C96" t="s">
        <v>972</v>
      </c>
      <c r="D96">
        <v>1</v>
      </c>
      <c r="E96" t="s">
        <v>856</v>
      </c>
      <c r="F96">
        <v>4</v>
      </c>
      <c r="G96">
        <v>2</v>
      </c>
      <c r="H96" t="str">
        <f t="shared" si="13"/>
        <v>SAMPLE: Grid E09</v>
      </c>
      <c r="I96" t="s">
        <v>989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990</v>
      </c>
      <c r="B97" t="s">
        <v>849</v>
      </c>
      <c r="C97" t="s">
        <v>972</v>
      </c>
      <c r="D97">
        <v>1</v>
      </c>
      <c r="E97" t="s">
        <v>856</v>
      </c>
      <c r="F97">
        <v>4</v>
      </c>
      <c r="G97">
        <v>2</v>
      </c>
      <c r="H97" t="str">
        <f t="shared" si="13"/>
        <v>SAMPLE: Grid E10</v>
      </c>
      <c r="I97" t="s">
        <v>991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992</v>
      </c>
      <c r="B98" t="s">
        <v>849</v>
      </c>
      <c r="C98" t="s">
        <v>972</v>
      </c>
      <c r="D98">
        <v>1</v>
      </c>
      <c r="E98" t="s">
        <v>856</v>
      </c>
      <c r="F98">
        <v>4</v>
      </c>
      <c r="G98">
        <v>2</v>
      </c>
      <c r="H98" t="str">
        <f t="shared" ref="H98:H133" si="22">A98</f>
        <v>SAMPLE: Grid E11</v>
      </c>
      <c r="I98" t="s">
        <v>993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994</v>
      </c>
      <c r="B99" t="s">
        <v>849</v>
      </c>
      <c r="C99" t="s">
        <v>972</v>
      </c>
      <c r="D99">
        <v>1</v>
      </c>
      <c r="E99" t="s">
        <v>856</v>
      </c>
      <c r="F99">
        <v>4</v>
      </c>
      <c r="G99">
        <v>2</v>
      </c>
      <c r="H99" t="str">
        <f t="shared" si="22"/>
        <v>SAMPLE: Grid E12</v>
      </c>
      <c r="I99" t="s">
        <v>995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996</v>
      </c>
      <c r="B100" t="s">
        <v>849</v>
      </c>
      <c r="C100" t="s">
        <v>972</v>
      </c>
      <c r="D100">
        <v>1</v>
      </c>
      <c r="E100" t="s">
        <v>856</v>
      </c>
      <c r="F100">
        <v>4</v>
      </c>
      <c r="G100">
        <v>2</v>
      </c>
      <c r="H100" t="str">
        <f t="shared" si="22"/>
        <v>SAMPLE: Grid E13</v>
      </c>
      <c r="I100" t="s">
        <v>997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998</v>
      </c>
      <c r="B101" t="s">
        <v>849</v>
      </c>
      <c r="C101" t="s">
        <v>972</v>
      </c>
      <c r="D101">
        <v>1</v>
      </c>
      <c r="E101" t="s">
        <v>856</v>
      </c>
      <c r="F101">
        <v>4</v>
      </c>
      <c r="G101">
        <v>2</v>
      </c>
      <c r="H101" t="str">
        <f t="shared" si="22"/>
        <v>SAMPLE: Grid E14</v>
      </c>
      <c r="I101" t="s">
        <v>999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1000</v>
      </c>
      <c r="B102" t="s">
        <v>849</v>
      </c>
      <c r="C102" t="s">
        <v>972</v>
      </c>
      <c r="D102">
        <v>1</v>
      </c>
      <c r="E102" t="s">
        <v>856</v>
      </c>
      <c r="F102">
        <v>4</v>
      </c>
      <c r="G102">
        <v>2</v>
      </c>
      <c r="H102" t="str">
        <f t="shared" si="22"/>
        <v>SAMPLE: Grid E15</v>
      </c>
      <c r="I102" t="s">
        <v>1001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1002</v>
      </c>
      <c r="B103" t="s">
        <v>849</v>
      </c>
      <c r="C103" t="s">
        <v>972</v>
      </c>
      <c r="D103">
        <v>1</v>
      </c>
      <c r="E103" t="s">
        <v>856</v>
      </c>
      <c r="F103">
        <v>4</v>
      </c>
      <c r="G103">
        <v>2</v>
      </c>
      <c r="H103" t="str">
        <f t="shared" si="22"/>
        <v>SAMPLE: Grid E16</v>
      </c>
      <c r="I103" t="s">
        <v>1003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1004</v>
      </c>
      <c r="B104" t="s">
        <v>849</v>
      </c>
      <c r="C104" t="s">
        <v>972</v>
      </c>
      <c r="D104">
        <v>1</v>
      </c>
      <c r="E104" t="s">
        <v>856</v>
      </c>
      <c r="F104">
        <v>4</v>
      </c>
      <c r="G104">
        <v>2</v>
      </c>
      <c r="H104" t="str">
        <f t="shared" si="22"/>
        <v>SAMPLE: Grid E17</v>
      </c>
      <c r="I104" t="s">
        <v>1005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1006</v>
      </c>
      <c r="B105" t="s">
        <v>849</v>
      </c>
      <c r="C105" t="s">
        <v>972</v>
      </c>
      <c r="D105">
        <v>1</v>
      </c>
      <c r="E105" t="s">
        <v>856</v>
      </c>
      <c r="F105">
        <v>4</v>
      </c>
      <c r="G105">
        <v>2</v>
      </c>
      <c r="H105" t="str">
        <f t="shared" si="22"/>
        <v>SAMPLE: Grid E18</v>
      </c>
      <c r="I105" t="s">
        <v>1007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1008</v>
      </c>
      <c r="B106" t="s">
        <v>849</v>
      </c>
      <c r="C106" t="s">
        <v>972</v>
      </c>
      <c r="D106">
        <v>1</v>
      </c>
      <c r="E106" t="s">
        <v>856</v>
      </c>
      <c r="F106">
        <v>4</v>
      </c>
      <c r="G106">
        <v>2</v>
      </c>
      <c r="H106" t="str">
        <f t="shared" si="22"/>
        <v>SAMPLE: Grid E19</v>
      </c>
      <c r="I106" t="s">
        <v>1009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1010</v>
      </c>
      <c r="B107" t="s">
        <v>849</v>
      </c>
      <c r="C107" t="s">
        <v>972</v>
      </c>
      <c r="D107">
        <v>1</v>
      </c>
      <c r="E107" t="s">
        <v>856</v>
      </c>
      <c r="F107">
        <v>4</v>
      </c>
      <c r="G107">
        <v>2</v>
      </c>
      <c r="H107" t="str">
        <f t="shared" si="22"/>
        <v>SAMPLE: Grid E20</v>
      </c>
      <c r="I107" t="s">
        <v>1011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1012</v>
      </c>
      <c r="B108" t="s">
        <v>849</v>
      </c>
      <c r="C108" t="s">
        <v>1013</v>
      </c>
      <c r="D108">
        <v>1</v>
      </c>
      <c r="E108" t="s">
        <v>856</v>
      </c>
      <c r="F108">
        <v>4</v>
      </c>
      <c r="G108">
        <v>2</v>
      </c>
      <c r="H108" t="str">
        <f t="shared" si="22"/>
        <v>F</v>
      </c>
      <c r="I108" t="s">
        <v>1014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1015</v>
      </c>
      <c r="B109" t="s">
        <v>849</v>
      </c>
      <c r="C109" t="s">
        <v>1013</v>
      </c>
      <c r="D109">
        <v>1</v>
      </c>
      <c r="E109" t="s">
        <v>856</v>
      </c>
      <c r="F109">
        <v>4</v>
      </c>
      <c r="G109">
        <v>2</v>
      </c>
      <c r="H109" t="str">
        <f t="shared" si="22"/>
        <v>SAMPLE: Grid F02</v>
      </c>
      <c r="I109" t="s">
        <v>1016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1017</v>
      </c>
      <c r="B110" t="s">
        <v>849</v>
      </c>
      <c r="C110" t="s">
        <v>1013</v>
      </c>
      <c r="D110">
        <v>1</v>
      </c>
      <c r="E110" t="s">
        <v>856</v>
      </c>
      <c r="F110">
        <v>4</v>
      </c>
      <c r="G110">
        <v>2</v>
      </c>
      <c r="H110" t="str">
        <f t="shared" si="22"/>
        <v>SAMPLE: Grid F03</v>
      </c>
      <c r="I110" t="s">
        <v>1018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1019</v>
      </c>
      <c r="B111" t="s">
        <v>849</v>
      </c>
      <c r="C111" t="s">
        <v>1013</v>
      </c>
      <c r="D111">
        <v>1</v>
      </c>
      <c r="E111" t="s">
        <v>856</v>
      </c>
      <c r="F111">
        <v>4</v>
      </c>
      <c r="G111">
        <v>2</v>
      </c>
      <c r="H111" t="str">
        <f t="shared" si="22"/>
        <v>SAMPLE: Grid F04</v>
      </c>
      <c r="I111" t="s">
        <v>1020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1021</v>
      </c>
      <c r="B112" t="s">
        <v>849</v>
      </c>
      <c r="C112" t="s">
        <v>1013</v>
      </c>
      <c r="D112">
        <v>1</v>
      </c>
      <c r="E112" t="s">
        <v>856</v>
      </c>
      <c r="F112">
        <v>4</v>
      </c>
      <c r="G112">
        <v>2</v>
      </c>
      <c r="H112" t="str">
        <f t="shared" si="22"/>
        <v>SAMPLE: Grid F05</v>
      </c>
      <c r="I112" t="s">
        <v>1022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1023</v>
      </c>
      <c r="B113" t="s">
        <v>849</v>
      </c>
      <c r="C113" t="s">
        <v>1013</v>
      </c>
      <c r="D113">
        <v>1</v>
      </c>
      <c r="E113" t="s">
        <v>856</v>
      </c>
      <c r="F113">
        <v>4</v>
      </c>
      <c r="G113">
        <v>2</v>
      </c>
      <c r="H113" t="str">
        <f t="shared" si="22"/>
        <v>SAMPLE: Grid F06</v>
      </c>
      <c r="I113" t="s">
        <v>1024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1025</v>
      </c>
      <c r="B114" t="s">
        <v>849</v>
      </c>
      <c r="C114" t="s">
        <v>1013</v>
      </c>
      <c r="D114">
        <v>1</v>
      </c>
      <c r="E114" t="s">
        <v>856</v>
      </c>
      <c r="F114">
        <v>4</v>
      </c>
      <c r="G114">
        <v>2</v>
      </c>
      <c r="H114" t="str">
        <f t="shared" si="22"/>
        <v>SAMPLE: Grid F07</v>
      </c>
      <c r="I114" t="s">
        <v>1026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1027</v>
      </c>
      <c r="B115" t="s">
        <v>849</v>
      </c>
      <c r="C115" t="s">
        <v>1013</v>
      </c>
      <c r="D115">
        <v>1</v>
      </c>
      <c r="E115" t="s">
        <v>856</v>
      </c>
      <c r="F115">
        <v>4</v>
      </c>
      <c r="G115">
        <v>2</v>
      </c>
      <c r="H115" t="str">
        <f t="shared" si="22"/>
        <v>SAMPLE: Grid F08</v>
      </c>
      <c r="I115" t="s">
        <v>1028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1029</v>
      </c>
      <c r="B116" t="s">
        <v>849</v>
      </c>
      <c r="C116" t="s">
        <v>1013</v>
      </c>
      <c r="D116">
        <v>1</v>
      </c>
      <c r="E116" t="s">
        <v>856</v>
      </c>
      <c r="F116">
        <v>4</v>
      </c>
      <c r="G116">
        <v>2</v>
      </c>
      <c r="H116" t="str">
        <f t="shared" si="22"/>
        <v>SAMPLE: Grid F09</v>
      </c>
      <c r="I116" t="s">
        <v>1030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1031</v>
      </c>
      <c r="B117" t="s">
        <v>849</v>
      </c>
      <c r="C117" t="s">
        <v>1013</v>
      </c>
      <c r="D117">
        <v>1</v>
      </c>
      <c r="E117" t="s">
        <v>856</v>
      </c>
      <c r="F117">
        <v>4</v>
      </c>
      <c r="G117">
        <v>2</v>
      </c>
      <c r="H117" t="str">
        <f t="shared" si="22"/>
        <v>SAMPLE: Grid F10</v>
      </c>
      <c r="I117" t="s">
        <v>1032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1033</v>
      </c>
      <c r="B118" t="s">
        <v>849</v>
      </c>
      <c r="C118" t="s">
        <v>1013</v>
      </c>
      <c r="D118">
        <v>1</v>
      </c>
      <c r="E118" t="s">
        <v>856</v>
      </c>
      <c r="F118">
        <v>4</v>
      </c>
      <c r="G118">
        <v>2</v>
      </c>
      <c r="H118" t="str">
        <f t="shared" si="22"/>
        <v>SAMPLE: Grid F11</v>
      </c>
      <c r="I118" t="s">
        <v>1034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1035</v>
      </c>
      <c r="B119" t="s">
        <v>849</v>
      </c>
      <c r="C119" t="s">
        <v>1013</v>
      </c>
      <c r="D119">
        <v>1</v>
      </c>
      <c r="E119" t="s">
        <v>856</v>
      </c>
      <c r="F119">
        <v>4</v>
      </c>
      <c r="G119">
        <v>2</v>
      </c>
      <c r="H119" t="str">
        <f t="shared" si="22"/>
        <v>SAMPLE: Grid F12</v>
      </c>
      <c r="I119" t="s">
        <v>1036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1037</v>
      </c>
      <c r="B120" t="s">
        <v>849</v>
      </c>
      <c r="C120" t="s">
        <v>1013</v>
      </c>
      <c r="D120">
        <v>1</v>
      </c>
      <c r="E120" t="s">
        <v>856</v>
      </c>
      <c r="F120">
        <v>4</v>
      </c>
      <c r="G120">
        <v>2</v>
      </c>
      <c r="H120" t="str">
        <f t="shared" si="22"/>
        <v>SAMPLE: Grid F13</v>
      </c>
      <c r="I120" t="s">
        <v>1038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1039</v>
      </c>
      <c r="B121" t="s">
        <v>849</v>
      </c>
      <c r="C121" t="s">
        <v>1013</v>
      </c>
      <c r="D121">
        <v>1</v>
      </c>
      <c r="E121" t="s">
        <v>856</v>
      </c>
      <c r="F121">
        <v>4</v>
      </c>
      <c r="G121">
        <v>2</v>
      </c>
      <c r="H121" t="str">
        <f t="shared" si="22"/>
        <v>SAMPLE: Grid F14</v>
      </c>
      <c r="I121" t="s">
        <v>1040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1041</v>
      </c>
      <c r="B122" t="s">
        <v>849</v>
      </c>
      <c r="C122" t="s">
        <v>1013</v>
      </c>
      <c r="D122">
        <v>1</v>
      </c>
      <c r="E122" t="s">
        <v>856</v>
      </c>
      <c r="F122">
        <v>4</v>
      </c>
      <c r="G122">
        <v>2</v>
      </c>
      <c r="H122" t="str">
        <f t="shared" si="22"/>
        <v>SAMPLE: Grid F15</v>
      </c>
      <c r="I122" t="s">
        <v>1042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1043</v>
      </c>
      <c r="B123" t="s">
        <v>849</v>
      </c>
      <c r="C123" t="s">
        <v>1013</v>
      </c>
      <c r="D123">
        <v>1</v>
      </c>
      <c r="E123" t="s">
        <v>856</v>
      </c>
      <c r="F123">
        <v>4</v>
      </c>
      <c r="G123">
        <v>2</v>
      </c>
      <c r="H123" t="str">
        <f t="shared" si="22"/>
        <v>SAMPLE: Grid F16</v>
      </c>
      <c r="I123" t="s">
        <v>1044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1045</v>
      </c>
      <c r="B124" t="s">
        <v>849</v>
      </c>
      <c r="C124" t="s">
        <v>1013</v>
      </c>
      <c r="D124">
        <v>1</v>
      </c>
      <c r="E124" t="s">
        <v>856</v>
      </c>
      <c r="F124">
        <v>4</v>
      </c>
      <c r="G124">
        <v>2</v>
      </c>
      <c r="H124" t="str">
        <f t="shared" si="22"/>
        <v>SAMPLE: Grid F17</v>
      </c>
      <c r="I124" t="s">
        <v>1046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1047</v>
      </c>
      <c r="B125" t="s">
        <v>849</v>
      </c>
      <c r="C125" t="s">
        <v>1013</v>
      </c>
      <c r="D125">
        <v>1</v>
      </c>
      <c r="E125" t="s">
        <v>856</v>
      </c>
      <c r="F125">
        <v>4</v>
      </c>
      <c r="G125">
        <v>2</v>
      </c>
      <c r="H125" t="str">
        <f t="shared" si="22"/>
        <v>SAMPLE: Grid F18</v>
      </c>
      <c r="I125" t="s">
        <v>1048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1049</v>
      </c>
      <c r="B126" t="s">
        <v>849</v>
      </c>
      <c r="C126" t="s">
        <v>1013</v>
      </c>
      <c r="D126">
        <v>1</v>
      </c>
      <c r="E126" t="s">
        <v>856</v>
      </c>
      <c r="F126">
        <v>4</v>
      </c>
      <c r="G126">
        <v>2</v>
      </c>
      <c r="H126" t="str">
        <f t="shared" si="22"/>
        <v>SAMPLE: Grid F19</v>
      </c>
      <c r="I126" t="s">
        <v>1050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1051</v>
      </c>
      <c r="B127" t="s">
        <v>849</v>
      </c>
      <c r="C127" t="s">
        <v>1013</v>
      </c>
      <c r="D127">
        <v>1</v>
      </c>
      <c r="E127" t="s">
        <v>856</v>
      </c>
      <c r="F127">
        <v>4</v>
      </c>
      <c r="G127">
        <v>2</v>
      </c>
      <c r="H127" t="str">
        <f t="shared" si="22"/>
        <v>SAMPLE: Grid F20</v>
      </c>
      <c r="I127" t="s">
        <v>1052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1053</v>
      </c>
      <c r="B128" t="s">
        <v>839</v>
      </c>
      <c r="E128" t="s">
        <v>1054</v>
      </c>
      <c r="F128">
        <v>3</v>
      </c>
      <c r="H128" t="str">
        <f t="shared" si="22"/>
        <v>DISPOSAL</v>
      </c>
      <c r="I128" t="s">
        <v>1055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1056</v>
      </c>
      <c r="B129" t="s">
        <v>839</v>
      </c>
      <c r="E129" t="s">
        <v>1057</v>
      </c>
      <c r="F129">
        <v>3</v>
      </c>
      <c r="H129" t="str">
        <f t="shared" si="22"/>
        <v>OUTBOUND</v>
      </c>
      <c r="I129" t="s">
        <v>1058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218</v>
      </c>
      <c r="B130" t="s">
        <v>864</v>
      </c>
      <c r="E130" t="s">
        <v>862</v>
      </c>
      <c r="F130">
        <v>3</v>
      </c>
      <c r="G130">
        <v>7</v>
      </c>
      <c r="H130" t="str">
        <f t="shared" si="22"/>
        <v>ACTIVE</v>
      </c>
      <c r="I130" t="s">
        <v>865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1059</v>
      </c>
      <c r="B131" t="s">
        <v>849</v>
      </c>
      <c r="C131" t="s">
        <v>1060</v>
      </c>
      <c r="D131">
        <v>3</v>
      </c>
      <c r="E131" t="s">
        <v>856</v>
      </c>
      <c r="F131">
        <v>4</v>
      </c>
      <c r="G131">
        <v>2</v>
      </c>
      <c r="H131" t="str">
        <f t="shared" si="22"/>
        <v>O</v>
      </c>
      <c r="I131" t="s">
        <v>1061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241</v>
      </c>
      <c r="B132" t="s">
        <v>849</v>
      </c>
      <c r="E132" t="s">
        <v>862</v>
      </c>
      <c r="F132">
        <v>3</v>
      </c>
      <c r="G132">
        <v>7</v>
      </c>
      <c r="H132" t="str">
        <f t="shared" si="22"/>
        <v>48x T24i-30</v>
      </c>
      <c r="I132" t="s">
        <v>1062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255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35" priority="1" stopIfTrue="1">
      <formula>AND(TRIM($A133)="",OR($B133&lt;&gt;"",$C133&lt;&gt;"",$D133&lt;&gt;"",$E133&lt;&gt;"",$F133&lt;&gt;"",$I133&lt;&gt;""))</formula>
    </cfRule>
    <cfRule type="expression" dxfId="34" priority="2">
      <formula>AND(TRIM($A133)&lt;&gt;"",COUNTIF($A$2:$A$2002,$A133)&gt;1)</formula>
    </cfRule>
  </conditionalFormatting>
  <conditionalFormatting sqref="A2:I132 A134:I2002">
    <cfRule type="expression" dxfId="33" priority="3" stopIfTrue="1">
      <formula>AND(TRIM($A2)="",OR($B2&lt;&gt;"",$C2&lt;&gt;"",$D2&lt;&gt;"",$E2&lt;&gt;"",$F2&lt;&gt;"",$I2&lt;&gt;""))</formula>
    </cfRule>
    <cfRule type="expression" dxfId="32" priority="4">
      <formula>AND(TRIM($A2)&lt;&gt;"",COUNTIF($A$2:$A$2002,$A2)&gt;1)</formula>
    </cfRule>
  </conditionalFormatting>
  <conditionalFormatting sqref="B133:I133">
    <cfRule type="expression" dxfId="31" priority="116" stopIfTrue="1">
      <formula>AND(TRIM($A133)="",OR($B133&lt;&gt;"",$C133&lt;&gt;"",$D133&lt;&gt;"",$E133&lt;&gt;"",$F133&lt;&gt;"",$I133&lt;&gt;""))</formula>
    </cfRule>
    <cfRule type="expression" dxfId="30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76" t="s">
        <v>1063</v>
      </c>
      <c r="B1" s="76" t="s">
        <v>1064</v>
      </c>
      <c r="C1" s="76" t="s">
        <v>191</v>
      </c>
      <c r="D1" s="76" t="s">
        <v>1065</v>
      </c>
      <c r="E1" s="76" t="s">
        <v>1066</v>
      </c>
      <c r="F1" s="76" t="s">
        <v>1067</v>
      </c>
      <c r="G1" s="76" t="s">
        <v>1068</v>
      </c>
      <c r="H1" s="76" t="s">
        <v>1069</v>
      </c>
      <c r="I1" s="76" t="s">
        <v>1070</v>
      </c>
      <c r="J1" s="76" t="s">
        <v>21</v>
      </c>
    </row>
    <row r="2" spans="1:10">
      <c r="A2" s="78">
        <v>46052.375</v>
      </c>
      <c r="B2" t="s">
        <v>1071</v>
      </c>
      <c r="C2" t="s">
        <v>1072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1073</v>
      </c>
      <c r="G2" s="35"/>
      <c r="H2" t="s">
        <v>231</v>
      </c>
      <c r="I2" t="s">
        <v>1074</v>
      </c>
      <c r="J2" t="s">
        <v>1075</v>
      </c>
    </row>
    <row r="3" spans="1:10">
      <c r="A3" s="78">
        <v>46052.379861111112</v>
      </c>
      <c r="B3" t="s">
        <v>1071</v>
      </c>
      <c r="C3" t="s">
        <v>1076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226</v>
      </c>
      <c r="G3" s="35"/>
      <c r="H3" t="s">
        <v>231</v>
      </c>
      <c r="I3" t="s">
        <v>1077</v>
      </c>
      <c r="J3" t="s">
        <v>1075</v>
      </c>
    </row>
    <row r="4" spans="1:10">
      <c r="A4" s="78">
        <v>46052.384722222218</v>
      </c>
      <c r="B4" t="s">
        <v>1071</v>
      </c>
      <c r="C4" t="s">
        <v>1078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235</v>
      </c>
      <c r="G4" s="35"/>
      <c r="H4" t="s">
        <v>231</v>
      </c>
      <c r="I4" t="s">
        <v>1079</v>
      </c>
      <c r="J4" t="s">
        <v>1075</v>
      </c>
    </row>
    <row r="5" spans="1:10">
      <c r="A5" s="78">
        <v>46052.38958333333</v>
      </c>
      <c r="B5" t="s">
        <v>1071</v>
      </c>
      <c r="C5" t="s">
        <v>1080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235</v>
      </c>
      <c r="G5" s="35"/>
      <c r="H5" t="s">
        <v>231</v>
      </c>
      <c r="I5" t="s">
        <v>1081</v>
      </c>
      <c r="J5" t="s">
        <v>1075</v>
      </c>
    </row>
    <row r="6" spans="1:10">
      <c r="A6" s="78">
        <v>46052.394444444442</v>
      </c>
      <c r="B6" t="s">
        <v>1071</v>
      </c>
      <c r="C6" t="s">
        <v>1082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1083</v>
      </c>
      <c r="G6" s="35"/>
      <c r="H6" t="s">
        <v>231</v>
      </c>
      <c r="I6" t="s">
        <v>1084</v>
      </c>
      <c r="J6" t="s">
        <v>1075</v>
      </c>
    </row>
    <row r="7" spans="1:10">
      <c r="A7" s="78">
        <v>46052.399305555547</v>
      </c>
      <c r="B7" t="s">
        <v>1071</v>
      </c>
      <c r="C7" t="s">
        <v>1085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1086</v>
      </c>
      <c r="G7" s="35"/>
      <c r="H7" t="s">
        <v>231</v>
      </c>
      <c r="I7" t="s">
        <v>1087</v>
      </c>
      <c r="J7" t="s">
        <v>1075</v>
      </c>
    </row>
    <row r="8" spans="1:10">
      <c r="A8" s="78">
        <v>46052.404166666667</v>
      </c>
      <c r="B8" t="s">
        <v>1071</v>
      </c>
      <c r="C8" t="s">
        <v>1088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1089</v>
      </c>
      <c r="G8" s="35"/>
      <c r="H8" t="s">
        <v>231</v>
      </c>
      <c r="I8" t="s">
        <v>1090</v>
      </c>
      <c r="J8" t="s">
        <v>1075</v>
      </c>
    </row>
    <row r="9" spans="1:10">
      <c r="A9" s="78">
        <v>46052.40902777778</v>
      </c>
      <c r="B9" t="s">
        <v>1071</v>
      </c>
      <c r="C9" t="s">
        <v>1091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1092</v>
      </c>
      <c r="G9" s="35"/>
      <c r="H9" t="s">
        <v>231</v>
      </c>
      <c r="I9" t="s">
        <v>1093</v>
      </c>
      <c r="J9" t="s">
        <v>1075</v>
      </c>
    </row>
    <row r="10" spans="1:10">
      <c r="A10" s="78">
        <v>46052.413888888892</v>
      </c>
      <c r="B10" t="s">
        <v>1071</v>
      </c>
      <c r="C10" t="s">
        <v>1094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1095</v>
      </c>
      <c r="G10" s="35"/>
      <c r="H10" t="s">
        <v>231</v>
      </c>
      <c r="I10" t="s">
        <v>1096</v>
      </c>
      <c r="J10" t="s">
        <v>1075</v>
      </c>
    </row>
    <row r="11" spans="1:10">
      <c r="A11" s="78">
        <v>46052.418749999997</v>
      </c>
      <c r="B11" t="s">
        <v>1071</v>
      </c>
      <c r="C11" t="s">
        <v>1097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1098</v>
      </c>
      <c r="G11" s="35"/>
      <c r="H11" t="s">
        <v>231</v>
      </c>
      <c r="I11" t="s">
        <v>1099</v>
      </c>
      <c r="J11" t="s">
        <v>1075</v>
      </c>
    </row>
    <row r="12" spans="1:10">
      <c r="A12" s="78">
        <v>46052.423611111109</v>
      </c>
      <c r="B12" t="s">
        <v>1071</v>
      </c>
      <c r="C12" t="s">
        <v>1100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1101</v>
      </c>
      <c r="G12" s="35"/>
      <c r="H12" t="s">
        <v>231</v>
      </c>
      <c r="I12" t="s">
        <v>1102</v>
      </c>
      <c r="J12" t="s">
        <v>1075</v>
      </c>
    </row>
    <row r="13" spans="1:10">
      <c r="A13" s="78">
        <v>46052.428472222222</v>
      </c>
      <c r="B13" t="s">
        <v>1071</v>
      </c>
      <c r="C13" t="s">
        <v>1103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1104</v>
      </c>
      <c r="G13" s="35"/>
      <c r="H13" t="s">
        <v>231</v>
      </c>
      <c r="I13" t="s">
        <v>1105</v>
      </c>
      <c r="J13" t="s">
        <v>1075</v>
      </c>
    </row>
    <row r="14" spans="1:10">
      <c r="A14" s="78">
        <v>46052.433333333327</v>
      </c>
      <c r="B14" t="s">
        <v>1071</v>
      </c>
      <c r="C14" t="s">
        <v>1106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1107</v>
      </c>
      <c r="G14" s="35"/>
      <c r="H14" t="s">
        <v>231</v>
      </c>
      <c r="I14" t="s">
        <v>1108</v>
      </c>
      <c r="J14" t="s">
        <v>1075</v>
      </c>
    </row>
    <row r="15" spans="1:10">
      <c r="A15" s="78">
        <v>46052.438194444447</v>
      </c>
      <c r="B15" t="s">
        <v>1071</v>
      </c>
      <c r="C15" t="s">
        <v>1109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1110</v>
      </c>
      <c r="G15" s="35"/>
      <c r="H15" t="s">
        <v>231</v>
      </c>
      <c r="I15" t="s">
        <v>1111</v>
      </c>
      <c r="J15" t="s">
        <v>1075</v>
      </c>
    </row>
    <row r="16" spans="1:10">
      <c r="A16" s="78">
        <v>46052.443055555559</v>
      </c>
      <c r="B16" t="s">
        <v>1071</v>
      </c>
      <c r="C16" t="s">
        <v>1112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1113</v>
      </c>
      <c r="G16" s="35"/>
      <c r="H16" t="s">
        <v>231</v>
      </c>
      <c r="I16" t="s">
        <v>1114</v>
      </c>
      <c r="J16" t="s">
        <v>1075</v>
      </c>
    </row>
    <row r="17" spans="1:10">
      <c r="A17" s="78">
        <v>46052.447916666657</v>
      </c>
      <c r="B17" t="s">
        <v>1071</v>
      </c>
      <c r="C17" t="s">
        <v>1115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1116</v>
      </c>
      <c r="G17" s="35"/>
      <c r="H17" t="s">
        <v>231</v>
      </c>
      <c r="I17" t="s">
        <v>1117</v>
      </c>
      <c r="J17" t="s">
        <v>1075</v>
      </c>
    </row>
    <row r="18" spans="1:10">
      <c r="A18" s="78">
        <v>46052.452777777777</v>
      </c>
      <c r="B18" t="s">
        <v>1071</v>
      </c>
      <c r="C18" t="s">
        <v>1118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1119</v>
      </c>
      <c r="G18" s="35"/>
      <c r="H18" t="s">
        <v>231</v>
      </c>
      <c r="I18" t="s">
        <v>1120</v>
      </c>
      <c r="J18" t="s">
        <v>1075</v>
      </c>
    </row>
    <row r="19" spans="1:10">
      <c r="A19" s="78">
        <v>46052.457638888889</v>
      </c>
      <c r="B19" t="s">
        <v>1071</v>
      </c>
      <c r="C19" t="s">
        <v>1121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1122</v>
      </c>
      <c r="G19" s="35"/>
      <c r="H19" t="s">
        <v>231</v>
      </c>
      <c r="I19" t="s">
        <v>1123</v>
      </c>
      <c r="J19" t="s">
        <v>1075</v>
      </c>
    </row>
    <row r="20" spans="1:10">
      <c r="A20" s="78">
        <v>46052.462500000001</v>
      </c>
      <c r="B20" t="s">
        <v>1071</v>
      </c>
      <c r="C20" t="s">
        <v>1124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1125</v>
      </c>
      <c r="G20" s="35"/>
      <c r="H20" t="s">
        <v>231</v>
      </c>
      <c r="I20" t="s">
        <v>1126</v>
      </c>
      <c r="J20" t="s">
        <v>1075</v>
      </c>
    </row>
    <row r="21" spans="1:10">
      <c r="A21" s="78">
        <v>46052.467361111107</v>
      </c>
      <c r="B21" t="s">
        <v>1071</v>
      </c>
      <c r="C21" t="s">
        <v>1127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1128</v>
      </c>
      <c r="G21" s="35"/>
      <c r="H21" t="s">
        <v>231</v>
      </c>
      <c r="I21" t="s">
        <v>1129</v>
      </c>
      <c r="J21" t="s">
        <v>1075</v>
      </c>
    </row>
    <row r="22" spans="1:10">
      <c r="A22" s="78">
        <v>46052.472222222219</v>
      </c>
      <c r="B22" t="s">
        <v>1071</v>
      </c>
      <c r="C22" t="s">
        <v>1130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1131</v>
      </c>
      <c r="G22" s="35"/>
      <c r="H22" t="s">
        <v>231</v>
      </c>
      <c r="I22" t="s">
        <v>1132</v>
      </c>
      <c r="J22" t="s">
        <v>1075</v>
      </c>
    </row>
    <row r="23" spans="1:10">
      <c r="A23" s="78">
        <v>46052.477083333331</v>
      </c>
      <c r="B23" t="s">
        <v>1071</v>
      </c>
      <c r="C23" t="s">
        <v>1133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1134</v>
      </c>
      <c r="G23" s="35"/>
      <c r="H23" t="s">
        <v>231</v>
      </c>
      <c r="I23" t="s">
        <v>1135</v>
      </c>
      <c r="J23" t="s">
        <v>1075</v>
      </c>
    </row>
    <row r="24" spans="1:10">
      <c r="A24" s="78">
        <v>46052.481944444437</v>
      </c>
      <c r="B24" t="s">
        <v>1071</v>
      </c>
      <c r="C24" t="s">
        <v>1136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1137</v>
      </c>
      <c r="G24" s="35"/>
      <c r="H24" t="s">
        <v>231</v>
      </c>
      <c r="I24" t="s">
        <v>1138</v>
      </c>
      <c r="J24" t="s">
        <v>1075</v>
      </c>
    </row>
    <row r="25" spans="1:10">
      <c r="A25" s="78">
        <v>46052.486805555563</v>
      </c>
      <c r="B25" t="s">
        <v>1071</v>
      </c>
      <c r="C25" t="s">
        <v>1139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1140</v>
      </c>
      <c r="G25" s="35"/>
      <c r="H25" t="s">
        <v>231</v>
      </c>
      <c r="I25" t="s">
        <v>1141</v>
      </c>
      <c r="J25" t="s">
        <v>1075</v>
      </c>
    </row>
    <row r="26" spans="1:10">
      <c r="A26" s="78">
        <v>46052.491666666669</v>
      </c>
      <c r="B26" t="s">
        <v>1071</v>
      </c>
      <c r="C26" t="s">
        <v>1142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1143</v>
      </c>
      <c r="G26" s="35"/>
      <c r="H26" t="s">
        <v>231</v>
      </c>
      <c r="I26" t="s">
        <v>1144</v>
      </c>
      <c r="J26" t="s">
        <v>1075</v>
      </c>
    </row>
    <row r="27" spans="1:10">
      <c r="A27" s="78">
        <v>46052.496527777781</v>
      </c>
      <c r="B27" t="s">
        <v>1071</v>
      </c>
      <c r="C27" t="s">
        <v>1145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1146</v>
      </c>
      <c r="G27" s="35"/>
      <c r="H27" t="s">
        <v>231</v>
      </c>
      <c r="I27" t="s">
        <v>1147</v>
      </c>
      <c r="J27" t="s">
        <v>1075</v>
      </c>
    </row>
    <row r="28" spans="1:10">
      <c r="A28" s="78">
        <v>46052.501388888893</v>
      </c>
      <c r="B28" t="s">
        <v>1071</v>
      </c>
      <c r="C28" t="s">
        <v>1148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1149</v>
      </c>
      <c r="G28" s="35"/>
      <c r="H28" t="s">
        <v>231</v>
      </c>
      <c r="I28" t="s">
        <v>1150</v>
      </c>
      <c r="J28" t="s">
        <v>1075</v>
      </c>
    </row>
    <row r="29" spans="1:10">
      <c r="A29" s="78">
        <v>46052.506249999999</v>
      </c>
      <c r="B29" t="s">
        <v>1071</v>
      </c>
      <c r="C29" t="s">
        <v>1151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1152</v>
      </c>
      <c r="G29" s="35"/>
      <c r="H29" t="s">
        <v>231</v>
      </c>
      <c r="I29" t="s">
        <v>1153</v>
      </c>
      <c r="J29" t="s">
        <v>1075</v>
      </c>
    </row>
    <row r="30" spans="1:10">
      <c r="A30" s="78">
        <v>46052.511111111111</v>
      </c>
      <c r="B30" t="s">
        <v>1071</v>
      </c>
      <c r="C30" t="s">
        <v>1154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1155</v>
      </c>
      <c r="G30" s="35"/>
      <c r="H30" t="s">
        <v>231</v>
      </c>
      <c r="I30" t="s">
        <v>1156</v>
      </c>
      <c r="J30" t="s">
        <v>1075</v>
      </c>
    </row>
    <row r="31" spans="1:10">
      <c r="A31" s="78">
        <v>46052.515972222223</v>
      </c>
      <c r="B31" t="s">
        <v>1071</v>
      </c>
      <c r="C31" t="s">
        <v>1157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1158</v>
      </c>
      <c r="G31" s="35"/>
      <c r="H31" t="s">
        <v>231</v>
      </c>
      <c r="I31" t="s">
        <v>1159</v>
      </c>
      <c r="J31" t="s">
        <v>1075</v>
      </c>
    </row>
    <row r="32" spans="1:10">
      <c r="A32" s="78">
        <v>46052.520833333343</v>
      </c>
      <c r="B32" t="s">
        <v>1071</v>
      </c>
      <c r="C32" t="s">
        <v>1160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1161</v>
      </c>
      <c r="G32" s="35"/>
      <c r="H32" t="s">
        <v>231</v>
      </c>
      <c r="I32" t="s">
        <v>1162</v>
      </c>
      <c r="J32" t="s">
        <v>1075</v>
      </c>
    </row>
    <row r="33" spans="1:10">
      <c r="A33" s="78">
        <v>46052.525694444441</v>
      </c>
      <c r="B33" t="s">
        <v>1071</v>
      </c>
      <c r="C33" t="s">
        <v>1163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1164</v>
      </c>
      <c r="G33" s="35"/>
      <c r="H33" t="s">
        <v>231</v>
      </c>
      <c r="I33" t="s">
        <v>1165</v>
      </c>
      <c r="J33" t="s">
        <v>1075</v>
      </c>
    </row>
    <row r="34" spans="1:10">
      <c r="A34" s="78">
        <v>46052.530555555553</v>
      </c>
      <c r="B34" t="s">
        <v>1071</v>
      </c>
      <c r="C34" t="s">
        <v>1166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1167</v>
      </c>
      <c r="G34" s="35"/>
      <c r="H34" t="s">
        <v>231</v>
      </c>
      <c r="I34" t="s">
        <v>1168</v>
      </c>
      <c r="J34" t="s">
        <v>1075</v>
      </c>
    </row>
    <row r="35" spans="1:10">
      <c r="A35" s="78">
        <v>46052.535416666673</v>
      </c>
      <c r="B35" t="s">
        <v>1071</v>
      </c>
      <c r="C35" t="s">
        <v>1169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1170</v>
      </c>
      <c r="G35" s="35"/>
      <c r="H35" t="s">
        <v>231</v>
      </c>
      <c r="I35" t="s">
        <v>1171</v>
      </c>
      <c r="J35" t="s">
        <v>1075</v>
      </c>
    </row>
    <row r="36" spans="1:10">
      <c r="A36" s="78">
        <v>46052.540277777778</v>
      </c>
      <c r="B36" t="s">
        <v>1071</v>
      </c>
      <c r="C36" t="s">
        <v>1172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1173</v>
      </c>
      <c r="G36" s="35"/>
      <c r="H36" t="s">
        <v>231</v>
      </c>
      <c r="I36" t="s">
        <v>1174</v>
      </c>
      <c r="J36" t="s">
        <v>1075</v>
      </c>
    </row>
    <row r="37" spans="1:10">
      <c r="A37" s="78">
        <v>46052.541666666657</v>
      </c>
      <c r="B37" t="s">
        <v>1175</v>
      </c>
      <c r="C37" t="s">
        <v>1091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1083</v>
      </c>
      <c r="G37" s="35"/>
      <c r="H37" t="s">
        <v>231</v>
      </c>
      <c r="I37" t="s">
        <v>1176</v>
      </c>
      <c r="J37" t="s">
        <v>1177</v>
      </c>
    </row>
    <row r="38" spans="1:10">
      <c r="A38" s="78">
        <v>46052.545138888891</v>
      </c>
      <c r="B38" t="s">
        <v>1071</v>
      </c>
      <c r="C38" t="s">
        <v>1178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1179</v>
      </c>
      <c r="G38" s="35"/>
      <c r="H38" t="s">
        <v>231</v>
      </c>
      <c r="I38" t="s">
        <v>1180</v>
      </c>
      <c r="J38" t="s">
        <v>1075</v>
      </c>
    </row>
    <row r="39" spans="1:10">
      <c r="A39" s="78">
        <v>46052.54791666667</v>
      </c>
      <c r="B39" t="s">
        <v>1175</v>
      </c>
      <c r="C39" t="s">
        <v>1094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1086</v>
      </c>
      <c r="G39" s="35"/>
      <c r="H39" t="s">
        <v>231</v>
      </c>
      <c r="I39" t="s">
        <v>1181</v>
      </c>
      <c r="J39" t="s">
        <v>1177</v>
      </c>
    </row>
    <row r="40" spans="1:10">
      <c r="A40" s="78">
        <v>46052.55</v>
      </c>
      <c r="B40" t="s">
        <v>1071</v>
      </c>
      <c r="C40" t="s">
        <v>1182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1183</v>
      </c>
      <c r="G40" s="35"/>
      <c r="H40" t="s">
        <v>231</v>
      </c>
      <c r="I40" t="s">
        <v>1184</v>
      </c>
      <c r="J40" t="s">
        <v>1075</v>
      </c>
    </row>
    <row r="41" spans="1:10">
      <c r="A41" s="78">
        <v>46052.554166666669</v>
      </c>
      <c r="B41" t="s">
        <v>1175</v>
      </c>
      <c r="C41" t="s">
        <v>1097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1089</v>
      </c>
      <c r="G41" s="35"/>
      <c r="H41" t="s">
        <v>231</v>
      </c>
      <c r="I41" t="s">
        <v>1185</v>
      </c>
      <c r="J41" t="s">
        <v>1177</v>
      </c>
    </row>
    <row r="42" spans="1:10">
      <c r="A42" s="78">
        <v>46052.554861111108</v>
      </c>
      <c r="B42" t="s">
        <v>1071</v>
      </c>
      <c r="C42" t="s">
        <v>1186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1187</v>
      </c>
      <c r="G42" s="35"/>
      <c r="H42" t="s">
        <v>231</v>
      </c>
      <c r="I42" t="s">
        <v>1188</v>
      </c>
      <c r="J42" t="s">
        <v>1075</v>
      </c>
    </row>
    <row r="43" spans="1:10">
      <c r="A43" s="78">
        <v>46052.55972222222</v>
      </c>
      <c r="B43" t="s">
        <v>1071</v>
      </c>
      <c r="C43" t="s">
        <v>1189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1190</v>
      </c>
      <c r="G43" s="35"/>
      <c r="H43" t="s">
        <v>231</v>
      </c>
      <c r="I43" t="s">
        <v>1191</v>
      </c>
      <c r="J43" t="s">
        <v>1075</v>
      </c>
    </row>
    <row r="44" spans="1:10">
      <c r="A44" s="78">
        <v>46052.560416666667</v>
      </c>
      <c r="B44" t="s">
        <v>1175</v>
      </c>
      <c r="C44" t="s">
        <v>1100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1092</v>
      </c>
      <c r="G44" s="35"/>
      <c r="H44" t="s">
        <v>231</v>
      </c>
      <c r="I44" t="s">
        <v>1192</v>
      </c>
      <c r="J44" t="s">
        <v>1177</v>
      </c>
    </row>
    <row r="45" spans="1:10">
      <c r="A45" s="78">
        <v>46052.564583333333</v>
      </c>
      <c r="B45" t="s">
        <v>1071</v>
      </c>
      <c r="C45" t="s">
        <v>1193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1194</v>
      </c>
      <c r="G45" s="35"/>
      <c r="H45" t="s">
        <v>231</v>
      </c>
      <c r="I45" t="s">
        <v>1195</v>
      </c>
      <c r="J45" t="s">
        <v>1075</v>
      </c>
    </row>
    <row r="46" spans="1:10">
      <c r="A46" s="78">
        <v>46052.566666666673</v>
      </c>
      <c r="B46" t="s">
        <v>1175</v>
      </c>
      <c r="C46" t="s">
        <v>1103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1095</v>
      </c>
      <c r="G46" s="35"/>
      <c r="H46" t="s">
        <v>231</v>
      </c>
      <c r="I46" t="s">
        <v>1196</v>
      </c>
      <c r="J46" t="s">
        <v>1177</v>
      </c>
    </row>
    <row r="47" spans="1:10">
      <c r="A47" s="78">
        <v>46052.569444444453</v>
      </c>
      <c r="B47" t="s">
        <v>1071</v>
      </c>
      <c r="C47" t="s">
        <v>1197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1198</v>
      </c>
      <c r="G47" s="35"/>
      <c r="H47" t="s">
        <v>231</v>
      </c>
      <c r="I47" t="s">
        <v>1199</v>
      </c>
      <c r="J47" t="s">
        <v>1075</v>
      </c>
    </row>
    <row r="48" spans="1:10">
      <c r="A48" s="78">
        <v>46052.572916666657</v>
      </c>
      <c r="B48" t="s">
        <v>1175</v>
      </c>
      <c r="C48" t="s">
        <v>1106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1098</v>
      </c>
      <c r="G48" s="35"/>
      <c r="H48" t="s">
        <v>231</v>
      </c>
      <c r="I48" t="s">
        <v>1200</v>
      </c>
      <c r="J48" t="s">
        <v>1177</v>
      </c>
    </row>
    <row r="49" spans="1:10">
      <c r="A49" s="78">
        <v>46052.574305555558</v>
      </c>
      <c r="B49" t="s">
        <v>1071</v>
      </c>
      <c r="C49" t="s">
        <v>1201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1202</v>
      </c>
      <c r="G49" s="35"/>
      <c r="H49" t="s">
        <v>231</v>
      </c>
      <c r="I49" t="s">
        <v>1203</v>
      </c>
      <c r="J49" t="s">
        <v>1075</v>
      </c>
    </row>
    <row r="50" spans="1:10">
      <c r="A50" s="78">
        <v>46052.57916666667</v>
      </c>
      <c r="B50" t="s">
        <v>1071</v>
      </c>
      <c r="C50" t="s">
        <v>1204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1205</v>
      </c>
      <c r="G50" s="35"/>
      <c r="H50" t="s">
        <v>231</v>
      </c>
      <c r="I50" t="s">
        <v>1206</v>
      </c>
      <c r="J50" t="s">
        <v>1075</v>
      </c>
    </row>
    <row r="51" spans="1:10">
      <c r="A51" s="78">
        <v>46052.57916666667</v>
      </c>
      <c r="B51" t="s">
        <v>1175</v>
      </c>
      <c r="C51" t="s">
        <v>1109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1101</v>
      </c>
      <c r="G51" s="35"/>
      <c r="H51" t="s">
        <v>231</v>
      </c>
      <c r="I51" t="s">
        <v>1207</v>
      </c>
      <c r="J51" t="s">
        <v>1177</v>
      </c>
    </row>
    <row r="52" spans="1:10">
      <c r="A52" s="78">
        <v>46052.584027777782</v>
      </c>
      <c r="B52" t="s">
        <v>1071</v>
      </c>
      <c r="C52" t="s">
        <v>1208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1209</v>
      </c>
      <c r="G52" s="35"/>
      <c r="H52" t="s">
        <v>231</v>
      </c>
      <c r="I52" t="s">
        <v>1210</v>
      </c>
      <c r="J52" t="s">
        <v>1075</v>
      </c>
    </row>
    <row r="53" spans="1:10">
      <c r="A53" s="78">
        <v>46052.585416666669</v>
      </c>
      <c r="B53" t="s">
        <v>1175</v>
      </c>
      <c r="C53" t="s">
        <v>1112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1104</v>
      </c>
      <c r="G53" s="35"/>
      <c r="H53" t="s">
        <v>231</v>
      </c>
      <c r="I53" t="s">
        <v>1211</v>
      </c>
      <c r="J53" t="s">
        <v>1177</v>
      </c>
    </row>
    <row r="54" spans="1:10">
      <c r="A54" s="78">
        <v>46052.588888888888</v>
      </c>
      <c r="B54" t="s">
        <v>1071</v>
      </c>
      <c r="C54" t="s">
        <v>1212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1213</v>
      </c>
      <c r="G54" s="35"/>
      <c r="H54" t="s">
        <v>231</v>
      </c>
      <c r="I54" t="s">
        <v>1214</v>
      </c>
      <c r="J54" t="s">
        <v>1075</v>
      </c>
    </row>
    <row r="55" spans="1:10">
      <c r="A55" s="78">
        <v>46052.59375</v>
      </c>
      <c r="B55" t="s">
        <v>1071</v>
      </c>
      <c r="C55" t="s">
        <v>1215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1216</v>
      </c>
      <c r="G55" s="35"/>
      <c r="H55" t="s">
        <v>231</v>
      </c>
      <c r="I55" t="s">
        <v>1217</v>
      </c>
      <c r="J55" t="s">
        <v>1075</v>
      </c>
    </row>
    <row r="56" spans="1:10">
      <c r="A56" s="78">
        <v>46052.598611111112</v>
      </c>
      <c r="B56" t="s">
        <v>1071</v>
      </c>
      <c r="C56" t="s">
        <v>1218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1219</v>
      </c>
      <c r="G56" s="35"/>
      <c r="H56" t="s">
        <v>231</v>
      </c>
      <c r="I56" t="s">
        <v>1220</v>
      </c>
      <c r="J56" t="s">
        <v>1075</v>
      </c>
    </row>
    <row r="57" spans="1:10">
      <c r="A57" s="78">
        <v>46052.603472222218</v>
      </c>
      <c r="B57" t="s">
        <v>1071</v>
      </c>
      <c r="C57" t="s">
        <v>1221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1222</v>
      </c>
      <c r="G57" s="35"/>
      <c r="H57" t="s">
        <v>231</v>
      </c>
      <c r="I57" t="s">
        <v>1223</v>
      </c>
      <c r="J57" t="s">
        <v>1075</v>
      </c>
    </row>
    <row r="58" spans="1:10">
      <c r="A58" s="78">
        <v>46052.60833333333</v>
      </c>
      <c r="B58" t="s">
        <v>1071</v>
      </c>
      <c r="C58" t="s">
        <v>1224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1225</v>
      </c>
      <c r="G58" s="35"/>
      <c r="H58" t="s">
        <v>231</v>
      </c>
      <c r="I58" t="s">
        <v>1226</v>
      </c>
      <c r="J58" t="s">
        <v>1075</v>
      </c>
    </row>
    <row r="59" spans="1:10">
      <c r="A59" s="78">
        <v>46052.613194444442</v>
      </c>
      <c r="B59" t="s">
        <v>1227</v>
      </c>
      <c r="C59" t="s">
        <v>1228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1053</v>
      </c>
      <c r="G59" s="35"/>
      <c r="H59" t="s">
        <v>231</v>
      </c>
      <c r="I59" t="s">
        <v>1229</v>
      </c>
      <c r="J59" t="s">
        <v>1230</v>
      </c>
    </row>
    <row r="60" spans="1:10">
      <c r="A60" s="78">
        <v>46052.618055555547</v>
      </c>
      <c r="B60" t="s">
        <v>1227</v>
      </c>
      <c r="C60" t="s">
        <v>1231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1053</v>
      </c>
      <c r="G60" s="35"/>
      <c r="H60" t="s">
        <v>231</v>
      </c>
      <c r="I60" t="s">
        <v>1232</v>
      </c>
      <c r="J60" t="s">
        <v>1230</v>
      </c>
    </row>
    <row r="61" spans="1:10">
      <c r="A61" s="78">
        <v>46052.622916666667</v>
      </c>
      <c r="B61" t="s">
        <v>1071</v>
      </c>
      <c r="C61" t="s">
        <v>1233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1234</v>
      </c>
      <c r="G61" s="35"/>
      <c r="H61" t="s">
        <v>231</v>
      </c>
      <c r="I61" t="s">
        <v>1235</v>
      </c>
      <c r="J61" t="s">
        <v>1075</v>
      </c>
    </row>
    <row r="62" spans="1:10">
      <c r="A62" s="78">
        <v>46052.62777777778</v>
      </c>
      <c r="B62" t="s">
        <v>1071</v>
      </c>
      <c r="C62" t="s">
        <v>1236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1237</v>
      </c>
      <c r="G62" s="35"/>
      <c r="H62" t="s">
        <v>231</v>
      </c>
      <c r="I62" t="s">
        <v>1238</v>
      </c>
      <c r="J62" t="s">
        <v>1075</v>
      </c>
    </row>
    <row r="63" spans="1:10">
      <c r="A63" s="78">
        <v>46052.632638888892</v>
      </c>
      <c r="B63" t="s">
        <v>1071</v>
      </c>
      <c r="C63" t="s">
        <v>1239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1240</v>
      </c>
      <c r="G63" s="35"/>
      <c r="H63" t="s">
        <v>231</v>
      </c>
      <c r="I63" t="s">
        <v>1241</v>
      </c>
      <c r="J63" t="s">
        <v>1075</v>
      </c>
    </row>
    <row r="64" spans="1:10">
      <c r="A64" s="78">
        <v>46052.637499999997</v>
      </c>
      <c r="B64" t="s">
        <v>1071</v>
      </c>
      <c r="C64" t="s">
        <v>1242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1243</v>
      </c>
      <c r="G64" s="35"/>
      <c r="H64" t="s">
        <v>231</v>
      </c>
      <c r="I64" t="s">
        <v>1244</v>
      </c>
      <c r="J64" t="s">
        <v>1075</v>
      </c>
    </row>
    <row r="65" spans="1:10">
      <c r="A65" s="78">
        <v>46052.642361111109</v>
      </c>
      <c r="B65" t="s">
        <v>1071</v>
      </c>
      <c r="C65" t="s">
        <v>1245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1246</v>
      </c>
      <c r="G65" s="35"/>
      <c r="H65" t="s">
        <v>231</v>
      </c>
      <c r="I65" t="s">
        <v>1247</v>
      </c>
      <c r="J65" t="s">
        <v>1075</v>
      </c>
    </row>
    <row r="66" spans="1:10">
      <c r="A66" s="78">
        <v>46052.647222222222</v>
      </c>
      <c r="B66" t="s">
        <v>1071</v>
      </c>
      <c r="C66" t="s">
        <v>1248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1249</v>
      </c>
      <c r="G66" s="35"/>
      <c r="H66" t="s">
        <v>231</v>
      </c>
      <c r="I66" t="s">
        <v>1250</v>
      </c>
      <c r="J66" t="s">
        <v>1075</v>
      </c>
    </row>
    <row r="67" spans="1:10">
      <c r="A67" s="78">
        <v>46052.652083333327</v>
      </c>
      <c r="B67" t="s">
        <v>1071</v>
      </c>
      <c r="C67" t="s">
        <v>1251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1252</v>
      </c>
      <c r="G67" s="35"/>
      <c r="H67" t="s">
        <v>231</v>
      </c>
      <c r="I67" t="s">
        <v>1253</v>
      </c>
      <c r="J67" t="s">
        <v>1075</v>
      </c>
    </row>
    <row r="68" spans="1:10">
      <c r="A68" s="78">
        <v>46052.656944444447</v>
      </c>
      <c r="B68" t="s">
        <v>1071</v>
      </c>
      <c r="C68" t="s">
        <v>1254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1255</v>
      </c>
      <c r="G68" s="35"/>
      <c r="H68" t="s">
        <v>231</v>
      </c>
      <c r="I68" t="s">
        <v>1256</v>
      </c>
      <c r="J68" t="s">
        <v>1075</v>
      </c>
    </row>
    <row r="69" spans="1:10">
      <c r="A69" s="78">
        <v>46052.661805555559</v>
      </c>
      <c r="B69" t="s">
        <v>1071</v>
      </c>
      <c r="C69" t="s">
        <v>1257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1258</v>
      </c>
      <c r="G69" s="35"/>
      <c r="H69" t="s">
        <v>231</v>
      </c>
      <c r="I69" t="s">
        <v>1259</v>
      </c>
      <c r="J69" t="s">
        <v>1075</v>
      </c>
    </row>
    <row r="70" spans="1:10">
      <c r="A70" s="78"/>
      <c r="D70" t="str">
        <f>IF($C70="","",IFERROR(LOOKUP(2,1/($C$2:INDEX($C:$C,ROW()-1)=$C70),$E$2:INDEX($E:$E,ROW()-1)),IFERROR(VLOOKUP($C70,'01_Warehouse_Ledger'!$A$2:$C$2002,3,FALSE),"")))</f>
        <v/>
      </c>
      <c r="G70" s="35"/>
    </row>
    <row r="71" spans="1:10">
      <c r="A71" s="78"/>
      <c r="D71" t="str">
        <f>IF($C71="","",IFERROR(LOOKUP(2,1/($C$2:INDEX($C:$C,ROW()-1)=$C71),$E$2:INDEX($E:$E,ROW()-1)),IFERROR(VLOOKUP($C71,'01_Warehouse_Ledger'!$A$2:$C$2002,3,FALSE),"")))</f>
        <v/>
      </c>
      <c r="G71" s="35"/>
    </row>
    <row r="72" spans="1:10">
      <c r="A72" s="78"/>
      <c r="D72" t="str">
        <f>IF($C72="","",IFERROR(LOOKUP(2,1/($C$2:INDEX($C:$C,ROW()-1)=$C72),$E$2:INDEX($E:$E,ROW()-1)),IFERROR(VLOOKUP($C72,'01_Warehouse_Ledger'!$A$2:$C$2002,3,FALSE),"")))</f>
        <v/>
      </c>
      <c r="G72" s="35"/>
    </row>
    <row r="73" spans="1:10">
      <c r="A73" s="78"/>
      <c r="D73" t="str">
        <f>IF($C73="","",IFERROR(LOOKUP(2,1/($C$2:INDEX($C:$C,ROW()-1)=$C73),$E$2:INDEX($E:$E,ROW()-1)),IFERROR(VLOOKUP($C73,'01_Warehouse_Ledger'!$A$2:$C$2002,3,FALSE),"")))</f>
        <v/>
      </c>
      <c r="G73" s="35"/>
    </row>
    <row r="74" spans="1:10">
      <c r="A74" s="78"/>
      <c r="D74" t="str">
        <f>IF($C74="","",IFERROR(LOOKUP(2,1/($C$2:INDEX($C:$C,ROW()-1)=$C74),$E$2:INDEX($E:$E,ROW()-1)),IFERROR(VLOOKUP($C74,'01_Warehouse_Ledger'!$A$2:$C$2002,3,FALSE),"")))</f>
        <v/>
      </c>
      <c r="G74" s="35"/>
    </row>
    <row r="75" spans="1:10">
      <c r="A75" s="78"/>
      <c r="D75" t="str">
        <f>IF($C75="","",IFERROR(LOOKUP(2,1/($C$2:INDEX($C:$C,ROW()-1)=$C75),$E$2:INDEX($E:$E,ROW()-1)),IFERROR(VLOOKUP($C75,'01_Warehouse_Ledger'!$A$2:$C$2002,3,FALSE),"")))</f>
        <v/>
      </c>
      <c r="G75" s="35"/>
    </row>
    <row r="76" spans="1:10">
      <c r="A76" s="78"/>
      <c r="D76" t="str">
        <f>IF($C76="","",IFERROR(LOOKUP(2,1/($C$2:INDEX($C:$C,ROW()-1)=$C76),$E$2:INDEX($E:$E,ROW()-1)),IFERROR(VLOOKUP($C76,'01_Warehouse_Ledger'!$A$2:$C$2002,3,FALSE),"")))</f>
        <v/>
      </c>
      <c r="G76" s="35"/>
    </row>
    <row r="77" spans="1:10">
      <c r="A77" s="78"/>
      <c r="D77" t="str">
        <f>IF($C77="","",IFERROR(LOOKUP(2,1/($C$2:INDEX($C:$C,ROW()-1)=$C77),$E$2:INDEX($E:$E,ROW()-1)),IFERROR(VLOOKUP($C77,'01_Warehouse_Ledger'!$A$2:$C$2002,3,FALSE),"")))</f>
        <v/>
      </c>
      <c r="G77" s="35"/>
    </row>
    <row r="78" spans="1:10">
      <c r="A78" s="78"/>
      <c r="D78" t="str">
        <f>IF($C78="","",IFERROR(LOOKUP(2,1/($C$2:INDEX($C:$C,ROW()-1)=$C78),$E$2:INDEX($E:$E,ROW()-1)),IFERROR(VLOOKUP($C78,'01_Warehouse_Ledger'!$A$2:$C$2002,3,FALSE),"")))</f>
        <v/>
      </c>
      <c r="G78" s="35"/>
    </row>
    <row r="79" spans="1:10">
      <c r="A79" s="78"/>
      <c r="D79" t="str">
        <f>IF($C79="","",IFERROR(LOOKUP(2,1/($C$2:INDEX($C:$C,ROW()-1)=$C79),$E$2:INDEX($E:$E,ROW()-1)),IFERROR(VLOOKUP($C79,'01_Warehouse_Ledger'!$A$2:$C$2002,3,FALSE),"")))</f>
        <v/>
      </c>
      <c r="G79" s="35"/>
    </row>
    <row r="80" spans="1:10">
      <c r="A80" s="78"/>
      <c r="D80" t="str">
        <f>IF($C80="","",IFERROR(LOOKUP(2,1/($C$2:INDEX($C:$C,ROW()-1)=$C80),$E$2:INDEX($E:$E,ROW()-1)),IFERROR(VLOOKUP($C80,'01_Warehouse_Ledger'!$A$2:$C$2002,3,FALSE),"")))</f>
        <v/>
      </c>
      <c r="G80" s="35"/>
    </row>
    <row r="81" spans="1:7">
      <c r="A81" s="78"/>
      <c r="D81" t="str">
        <f>IF($C81="","",IFERROR(LOOKUP(2,1/($C$2:INDEX($C:$C,ROW()-1)=$C81),$E$2:INDEX($E:$E,ROW()-1)),IFERROR(VLOOKUP($C81,'01_Warehouse_Ledger'!$A$2:$C$2002,3,FALSE),"")))</f>
        <v/>
      </c>
      <c r="G81" s="35"/>
    </row>
    <row r="82" spans="1:7">
      <c r="A82" s="78"/>
      <c r="D82" t="str">
        <f>IF($C82="","",IFERROR(LOOKUP(2,1/($C$2:INDEX($C:$C,ROW()-1)=$C82),$E$2:INDEX($E:$E,ROW()-1)),IFERROR(VLOOKUP($C82,'01_Warehouse_Ledger'!$A$2:$C$2002,3,FALSE),"")))</f>
        <v/>
      </c>
      <c r="G82" s="35"/>
    </row>
    <row r="83" spans="1:7">
      <c r="A83" s="78"/>
      <c r="D83" t="str">
        <f>IF($C83="","",IFERROR(LOOKUP(2,1/($C$2:INDEX($C:$C,ROW()-1)=$C83),$E$2:INDEX($E:$E,ROW()-1)),IFERROR(VLOOKUP($C83,'01_Warehouse_Ledger'!$A$2:$C$2002,3,FALSE),"")))</f>
        <v/>
      </c>
      <c r="G83" s="35"/>
    </row>
    <row r="84" spans="1:7">
      <c r="A84" s="78"/>
      <c r="D84" t="str">
        <f>IF($C84="","",IFERROR(LOOKUP(2,1/($C$2:INDEX($C:$C,ROW()-1)=$C84),$E$2:INDEX($E:$E,ROW()-1)),IFERROR(VLOOKUP($C84,'01_Warehouse_Ledger'!$A$2:$C$2002,3,FALSE),"")))</f>
        <v/>
      </c>
      <c r="G84" s="35"/>
    </row>
    <row r="85" spans="1:7">
      <c r="A85" s="78"/>
      <c r="D85" t="str">
        <f>IF($C85="","",IFERROR(LOOKUP(2,1/($C$2:INDEX($C:$C,ROW()-1)=$C85),$E$2:INDEX($E:$E,ROW()-1)),IFERROR(VLOOKUP($C85,'01_Warehouse_Ledger'!$A$2:$C$2002,3,FALSE),"")))</f>
        <v/>
      </c>
      <c r="G85" s="35"/>
    </row>
    <row r="86" spans="1:7">
      <c r="A86" s="78"/>
      <c r="D86" t="str">
        <f>IF($C86="","",IFERROR(LOOKUP(2,1/($C$2:INDEX($C:$C,ROW()-1)=$C86),$E$2:INDEX($E:$E,ROW()-1)),IFERROR(VLOOKUP($C86,'01_Warehouse_Ledger'!$A$2:$C$2002,3,FALSE),"")))</f>
        <v/>
      </c>
      <c r="G86" s="35"/>
    </row>
    <row r="87" spans="1:7">
      <c r="A87" s="78"/>
      <c r="D87" t="str">
        <f>IF($C87="","",IFERROR(LOOKUP(2,1/($C$2:INDEX($C:$C,ROW()-1)=$C87),$E$2:INDEX($E:$E,ROW()-1)),IFERROR(VLOOKUP($C87,'01_Warehouse_Ledger'!$A$2:$C$2002,3,FALSE),"")))</f>
        <v/>
      </c>
      <c r="G87" s="35"/>
    </row>
    <row r="88" spans="1:7">
      <c r="A88" s="78"/>
      <c r="D88" t="str">
        <f>IF($C88="","",IFERROR(LOOKUP(2,1/($C$2:INDEX($C:$C,ROW()-1)=$C88),$E$2:INDEX($E:$E,ROW()-1)),IFERROR(VLOOKUP($C88,'01_Warehouse_Ledger'!$A$2:$C$2002,3,FALSE),"")))</f>
        <v/>
      </c>
      <c r="G88" s="35"/>
    </row>
    <row r="89" spans="1:7">
      <c r="A89" s="78"/>
      <c r="D89" t="str">
        <f>IF($C89="","",IFERROR(LOOKUP(2,1/($C$2:INDEX($C:$C,ROW()-1)=$C89),$E$2:INDEX($E:$E,ROW()-1)),IFERROR(VLOOKUP($C89,'01_Warehouse_Ledger'!$A$2:$C$2002,3,FALSE),"")))</f>
        <v/>
      </c>
      <c r="G89" s="35"/>
    </row>
    <row r="90" spans="1:7">
      <c r="A90" s="78"/>
      <c r="D90" t="str">
        <f>IF($C90="","",IFERROR(LOOKUP(2,1/($C$2:INDEX($C:$C,ROW()-1)=$C90),$E$2:INDEX($E:$E,ROW()-1)),IFERROR(VLOOKUP($C90,'01_Warehouse_Ledger'!$A$2:$C$2002,3,FALSE),"")))</f>
        <v/>
      </c>
      <c r="G90" s="35"/>
    </row>
    <row r="91" spans="1:7">
      <c r="A91" s="78"/>
      <c r="D91" t="str">
        <f>IF($C91="","",IFERROR(LOOKUP(2,1/($C$2:INDEX($C:$C,ROW()-1)=$C91),$E$2:INDEX($E:$E,ROW()-1)),IFERROR(VLOOKUP($C91,'01_Warehouse_Ledger'!$A$2:$C$2002,3,FALSE),"")))</f>
        <v/>
      </c>
      <c r="G91" s="35"/>
    </row>
    <row r="92" spans="1:7">
      <c r="A92" s="78"/>
      <c r="D92" t="str">
        <f>IF($C92="","",IFERROR(LOOKUP(2,1/($C$2:INDEX($C:$C,ROW()-1)=$C92),$E$2:INDEX($E:$E,ROW()-1)),IFERROR(VLOOKUP($C92,'01_Warehouse_Ledger'!$A$2:$C$2002,3,FALSE),"")))</f>
        <v/>
      </c>
      <c r="G92" s="35"/>
    </row>
    <row r="93" spans="1:7">
      <c r="A93" s="78"/>
      <c r="D93" t="str">
        <f>IF($C93="","",IFERROR(LOOKUP(2,1/($C$2:INDEX($C:$C,ROW()-1)=$C93),$E$2:INDEX($E:$E,ROW()-1)),IFERROR(VLOOKUP($C93,'01_Warehouse_Ledger'!$A$2:$C$2002,3,FALSE),"")))</f>
        <v/>
      </c>
      <c r="G93" s="35"/>
    </row>
    <row r="94" spans="1:7">
      <c r="A94" s="78"/>
      <c r="D94" t="str">
        <f>IF($C94="","",IFERROR(LOOKUP(2,1/($C$2:INDEX($C:$C,ROW()-1)=$C94),$E$2:INDEX($E:$E,ROW()-1)),IFERROR(VLOOKUP($C94,'01_Warehouse_Ledger'!$A$2:$C$2002,3,FALSE),"")))</f>
        <v/>
      </c>
      <c r="G94" s="35"/>
    </row>
    <row r="95" spans="1:7">
      <c r="A95" s="78"/>
      <c r="D95" t="str">
        <f>IF($C95="","",IFERROR(LOOKUP(2,1/($C$2:INDEX($C:$C,ROW()-1)=$C95),$E$2:INDEX($E:$E,ROW()-1)),IFERROR(VLOOKUP($C95,'01_Warehouse_Ledger'!$A$2:$C$2002,3,FALSE),"")))</f>
        <v/>
      </c>
      <c r="G95" s="35"/>
    </row>
    <row r="96" spans="1:7">
      <c r="A96" s="78"/>
      <c r="D96" t="str">
        <f>IF($C96="","",IFERROR(LOOKUP(2,1/($C$2:INDEX($C:$C,ROW()-1)=$C96),$E$2:INDEX($E:$E,ROW()-1)),IFERROR(VLOOKUP($C96,'01_Warehouse_Ledger'!$A$2:$C$2002,3,FALSE),"")))</f>
        <v/>
      </c>
      <c r="G96" s="35"/>
    </row>
    <row r="97" spans="1:7">
      <c r="A97" s="78"/>
      <c r="D97" t="str">
        <f>IF($C97="","",IFERROR(LOOKUP(2,1/($C$2:INDEX($C:$C,ROW()-1)=$C97),$E$2:INDEX($E:$E,ROW()-1)),IFERROR(VLOOKUP($C97,'01_Warehouse_Ledger'!$A$2:$C$2002,3,FALSE),"")))</f>
        <v/>
      </c>
      <c r="G97" s="35"/>
    </row>
    <row r="98" spans="1:7">
      <c r="A98" s="78"/>
      <c r="D98" t="str">
        <f>IF($C98="","",IFERROR(LOOKUP(2,1/($C$2:INDEX($C:$C,ROW()-1)=$C98),$E$2:INDEX($E:$E,ROW()-1)),IFERROR(VLOOKUP($C98,'01_Warehouse_Ledger'!$A$2:$C$2002,3,FALSE),"")))</f>
        <v/>
      </c>
      <c r="G98" s="35"/>
    </row>
    <row r="99" spans="1:7">
      <c r="A99" s="78"/>
      <c r="D99" t="str">
        <f>IF($C99="","",IFERROR(LOOKUP(2,1/($C$2:INDEX($C:$C,ROW()-1)=$C99),$E$2:INDEX($E:$E,ROW()-1)),IFERROR(VLOOKUP($C99,'01_Warehouse_Ledger'!$A$2:$C$2002,3,FALSE),"")))</f>
        <v/>
      </c>
      <c r="G99" s="35"/>
    </row>
    <row r="100" spans="1:7">
      <c r="A100" s="78"/>
      <c r="D100" t="str">
        <f>IF($C100="","",IFERROR(LOOKUP(2,1/($C$2:INDEX($C:$C,ROW()-1)=$C100),$E$2:INDEX($E:$E,ROW()-1)),IFERROR(VLOOKUP($C100,'01_Warehouse_Ledger'!$A$2:$C$2002,3,FALSE),"")))</f>
        <v/>
      </c>
      <c r="G100" s="35"/>
    </row>
    <row r="101" spans="1:7">
      <c r="A101" s="78"/>
      <c r="D101" t="str">
        <f>IF($C101="","",IFERROR(LOOKUP(2,1/($C$2:INDEX($C:$C,ROW()-1)=$C101),$E$2:INDEX($E:$E,ROW()-1)),IFERROR(VLOOKUP($C101,'01_Warehouse_Ledger'!$A$2:$C$2002,3,FALSE),"")))</f>
        <v/>
      </c>
      <c r="G101" s="35"/>
    </row>
    <row r="102" spans="1:7">
      <c r="A102" s="78"/>
      <c r="D102" t="str">
        <f>IF($C102="","",IFERROR(LOOKUP(2,1/($C$2:INDEX($C:$C,ROW()-1)=$C102),$E$2:INDEX($E:$E,ROW()-1)),IFERROR(VLOOKUP($C102,'01_Warehouse_Ledger'!$A$2:$C$2002,3,FALSE),"")))</f>
        <v/>
      </c>
      <c r="G102" s="35"/>
    </row>
    <row r="103" spans="1:7">
      <c r="A103" s="78"/>
      <c r="D103" t="str">
        <f>IF($C103="","",IFERROR(LOOKUP(2,1/($C$2:INDEX($C:$C,ROW()-1)=$C103),$E$2:INDEX($E:$E,ROW()-1)),IFERROR(VLOOKUP($C103,'01_Warehouse_Ledger'!$A$2:$C$2002,3,FALSE),"")))</f>
        <v/>
      </c>
      <c r="G103" s="35"/>
    </row>
    <row r="104" spans="1:7">
      <c r="A104" s="78"/>
      <c r="D104" t="str">
        <f>IF($C104="","",IFERROR(LOOKUP(2,1/($C$2:INDEX($C:$C,ROW()-1)=$C104),$E$2:INDEX($E:$E,ROW()-1)),IFERROR(VLOOKUP($C104,'01_Warehouse_Ledger'!$A$2:$C$2002,3,FALSE),"")))</f>
        <v/>
      </c>
      <c r="G104" s="35"/>
    </row>
    <row r="105" spans="1:7">
      <c r="A105" s="78"/>
      <c r="D105" t="str">
        <f>IF($C105="","",IFERROR(LOOKUP(2,1/($C$2:INDEX($C:$C,ROW()-1)=$C105),$E$2:INDEX($E:$E,ROW()-1)),IFERROR(VLOOKUP($C105,'01_Warehouse_Ledger'!$A$2:$C$2002,3,FALSE),"")))</f>
        <v/>
      </c>
      <c r="G105" s="35"/>
    </row>
    <row r="106" spans="1:7">
      <c r="A106" s="78"/>
      <c r="D106" t="str">
        <f>IF($C106="","",IFERROR(LOOKUP(2,1/($C$2:INDEX($C:$C,ROW()-1)=$C106),$E$2:INDEX($E:$E,ROW()-1)),IFERROR(VLOOKUP($C106,'01_Warehouse_Ledger'!$A$2:$C$2002,3,FALSE),"")))</f>
        <v/>
      </c>
      <c r="G106" s="35"/>
    </row>
    <row r="107" spans="1:7">
      <c r="A107" s="78"/>
      <c r="D107" t="str">
        <f>IF($C107="","",IFERROR(LOOKUP(2,1/($C$2:INDEX($C:$C,ROW()-1)=$C107),$E$2:INDEX($E:$E,ROW()-1)),IFERROR(VLOOKUP($C107,'01_Warehouse_Ledger'!$A$2:$C$2002,3,FALSE),"")))</f>
        <v/>
      </c>
      <c r="G107" s="35"/>
    </row>
    <row r="108" spans="1:7">
      <c r="A108" s="78"/>
      <c r="D108" t="str">
        <f>IF($C108="","",IFERROR(LOOKUP(2,1/($C$2:INDEX($C:$C,ROW()-1)=$C108),$E$2:INDEX($E:$E,ROW()-1)),IFERROR(VLOOKUP($C108,'01_Warehouse_Ledger'!$A$2:$C$2002,3,FALSE),"")))</f>
        <v/>
      </c>
      <c r="G108" s="35"/>
    </row>
    <row r="109" spans="1:7">
      <c r="A109" s="78"/>
      <c r="D109" t="str">
        <f>IF($C109="","",IFERROR(LOOKUP(2,1/($C$2:INDEX($C:$C,ROW()-1)=$C109),$E$2:INDEX($E:$E,ROW()-1)),IFERROR(VLOOKUP($C109,'01_Warehouse_Ledger'!$A$2:$C$2002,3,FALSE),"")))</f>
        <v/>
      </c>
      <c r="G109" s="35"/>
    </row>
    <row r="110" spans="1:7">
      <c r="A110" s="78"/>
      <c r="D110" t="str">
        <f>IF($C110="","",IFERROR(LOOKUP(2,1/($C$2:INDEX($C:$C,ROW()-1)=$C110),$E$2:INDEX($E:$E,ROW()-1)),IFERROR(VLOOKUP($C110,'01_Warehouse_Ledger'!$A$2:$C$2002,3,FALSE),"")))</f>
        <v/>
      </c>
      <c r="G110" s="35"/>
    </row>
    <row r="111" spans="1:7">
      <c r="A111" s="78"/>
      <c r="D111" t="str">
        <f>IF($C111="","",IFERROR(LOOKUP(2,1/($C$2:INDEX($C:$C,ROW()-1)=$C111),$E$2:INDEX($E:$E,ROW()-1)),IFERROR(VLOOKUP($C111,'01_Warehouse_Ledger'!$A$2:$C$2002,3,FALSE),"")))</f>
        <v/>
      </c>
      <c r="G111" s="35"/>
    </row>
    <row r="112" spans="1:7">
      <c r="A112" s="78"/>
      <c r="D112" t="str">
        <f>IF($C112="","",IFERROR(LOOKUP(2,1/($C$2:INDEX($C:$C,ROW()-1)=$C112),$E$2:INDEX($E:$E,ROW()-1)),IFERROR(VLOOKUP($C112,'01_Warehouse_Ledger'!$A$2:$C$2002,3,FALSE),"")))</f>
        <v/>
      </c>
      <c r="G112" s="35"/>
    </row>
    <row r="113" spans="1:7">
      <c r="A113" s="78"/>
      <c r="D113" t="str">
        <f>IF($C113="","",IFERROR(LOOKUP(2,1/($C$2:INDEX($C:$C,ROW()-1)=$C113),$E$2:INDEX($E:$E,ROW()-1)),IFERROR(VLOOKUP($C113,'01_Warehouse_Ledger'!$A$2:$C$2002,3,FALSE),"")))</f>
        <v/>
      </c>
      <c r="G113" s="35"/>
    </row>
    <row r="114" spans="1:7">
      <c r="A114" s="78"/>
      <c r="D114" t="str">
        <f>IF($C114="","",IFERROR(LOOKUP(2,1/($C$2:INDEX($C:$C,ROW()-1)=$C114),$E$2:INDEX($E:$E,ROW()-1)),IFERROR(VLOOKUP($C114,'01_Warehouse_Ledger'!$A$2:$C$2002,3,FALSE),"")))</f>
        <v/>
      </c>
      <c r="G114" s="35"/>
    </row>
    <row r="115" spans="1:7">
      <c r="A115" s="78"/>
      <c r="D115" t="str">
        <f>IF($C115="","",IFERROR(LOOKUP(2,1/($C$2:INDEX($C:$C,ROW()-1)=$C115),$E$2:INDEX($E:$E,ROW()-1)),IFERROR(VLOOKUP($C115,'01_Warehouse_Ledger'!$A$2:$C$2002,3,FALSE),"")))</f>
        <v/>
      </c>
      <c r="G115" s="35"/>
    </row>
    <row r="116" spans="1:7">
      <c r="A116" s="78"/>
      <c r="D116" t="str">
        <f>IF($C116="","",IFERROR(LOOKUP(2,1/($C$2:INDEX($C:$C,ROW()-1)=$C116),$E$2:INDEX($E:$E,ROW()-1)),IFERROR(VLOOKUP($C116,'01_Warehouse_Ledger'!$A$2:$C$2002,3,FALSE),"")))</f>
        <v/>
      </c>
      <c r="G116" s="35"/>
    </row>
    <row r="117" spans="1:7">
      <c r="A117" s="78"/>
      <c r="D117" t="str">
        <f>IF($C117="","",IFERROR(LOOKUP(2,1/($C$2:INDEX($C:$C,ROW()-1)=$C117),$E$2:INDEX($E:$E,ROW()-1)),IFERROR(VLOOKUP($C117,'01_Warehouse_Ledger'!$A$2:$C$2002,3,FALSE),"")))</f>
        <v/>
      </c>
      <c r="G117" s="35"/>
    </row>
    <row r="118" spans="1:7">
      <c r="A118" s="78"/>
      <c r="D118" t="str">
        <f>IF($C118="","",IFERROR(LOOKUP(2,1/($C$2:INDEX($C:$C,ROW()-1)=$C118),$E$2:INDEX($E:$E,ROW()-1)),IFERROR(VLOOKUP($C118,'01_Warehouse_Ledger'!$A$2:$C$2002,3,FALSE),"")))</f>
        <v/>
      </c>
      <c r="G118" s="35"/>
    </row>
    <row r="119" spans="1:7">
      <c r="A119" s="78"/>
      <c r="D119" t="str">
        <f>IF($C119="","",IFERROR(LOOKUP(2,1/($C$2:INDEX($C:$C,ROW()-1)=$C119),$E$2:INDEX($E:$E,ROW()-1)),IFERROR(VLOOKUP($C119,'01_Warehouse_Ledger'!$A$2:$C$2002,3,FALSE),"")))</f>
        <v/>
      </c>
      <c r="G119" s="35"/>
    </row>
    <row r="120" spans="1:7">
      <c r="A120" s="78"/>
      <c r="D120" t="str">
        <f>IF($C120="","",IFERROR(LOOKUP(2,1/($C$2:INDEX($C:$C,ROW()-1)=$C120),$E$2:INDEX($E:$E,ROW()-1)),IFERROR(VLOOKUP($C120,'01_Warehouse_Ledger'!$A$2:$C$2002,3,FALSE),"")))</f>
        <v/>
      </c>
      <c r="G120" s="35"/>
    </row>
    <row r="121" spans="1:7">
      <c r="A121" s="78"/>
      <c r="D121" t="str">
        <f>IF($C121="","",IFERROR(LOOKUP(2,1/($C$2:INDEX($C:$C,ROW()-1)=$C121),$E$2:INDEX($E:$E,ROW()-1)),IFERROR(VLOOKUP($C121,'01_Warehouse_Ledger'!$A$2:$C$2002,3,FALSE),"")))</f>
        <v/>
      </c>
      <c r="G121" s="35"/>
    </row>
    <row r="122" spans="1:7">
      <c r="A122" s="78"/>
      <c r="D122" t="str">
        <f>IF($C122="","",IFERROR(LOOKUP(2,1/($C$2:INDEX($C:$C,ROW()-1)=$C122),$E$2:INDEX($E:$E,ROW()-1)),IFERROR(VLOOKUP($C122,'01_Warehouse_Ledger'!$A$2:$C$2002,3,FALSE),"")))</f>
        <v/>
      </c>
      <c r="G122" s="35"/>
    </row>
    <row r="123" spans="1:7">
      <c r="A123" s="78"/>
      <c r="D123" t="str">
        <f>IF($C123="","",IFERROR(LOOKUP(2,1/($C$2:INDEX($C:$C,ROW()-1)=$C123),$E$2:INDEX($E:$E,ROW()-1)),IFERROR(VLOOKUP($C123,'01_Warehouse_Ledger'!$A$2:$C$2002,3,FALSE),"")))</f>
        <v/>
      </c>
      <c r="G123" s="35"/>
    </row>
    <row r="124" spans="1:7">
      <c r="A124" s="78"/>
      <c r="D124" t="str">
        <f>IF($C124="","",IFERROR(LOOKUP(2,1/($C$2:INDEX($C:$C,ROW()-1)=$C124),$E$2:INDEX($E:$E,ROW()-1)),IFERROR(VLOOKUP($C124,'01_Warehouse_Ledger'!$A$2:$C$2002,3,FALSE),"")))</f>
        <v/>
      </c>
      <c r="G124" s="35"/>
    </row>
    <row r="125" spans="1:7">
      <c r="A125" s="78"/>
      <c r="D125" t="str">
        <f>IF($C125="","",IFERROR(LOOKUP(2,1/($C$2:INDEX($C:$C,ROW()-1)=$C125),$E$2:INDEX($E:$E,ROW()-1)),IFERROR(VLOOKUP($C125,'01_Warehouse_Ledger'!$A$2:$C$2002,3,FALSE),"")))</f>
        <v/>
      </c>
      <c r="G125" s="35"/>
    </row>
    <row r="126" spans="1:7">
      <c r="A126" s="78"/>
      <c r="D126" t="str">
        <f>IF($C126="","",IFERROR(LOOKUP(2,1/($C$2:INDEX($C:$C,ROW()-1)=$C126),$E$2:INDEX($E:$E,ROW()-1)),IFERROR(VLOOKUP($C126,'01_Warehouse_Ledger'!$A$2:$C$2002,3,FALSE),"")))</f>
        <v/>
      </c>
      <c r="G126" s="35"/>
    </row>
    <row r="127" spans="1:7">
      <c r="A127" s="78"/>
      <c r="D127" t="str">
        <f>IF($C127="","",IFERROR(LOOKUP(2,1/($C$2:INDEX($C:$C,ROW()-1)=$C127),$E$2:INDEX($E:$E,ROW()-1)),IFERROR(VLOOKUP($C127,'01_Warehouse_Ledger'!$A$2:$C$2002,3,FALSE),"")))</f>
        <v/>
      </c>
      <c r="G127" s="35"/>
    </row>
    <row r="128" spans="1:7">
      <c r="A128" s="78"/>
      <c r="D128" t="str">
        <f>IF($C128="","",IFERROR(LOOKUP(2,1/($C$2:INDEX($C:$C,ROW()-1)=$C128),$E$2:INDEX($E:$E,ROW()-1)),IFERROR(VLOOKUP($C128,'01_Warehouse_Ledger'!$A$2:$C$2002,3,FALSE),"")))</f>
        <v/>
      </c>
      <c r="G128" s="35"/>
    </row>
    <row r="129" spans="1:7">
      <c r="A129" s="78"/>
      <c r="D129" t="str">
        <f>IF($C129="","",IFERROR(LOOKUP(2,1/($C$2:INDEX($C:$C,ROW()-1)=$C129),$E$2:INDEX($E:$E,ROW()-1)),IFERROR(VLOOKUP($C129,'01_Warehouse_Ledger'!$A$2:$C$2002,3,FALSE),"")))</f>
        <v/>
      </c>
      <c r="G129" s="35"/>
    </row>
    <row r="130" spans="1:7">
      <c r="A130" s="78"/>
      <c r="D130" t="str">
        <f>IF($C130="","",IFERROR(LOOKUP(2,1/($C$2:INDEX($C:$C,ROW()-1)=$C130),$E$2:INDEX($E:$E,ROW()-1)),IFERROR(VLOOKUP($C130,'01_Warehouse_Ledger'!$A$2:$C$2002,3,FALSE),"")))</f>
        <v/>
      </c>
      <c r="G130" s="35"/>
    </row>
    <row r="131" spans="1:7">
      <c r="A131" s="78"/>
      <c r="D131" t="str">
        <f>IF($C131="","",IFERROR(LOOKUP(2,1/($C$2:INDEX($C:$C,ROW()-1)=$C131),$E$2:INDEX($E:$E,ROW()-1)),IFERROR(VLOOKUP($C131,'01_Warehouse_Ledger'!$A$2:$C$2002,3,FALSE),"")))</f>
        <v/>
      </c>
      <c r="G131" s="35"/>
    </row>
    <row r="132" spans="1:7">
      <c r="A132" s="78"/>
      <c r="D132" t="str">
        <f>IF($C132="","",IFERROR(LOOKUP(2,1/($C$2:INDEX($C:$C,ROW()-1)=$C132),$E$2:INDEX($E:$E,ROW()-1)),IFERROR(VLOOKUP($C132,'01_Warehouse_Ledger'!$A$2:$C$2002,3,FALSE),"")))</f>
        <v/>
      </c>
      <c r="G132" s="35"/>
    </row>
    <row r="133" spans="1:7">
      <c r="A133" s="78"/>
      <c r="D133" t="str">
        <f>IF($C133="","",IFERROR(LOOKUP(2,1/($C$2:INDEX($C:$C,ROW()-1)=$C133),$E$2:INDEX($E:$E,ROW()-1)),IFERROR(VLOOKUP($C133,'01_Warehouse_Ledger'!$A$2:$C$2002,3,FALSE),"")))</f>
        <v/>
      </c>
      <c r="G133" s="35"/>
    </row>
    <row r="134" spans="1:7">
      <c r="A134" s="78"/>
      <c r="D134" t="str">
        <f>IF($C134="","",IFERROR(LOOKUP(2,1/($C$2:INDEX($C:$C,ROW()-1)=$C134),$E$2:INDEX($E:$E,ROW()-1)),IFERROR(VLOOKUP($C134,'01_Warehouse_Ledger'!$A$2:$C$2002,3,FALSE),"")))</f>
        <v/>
      </c>
      <c r="G134" s="35"/>
    </row>
    <row r="135" spans="1:7">
      <c r="A135" s="78"/>
      <c r="D135" t="str">
        <f>IF($C135="","",IFERROR(LOOKUP(2,1/($C$2:INDEX($C:$C,ROW()-1)=$C135),$E$2:INDEX($E:$E,ROW()-1)),IFERROR(VLOOKUP($C135,'01_Warehouse_Ledger'!$A$2:$C$2002,3,FALSE),"")))</f>
        <v/>
      </c>
      <c r="G135" s="35"/>
    </row>
    <row r="136" spans="1:7">
      <c r="A136" s="78"/>
      <c r="D136" t="str">
        <f>IF($C136="","",IFERROR(LOOKUP(2,1/($C$2:INDEX($C:$C,ROW()-1)=$C136),$E$2:INDEX($E:$E,ROW()-1)),IFERROR(VLOOKUP($C136,'01_Warehouse_Ledger'!$A$2:$C$2002,3,FALSE),"")))</f>
        <v/>
      </c>
      <c r="G136" s="35"/>
    </row>
    <row r="137" spans="1:7">
      <c r="A137" s="78"/>
      <c r="D137" t="str">
        <f>IF($C137="","",IFERROR(LOOKUP(2,1/($C$2:INDEX($C:$C,ROW()-1)=$C137),$E$2:INDEX($E:$E,ROW()-1)),IFERROR(VLOOKUP($C137,'01_Warehouse_Ledger'!$A$2:$C$2002,3,FALSE),"")))</f>
        <v/>
      </c>
      <c r="G137" s="35"/>
    </row>
    <row r="138" spans="1:7">
      <c r="A138" s="78"/>
      <c r="D138" t="str">
        <f>IF($C138="","",IFERROR(LOOKUP(2,1/($C$2:INDEX($C:$C,ROW()-1)=$C138),$E$2:INDEX($E:$E,ROW()-1)),IFERROR(VLOOKUP($C138,'01_Warehouse_Ledger'!$A$2:$C$2002,3,FALSE),"")))</f>
        <v/>
      </c>
      <c r="G138" s="35"/>
    </row>
    <row r="139" spans="1:7">
      <c r="A139" s="78"/>
      <c r="D139" t="str">
        <f>IF($C139="","",IFERROR(LOOKUP(2,1/($C$2:INDEX($C:$C,ROW()-1)=$C139),$E$2:INDEX($E:$E,ROW()-1)),IFERROR(VLOOKUP($C139,'01_Warehouse_Ledger'!$A$2:$C$2002,3,FALSE),"")))</f>
        <v/>
      </c>
      <c r="G139" s="35"/>
    </row>
    <row r="140" spans="1:7">
      <c r="A140" s="78"/>
      <c r="D140" t="str">
        <f>IF($C140="","",IFERROR(LOOKUP(2,1/($C$2:INDEX($C:$C,ROW()-1)=$C140),$E$2:INDEX($E:$E,ROW()-1)),IFERROR(VLOOKUP($C140,'01_Warehouse_Ledger'!$A$2:$C$2002,3,FALSE),"")))</f>
        <v/>
      </c>
      <c r="G140" s="35"/>
    </row>
    <row r="141" spans="1:7">
      <c r="A141" s="78"/>
      <c r="D141" t="str">
        <f>IF($C141="","",IFERROR(LOOKUP(2,1/($C$2:INDEX($C:$C,ROW()-1)=$C141),$E$2:INDEX($E:$E,ROW()-1)),IFERROR(VLOOKUP($C141,'01_Warehouse_Ledger'!$A$2:$C$2002,3,FALSE),"")))</f>
        <v/>
      </c>
      <c r="G141" s="35"/>
    </row>
    <row r="142" spans="1:7">
      <c r="A142" s="78"/>
      <c r="D142" t="str">
        <f>IF($C142="","",IFERROR(LOOKUP(2,1/($C$2:INDEX($C:$C,ROW()-1)=$C142),$E$2:INDEX($E:$E,ROW()-1)),IFERROR(VLOOKUP($C142,'01_Warehouse_Ledger'!$A$2:$C$2002,3,FALSE),"")))</f>
        <v/>
      </c>
      <c r="G142" s="35"/>
    </row>
    <row r="143" spans="1:7">
      <c r="A143" s="78"/>
      <c r="D143" t="str">
        <f>IF($C143="","",IFERROR(LOOKUP(2,1/($C$2:INDEX($C:$C,ROW()-1)=$C143),$E$2:INDEX($E:$E,ROW()-1)),IFERROR(VLOOKUP($C143,'01_Warehouse_Ledger'!$A$2:$C$2002,3,FALSE),"")))</f>
        <v/>
      </c>
      <c r="G143" s="35"/>
    </row>
    <row r="144" spans="1:7">
      <c r="A144" s="78"/>
      <c r="D144" t="str">
        <f>IF($C144="","",IFERROR(LOOKUP(2,1/($C$2:INDEX($C:$C,ROW()-1)=$C144),$E$2:INDEX($E:$E,ROW()-1)),IFERROR(VLOOKUP($C144,'01_Warehouse_Ledger'!$A$2:$C$2002,3,FALSE),"")))</f>
        <v/>
      </c>
      <c r="G144" s="35"/>
    </row>
    <row r="145" spans="1:7">
      <c r="A145" s="78"/>
      <c r="D145" t="str">
        <f>IF($C145="","",IFERROR(LOOKUP(2,1/($C$2:INDEX($C:$C,ROW()-1)=$C145),$E$2:INDEX($E:$E,ROW()-1)),IFERROR(VLOOKUP($C145,'01_Warehouse_Ledger'!$A$2:$C$2002,3,FALSE),"")))</f>
        <v/>
      </c>
      <c r="G145" s="35"/>
    </row>
    <row r="146" spans="1:7">
      <c r="A146" s="78"/>
      <c r="D146" t="str">
        <f>IF($C146="","",IFERROR(LOOKUP(2,1/($C$2:INDEX($C:$C,ROW()-1)=$C146),$E$2:INDEX($E:$E,ROW()-1)),IFERROR(VLOOKUP($C146,'01_Warehouse_Ledger'!$A$2:$C$2002,3,FALSE),"")))</f>
        <v/>
      </c>
      <c r="G146" s="35"/>
    </row>
    <row r="147" spans="1:7">
      <c r="A147" s="78"/>
      <c r="D147" t="str">
        <f>IF($C147="","",IFERROR(LOOKUP(2,1/($C$2:INDEX($C:$C,ROW()-1)=$C147),$E$2:INDEX($E:$E,ROW()-1)),IFERROR(VLOOKUP($C147,'01_Warehouse_Ledger'!$A$2:$C$2002,3,FALSE),"")))</f>
        <v/>
      </c>
      <c r="G147" s="35"/>
    </row>
    <row r="148" spans="1:7">
      <c r="A148" s="78"/>
      <c r="D148" t="str">
        <f>IF($C148="","",IFERROR(LOOKUP(2,1/($C$2:INDEX($C:$C,ROW()-1)=$C148),$E$2:INDEX($E:$E,ROW()-1)),IFERROR(VLOOKUP($C148,'01_Warehouse_Ledger'!$A$2:$C$2002,3,FALSE),"")))</f>
        <v/>
      </c>
      <c r="G148" s="35"/>
    </row>
    <row r="149" spans="1:7">
      <c r="A149" s="78"/>
      <c r="D149" t="str">
        <f>IF($C149="","",IFERROR(LOOKUP(2,1/($C$2:INDEX($C:$C,ROW()-1)=$C149),$E$2:INDEX($E:$E,ROW()-1)),IFERROR(VLOOKUP($C149,'01_Warehouse_Ledger'!$A$2:$C$2002,3,FALSE),"")))</f>
        <v/>
      </c>
      <c r="G149" s="35"/>
    </row>
    <row r="150" spans="1:7">
      <c r="A150" s="78"/>
      <c r="D150" t="str">
        <f>IF($C150="","",IFERROR(LOOKUP(2,1/($C$2:INDEX($C:$C,ROW()-1)=$C150),$E$2:INDEX($E:$E,ROW()-1)),IFERROR(VLOOKUP($C150,'01_Warehouse_Ledger'!$A$2:$C$2002,3,FALSE),"")))</f>
        <v/>
      </c>
      <c r="G150" s="35"/>
    </row>
    <row r="151" spans="1:7">
      <c r="A151" s="78"/>
      <c r="D151" t="str">
        <f>IF($C151="","",IFERROR(LOOKUP(2,1/($C$2:INDEX($C:$C,ROW()-1)=$C151),$E$2:INDEX($E:$E,ROW()-1)),IFERROR(VLOOKUP($C151,'01_Warehouse_Ledger'!$A$2:$C$2002,3,FALSE),"")))</f>
        <v/>
      </c>
      <c r="G151" s="35"/>
    </row>
    <row r="152" spans="1:7">
      <c r="A152" s="78"/>
      <c r="D152" t="str">
        <f>IF($C152="","",IFERROR(LOOKUP(2,1/($C$2:INDEX($C:$C,ROW()-1)=$C152),$E$2:INDEX($E:$E,ROW()-1)),IFERROR(VLOOKUP($C152,'01_Warehouse_Ledger'!$A$2:$C$2002,3,FALSE),"")))</f>
        <v/>
      </c>
      <c r="G152" s="35"/>
    </row>
    <row r="153" spans="1:7">
      <c r="A153" s="78"/>
      <c r="D153" t="str">
        <f>IF($C153="","",IFERROR(LOOKUP(2,1/($C$2:INDEX($C:$C,ROW()-1)=$C153),$E$2:INDEX($E:$E,ROW()-1)),IFERROR(VLOOKUP($C153,'01_Warehouse_Ledger'!$A$2:$C$2002,3,FALSE),"")))</f>
        <v/>
      </c>
      <c r="G153" s="35"/>
    </row>
    <row r="154" spans="1:7">
      <c r="A154" s="78"/>
      <c r="D154" t="str">
        <f>IF($C154="","",IFERROR(LOOKUP(2,1/($C$2:INDEX($C:$C,ROW()-1)=$C154),$E$2:INDEX($E:$E,ROW()-1)),IFERROR(VLOOKUP($C154,'01_Warehouse_Ledger'!$A$2:$C$2002,3,FALSE),"")))</f>
        <v/>
      </c>
      <c r="G154" s="35"/>
    </row>
    <row r="155" spans="1:7">
      <c r="A155" s="78"/>
      <c r="D155" t="str">
        <f>IF($C155="","",IFERROR(LOOKUP(2,1/($C$2:INDEX($C:$C,ROW()-1)=$C155),$E$2:INDEX($E:$E,ROW()-1)),IFERROR(VLOOKUP($C155,'01_Warehouse_Ledger'!$A$2:$C$2002,3,FALSE),"")))</f>
        <v/>
      </c>
      <c r="G155" s="35"/>
    </row>
    <row r="156" spans="1:7">
      <c r="A156" s="78"/>
      <c r="D156" t="str">
        <f>IF($C156="","",IFERROR(LOOKUP(2,1/($C$2:INDEX($C:$C,ROW()-1)=$C156),$E$2:INDEX($E:$E,ROW()-1)),IFERROR(VLOOKUP($C156,'01_Warehouse_Ledger'!$A$2:$C$2002,3,FALSE),"")))</f>
        <v/>
      </c>
      <c r="G156" s="35"/>
    </row>
    <row r="157" spans="1:7">
      <c r="A157" s="78"/>
      <c r="D157" t="str">
        <f>IF($C157="","",IFERROR(LOOKUP(2,1/($C$2:INDEX($C:$C,ROW()-1)=$C157),$E$2:INDEX($E:$E,ROW()-1)),IFERROR(VLOOKUP($C157,'01_Warehouse_Ledger'!$A$2:$C$2002,3,FALSE),"")))</f>
        <v/>
      </c>
      <c r="G157" s="35"/>
    </row>
    <row r="158" spans="1:7">
      <c r="A158" s="78"/>
      <c r="D158" t="str">
        <f>IF($C158="","",IFERROR(LOOKUP(2,1/($C$2:INDEX($C:$C,ROW()-1)=$C158),$E$2:INDEX($E:$E,ROW()-1)),IFERROR(VLOOKUP($C158,'01_Warehouse_Ledger'!$A$2:$C$2002,3,FALSE),"")))</f>
        <v/>
      </c>
      <c r="G158" s="35"/>
    </row>
    <row r="159" spans="1:7">
      <c r="A159" s="78"/>
      <c r="D159" t="str">
        <f>IF($C159="","",IFERROR(LOOKUP(2,1/($C$2:INDEX($C:$C,ROW()-1)=$C159),$E$2:INDEX($E:$E,ROW()-1)),IFERROR(VLOOKUP($C159,'01_Warehouse_Ledger'!$A$2:$C$2002,3,FALSE),"")))</f>
        <v/>
      </c>
      <c r="G159" s="35"/>
    </row>
    <row r="160" spans="1:7">
      <c r="A160" s="78"/>
      <c r="D160" t="str">
        <f>IF($C160="","",IFERROR(LOOKUP(2,1/($C$2:INDEX($C:$C,ROW()-1)=$C160),$E$2:INDEX($E:$E,ROW()-1)),IFERROR(VLOOKUP($C160,'01_Warehouse_Ledger'!$A$2:$C$2002,3,FALSE),"")))</f>
        <v/>
      </c>
      <c r="G160" s="35"/>
    </row>
    <row r="161" spans="1:7">
      <c r="A161" s="78"/>
      <c r="D161" t="str">
        <f>IF($C161="","",IFERROR(LOOKUP(2,1/($C$2:INDEX($C:$C,ROW()-1)=$C161),$E$2:INDEX($E:$E,ROW()-1)),IFERROR(VLOOKUP($C161,'01_Warehouse_Ledger'!$A$2:$C$2002,3,FALSE),"")))</f>
        <v/>
      </c>
      <c r="G161" s="35"/>
    </row>
    <row r="162" spans="1:7">
      <c r="A162" s="78"/>
      <c r="D162" t="str">
        <f>IF($C162="","",IFERROR(LOOKUP(2,1/($C$2:INDEX($C:$C,ROW()-1)=$C162),$E$2:INDEX($E:$E,ROW()-1)),IFERROR(VLOOKUP($C162,'01_Warehouse_Ledger'!$A$2:$C$2002,3,FALSE),"")))</f>
        <v/>
      </c>
      <c r="G162" s="35"/>
    </row>
    <row r="163" spans="1:7">
      <c r="A163" s="78"/>
      <c r="D163" t="str">
        <f>IF($C163="","",IFERROR(LOOKUP(2,1/($C$2:INDEX($C:$C,ROW()-1)=$C163),$E$2:INDEX($E:$E,ROW()-1)),IFERROR(VLOOKUP($C163,'01_Warehouse_Ledger'!$A$2:$C$2002,3,FALSE),"")))</f>
        <v/>
      </c>
      <c r="G163" s="35"/>
    </row>
    <row r="164" spans="1:7">
      <c r="A164" s="78"/>
      <c r="D164" t="str">
        <f>IF($C164="","",IFERROR(LOOKUP(2,1/($C$2:INDEX($C:$C,ROW()-1)=$C164),$E$2:INDEX($E:$E,ROW()-1)),IFERROR(VLOOKUP($C164,'01_Warehouse_Ledger'!$A$2:$C$2002,3,FALSE),"")))</f>
        <v/>
      </c>
      <c r="G164" s="35"/>
    </row>
    <row r="165" spans="1:7">
      <c r="A165" s="78"/>
      <c r="D165" t="str">
        <f>IF($C165="","",IFERROR(LOOKUP(2,1/($C$2:INDEX($C:$C,ROW()-1)=$C165),$E$2:INDEX($E:$E,ROW()-1)),IFERROR(VLOOKUP($C165,'01_Warehouse_Ledger'!$A$2:$C$2002,3,FALSE),"")))</f>
        <v/>
      </c>
      <c r="G165" s="35"/>
    </row>
    <row r="166" spans="1:7">
      <c r="A166" s="78"/>
      <c r="D166" t="str">
        <f>IF($C166="","",IFERROR(LOOKUP(2,1/($C$2:INDEX($C:$C,ROW()-1)=$C166),$E$2:INDEX($E:$E,ROW()-1)),IFERROR(VLOOKUP($C166,'01_Warehouse_Ledger'!$A$2:$C$2002,3,FALSE),"")))</f>
        <v/>
      </c>
      <c r="G166" s="35"/>
    </row>
    <row r="167" spans="1:7">
      <c r="A167" s="78"/>
      <c r="D167" t="str">
        <f>IF($C167="","",IFERROR(LOOKUP(2,1/($C$2:INDEX($C:$C,ROW()-1)=$C167),$E$2:INDEX($E:$E,ROW()-1)),IFERROR(VLOOKUP($C167,'01_Warehouse_Ledger'!$A$2:$C$2002,3,FALSE),"")))</f>
        <v/>
      </c>
      <c r="G167" s="35"/>
    </row>
    <row r="168" spans="1:7">
      <c r="A168" s="78"/>
      <c r="D168" t="str">
        <f>IF($C168="","",IFERROR(LOOKUP(2,1/($C$2:INDEX($C:$C,ROW()-1)=$C168),$E$2:INDEX($E:$E,ROW()-1)),IFERROR(VLOOKUP($C168,'01_Warehouse_Ledger'!$A$2:$C$2002,3,FALSE),"")))</f>
        <v/>
      </c>
      <c r="G168" s="35"/>
    </row>
    <row r="169" spans="1:7">
      <c r="A169" s="78"/>
      <c r="D169" t="str">
        <f>IF($C169="","",IFERROR(LOOKUP(2,1/($C$2:INDEX($C:$C,ROW()-1)=$C169),$E$2:INDEX($E:$E,ROW()-1)),IFERROR(VLOOKUP($C169,'01_Warehouse_Ledger'!$A$2:$C$2002,3,FALSE),"")))</f>
        <v/>
      </c>
      <c r="G169" s="35"/>
    </row>
    <row r="170" spans="1:7">
      <c r="A170" s="78"/>
      <c r="D170" t="str">
        <f>IF($C170="","",IFERROR(LOOKUP(2,1/($C$2:INDEX($C:$C,ROW()-1)=$C170),$E$2:INDEX($E:$E,ROW()-1)),IFERROR(VLOOKUP($C170,'01_Warehouse_Ledger'!$A$2:$C$2002,3,FALSE),"")))</f>
        <v/>
      </c>
      <c r="G170" s="35"/>
    </row>
    <row r="171" spans="1:7">
      <c r="A171" s="78"/>
      <c r="D171" t="str">
        <f>IF($C171="","",IFERROR(LOOKUP(2,1/($C$2:INDEX($C:$C,ROW()-1)=$C171),$E$2:INDEX($E:$E,ROW()-1)),IFERROR(VLOOKUP($C171,'01_Warehouse_Ledger'!$A$2:$C$2002,3,FALSE),"")))</f>
        <v/>
      </c>
      <c r="G171" s="35"/>
    </row>
    <row r="172" spans="1:7">
      <c r="A172" s="78"/>
      <c r="D172" t="str">
        <f>IF($C172="","",IFERROR(LOOKUP(2,1/($C$2:INDEX($C:$C,ROW()-1)=$C172),$E$2:INDEX($E:$E,ROW()-1)),IFERROR(VLOOKUP($C172,'01_Warehouse_Ledger'!$A$2:$C$2002,3,FALSE),"")))</f>
        <v/>
      </c>
      <c r="G172" s="35"/>
    </row>
    <row r="173" spans="1:7">
      <c r="A173" s="78"/>
      <c r="D173" t="str">
        <f>IF($C173="","",IFERROR(LOOKUP(2,1/($C$2:INDEX($C:$C,ROW()-1)=$C173),$E$2:INDEX($E:$E,ROW()-1)),IFERROR(VLOOKUP($C173,'01_Warehouse_Ledger'!$A$2:$C$2002,3,FALSE),"")))</f>
        <v/>
      </c>
      <c r="G173" s="35"/>
    </row>
    <row r="174" spans="1:7">
      <c r="A174" s="78"/>
      <c r="D174" t="str">
        <f>IF($C174="","",IFERROR(LOOKUP(2,1/($C$2:INDEX($C:$C,ROW()-1)=$C174),$E$2:INDEX($E:$E,ROW()-1)),IFERROR(VLOOKUP($C174,'01_Warehouse_Ledger'!$A$2:$C$2002,3,FALSE),"")))</f>
        <v/>
      </c>
      <c r="G174" s="35"/>
    </row>
    <row r="175" spans="1:7">
      <c r="A175" s="78"/>
      <c r="D175" t="str">
        <f>IF($C175="","",IFERROR(LOOKUP(2,1/($C$2:INDEX($C:$C,ROW()-1)=$C175),$E$2:INDEX($E:$E,ROW()-1)),IFERROR(VLOOKUP($C175,'01_Warehouse_Ledger'!$A$2:$C$2002,3,FALSE),"")))</f>
        <v/>
      </c>
      <c r="G175" s="35"/>
    </row>
    <row r="176" spans="1:7">
      <c r="A176" s="78"/>
      <c r="D176" t="str">
        <f>IF($C176="","",IFERROR(LOOKUP(2,1/($C$2:INDEX($C:$C,ROW()-1)=$C176),$E$2:INDEX($E:$E,ROW()-1)),IFERROR(VLOOKUP($C176,'01_Warehouse_Ledger'!$A$2:$C$2002,3,FALSE),"")))</f>
        <v/>
      </c>
      <c r="G176" s="35"/>
    </row>
    <row r="177" spans="1:7">
      <c r="A177" s="78"/>
      <c r="D177" t="str">
        <f>IF($C177="","",IFERROR(LOOKUP(2,1/($C$2:INDEX($C:$C,ROW()-1)=$C177),$E$2:INDEX($E:$E,ROW()-1)),IFERROR(VLOOKUP($C177,'01_Warehouse_Ledger'!$A$2:$C$2002,3,FALSE),"")))</f>
        <v/>
      </c>
      <c r="G177" s="35"/>
    </row>
    <row r="178" spans="1:7">
      <c r="A178" s="78"/>
      <c r="D178" t="str">
        <f>IF($C178="","",IFERROR(LOOKUP(2,1/($C$2:INDEX($C:$C,ROW()-1)=$C178),$E$2:INDEX($E:$E,ROW()-1)),IFERROR(VLOOKUP($C178,'01_Warehouse_Ledger'!$A$2:$C$2002,3,FALSE),"")))</f>
        <v/>
      </c>
      <c r="G178" s="35"/>
    </row>
    <row r="179" spans="1:7">
      <c r="A179" s="78"/>
      <c r="D179" t="str">
        <f>IF($C179="","",IFERROR(LOOKUP(2,1/($C$2:INDEX($C:$C,ROW()-1)=$C179),$E$2:INDEX($E:$E,ROW()-1)),IFERROR(VLOOKUP($C179,'01_Warehouse_Ledger'!$A$2:$C$2002,3,FALSE),"")))</f>
        <v/>
      </c>
      <c r="G179" s="35"/>
    </row>
    <row r="180" spans="1:7">
      <c r="A180" s="78"/>
      <c r="D180" t="str">
        <f>IF($C180="","",IFERROR(LOOKUP(2,1/($C$2:INDEX($C:$C,ROW()-1)=$C180),$E$2:INDEX($E:$E,ROW()-1)),IFERROR(VLOOKUP($C180,'01_Warehouse_Ledger'!$A$2:$C$2002,3,FALSE),"")))</f>
        <v/>
      </c>
      <c r="G180" s="35"/>
    </row>
    <row r="181" spans="1:7">
      <c r="A181" s="78"/>
      <c r="D181" t="str">
        <f>IF($C181="","",IFERROR(LOOKUP(2,1/($C$2:INDEX($C:$C,ROW()-1)=$C181),$E$2:INDEX($E:$E,ROW()-1)),IFERROR(VLOOKUP($C181,'01_Warehouse_Ledger'!$A$2:$C$2002,3,FALSE),"")))</f>
        <v/>
      </c>
      <c r="G181" s="35"/>
    </row>
    <row r="182" spans="1:7">
      <c r="A182" s="78"/>
      <c r="D182" t="str">
        <f>IF($C182="","",IFERROR(LOOKUP(2,1/($C$2:INDEX($C:$C,ROW()-1)=$C182),$E$2:INDEX($E:$E,ROW()-1)),IFERROR(VLOOKUP($C182,'01_Warehouse_Ledger'!$A$2:$C$2002,3,FALSE),"")))</f>
        <v/>
      </c>
      <c r="G182" s="35"/>
    </row>
    <row r="183" spans="1:7">
      <c r="A183" s="78"/>
      <c r="D183" t="str">
        <f>IF($C183="","",IFERROR(LOOKUP(2,1/($C$2:INDEX($C:$C,ROW()-1)=$C183),$E$2:INDEX($E:$E,ROW()-1)),IFERROR(VLOOKUP($C183,'01_Warehouse_Ledger'!$A$2:$C$2002,3,FALSE),"")))</f>
        <v/>
      </c>
      <c r="G183" s="35"/>
    </row>
    <row r="184" spans="1:7">
      <c r="A184" s="78"/>
      <c r="D184" t="str">
        <f>IF($C184="","",IFERROR(LOOKUP(2,1/($C$2:INDEX($C:$C,ROW()-1)=$C184),$E$2:INDEX($E:$E,ROW()-1)),IFERROR(VLOOKUP($C184,'01_Warehouse_Ledger'!$A$2:$C$2002,3,FALSE),"")))</f>
        <v/>
      </c>
      <c r="G184" s="35"/>
    </row>
    <row r="185" spans="1:7">
      <c r="A185" s="78"/>
      <c r="D185" t="str">
        <f>IF($C185="","",IFERROR(LOOKUP(2,1/($C$2:INDEX($C:$C,ROW()-1)=$C185),$E$2:INDEX($E:$E,ROW()-1)),IFERROR(VLOOKUP($C185,'01_Warehouse_Ledger'!$A$2:$C$2002,3,FALSE),"")))</f>
        <v/>
      </c>
      <c r="G185" s="35"/>
    </row>
    <row r="186" spans="1:7">
      <c r="A186" s="78"/>
      <c r="D186" t="str">
        <f>IF($C186="","",IFERROR(LOOKUP(2,1/($C$2:INDEX($C:$C,ROW()-1)=$C186),$E$2:INDEX($E:$E,ROW()-1)),IFERROR(VLOOKUP($C186,'01_Warehouse_Ledger'!$A$2:$C$2002,3,FALSE),"")))</f>
        <v/>
      </c>
      <c r="G186" s="35"/>
    </row>
    <row r="187" spans="1:7">
      <c r="A187" s="78"/>
      <c r="D187" t="str">
        <f>IF($C187="","",IFERROR(LOOKUP(2,1/($C$2:INDEX($C:$C,ROW()-1)=$C187),$E$2:INDEX($E:$E,ROW()-1)),IFERROR(VLOOKUP($C187,'01_Warehouse_Ledger'!$A$2:$C$2002,3,FALSE),"")))</f>
        <v/>
      </c>
      <c r="G187" s="35"/>
    </row>
    <row r="188" spans="1:7">
      <c r="A188" s="78"/>
      <c r="D188" t="str">
        <f>IF($C188="","",IFERROR(LOOKUP(2,1/($C$2:INDEX($C:$C,ROW()-1)=$C188),$E$2:INDEX($E:$E,ROW()-1)),IFERROR(VLOOKUP($C188,'01_Warehouse_Ledger'!$A$2:$C$2002,3,FALSE),"")))</f>
        <v/>
      </c>
      <c r="G188" s="35"/>
    </row>
    <row r="189" spans="1:7">
      <c r="A189" s="78"/>
      <c r="D189" t="str">
        <f>IF($C189="","",IFERROR(LOOKUP(2,1/($C$2:INDEX($C:$C,ROW()-1)=$C189),$E$2:INDEX($E:$E,ROW()-1)),IFERROR(VLOOKUP($C189,'01_Warehouse_Ledger'!$A$2:$C$2002,3,FALSE),"")))</f>
        <v/>
      </c>
      <c r="G189" s="35"/>
    </row>
    <row r="190" spans="1:7">
      <c r="A190" s="78"/>
      <c r="D190" t="str">
        <f>IF($C190="","",IFERROR(LOOKUP(2,1/($C$2:INDEX($C:$C,ROW()-1)=$C190),$E$2:INDEX($E:$E,ROW()-1)),IFERROR(VLOOKUP($C190,'01_Warehouse_Ledger'!$A$2:$C$2002,3,FALSE),"")))</f>
        <v/>
      </c>
      <c r="G190" s="35"/>
    </row>
    <row r="191" spans="1:7">
      <c r="A191" s="78"/>
      <c r="D191" t="str">
        <f>IF($C191="","",IFERROR(LOOKUP(2,1/($C$2:INDEX($C:$C,ROW()-1)=$C191),$E$2:INDEX($E:$E,ROW()-1)),IFERROR(VLOOKUP($C191,'01_Warehouse_Ledger'!$A$2:$C$2002,3,FALSE),"")))</f>
        <v/>
      </c>
      <c r="G191" s="35"/>
    </row>
    <row r="192" spans="1:7">
      <c r="A192" s="78"/>
      <c r="D192" t="str">
        <f>IF($C192="","",IFERROR(LOOKUP(2,1/($C$2:INDEX($C:$C,ROW()-1)=$C192),$E$2:INDEX($E:$E,ROW()-1)),IFERROR(VLOOKUP($C192,'01_Warehouse_Ledger'!$A$2:$C$2002,3,FALSE),"")))</f>
        <v/>
      </c>
      <c r="G192" s="35"/>
    </row>
    <row r="193" spans="1:7">
      <c r="A193" s="78"/>
      <c r="D193" t="str">
        <f>IF($C193="","",IFERROR(LOOKUP(2,1/($C$2:INDEX($C:$C,ROW()-1)=$C193),$E$2:INDEX($E:$E,ROW()-1)),IFERROR(VLOOKUP($C193,'01_Warehouse_Ledger'!$A$2:$C$2002,3,FALSE),"")))</f>
        <v/>
      </c>
      <c r="G193" s="35"/>
    </row>
    <row r="194" spans="1:7">
      <c r="A194" s="78"/>
      <c r="D194" t="str">
        <f>IF($C194="","",IFERROR(LOOKUP(2,1/($C$2:INDEX($C:$C,ROW()-1)=$C194),$E$2:INDEX($E:$E,ROW()-1)),IFERROR(VLOOKUP($C194,'01_Warehouse_Ledger'!$A$2:$C$2002,3,FALSE),"")))</f>
        <v/>
      </c>
      <c r="G194" s="35"/>
    </row>
    <row r="195" spans="1:7">
      <c r="A195" s="78"/>
      <c r="D195" t="str">
        <f>IF($C195="","",IFERROR(LOOKUP(2,1/($C$2:INDEX($C:$C,ROW()-1)=$C195),$E$2:INDEX($E:$E,ROW()-1)),IFERROR(VLOOKUP($C195,'01_Warehouse_Ledger'!$A$2:$C$2002,3,FALSE),"")))</f>
        <v/>
      </c>
      <c r="G195" s="35"/>
    </row>
    <row r="196" spans="1:7">
      <c r="A196" s="78"/>
      <c r="D196" t="str">
        <f>IF($C196="","",IFERROR(LOOKUP(2,1/($C$2:INDEX($C:$C,ROW()-1)=$C196),$E$2:INDEX($E:$E,ROW()-1)),IFERROR(VLOOKUP($C196,'01_Warehouse_Ledger'!$A$2:$C$2002,3,FALSE),"")))</f>
        <v/>
      </c>
      <c r="G196" s="35"/>
    </row>
    <row r="197" spans="1:7">
      <c r="A197" s="78"/>
      <c r="D197" t="str">
        <f>IF($C197="","",IFERROR(LOOKUP(2,1/($C$2:INDEX($C:$C,ROW()-1)=$C197),$E$2:INDEX($E:$E,ROW()-1)),IFERROR(VLOOKUP($C197,'01_Warehouse_Ledger'!$A$2:$C$2002,3,FALSE),"")))</f>
        <v/>
      </c>
      <c r="G197" s="35"/>
    </row>
    <row r="198" spans="1:7">
      <c r="A198" s="78"/>
      <c r="D198" t="str">
        <f>IF($C198="","",IFERROR(LOOKUP(2,1/($C$2:INDEX($C:$C,ROW()-1)=$C198),$E$2:INDEX($E:$E,ROW()-1)),IFERROR(VLOOKUP($C198,'01_Warehouse_Ledger'!$A$2:$C$2002,3,FALSE),"")))</f>
        <v/>
      </c>
      <c r="G198" s="35"/>
    </row>
    <row r="199" spans="1:7">
      <c r="A199" s="78"/>
      <c r="D199" t="str">
        <f>IF($C199="","",IFERROR(LOOKUP(2,1/($C$2:INDEX($C:$C,ROW()-1)=$C199),$E$2:INDEX($E:$E,ROW()-1)),IFERROR(VLOOKUP($C199,'01_Warehouse_Ledger'!$A$2:$C$2002,3,FALSE),"")))</f>
        <v/>
      </c>
      <c r="G199" s="35"/>
    </row>
    <row r="200" spans="1:7">
      <c r="A200" s="78"/>
      <c r="D200" t="str">
        <f>IF($C200="","",IFERROR(LOOKUP(2,1/($C$2:INDEX($C:$C,ROW()-1)=$C200),$E$2:INDEX($E:$E,ROW()-1)),IFERROR(VLOOKUP($C200,'01_Warehouse_Ledger'!$A$2:$C$2002,3,FALSE),"")))</f>
        <v/>
      </c>
      <c r="G200" s="35"/>
    </row>
    <row r="201" spans="1:7">
      <c r="A201" s="78"/>
      <c r="D201" t="str">
        <f>IF($C201="","",IFERROR(LOOKUP(2,1/($C$2:INDEX($C:$C,ROW()-1)=$C201),$E$2:INDEX($E:$E,ROW()-1)),IFERROR(VLOOKUP($C201,'01_Warehouse_Ledger'!$A$2:$C$2002,3,FALSE),"")))</f>
        <v/>
      </c>
      <c r="G201" s="35"/>
    </row>
    <row r="202" spans="1:7">
      <c r="A202" s="78"/>
      <c r="D202" t="str">
        <f>IF($C202="","",IFERROR(LOOKUP(2,1/($C$2:INDEX($C:$C,ROW()-1)=$C202),$E$2:INDEX($E:$E,ROW()-1)),IFERROR(VLOOKUP($C202,'01_Warehouse_Ledger'!$A$2:$C$2002,3,FALSE),"")))</f>
        <v/>
      </c>
      <c r="G202" s="35"/>
    </row>
    <row r="203" spans="1:7">
      <c r="A203" s="78"/>
      <c r="D203" t="str">
        <f>IF($C203="","",IFERROR(LOOKUP(2,1/($C$2:INDEX($C:$C,ROW()-1)=$C203),$E$2:INDEX($E:$E,ROW()-1)),IFERROR(VLOOKUP($C203,'01_Warehouse_Ledger'!$A$2:$C$2002,3,FALSE),"")))</f>
        <v/>
      </c>
      <c r="G203" s="35"/>
    </row>
    <row r="204" spans="1:7">
      <c r="A204" s="78"/>
      <c r="D204" t="str">
        <f>IF($C204="","",IFERROR(LOOKUP(2,1/($C$2:INDEX($C:$C,ROW()-1)=$C204),$E$2:INDEX($E:$E,ROW()-1)),IFERROR(VLOOKUP($C204,'01_Warehouse_Ledger'!$A$2:$C$2002,3,FALSE),"")))</f>
        <v/>
      </c>
      <c r="G204" s="35"/>
    </row>
    <row r="205" spans="1:7">
      <c r="A205" s="78"/>
      <c r="D205" t="str">
        <f>IF($C205="","",IFERROR(LOOKUP(2,1/($C$2:INDEX($C:$C,ROW()-1)=$C205),$E$2:INDEX($E:$E,ROW()-1)),IFERROR(VLOOKUP($C205,'01_Warehouse_Ledger'!$A$2:$C$2002,3,FALSE),"")))</f>
        <v/>
      </c>
      <c r="G205" s="35"/>
    </row>
    <row r="206" spans="1:7">
      <c r="A206" s="78"/>
      <c r="D206" t="str">
        <f>IF($C206="","",IFERROR(LOOKUP(2,1/($C$2:INDEX($C:$C,ROW()-1)=$C206),$E$2:INDEX($E:$E,ROW()-1)),IFERROR(VLOOKUP($C206,'01_Warehouse_Ledger'!$A$2:$C$2002,3,FALSE),"")))</f>
        <v/>
      </c>
      <c r="G206" s="35"/>
    </row>
    <row r="207" spans="1:7">
      <c r="A207" s="78"/>
      <c r="D207" t="str">
        <f>IF($C207="","",IFERROR(LOOKUP(2,1/($C$2:INDEX($C:$C,ROW()-1)=$C207),$E$2:INDEX($E:$E,ROW()-1)),IFERROR(VLOOKUP($C207,'01_Warehouse_Ledger'!$A$2:$C$2002,3,FALSE),"")))</f>
        <v/>
      </c>
      <c r="G207" s="35"/>
    </row>
    <row r="208" spans="1:7">
      <c r="A208" s="78"/>
      <c r="D208" t="str">
        <f>IF($C208="","",IFERROR(LOOKUP(2,1/($C$2:INDEX($C:$C,ROW()-1)=$C208),$E$2:INDEX($E:$E,ROW()-1)),IFERROR(VLOOKUP($C208,'01_Warehouse_Ledger'!$A$2:$C$2002,3,FALSE),"")))</f>
        <v/>
      </c>
      <c r="G208" s="35"/>
    </row>
    <row r="209" spans="1:7">
      <c r="A209" s="78"/>
      <c r="D209" t="str">
        <f>IF($C209="","",IFERROR(LOOKUP(2,1/($C$2:INDEX($C:$C,ROW()-1)=$C209),$E$2:INDEX($E:$E,ROW()-1)),IFERROR(VLOOKUP($C209,'01_Warehouse_Ledger'!$A$2:$C$2002,3,FALSE),"")))</f>
        <v/>
      </c>
      <c r="G209" s="35"/>
    </row>
    <row r="210" spans="1:7">
      <c r="A210" s="78"/>
      <c r="D210" t="str">
        <f>IF($C210="","",IFERROR(LOOKUP(2,1/($C$2:INDEX($C:$C,ROW()-1)=$C210),$E$2:INDEX($E:$E,ROW()-1)),IFERROR(VLOOKUP($C210,'01_Warehouse_Ledger'!$A$2:$C$2002,3,FALSE),"")))</f>
        <v/>
      </c>
      <c r="G210" s="35"/>
    </row>
    <row r="211" spans="1:7">
      <c r="A211" s="78"/>
      <c r="D211" t="str">
        <f>IF($C211="","",IFERROR(LOOKUP(2,1/($C$2:INDEX($C:$C,ROW()-1)=$C211),$E$2:INDEX($E:$E,ROW()-1)),IFERROR(VLOOKUP($C211,'01_Warehouse_Ledger'!$A$2:$C$2002,3,FALSE),"")))</f>
        <v/>
      </c>
      <c r="G211" s="35"/>
    </row>
    <row r="212" spans="1:7">
      <c r="A212" s="78"/>
      <c r="D212" t="str">
        <f>IF($C212="","",IFERROR(LOOKUP(2,1/($C$2:INDEX($C:$C,ROW()-1)=$C212),$E$2:INDEX($E:$E,ROW()-1)),IFERROR(VLOOKUP($C212,'01_Warehouse_Ledger'!$A$2:$C$2002,3,FALSE),"")))</f>
        <v/>
      </c>
      <c r="G212" s="35"/>
    </row>
    <row r="213" spans="1:7">
      <c r="A213" s="78"/>
      <c r="D213" t="str">
        <f>IF($C213="","",IFERROR(LOOKUP(2,1/($C$2:INDEX($C:$C,ROW()-1)=$C213),$E$2:INDEX($E:$E,ROW()-1)),IFERROR(VLOOKUP($C213,'01_Warehouse_Ledger'!$A$2:$C$2002,3,FALSE),"")))</f>
        <v/>
      </c>
      <c r="G213" s="35"/>
    </row>
    <row r="214" spans="1:7">
      <c r="A214" s="78"/>
      <c r="D214" t="str">
        <f>IF($C214="","",IFERROR(LOOKUP(2,1/($C$2:INDEX($C:$C,ROW()-1)=$C214),$E$2:INDEX($E:$E,ROW()-1)),IFERROR(VLOOKUP($C214,'01_Warehouse_Ledger'!$A$2:$C$2002,3,FALSE),"")))</f>
        <v/>
      </c>
      <c r="G214" s="35"/>
    </row>
    <row r="215" spans="1:7">
      <c r="A215" s="78"/>
      <c r="D215" t="str">
        <f>IF($C215="","",IFERROR(LOOKUP(2,1/($C$2:INDEX($C:$C,ROW()-1)=$C215),$E$2:INDEX($E:$E,ROW()-1)),IFERROR(VLOOKUP($C215,'01_Warehouse_Ledger'!$A$2:$C$2002,3,FALSE),"")))</f>
        <v/>
      </c>
      <c r="G215" s="35"/>
    </row>
    <row r="216" spans="1:7">
      <c r="A216" s="78"/>
      <c r="D216" t="str">
        <f>IF($C216="","",IFERROR(LOOKUP(2,1/($C$2:INDEX($C:$C,ROW()-1)=$C216),$E$2:INDEX($E:$E,ROW()-1)),IFERROR(VLOOKUP($C216,'01_Warehouse_Ledger'!$A$2:$C$2002,3,FALSE),"")))</f>
        <v/>
      </c>
      <c r="G216" s="35"/>
    </row>
    <row r="217" spans="1:7">
      <c r="A217" s="78"/>
      <c r="D217" t="str">
        <f>IF($C217="","",IFERROR(LOOKUP(2,1/($C$2:INDEX($C:$C,ROW()-1)=$C217),$E$2:INDEX($E:$E,ROW()-1)),IFERROR(VLOOKUP($C217,'01_Warehouse_Ledger'!$A$2:$C$2002,3,FALSE),"")))</f>
        <v/>
      </c>
      <c r="G217" s="35"/>
    </row>
    <row r="218" spans="1:7">
      <c r="A218" s="78"/>
      <c r="D218" t="str">
        <f>IF($C218="","",IFERROR(LOOKUP(2,1/($C$2:INDEX($C:$C,ROW()-1)=$C218),$E$2:INDEX($E:$E,ROW()-1)),IFERROR(VLOOKUP($C218,'01_Warehouse_Ledger'!$A$2:$C$2002,3,FALSE),"")))</f>
        <v/>
      </c>
      <c r="G218" s="35"/>
    </row>
    <row r="219" spans="1:7">
      <c r="A219" s="78"/>
      <c r="D219" t="str">
        <f>IF($C219="","",IFERROR(LOOKUP(2,1/($C$2:INDEX($C:$C,ROW()-1)=$C219),$E$2:INDEX($E:$E,ROW()-1)),IFERROR(VLOOKUP($C219,'01_Warehouse_Ledger'!$A$2:$C$2002,3,FALSE),"")))</f>
        <v/>
      </c>
      <c r="G219" s="35"/>
    </row>
    <row r="220" spans="1:7">
      <c r="A220" s="78"/>
      <c r="D220" t="str">
        <f>IF($C220="","",IFERROR(LOOKUP(2,1/($C$2:INDEX($C:$C,ROW()-1)=$C220),$E$2:INDEX($E:$E,ROW()-1)),IFERROR(VLOOKUP($C220,'01_Warehouse_Ledger'!$A$2:$C$2002,3,FALSE),"")))</f>
        <v/>
      </c>
      <c r="G220" s="35"/>
    </row>
    <row r="221" spans="1:7">
      <c r="A221" s="78"/>
      <c r="D221" t="str">
        <f>IF($C221="","",IFERROR(LOOKUP(2,1/($C$2:INDEX($C:$C,ROW()-1)=$C221),$E$2:INDEX($E:$E,ROW()-1)),IFERROR(VLOOKUP($C221,'01_Warehouse_Ledger'!$A$2:$C$2002,3,FALSE),"")))</f>
        <v/>
      </c>
      <c r="G221" s="35"/>
    </row>
    <row r="222" spans="1:7">
      <c r="A222" s="78"/>
      <c r="D222" t="str">
        <f>IF($C222="","",IFERROR(LOOKUP(2,1/($C$2:INDEX($C:$C,ROW()-1)=$C222),$E$2:INDEX($E:$E,ROW()-1)),IFERROR(VLOOKUP($C222,'01_Warehouse_Ledger'!$A$2:$C$2002,3,FALSE),"")))</f>
        <v/>
      </c>
      <c r="G222" s="35"/>
    </row>
    <row r="223" spans="1:7">
      <c r="A223" s="78"/>
      <c r="D223" t="str">
        <f>IF($C223="","",IFERROR(LOOKUP(2,1/($C$2:INDEX($C:$C,ROW()-1)=$C223),$E$2:INDEX($E:$E,ROW()-1)),IFERROR(VLOOKUP($C223,'01_Warehouse_Ledger'!$A$2:$C$2002,3,FALSE),"")))</f>
        <v/>
      </c>
      <c r="G223" s="35"/>
    </row>
    <row r="224" spans="1:7">
      <c r="A224" s="78"/>
      <c r="D224" t="str">
        <f>IF($C224="","",IFERROR(LOOKUP(2,1/($C$2:INDEX($C:$C,ROW()-1)=$C224),$E$2:INDEX($E:$E,ROW()-1)),IFERROR(VLOOKUP($C224,'01_Warehouse_Ledger'!$A$2:$C$2002,3,FALSE),"")))</f>
        <v/>
      </c>
      <c r="G224" s="35"/>
    </row>
    <row r="225" spans="1:7">
      <c r="A225" s="78"/>
      <c r="D225" t="str">
        <f>IF($C225="","",IFERROR(LOOKUP(2,1/($C$2:INDEX($C:$C,ROW()-1)=$C225),$E$2:INDEX($E:$E,ROW()-1)),IFERROR(VLOOKUP($C225,'01_Warehouse_Ledger'!$A$2:$C$2002,3,FALSE),"")))</f>
        <v/>
      </c>
      <c r="G225" s="35"/>
    </row>
    <row r="226" spans="1:7">
      <c r="A226" s="78"/>
      <c r="D226" t="str">
        <f>IF($C226="","",IFERROR(LOOKUP(2,1/($C$2:INDEX($C:$C,ROW()-1)=$C226),$E$2:INDEX($E:$E,ROW()-1)),IFERROR(VLOOKUP($C226,'01_Warehouse_Ledger'!$A$2:$C$2002,3,FALSE),"")))</f>
        <v/>
      </c>
      <c r="G226" s="35"/>
    </row>
    <row r="227" spans="1:7">
      <c r="A227" s="78"/>
      <c r="D227" t="str">
        <f>IF($C227="","",IFERROR(LOOKUP(2,1/($C$2:INDEX($C:$C,ROW()-1)=$C227),$E$2:INDEX($E:$E,ROW()-1)),IFERROR(VLOOKUP($C227,'01_Warehouse_Ledger'!$A$2:$C$2002,3,FALSE),"")))</f>
        <v/>
      </c>
      <c r="G227" s="35"/>
    </row>
    <row r="228" spans="1:7">
      <c r="A228" s="78"/>
      <c r="D228" t="str">
        <f>IF($C228="","",IFERROR(LOOKUP(2,1/($C$2:INDEX($C:$C,ROW()-1)=$C228),$E$2:INDEX($E:$E,ROW()-1)),IFERROR(VLOOKUP($C228,'01_Warehouse_Ledger'!$A$2:$C$2002,3,FALSE),"")))</f>
        <v/>
      </c>
      <c r="G228" s="35"/>
    </row>
    <row r="229" spans="1:7">
      <c r="A229" s="78"/>
      <c r="D229" t="str">
        <f>IF($C229="","",IFERROR(LOOKUP(2,1/($C$2:INDEX($C:$C,ROW()-1)=$C229),$E$2:INDEX($E:$E,ROW()-1)),IFERROR(VLOOKUP($C229,'01_Warehouse_Ledger'!$A$2:$C$2002,3,FALSE),"")))</f>
        <v/>
      </c>
      <c r="G229" s="35"/>
    </row>
    <row r="230" spans="1:7">
      <c r="A230" s="78"/>
      <c r="D230" t="str">
        <f>IF($C230="","",IFERROR(LOOKUP(2,1/($C$2:INDEX($C:$C,ROW()-1)=$C230),$E$2:INDEX($E:$E,ROW()-1)),IFERROR(VLOOKUP($C230,'01_Warehouse_Ledger'!$A$2:$C$2002,3,FALSE),"")))</f>
        <v/>
      </c>
      <c r="G230" s="35"/>
    </row>
    <row r="231" spans="1:7">
      <c r="A231" s="78"/>
      <c r="D231" t="str">
        <f>IF($C231="","",IFERROR(LOOKUP(2,1/($C$2:INDEX($C:$C,ROW()-1)=$C231),$E$2:INDEX($E:$E,ROW()-1)),IFERROR(VLOOKUP($C231,'01_Warehouse_Ledger'!$A$2:$C$2002,3,FALSE),"")))</f>
        <v/>
      </c>
      <c r="G231" s="35"/>
    </row>
    <row r="232" spans="1:7">
      <c r="A232" s="78"/>
      <c r="D232" t="str">
        <f>IF($C232="","",IFERROR(LOOKUP(2,1/($C$2:INDEX($C:$C,ROW()-1)=$C232),$E$2:INDEX($E:$E,ROW()-1)),IFERROR(VLOOKUP($C232,'01_Warehouse_Ledger'!$A$2:$C$2002,3,FALSE),"")))</f>
        <v/>
      </c>
      <c r="G232" s="35"/>
    </row>
    <row r="233" spans="1:7">
      <c r="A233" s="78"/>
      <c r="D233" t="str">
        <f>IF($C233="","",IFERROR(LOOKUP(2,1/($C$2:INDEX($C:$C,ROW()-1)=$C233),$E$2:INDEX($E:$E,ROW()-1)),IFERROR(VLOOKUP($C233,'01_Warehouse_Ledger'!$A$2:$C$2002,3,FALSE),"")))</f>
        <v/>
      </c>
      <c r="G233" s="35"/>
    </row>
    <row r="234" spans="1:7">
      <c r="A234" s="78"/>
      <c r="D234" t="str">
        <f>IF($C234="","",IFERROR(LOOKUP(2,1/($C$2:INDEX($C:$C,ROW()-1)=$C234),$E$2:INDEX($E:$E,ROW()-1)),IFERROR(VLOOKUP($C234,'01_Warehouse_Ledger'!$A$2:$C$2002,3,FALSE),"")))</f>
        <v/>
      </c>
      <c r="G234" s="35"/>
    </row>
    <row r="235" spans="1:7">
      <c r="A235" s="78"/>
      <c r="D235" t="str">
        <f>IF($C235="","",IFERROR(LOOKUP(2,1/($C$2:INDEX($C:$C,ROW()-1)=$C235),$E$2:INDEX($E:$E,ROW()-1)),IFERROR(VLOOKUP($C235,'01_Warehouse_Ledger'!$A$2:$C$2002,3,FALSE),"")))</f>
        <v/>
      </c>
      <c r="G235" s="35"/>
    </row>
    <row r="236" spans="1:7">
      <c r="A236" s="78"/>
      <c r="D236" t="str">
        <f>IF($C236="","",IFERROR(LOOKUP(2,1/($C$2:INDEX($C:$C,ROW()-1)=$C236),$E$2:INDEX($E:$E,ROW()-1)),IFERROR(VLOOKUP($C236,'01_Warehouse_Ledger'!$A$2:$C$2002,3,FALSE),"")))</f>
        <v/>
      </c>
      <c r="G236" s="35"/>
    </row>
    <row r="237" spans="1:7">
      <c r="A237" s="78"/>
      <c r="D237" t="str">
        <f>IF($C237="","",IFERROR(LOOKUP(2,1/($C$2:INDEX($C:$C,ROW()-1)=$C237),$E$2:INDEX($E:$E,ROW()-1)),IFERROR(VLOOKUP($C237,'01_Warehouse_Ledger'!$A$2:$C$2002,3,FALSE),"")))</f>
        <v/>
      </c>
      <c r="G237" s="35"/>
    </row>
    <row r="238" spans="1:7">
      <c r="A238" s="78"/>
      <c r="D238" t="str">
        <f>IF($C238="","",IFERROR(LOOKUP(2,1/($C$2:INDEX($C:$C,ROW()-1)=$C238),$E$2:INDEX($E:$E,ROW()-1)),IFERROR(VLOOKUP($C238,'01_Warehouse_Ledger'!$A$2:$C$2002,3,FALSE),"")))</f>
        <v/>
      </c>
      <c r="G238" s="35"/>
    </row>
    <row r="239" spans="1:7">
      <c r="A239" s="78"/>
      <c r="D239" t="str">
        <f>IF($C239="","",IFERROR(LOOKUP(2,1/($C$2:INDEX($C:$C,ROW()-1)=$C239),$E$2:INDEX($E:$E,ROW()-1)),IFERROR(VLOOKUP($C239,'01_Warehouse_Ledger'!$A$2:$C$2002,3,FALSE),"")))</f>
        <v/>
      </c>
      <c r="G239" s="35"/>
    </row>
    <row r="240" spans="1:7">
      <c r="A240" s="78"/>
      <c r="D240" t="str">
        <f>IF($C240="","",IFERROR(LOOKUP(2,1/($C$2:INDEX($C:$C,ROW()-1)=$C240),$E$2:INDEX($E:$E,ROW()-1)),IFERROR(VLOOKUP($C240,'01_Warehouse_Ledger'!$A$2:$C$2002,3,FALSE),"")))</f>
        <v/>
      </c>
      <c r="G240" s="35"/>
    </row>
    <row r="241" spans="1:7">
      <c r="A241" s="78"/>
      <c r="D241" t="str">
        <f>IF($C241="","",IFERROR(LOOKUP(2,1/($C$2:INDEX($C:$C,ROW()-1)=$C241),$E$2:INDEX($E:$E,ROW()-1)),IFERROR(VLOOKUP($C241,'01_Warehouse_Ledger'!$A$2:$C$2002,3,FALSE),"")))</f>
        <v/>
      </c>
      <c r="G241" s="35"/>
    </row>
    <row r="242" spans="1:7">
      <c r="A242" s="78"/>
      <c r="D242" t="str">
        <f>IF($C242="","",IFERROR(LOOKUP(2,1/($C$2:INDEX($C:$C,ROW()-1)=$C242),$E$2:INDEX($E:$E,ROW()-1)),IFERROR(VLOOKUP($C242,'01_Warehouse_Ledger'!$A$2:$C$2002,3,FALSE),"")))</f>
        <v/>
      </c>
      <c r="G242" s="35"/>
    </row>
    <row r="243" spans="1:7">
      <c r="A243" s="78"/>
      <c r="D243" t="str">
        <f>IF($C243="","",IFERROR(LOOKUP(2,1/($C$2:INDEX($C:$C,ROW()-1)=$C243),$E$2:INDEX($E:$E,ROW()-1)),IFERROR(VLOOKUP($C243,'01_Warehouse_Ledger'!$A$2:$C$2002,3,FALSE),"")))</f>
        <v/>
      </c>
      <c r="G243" s="35"/>
    </row>
    <row r="244" spans="1:7">
      <c r="A244" s="78"/>
      <c r="D244" t="str">
        <f>IF($C244="","",IFERROR(LOOKUP(2,1/($C$2:INDEX($C:$C,ROW()-1)=$C244),$E$2:INDEX($E:$E,ROW()-1)),IFERROR(VLOOKUP($C244,'01_Warehouse_Ledger'!$A$2:$C$2002,3,FALSE),"")))</f>
        <v/>
      </c>
      <c r="G244" s="35"/>
    </row>
    <row r="245" spans="1:7">
      <c r="A245" s="78"/>
      <c r="D245" t="str">
        <f>IF($C245="","",IFERROR(LOOKUP(2,1/($C$2:INDEX($C:$C,ROW()-1)=$C245),$E$2:INDEX($E:$E,ROW()-1)),IFERROR(VLOOKUP($C245,'01_Warehouse_Ledger'!$A$2:$C$2002,3,FALSE),"")))</f>
        <v/>
      </c>
      <c r="G245" s="35"/>
    </row>
    <row r="246" spans="1:7">
      <c r="A246" s="78"/>
      <c r="D246" t="str">
        <f>IF($C246="","",IFERROR(LOOKUP(2,1/($C$2:INDEX($C:$C,ROW()-1)=$C246),$E$2:INDEX($E:$E,ROW()-1)),IFERROR(VLOOKUP($C246,'01_Warehouse_Ledger'!$A$2:$C$2002,3,FALSE),"")))</f>
        <v/>
      </c>
      <c r="G246" s="35"/>
    </row>
    <row r="247" spans="1:7">
      <c r="A247" s="78"/>
      <c r="D247" t="str">
        <f>IF($C247="","",IFERROR(LOOKUP(2,1/($C$2:INDEX($C:$C,ROW()-1)=$C247),$E$2:INDEX($E:$E,ROW()-1)),IFERROR(VLOOKUP($C247,'01_Warehouse_Ledger'!$A$2:$C$2002,3,FALSE),"")))</f>
        <v/>
      </c>
      <c r="G247" s="35"/>
    </row>
    <row r="248" spans="1:7">
      <c r="A248" s="78"/>
      <c r="D248" t="str">
        <f>IF($C248="","",IFERROR(LOOKUP(2,1/($C$2:INDEX($C:$C,ROW()-1)=$C248),$E$2:INDEX($E:$E,ROW()-1)),IFERROR(VLOOKUP($C248,'01_Warehouse_Ledger'!$A$2:$C$2002,3,FALSE),"")))</f>
        <v/>
      </c>
      <c r="G248" s="35"/>
    </row>
    <row r="249" spans="1:7">
      <c r="A249" s="78"/>
      <c r="D249" t="str">
        <f>IF($C249="","",IFERROR(LOOKUP(2,1/($C$2:INDEX($C:$C,ROW()-1)=$C249),$E$2:INDEX($E:$E,ROW()-1)),IFERROR(VLOOKUP($C249,'01_Warehouse_Ledger'!$A$2:$C$2002,3,FALSE),"")))</f>
        <v/>
      </c>
      <c r="G249" s="35"/>
    </row>
    <row r="250" spans="1:7">
      <c r="A250" s="78"/>
      <c r="D250" t="str">
        <f>IF($C250="","",IFERROR(LOOKUP(2,1/($C$2:INDEX($C:$C,ROW()-1)=$C250),$E$2:INDEX($E:$E,ROW()-1)),IFERROR(VLOOKUP($C250,'01_Warehouse_Ledger'!$A$2:$C$2002,3,FALSE),"")))</f>
        <v/>
      </c>
      <c r="G250" s="35"/>
    </row>
    <row r="251" spans="1:7">
      <c r="A251" s="78"/>
      <c r="D251" t="str">
        <f>IF($C251="","",IFERROR(LOOKUP(2,1/($C$2:INDEX($C:$C,ROW()-1)=$C251),$E$2:INDEX($E:$E,ROW()-1)),IFERROR(VLOOKUP($C251,'01_Warehouse_Ledger'!$A$2:$C$2002,3,FALSE),"")))</f>
        <v/>
      </c>
      <c r="G251" s="35"/>
    </row>
    <row r="252" spans="1:7">
      <c r="A252" s="78"/>
      <c r="D252" t="str">
        <f>IF($C252="","",IFERROR(LOOKUP(2,1/($C$2:INDEX($C:$C,ROW()-1)=$C252),$E$2:INDEX($E:$E,ROW()-1)),IFERROR(VLOOKUP($C252,'01_Warehouse_Ledger'!$A$2:$C$2002,3,FALSE),"")))</f>
        <v/>
      </c>
      <c r="G252" s="35"/>
    </row>
    <row r="253" spans="1:7">
      <c r="A253" s="78"/>
      <c r="D253" t="str">
        <f>IF($C253="","",IFERROR(LOOKUP(2,1/($C$2:INDEX($C:$C,ROW()-1)=$C253),$E$2:INDEX($E:$E,ROW()-1)),IFERROR(VLOOKUP($C253,'01_Warehouse_Ledger'!$A$2:$C$2002,3,FALSE),"")))</f>
        <v/>
      </c>
      <c r="G253" s="35"/>
    </row>
    <row r="254" spans="1:7">
      <c r="A254" s="78"/>
      <c r="D254" t="str">
        <f>IF($C254="","",IFERROR(LOOKUP(2,1/($C$2:INDEX($C:$C,ROW()-1)=$C254),$E$2:INDEX($E:$E,ROW()-1)),IFERROR(VLOOKUP($C254,'01_Warehouse_Ledger'!$A$2:$C$2002,3,FALSE),"")))</f>
        <v/>
      </c>
      <c r="G254" s="35"/>
    </row>
    <row r="255" spans="1:7">
      <c r="A255" s="78"/>
      <c r="D255" t="str">
        <f>IF($C255="","",IFERROR(LOOKUP(2,1/($C$2:INDEX($C:$C,ROW()-1)=$C255),$E$2:INDEX($E:$E,ROW()-1)),IFERROR(VLOOKUP($C255,'01_Warehouse_Ledger'!$A$2:$C$2002,3,FALSE),"")))</f>
        <v/>
      </c>
      <c r="G255" s="35"/>
    </row>
    <row r="256" spans="1:7">
      <c r="A256" s="78"/>
      <c r="D256" t="str">
        <f>IF($C256="","",IFERROR(LOOKUP(2,1/($C$2:INDEX($C:$C,ROW()-1)=$C256),$E$2:INDEX($E:$E,ROW()-1)),IFERROR(VLOOKUP($C256,'01_Warehouse_Ledger'!$A$2:$C$2002,3,FALSE),"")))</f>
        <v/>
      </c>
      <c r="G256" s="35"/>
    </row>
    <row r="257" spans="1:7">
      <c r="A257" s="78"/>
      <c r="D257" t="str">
        <f>IF($C257="","",IFERROR(LOOKUP(2,1/($C$2:INDEX($C:$C,ROW()-1)=$C257),$E$2:INDEX($E:$E,ROW()-1)),IFERROR(VLOOKUP($C257,'01_Warehouse_Ledger'!$A$2:$C$2002,3,FALSE),"")))</f>
        <v/>
      </c>
      <c r="G257" s="35"/>
    </row>
    <row r="258" spans="1:7">
      <c r="A258" s="78"/>
      <c r="D258" t="str">
        <f>IF($C258="","",IFERROR(LOOKUP(2,1/($C$2:INDEX($C:$C,ROW()-1)=$C258),$E$2:INDEX($E:$E,ROW()-1)),IFERROR(VLOOKUP($C258,'01_Warehouse_Ledger'!$A$2:$C$2002,3,FALSE),"")))</f>
        <v/>
      </c>
      <c r="G258" s="35"/>
    </row>
    <row r="259" spans="1:7">
      <c r="A259" s="78"/>
      <c r="D259" t="str">
        <f>IF($C259="","",IFERROR(LOOKUP(2,1/($C$2:INDEX($C:$C,ROW()-1)=$C259),$E$2:INDEX($E:$E,ROW()-1)),IFERROR(VLOOKUP($C259,'01_Warehouse_Ledger'!$A$2:$C$2002,3,FALSE),"")))</f>
        <v/>
      </c>
      <c r="G259" s="35"/>
    </row>
    <row r="260" spans="1:7">
      <c r="A260" s="78"/>
      <c r="D260" t="str">
        <f>IF($C260="","",IFERROR(LOOKUP(2,1/($C$2:INDEX($C:$C,ROW()-1)=$C260),$E$2:INDEX($E:$E,ROW()-1)),IFERROR(VLOOKUP($C260,'01_Warehouse_Ledger'!$A$2:$C$2002,3,FALSE),"")))</f>
        <v/>
      </c>
      <c r="G260" s="35"/>
    </row>
    <row r="261" spans="1:7">
      <c r="A261" s="78"/>
      <c r="D261" t="str">
        <f>IF($C261="","",IFERROR(LOOKUP(2,1/($C$2:INDEX($C:$C,ROW()-1)=$C261),$E$2:INDEX($E:$E,ROW()-1)),IFERROR(VLOOKUP($C261,'01_Warehouse_Ledger'!$A$2:$C$2002,3,FALSE),"")))</f>
        <v/>
      </c>
      <c r="G261" s="35"/>
    </row>
    <row r="262" spans="1:7">
      <c r="A262" s="78"/>
      <c r="D262" t="str">
        <f>IF($C262="","",IFERROR(LOOKUP(2,1/($C$2:INDEX($C:$C,ROW()-1)=$C262),$E$2:INDEX($E:$E,ROW()-1)),IFERROR(VLOOKUP($C262,'01_Warehouse_Ledger'!$A$2:$C$2002,3,FALSE),"")))</f>
        <v/>
      </c>
      <c r="G262" s="35"/>
    </row>
    <row r="263" spans="1:7">
      <c r="A263" s="78"/>
      <c r="D263" t="str">
        <f>IF($C263="","",IFERROR(LOOKUP(2,1/($C$2:INDEX($C:$C,ROW()-1)=$C263),$E$2:INDEX($E:$E,ROW()-1)),IFERROR(VLOOKUP($C263,'01_Warehouse_Ledger'!$A$2:$C$2002,3,FALSE),"")))</f>
        <v/>
      </c>
      <c r="G263" s="35"/>
    </row>
    <row r="264" spans="1:7">
      <c r="A264" s="78"/>
      <c r="D264" t="str">
        <f>IF($C264="","",IFERROR(LOOKUP(2,1/($C$2:INDEX($C:$C,ROW()-1)=$C264),$E$2:INDEX($E:$E,ROW()-1)),IFERROR(VLOOKUP($C264,'01_Warehouse_Ledger'!$A$2:$C$2002,3,FALSE),"")))</f>
        <v/>
      </c>
      <c r="G264" s="35"/>
    </row>
    <row r="265" spans="1:7">
      <c r="A265" s="78"/>
      <c r="D265" t="str">
        <f>IF($C265="","",IFERROR(LOOKUP(2,1/($C$2:INDEX($C:$C,ROW()-1)=$C265),$E$2:INDEX($E:$E,ROW()-1)),IFERROR(VLOOKUP($C265,'01_Warehouse_Ledger'!$A$2:$C$2002,3,FALSE),"")))</f>
        <v/>
      </c>
      <c r="G265" s="35"/>
    </row>
    <row r="266" spans="1:7">
      <c r="A266" s="78"/>
      <c r="D266" t="str">
        <f>IF($C266="","",IFERROR(LOOKUP(2,1/($C$2:INDEX($C:$C,ROW()-1)=$C266),$E$2:INDEX($E:$E,ROW()-1)),IFERROR(VLOOKUP($C266,'01_Warehouse_Ledger'!$A$2:$C$2002,3,FALSE),"")))</f>
        <v/>
      </c>
      <c r="G266" s="35"/>
    </row>
    <row r="267" spans="1:7">
      <c r="A267" s="78"/>
      <c r="D267" t="str">
        <f>IF($C267="","",IFERROR(LOOKUP(2,1/($C$2:INDEX($C:$C,ROW()-1)=$C267),$E$2:INDEX($E:$E,ROW()-1)),IFERROR(VLOOKUP($C267,'01_Warehouse_Ledger'!$A$2:$C$2002,3,FALSE),"")))</f>
        <v/>
      </c>
      <c r="G267" s="35"/>
    </row>
    <row r="268" spans="1:7">
      <c r="A268" s="78"/>
      <c r="D268" t="str">
        <f>IF($C268="","",IFERROR(LOOKUP(2,1/($C$2:INDEX($C:$C,ROW()-1)=$C268),$E$2:INDEX($E:$E,ROW()-1)),IFERROR(VLOOKUP($C268,'01_Warehouse_Ledger'!$A$2:$C$2002,3,FALSE),"")))</f>
        <v/>
      </c>
      <c r="G268" s="35"/>
    </row>
    <row r="269" spans="1:7">
      <c r="A269" s="78"/>
      <c r="D269" t="str">
        <f>IF($C269="","",IFERROR(LOOKUP(2,1/($C$2:INDEX($C:$C,ROW()-1)=$C269),$E$2:INDEX($E:$E,ROW()-1)),IFERROR(VLOOKUP($C269,'01_Warehouse_Ledger'!$A$2:$C$2002,3,FALSE),"")))</f>
        <v/>
      </c>
      <c r="G269" s="35"/>
    </row>
    <row r="270" spans="1:7">
      <c r="A270" s="78"/>
      <c r="D270" t="str">
        <f>IF($C270="","",IFERROR(LOOKUP(2,1/($C$2:INDEX($C:$C,ROW()-1)=$C270),$E$2:INDEX($E:$E,ROW()-1)),IFERROR(VLOOKUP($C270,'01_Warehouse_Ledger'!$A$2:$C$2002,3,FALSE),"")))</f>
        <v/>
      </c>
      <c r="G270" s="35"/>
    </row>
    <row r="271" spans="1:7">
      <c r="A271" s="78"/>
      <c r="D271" t="str">
        <f>IF($C271="","",IFERROR(LOOKUP(2,1/($C$2:INDEX($C:$C,ROW()-1)=$C271),$E$2:INDEX($E:$E,ROW()-1)),IFERROR(VLOOKUP($C271,'01_Warehouse_Ledger'!$A$2:$C$2002,3,FALSE),"")))</f>
        <v/>
      </c>
      <c r="G271" s="35"/>
    </row>
    <row r="272" spans="1:7">
      <c r="A272" s="78"/>
      <c r="D272" t="str">
        <f>IF($C272="","",IFERROR(LOOKUP(2,1/($C$2:INDEX($C:$C,ROW()-1)=$C272),$E$2:INDEX($E:$E,ROW()-1)),IFERROR(VLOOKUP($C272,'01_Warehouse_Ledger'!$A$2:$C$2002,3,FALSE),"")))</f>
        <v/>
      </c>
      <c r="G272" s="35"/>
    </row>
    <row r="273" spans="1:7">
      <c r="A273" s="78"/>
      <c r="D273" t="str">
        <f>IF($C273="","",IFERROR(LOOKUP(2,1/($C$2:INDEX($C:$C,ROW()-1)=$C273),$E$2:INDEX($E:$E,ROW()-1)),IFERROR(VLOOKUP($C273,'01_Warehouse_Ledger'!$A$2:$C$2002,3,FALSE),"")))</f>
        <v/>
      </c>
      <c r="G273" s="35"/>
    </row>
    <row r="274" spans="1:7">
      <c r="A274" s="78"/>
      <c r="D274" t="str">
        <f>IF($C274="","",IFERROR(LOOKUP(2,1/($C$2:INDEX($C:$C,ROW()-1)=$C274),$E$2:INDEX($E:$E,ROW()-1)),IFERROR(VLOOKUP($C274,'01_Warehouse_Ledger'!$A$2:$C$2002,3,FALSE),"")))</f>
        <v/>
      </c>
      <c r="G274" s="35"/>
    </row>
    <row r="275" spans="1:7">
      <c r="A275" s="78"/>
      <c r="D275" t="str">
        <f>IF($C275="","",IFERROR(LOOKUP(2,1/($C$2:INDEX($C:$C,ROW()-1)=$C275),$E$2:INDEX($E:$E,ROW()-1)),IFERROR(VLOOKUP($C275,'01_Warehouse_Ledger'!$A$2:$C$2002,3,FALSE),"")))</f>
        <v/>
      </c>
      <c r="G275" s="35"/>
    </row>
    <row r="276" spans="1:7">
      <c r="A276" s="78"/>
      <c r="D276" t="str">
        <f>IF($C276="","",IFERROR(LOOKUP(2,1/($C$2:INDEX($C:$C,ROW()-1)=$C276),$E$2:INDEX($E:$E,ROW()-1)),IFERROR(VLOOKUP($C276,'01_Warehouse_Ledger'!$A$2:$C$2002,3,FALSE),"")))</f>
        <v/>
      </c>
      <c r="G276" s="35"/>
    </row>
    <row r="277" spans="1:7">
      <c r="A277" s="78"/>
      <c r="D277" t="str">
        <f>IF($C277="","",IFERROR(LOOKUP(2,1/($C$2:INDEX($C:$C,ROW()-1)=$C277),$E$2:INDEX($E:$E,ROW()-1)),IFERROR(VLOOKUP($C277,'01_Warehouse_Ledger'!$A$2:$C$2002,3,FALSE),"")))</f>
        <v/>
      </c>
      <c r="G277" s="35"/>
    </row>
    <row r="278" spans="1:7">
      <c r="A278" s="78"/>
      <c r="D278" t="str">
        <f>IF($C278="","",IFERROR(LOOKUP(2,1/($C$2:INDEX($C:$C,ROW()-1)=$C278),$E$2:INDEX($E:$E,ROW()-1)),IFERROR(VLOOKUP($C278,'01_Warehouse_Ledger'!$A$2:$C$2002,3,FALSE),"")))</f>
        <v/>
      </c>
      <c r="G278" s="35"/>
    </row>
    <row r="279" spans="1:7">
      <c r="A279" s="78"/>
      <c r="D279" t="str">
        <f>IF($C279="","",IFERROR(LOOKUP(2,1/($C$2:INDEX($C:$C,ROW()-1)=$C279),$E$2:INDEX($E:$E,ROW()-1)),IFERROR(VLOOKUP($C279,'01_Warehouse_Ledger'!$A$2:$C$2002,3,FALSE),"")))</f>
        <v/>
      </c>
      <c r="G279" s="35"/>
    </row>
    <row r="280" spans="1:7">
      <c r="A280" s="78"/>
      <c r="D280" t="str">
        <f>IF($C280="","",IFERROR(LOOKUP(2,1/($C$2:INDEX($C:$C,ROW()-1)=$C280),$E$2:INDEX($E:$E,ROW()-1)),IFERROR(VLOOKUP($C280,'01_Warehouse_Ledger'!$A$2:$C$2002,3,FALSE),"")))</f>
        <v/>
      </c>
      <c r="G280" s="35"/>
    </row>
    <row r="281" spans="1:7">
      <c r="A281" s="78"/>
      <c r="D281" t="str">
        <f>IF($C281="","",IFERROR(LOOKUP(2,1/($C$2:INDEX($C:$C,ROW()-1)=$C281),$E$2:INDEX($E:$E,ROW()-1)),IFERROR(VLOOKUP($C281,'01_Warehouse_Ledger'!$A$2:$C$2002,3,FALSE),"")))</f>
        <v/>
      </c>
      <c r="G281" s="35"/>
    </row>
    <row r="282" spans="1:7">
      <c r="A282" s="78"/>
      <c r="D282" t="str">
        <f>IF($C282="","",IFERROR(LOOKUP(2,1/($C$2:INDEX($C:$C,ROW()-1)=$C282),$E$2:INDEX($E:$E,ROW()-1)),IFERROR(VLOOKUP($C282,'01_Warehouse_Ledger'!$A$2:$C$2002,3,FALSE),"")))</f>
        <v/>
      </c>
      <c r="G282" s="35"/>
    </row>
    <row r="283" spans="1:7">
      <c r="A283" s="78"/>
      <c r="D283" t="str">
        <f>IF($C283="","",IFERROR(LOOKUP(2,1/($C$2:INDEX($C:$C,ROW()-1)=$C283),$E$2:INDEX($E:$E,ROW()-1)),IFERROR(VLOOKUP($C283,'01_Warehouse_Ledger'!$A$2:$C$2002,3,FALSE),"")))</f>
        <v/>
      </c>
      <c r="G283" s="35"/>
    </row>
    <row r="284" spans="1:7">
      <c r="A284" s="78"/>
      <c r="D284" t="str">
        <f>IF($C284="","",IFERROR(LOOKUP(2,1/($C$2:INDEX($C:$C,ROW()-1)=$C284),$E$2:INDEX($E:$E,ROW()-1)),IFERROR(VLOOKUP($C284,'01_Warehouse_Ledger'!$A$2:$C$2002,3,FALSE),"")))</f>
        <v/>
      </c>
      <c r="G284" s="35"/>
    </row>
    <row r="285" spans="1:7">
      <c r="A285" s="78"/>
      <c r="D285" t="str">
        <f>IF($C285="","",IFERROR(LOOKUP(2,1/($C$2:INDEX($C:$C,ROW()-1)=$C285),$E$2:INDEX($E:$E,ROW()-1)),IFERROR(VLOOKUP($C285,'01_Warehouse_Ledger'!$A$2:$C$2002,3,FALSE),"")))</f>
        <v/>
      </c>
      <c r="G285" s="35"/>
    </row>
    <row r="286" spans="1:7">
      <c r="A286" s="78"/>
      <c r="D286" t="str">
        <f>IF($C286="","",IFERROR(LOOKUP(2,1/($C$2:INDEX($C:$C,ROW()-1)=$C286),$E$2:INDEX($E:$E,ROW()-1)),IFERROR(VLOOKUP($C286,'01_Warehouse_Ledger'!$A$2:$C$2002,3,FALSE),"")))</f>
        <v/>
      </c>
      <c r="G286" s="35"/>
    </row>
    <row r="287" spans="1:7">
      <c r="A287" s="78"/>
      <c r="D287" t="str">
        <f>IF($C287="","",IFERROR(LOOKUP(2,1/($C$2:INDEX($C:$C,ROW()-1)=$C287),$E$2:INDEX($E:$E,ROW()-1)),IFERROR(VLOOKUP($C287,'01_Warehouse_Ledger'!$A$2:$C$2002,3,FALSE),"")))</f>
        <v/>
      </c>
      <c r="G287" s="35"/>
    </row>
    <row r="288" spans="1:7">
      <c r="A288" s="78"/>
      <c r="D288" t="str">
        <f>IF($C288="","",IFERROR(LOOKUP(2,1/($C$2:INDEX($C:$C,ROW()-1)=$C288),$E$2:INDEX($E:$E,ROW()-1)),IFERROR(VLOOKUP($C288,'01_Warehouse_Ledger'!$A$2:$C$2002,3,FALSE),"")))</f>
        <v/>
      </c>
      <c r="G288" s="35"/>
    </row>
    <row r="289" spans="1:7">
      <c r="A289" s="78"/>
      <c r="D289" t="str">
        <f>IF($C289="","",IFERROR(LOOKUP(2,1/($C$2:INDEX($C:$C,ROW()-1)=$C289),$E$2:INDEX($E:$E,ROW()-1)),IFERROR(VLOOKUP($C289,'01_Warehouse_Ledger'!$A$2:$C$2002,3,FALSE),"")))</f>
        <v/>
      </c>
      <c r="G289" s="35"/>
    </row>
    <row r="290" spans="1:7">
      <c r="A290" s="78"/>
      <c r="D290" t="str">
        <f>IF($C290="","",IFERROR(LOOKUP(2,1/($C$2:INDEX($C:$C,ROW()-1)=$C290),$E$2:INDEX($E:$E,ROW()-1)),IFERROR(VLOOKUP($C290,'01_Warehouse_Ledger'!$A$2:$C$2002,3,FALSE),"")))</f>
        <v/>
      </c>
      <c r="G290" s="35"/>
    </row>
    <row r="291" spans="1:7">
      <c r="A291" s="78"/>
      <c r="D291" t="str">
        <f>IF($C291="","",IFERROR(LOOKUP(2,1/($C$2:INDEX($C:$C,ROW()-1)=$C291),$E$2:INDEX($E:$E,ROW()-1)),IFERROR(VLOOKUP($C291,'01_Warehouse_Ledger'!$A$2:$C$2002,3,FALSE),"")))</f>
        <v/>
      </c>
      <c r="G291" s="35"/>
    </row>
    <row r="292" spans="1:7">
      <c r="A292" s="78"/>
      <c r="D292" t="str">
        <f>IF($C292="","",IFERROR(LOOKUP(2,1/($C$2:INDEX($C:$C,ROW()-1)=$C292),$E$2:INDEX($E:$E,ROW()-1)),IFERROR(VLOOKUP($C292,'01_Warehouse_Ledger'!$A$2:$C$2002,3,FALSE),"")))</f>
        <v/>
      </c>
      <c r="G292" s="35"/>
    </row>
    <row r="293" spans="1:7">
      <c r="A293" s="78"/>
      <c r="D293" t="str">
        <f>IF($C293="","",IFERROR(LOOKUP(2,1/($C$2:INDEX($C:$C,ROW()-1)=$C293),$E$2:INDEX($E:$E,ROW()-1)),IFERROR(VLOOKUP($C293,'01_Warehouse_Ledger'!$A$2:$C$2002,3,FALSE),"")))</f>
        <v/>
      </c>
      <c r="G293" s="35"/>
    </row>
    <row r="294" spans="1:7">
      <c r="A294" s="78"/>
      <c r="D294" t="str">
        <f>IF($C294="","",IFERROR(LOOKUP(2,1/($C$2:INDEX($C:$C,ROW()-1)=$C294),$E$2:INDEX($E:$E,ROW()-1)),IFERROR(VLOOKUP($C294,'01_Warehouse_Ledger'!$A$2:$C$2002,3,FALSE),"")))</f>
        <v/>
      </c>
      <c r="G294" s="35"/>
    </row>
    <row r="295" spans="1:7">
      <c r="A295" s="78"/>
      <c r="D295" t="str">
        <f>IF($C295="","",IFERROR(LOOKUP(2,1/($C$2:INDEX($C:$C,ROW()-1)=$C295),$E$2:INDEX($E:$E,ROW()-1)),IFERROR(VLOOKUP($C295,'01_Warehouse_Ledger'!$A$2:$C$2002,3,FALSE),"")))</f>
        <v/>
      </c>
      <c r="G295" s="35"/>
    </row>
    <row r="296" spans="1:7">
      <c r="A296" s="78"/>
      <c r="D296" t="str">
        <f>IF($C296="","",IFERROR(LOOKUP(2,1/($C$2:INDEX($C:$C,ROW()-1)=$C296),$E$2:INDEX($E:$E,ROW()-1)),IFERROR(VLOOKUP($C296,'01_Warehouse_Ledger'!$A$2:$C$2002,3,FALSE),"")))</f>
        <v/>
      </c>
      <c r="G296" s="35"/>
    </row>
    <row r="297" spans="1:7">
      <c r="A297" s="78"/>
      <c r="D297" t="str">
        <f>IF($C297="","",IFERROR(LOOKUP(2,1/($C$2:INDEX($C:$C,ROW()-1)=$C297),$E$2:INDEX($E:$E,ROW()-1)),IFERROR(VLOOKUP($C297,'01_Warehouse_Ledger'!$A$2:$C$2002,3,FALSE),"")))</f>
        <v/>
      </c>
      <c r="G297" s="35"/>
    </row>
    <row r="298" spans="1:7">
      <c r="A298" s="78"/>
      <c r="D298" t="str">
        <f>IF($C298="","",IFERROR(LOOKUP(2,1/($C$2:INDEX($C:$C,ROW()-1)=$C298),$E$2:INDEX($E:$E,ROW()-1)),IFERROR(VLOOKUP($C298,'01_Warehouse_Ledger'!$A$2:$C$2002,3,FALSE),"")))</f>
        <v/>
      </c>
      <c r="G298" s="35"/>
    </row>
    <row r="299" spans="1:7">
      <c r="A299" s="78"/>
      <c r="D299" t="str">
        <f>IF($C299="","",IFERROR(LOOKUP(2,1/($C$2:INDEX($C:$C,ROW()-1)=$C299),$E$2:INDEX($E:$E,ROW()-1)),IFERROR(VLOOKUP($C299,'01_Warehouse_Ledger'!$A$2:$C$2002,3,FALSE),"")))</f>
        <v/>
      </c>
      <c r="G299" s="35"/>
    </row>
    <row r="300" spans="1:7">
      <c r="A300" s="78"/>
      <c r="D300" t="str">
        <f>IF($C300="","",IFERROR(LOOKUP(2,1/($C$2:INDEX($C:$C,ROW()-1)=$C300),$E$2:INDEX($E:$E,ROW()-1)),IFERROR(VLOOKUP($C300,'01_Warehouse_Ledger'!$A$2:$C$2002,3,FALSE),"")))</f>
        <v/>
      </c>
      <c r="G300" s="35"/>
    </row>
    <row r="301" spans="1:7">
      <c r="A301" s="78"/>
      <c r="D301" t="str">
        <f>IF($C301="","",IFERROR(LOOKUP(2,1/($C$2:INDEX($C:$C,ROW()-1)=$C301),$E$2:INDEX($E:$E,ROW()-1)),IFERROR(VLOOKUP($C301,'01_Warehouse_Ledger'!$A$2:$C$2002,3,FALSE),"")))</f>
        <v/>
      </c>
      <c r="G301" s="35"/>
    </row>
    <row r="302" spans="1:7">
      <c r="A302" s="78"/>
      <c r="D302" t="str">
        <f>IF($C302="","",IFERROR(LOOKUP(2,1/($C$2:INDEX($C:$C,ROW()-1)=$C302),$E$2:INDEX($E:$E,ROW()-1)),IFERROR(VLOOKUP($C302,'01_Warehouse_Ledger'!$A$2:$C$2002,3,FALSE),"")))</f>
        <v/>
      </c>
      <c r="G302" s="35"/>
    </row>
    <row r="303" spans="1:7">
      <c r="A303" s="78"/>
      <c r="D303" t="str">
        <f>IF($C303="","",IFERROR(LOOKUP(2,1/($C$2:INDEX($C:$C,ROW()-1)=$C303),$E$2:INDEX($E:$E,ROW()-1)),IFERROR(VLOOKUP($C303,'01_Warehouse_Ledger'!$A$2:$C$2002,3,FALSE),"")))</f>
        <v/>
      </c>
      <c r="G303" s="35"/>
    </row>
    <row r="304" spans="1:7">
      <c r="A304" s="78"/>
      <c r="D304" t="str">
        <f>IF($C304="","",IFERROR(LOOKUP(2,1/($C$2:INDEX($C:$C,ROW()-1)=$C304),$E$2:INDEX($E:$E,ROW()-1)),IFERROR(VLOOKUP($C304,'01_Warehouse_Ledger'!$A$2:$C$2002,3,FALSE),"")))</f>
        <v/>
      </c>
      <c r="G304" s="35"/>
    </row>
    <row r="305" spans="1:7">
      <c r="A305" s="78"/>
      <c r="D305" t="str">
        <f>IF($C305="","",IFERROR(LOOKUP(2,1/($C$2:INDEX($C:$C,ROW()-1)=$C305),$E$2:INDEX($E:$E,ROW()-1)),IFERROR(VLOOKUP($C305,'01_Warehouse_Ledger'!$A$2:$C$2002,3,FALSE),"")))</f>
        <v/>
      </c>
      <c r="G305" s="35"/>
    </row>
    <row r="306" spans="1:7">
      <c r="A306" s="78"/>
      <c r="D306" t="str">
        <f>IF($C306="","",IFERROR(LOOKUP(2,1/($C$2:INDEX($C:$C,ROW()-1)=$C306),$E$2:INDEX($E:$E,ROW()-1)),IFERROR(VLOOKUP($C306,'01_Warehouse_Ledger'!$A$2:$C$2002,3,FALSE),"")))</f>
        <v/>
      </c>
      <c r="G306" s="35"/>
    </row>
    <row r="307" spans="1:7">
      <c r="A307" s="78"/>
      <c r="D307" t="str">
        <f>IF($C307="","",IFERROR(LOOKUP(2,1/($C$2:INDEX($C:$C,ROW()-1)=$C307),$E$2:INDEX($E:$E,ROW()-1)),IFERROR(VLOOKUP($C307,'01_Warehouse_Ledger'!$A$2:$C$2002,3,FALSE),"")))</f>
        <v/>
      </c>
      <c r="G307" s="35"/>
    </row>
    <row r="308" spans="1:7">
      <c r="A308" s="78"/>
      <c r="D308" t="str">
        <f>IF($C308="","",IFERROR(LOOKUP(2,1/($C$2:INDEX($C:$C,ROW()-1)=$C308),$E$2:INDEX($E:$E,ROW()-1)),IFERROR(VLOOKUP($C308,'01_Warehouse_Ledger'!$A$2:$C$2002,3,FALSE),"")))</f>
        <v/>
      </c>
      <c r="G308" s="35"/>
    </row>
    <row r="309" spans="1:7">
      <c r="A309" s="78"/>
      <c r="D309" t="str">
        <f>IF($C309="","",IFERROR(LOOKUP(2,1/($C$2:INDEX($C:$C,ROW()-1)=$C309),$E$2:INDEX($E:$E,ROW()-1)),IFERROR(VLOOKUP($C309,'01_Warehouse_Ledger'!$A$2:$C$2002,3,FALSE),"")))</f>
        <v/>
      </c>
      <c r="G309" s="35"/>
    </row>
    <row r="310" spans="1:7">
      <c r="A310" s="78"/>
      <c r="D310" t="str">
        <f>IF($C310="","",IFERROR(LOOKUP(2,1/($C$2:INDEX($C:$C,ROW()-1)=$C310),$E$2:INDEX($E:$E,ROW()-1)),IFERROR(VLOOKUP($C310,'01_Warehouse_Ledger'!$A$2:$C$2002,3,FALSE),"")))</f>
        <v/>
      </c>
      <c r="G310" s="35"/>
    </row>
    <row r="311" spans="1:7">
      <c r="A311" s="78"/>
      <c r="D311" t="str">
        <f>IF($C311="","",IFERROR(LOOKUP(2,1/($C$2:INDEX($C:$C,ROW()-1)=$C311),$E$2:INDEX($E:$E,ROW()-1)),IFERROR(VLOOKUP($C311,'01_Warehouse_Ledger'!$A$2:$C$2002,3,FALSE),"")))</f>
        <v/>
      </c>
      <c r="G311" s="35"/>
    </row>
    <row r="312" spans="1:7">
      <c r="A312" s="78"/>
      <c r="D312" t="str">
        <f>IF($C312="","",IFERROR(LOOKUP(2,1/($C$2:INDEX($C:$C,ROW()-1)=$C312),$E$2:INDEX($E:$E,ROW()-1)),IFERROR(VLOOKUP($C312,'01_Warehouse_Ledger'!$A$2:$C$2002,3,FALSE),"")))</f>
        <v/>
      </c>
      <c r="G312" s="35"/>
    </row>
    <row r="313" spans="1:7">
      <c r="A313" s="78"/>
      <c r="D313" t="str">
        <f>IF($C313="","",IFERROR(LOOKUP(2,1/($C$2:INDEX($C:$C,ROW()-1)=$C313),$E$2:INDEX($E:$E,ROW()-1)),IFERROR(VLOOKUP($C313,'01_Warehouse_Ledger'!$A$2:$C$2002,3,FALSE),"")))</f>
        <v/>
      </c>
      <c r="G313" s="35"/>
    </row>
    <row r="314" spans="1:7">
      <c r="A314" s="78"/>
      <c r="D314" t="str">
        <f>IF($C314="","",IFERROR(LOOKUP(2,1/($C$2:INDEX($C:$C,ROW()-1)=$C314),$E$2:INDEX($E:$E,ROW()-1)),IFERROR(VLOOKUP($C314,'01_Warehouse_Ledger'!$A$2:$C$2002,3,FALSE),"")))</f>
        <v/>
      </c>
      <c r="G314" s="35"/>
    </row>
    <row r="315" spans="1:7">
      <c r="A315" s="78"/>
      <c r="D315" t="str">
        <f>IF($C315="","",IFERROR(LOOKUP(2,1/($C$2:INDEX($C:$C,ROW()-1)=$C315),$E$2:INDEX($E:$E,ROW()-1)),IFERROR(VLOOKUP($C315,'01_Warehouse_Ledger'!$A$2:$C$2002,3,FALSE),"")))</f>
        <v/>
      </c>
      <c r="G315" s="35"/>
    </row>
    <row r="316" spans="1:7">
      <c r="A316" s="78"/>
      <c r="D316" t="str">
        <f>IF($C316="","",IFERROR(LOOKUP(2,1/($C$2:INDEX($C:$C,ROW()-1)=$C316),$E$2:INDEX($E:$E,ROW()-1)),IFERROR(VLOOKUP($C316,'01_Warehouse_Ledger'!$A$2:$C$2002,3,FALSE),"")))</f>
        <v/>
      </c>
      <c r="G316" s="35"/>
    </row>
    <row r="317" spans="1:7">
      <c r="A317" s="78"/>
      <c r="D317" t="str">
        <f>IF($C317="","",IFERROR(LOOKUP(2,1/($C$2:INDEX($C:$C,ROW()-1)=$C317),$E$2:INDEX($E:$E,ROW()-1)),IFERROR(VLOOKUP($C317,'01_Warehouse_Ledger'!$A$2:$C$2002,3,FALSE),"")))</f>
        <v/>
      </c>
      <c r="G317" s="35"/>
    </row>
    <row r="318" spans="1:7">
      <c r="A318" s="78"/>
      <c r="D318" t="str">
        <f>IF($C318="","",IFERROR(LOOKUP(2,1/($C$2:INDEX($C:$C,ROW()-1)=$C318),$E$2:INDEX($E:$E,ROW()-1)),IFERROR(VLOOKUP($C318,'01_Warehouse_Ledger'!$A$2:$C$2002,3,FALSE),"")))</f>
        <v/>
      </c>
      <c r="G318" s="35"/>
    </row>
    <row r="319" spans="1:7">
      <c r="A319" s="78"/>
      <c r="D319" t="str">
        <f>IF($C319="","",IFERROR(LOOKUP(2,1/($C$2:INDEX($C:$C,ROW()-1)=$C319),$E$2:INDEX($E:$E,ROW()-1)),IFERROR(VLOOKUP($C319,'01_Warehouse_Ledger'!$A$2:$C$2002,3,FALSE),"")))</f>
        <v/>
      </c>
      <c r="G319" s="35"/>
    </row>
    <row r="320" spans="1:7">
      <c r="A320" s="78"/>
      <c r="D320" t="str">
        <f>IF($C320="","",IFERROR(LOOKUP(2,1/($C$2:INDEX($C:$C,ROW()-1)=$C320),$E$2:INDEX($E:$E,ROW()-1)),IFERROR(VLOOKUP($C320,'01_Warehouse_Ledger'!$A$2:$C$2002,3,FALSE),"")))</f>
        <v/>
      </c>
      <c r="G320" s="35"/>
    </row>
    <row r="321" spans="1:7">
      <c r="A321" s="78"/>
      <c r="D321" t="str">
        <f>IF($C321="","",IFERROR(LOOKUP(2,1/($C$2:INDEX($C:$C,ROW()-1)=$C321),$E$2:INDEX($E:$E,ROW()-1)),IFERROR(VLOOKUP($C321,'01_Warehouse_Ledger'!$A$2:$C$2002,3,FALSE),"")))</f>
        <v/>
      </c>
      <c r="G321" s="35"/>
    </row>
    <row r="322" spans="1:7">
      <c r="A322" s="78"/>
      <c r="D322" t="str">
        <f>IF($C322="","",IFERROR(LOOKUP(2,1/($C$2:INDEX($C:$C,ROW()-1)=$C322),$E$2:INDEX($E:$E,ROW()-1)),IFERROR(VLOOKUP($C322,'01_Warehouse_Ledger'!$A$2:$C$2002,3,FALSE),"")))</f>
        <v/>
      </c>
      <c r="G322" s="35"/>
    </row>
    <row r="323" spans="1:7">
      <c r="A323" s="78"/>
      <c r="D323" t="str">
        <f>IF($C323="","",IFERROR(LOOKUP(2,1/($C$2:INDEX($C:$C,ROW()-1)=$C323),$E$2:INDEX($E:$E,ROW()-1)),IFERROR(VLOOKUP($C323,'01_Warehouse_Ledger'!$A$2:$C$2002,3,FALSE),"")))</f>
        <v/>
      </c>
      <c r="G323" s="35"/>
    </row>
    <row r="324" spans="1:7">
      <c r="A324" s="78"/>
      <c r="D324" t="str">
        <f>IF($C324="","",IFERROR(LOOKUP(2,1/($C$2:INDEX($C:$C,ROW()-1)=$C324),$E$2:INDEX($E:$E,ROW()-1)),IFERROR(VLOOKUP($C324,'01_Warehouse_Ledger'!$A$2:$C$2002,3,FALSE),"")))</f>
        <v/>
      </c>
      <c r="G324" s="35"/>
    </row>
    <row r="325" spans="1:7">
      <c r="A325" s="78"/>
      <c r="D325" t="str">
        <f>IF($C325="","",IFERROR(LOOKUP(2,1/($C$2:INDEX($C:$C,ROW()-1)=$C325),$E$2:INDEX($E:$E,ROW()-1)),IFERROR(VLOOKUP($C325,'01_Warehouse_Ledger'!$A$2:$C$2002,3,FALSE),"")))</f>
        <v/>
      </c>
      <c r="G325" s="35"/>
    </row>
    <row r="326" spans="1:7">
      <c r="A326" s="78"/>
      <c r="D326" t="str">
        <f>IF($C326="","",IFERROR(LOOKUP(2,1/($C$2:INDEX($C:$C,ROW()-1)=$C326),$E$2:INDEX($E:$E,ROW()-1)),IFERROR(VLOOKUP($C326,'01_Warehouse_Ledger'!$A$2:$C$2002,3,FALSE),"")))</f>
        <v/>
      </c>
      <c r="G326" s="35"/>
    </row>
    <row r="327" spans="1:7">
      <c r="A327" s="78"/>
      <c r="D327" t="str">
        <f>IF($C327="","",IFERROR(LOOKUP(2,1/($C$2:INDEX($C:$C,ROW()-1)=$C327),$E$2:INDEX($E:$E,ROW()-1)),IFERROR(VLOOKUP($C327,'01_Warehouse_Ledger'!$A$2:$C$2002,3,FALSE),"")))</f>
        <v/>
      </c>
      <c r="G327" s="35"/>
    </row>
    <row r="328" spans="1:7">
      <c r="A328" s="78"/>
      <c r="D328" t="str">
        <f>IF($C328="","",IFERROR(LOOKUP(2,1/($C$2:INDEX($C:$C,ROW()-1)=$C328),$E$2:INDEX($E:$E,ROW()-1)),IFERROR(VLOOKUP($C328,'01_Warehouse_Ledger'!$A$2:$C$2002,3,FALSE),"")))</f>
        <v/>
      </c>
      <c r="G328" s="35"/>
    </row>
    <row r="329" spans="1:7">
      <c r="A329" s="78"/>
      <c r="D329" t="str">
        <f>IF($C329="","",IFERROR(LOOKUP(2,1/($C$2:INDEX($C:$C,ROW()-1)=$C329),$E$2:INDEX($E:$E,ROW()-1)),IFERROR(VLOOKUP($C329,'01_Warehouse_Ledger'!$A$2:$C$2002,3,FALSE),"")))</f>
        <v/>
      </c>
      <c r="G329" s="35"/>
    </row>
    <row r="330" spans="1:7">
      <c r="A330" s="78"/>
      <c r="D330" t="str">
        <f>IF($C330="","",IFERROR(LOOKUP(2,1/($C$2:INDEX($C:$C,ROW()-1)=$C330),$E$2:INDEX($E:$E,ROW()-1)),IFERROR(VLOOKUP($C330,'01_Warehouse_Ledger'!$A$2:$C$2002,3,FALSE),"")))</f>
        <v/>
      </c>
      <c r="G330" s="35"/>
    </row>
    <row r="331" spans="1:7">
      <c r="A331" s="78"/>
      <c r="D331" t="str">
        <f>IF($C331="","",IFERROR(LOOKUP(2,1/($C$2:INDEX($C:$C,ROW()-1)=$C331),$E$2:INDEX($E:$E,ROW()-1)),IFERROR(VLOOKUP($C331,'01_Warehouse_Ledger'!$A$2:$C$2002,3,FALSE),"")))</f>
        <v/>
      </c>
      <c r="G331" s="35"/>
    </row>
    <row r="332" spans="1:7">
      <c r="A332" s="78"/>
      <c r="D332" t="str">
        <f>IF($C332="","",IFERROR(LOOKUP(2,1/($C$2:INDEX($C:$C,ROW()-1)=$C332),$E$2:INDEX($E:$E,ROW()-1)),IFERROR(VLOOKUP($C332,'01_Warehouse_Ledger'!$A$2:$C$2002,3,FALSE),"")))</f>
        <v/>
      </c>
      <c r="G332" s="35"/>
    </row>
    <row r="333" spans="1:7">
      <c r="A333" s="78"/>
      <c r="D333" t="str">
        <f>IF($C333="","",IFERROR(LOOKUP(2,1/($C$2:INDEX($C:$C,ROW()-1)=$C333),$E$2:INDEX($E:$E,ROW()-1)),IFERROR(VLOOKUP($C333,'01_Warehouse_Ledger'!$A$2:$C$2002,3,FALSE),"")))</f>
        <v/>
      </c>
      <c r="G333" s="35"/>
    </row>
    <row r="334" spans="1:7">
      <c r="A334" s="78"/>
      <c r="D334" t="str">
        <f>IF($C334="","",IFERROR(LOOKUP(2,1/($C$2:INDEX($C:$C,ROW()-1)=$C334),$E$2:INDEX($E:$E,ROW()-1)),IFERROR(VLOOKUP($C334,'01_Warehouse_Ledger'!$A$2:$C$2002,3,FALSE),"")))</f>
        <v/>
      </c>
      <c r="G334" s="35"/>
    </row>
    <row r="335" spans="1:7">
      <c r="A335" s="78"/>
      <c r="D335" t="str">
        <f>IF($C335="","",IFERROR(LOOKUP(2,1/($C$2:INDEX($C:$C,ROW()-1)=$C335),$E$2:INDEX($E:$E,ROW()-1)),IFERROR(VLOOKUP($C335,'01_Warehouse_Ledger'!$A$2:$C$2002,3,FALSE),"")))</f>
        <v/>
      </c>
      <c r="G335" s="35"/>
    </row>
    <row r="336" spans="1:7">
      <c r="A336" s="78"/>
      <c r="D336" t="str">
        <f>IF($C336="","",IFERROR(LOOKUP(2,1/($C$2:INDEX($C:$C,ROW()-1)=$C336),$E$2:INDEX($E:$E,ROW()-1)),IFERROR(VLOOKUP($C336,'01_Warehouse_Ledger'!$A$2:$C$2002,3,FALSE),"")))</f>
        <v/>
      </c>
      <c r="G336" s="35"/>
    </row>
    <row r="337" spans="1:7">
      <c r="A337" s="78"/>
      <c r="D337" t="str">
        <f>IF($C337="","",IFERROR(LOOKUP(2,1/($C$2:INDEX($C:$C,ROW()-1)=$C337),$E$2:INDEX($E:$E,ROW()-1)),IFERROR(VLOOKUP($C337,'01_Warehouse_Ledger'!$A$2:$C$2002,3,FALSE),"")))</f>
        <v/>
      </c>
      <c r="G337" s="35"/>
    </row>
    <row r="338" spans="1:7">
      <c r="A338" s="78"/>
      <c r="D338" t="str">
        <f>IF($C338="","",IFERROR(LOOKUP(2,1/($C$2:INDEX($C:$C,ROW()-1)=$C338),$E$2:INDEX($E:$E,ROW()-1)),IFERROR(VLOOKUP($C338,'01_Warehouse_Ledger'!$A$2:$C$2002,3,FALSE),"")))</f>
        <v/>
      </c>
      <c r="G338" s="35"/>
    </row>
    <row r="339" spans="1:7">
      <c r="A339" s="78"/>
      <c r="D339" t="str">
        <f>IF($C339="","",IFERROR(LOOKUP(2,1/($C$2:INDEX($C:$C,ROW()-1)=$C339),$E$2:INDEX($E:$E,ROW()-1)),IFERROR(VLOOKUP($C339,'01_Warehouse_Ledger'!$A$2:$C$2002,3,FALSE),"")))</f>
        <v/>
      </c>
      <c r="G339" s="35"/>
    </row>
    <row r="340" spans="1:7">
      <c r="A340" s="78"/>
      <c r="D340" t="str">
        <f>IF($C340="","",IFERROR(LOOKUP(2,1/($C$2:INDEX($C:$C,ROW()-1)=$C340),$E$2:INDEX($E:$E,ROW()-1)),IFERROR(VLOOKUP($C340,'01_Warehouse_Ledger'!$A$2:$C$2002,3,FALSE),"")))</f>
        <v/>
      </c>
      <c r="G340" s="35"/>
    </row>
    <row r="341" spans="1:7">
      <c r="A341" s="78"/>
      <c r="D341" t="str">
        <f>IF($C341="","",IFERROR(LOOKUP(2,1/($C$2:INDEX($C:$C,ROW()-1)=$C341),$E$2:INDEX($E:$E,ROW()-1)),IFERROR(VLOOKUP($C341,'01_Warehouse_Ledger'!$A$2:$C$2002,3,FALSE),"")))</f>
        <v/>
      </c>
      <c r="G341" s="35"/>
    </row>
    <row r="342" spans="1:7">
      <c r="A342" s="78"/>
      <c r="D342" t="str">
        <f>IF($C342="","",IFERROR(LOOKUP(2,1/($C$2:INDEX($C:$C,ROW()-1)=$C342),$E$2:INDEX($E:$E,ROW()-1)),IFERROR(VLOOKUP($C342,'01_Warehouse_Ledger'!$A$2:$C$2002,3,FALSE),"")))</f>
        <v/>
      </c>
      <c r="G342" s="35"/>
    </row>
    <row r="343" spans="1:7">
      <c r="A343" s="78"/>
      <c r="D343" t="str">
        <f>IF($C343="","",IFERROR(LOOKUP(2,1/($C$2:INDEX($C:$C,ROW()-1)=$C343),$E$2:INDEX($E:$E,ROW()-1)),IFERROR(VLOOKUP($C343,'01_Warehouse_Ledger'!$A$2:$C$2002,3,FALSE),"")))</f>
        <v/>
      </c>
      <c r="G343" s="35"/>
    </row>
    <row r="344" spans="1:7">
      <c r="A344" s="78"/>
      <c r="D344" t="str">
        <f>IF($C344="","",IFERROR(LOOKUP(2,1/($C$2:INDEX($C:$C,ROW()-1)=$C344),$E$2:INDEX($E:$E,ROW()-1)),IFERROR(VLOOKUP($C344,'01_Warehouse_Ledger'!$A$2:$C$2002,3,FALSE),"")))</f>
        <v/>
      </c>
      <c r="G344" s="35"/>
    </row>
    <row r="345" spans="1:7">
      <c r="A345" s="78"/>
      <c r="D345" t="str">
        <f>IF($C345="","",IFERROR(LOOKUP(2,1/($C$2:INDEX($C:$C,ROW()-1)=$C345),$E$2:INDEX($E:$E,ROW()-1)),IFERROR(VLOOKUP($C345,'01_Warehouse_Ledger'!$A$2:$C$2002,3,FALSE),"")))</f>
        <v/>
      </c>
      <c r="G345" s="35"/>
    </row>
    <row r="346" spans="1:7">
      <c r="A346" s="78"/>
      <c r="D346" t="str">
        <f>IF($C346="","",IFERROR(LOOKUP(2,1/($C$2:INDEX($C:$C,ROW()-1)=$C346),$E$2:INDEX($E:$E,ROW()-1)),IFERROR(VLOOKUP($C346,'01_Warehouse_Ledger'!$A$2:$C$2002,3,FALSE),"")))</f>
        <v/>
      </c>
      <c r="G346" s="35"/>
    </row>
    <row r="347" spans="1:7">
      <c r="A347" s="78"/>
      <c r="D347" t="str">
        <f>IF($C347="","",IFERROR(LOOKUP(2,1/($C$2:INDEX($C:$C,ROW()-1)=$C347),$E$2:INDEX($E:$E,ROW()-1)),IFERROR(VLOOKUP($C347,'01_Warehouse_Ledger'!$A$2:$C$2002,3,FALSE),"")))</f>
        <v/>
      </c>
      <c r="G347" s="35"/>
    </row>
    <row r="348" spans="1:7">
      <c r="A348" s="78"/>
      <c r="D348" t="str">
        <f>IF($C348="","",IFERROR(LOOKUP(2,1/($C$2:INDEX($C:$C,ROW()-1)=$C348),$E$2:INDEX($E:$E,ROW()-1)),IFERROR(VLOOKUP($C348,'01_Warehouse_Ledger'!$A$2:$C$2002,3,FALSE),"")))</f>
        <v/>
      </c>
      <c r="G348" s="35"/>
    </row>
    <row r="349" spans="1:7">
      <c r="A349" s="78"/>
      <c r="D349" t="str">
        <f>IF($C349="","",IFERROR(LOOKUP(2,1/($C$2:INDEX($C:$C,ROW()-1)=$C349),$E$2:INDEX($E:$E,ROW()-1)),IFERROR(VLOOKUP($C349,'01_Warehouse_Ledger'!$A$2:$C$2002,3,FALSE),"")))</f>
        <v/>
      </c>
      <c r="G349" s="35"/>
    </row>
    <row r="350" spans="1:7">
      <c r="A350" s="78"/>
      <c r="D350" t="str">
        <f>IF($C350="","",IFERROR(LOOKUP(2,1/($C$2:INDEX($C:$C,ROW()-1)=$C350),$E$2:INDEX($E:$E,ROW()-1)),IFERROR(VLOOKUP($C350,'01_Warehouse_Ledger'!$A$2:$C$2002,3,FALSE),"")))</f>
        <v/>
      </c>
      <c r="G350" s="35"/>
    </row>
    <row r="351" spans="1:7">
      <c r="A351" s="78"/>
      <c r="D351" t="str">
        <f>IF($C351="","",IFERROR(LOOKUP(2,1/($C$2:INDEX($C:$C,ROW()-1)=$C351),$E$2:INDEX($E:$E,ROW()-1)),IFERROR(VLOOKUP($C351,'01_Warehouse_Ledger'!$A$2:$C$2002,3,FALSE),"")))</f>
        <v/>
      </c>
      <c r="G351" s="35"/>
    </row>
    <row r="352" spans="1:7">
      <c r="A352" s="78"/>
      <c r="D352" t="str">
        <f>IF($C352="","",IFERROR(LOOKUP(2,1/($C$2:INDEX($C:$C,ROW()-1)=$C352),$E$2:INDEX($E:$E,ROW()-1)),IFERROR(VLOOKUP($C352,'01_Warehouse_Ledger'!$A$2:$C$2002,3,FALSE),"")))</f>
        <v/>
      </c>
      <c r="G352" s="35"/>
    </row>
    <row r="353" spans="1:7">
      <c r="A353" s="78"/>
      <c r="D353" t="str">
        <f>IF($C353="","",IFERROR(LOOKUP(2,1/($C$2:INDEX($C:$C,ROW()-1)=$C353),$E$2:INDEX($E:$E,ROW()-1)),IFERROR(VLOOKUP($C353,'01_Warehouse_Ledger'!$A$2:$C$2002,3,FALSE),"")))</f>
        <v/>
      </c>
      <c r="G353" s="35"/>
    </row>
    <row r="354" spans="1:7">
      <c r="A354" s="78"/>
      <c r="D354" t="str">
        <f>IF($C354="","",IFERROR(LOOKUP(2,1/($C$2:INDEX($C:$C,ROW()-1)=$C354),$E$2:INDEX($E:$E,ROW()-1)),IFERROR(VLOOKUP($C354,'01_Warehouse_Ledger'!$A$2:$C$2002,3,FALSE),"")))</f>
        <v/>
      </c>
      <c r="G354" s="35"/>
    </row>
    <row r="355" spans="1:7">
      <c r="A355" s="78"/>
      <c r="D355" t="str">
        <f>IF($C355="","",IFERROR(LOOKUP(2,1/($C$2:INDEX($C:$C,ROW()-1)=$C355),$E$2:INDEX($E:$E,ROW()-1)),IFERROR(VLOOKUP($C355,'01_Warehouse_Ledger'!$A$2:$C$2002,3,FALSE),"")))</f>
        <v/>
      </c>
      <c r="G355" s="35"/>
    </row>
    <row r="356" spans="1:7">
      <c r="A356" s="78"/>
      <c r="D356" t="str">
        <f>IF($C356="","",IFERROR(LOOKUP(2,1/($C$2:INDEX($C:$C,ROW()-1)=$C356),$E$2:INDEX($E:$E,ROW()-1)),IFERROR(VLOOKUP($C356,'01_Warehouse_Ledger'!$A$2:$C$2002,3,FALSE),"")))</f>
        <v/>
      </c>
      <c r="G356" s="35"/>
    </row>
    <row r="357" spans="1:7">
      <c r="A357" s="78"/>
      <c r="D357" t="str">
        <f>IF($C357="","",IFERROR(LOOKUP(2,1/($C$2:INDEX($C:$C,ROW()-1)=$C357),$E$2:INDEX($E:$E,ROW()-1)),IFERROR(VLOOKUP($C357,'01_Warehouse_Ledger'!$A$2:$C$2002,3,FALSE),"")))</f>
        <v/>
      </c>
      <c r="G357" s="35"/>
    </row>
    <row r="358" spans="1:7">
      <c r="A358" s="78"/>
      <c r="D358" t="str">
        <f>IF($C358="","",IFERROR(LOOKUP(2,1/($C$2:INDEX($C:$C,ROW()-1)=$C358),$E$2:INDEX($E:$E,ROW()-1)),IFERROR(VLOOKUP($C358,'01_Warehouse_Ledger'!$A$2:$C$2002,3,FALSE),"")))</f>
        <v/>
      </c>
      <c r="G358" s="35"/>
    </row>
    <row r="359" spans="1:7">
      <c r="A359" s="78"/>
      <c r="D359" t="str">
        <f>IF($C359="","",IFERROR(LOOKUP(2,1/($C$2:INDEX($C:$C,ROW()-1)=$C359),$E$2:INDEX($E:$E,ROW()-1)),IFERROR(VLOOKUP($C359,'01_Warehouse_Ledger'!$A$2:$C$2002,3,FALSE),"")))</f>
        <v/>
      </c>
      <c r="G359" s="35"/>
    </row>
    <row r="360" spans="1:7">
      <c r="A360" s="78"/>
      <c r="D360" t="str">
        <f>IF($C360="","",IFERROR(LOOKUP(2,1/($C$2:INDEX($C:$C,ROW()-1)=$C360),$E$2:INDEX($E:$E,ROW()-1)),IFERROR(VLOOKUP($C360,'01_Warehouse_Ledger'!$A$2:$C$2002,3,FALSE),"")))</f>
        <v/>
      </c>
      <c r="G360" s="35"/>
    </row>
    <row r="361" spans="1:7">
      <c r="A361" s="78"/>
      <c r="D361" t="str">
        <f>IF($C361="","",IFERROR(LOOKUP(2,1/($C$2:INDEX($C:$C,ROW()-1)=$C361),$E$2:INDEX($E:$E,ROW()-1)),IFERROR(VLOOKUP($C361,'01_Warehouse_Ledger'!$A$2:$C$2002,3,FALSE),"")))</f>
        <v/>
      </c>
      <c r="G361" s="35"/>
    </row>
    <row r="362" spans="1:7">
      <c r="A362" s="78"/>
      <c r="D362" t="str">
        <f>IF($C362="","",IFERROR(LOOKUP(2,1/($C$2:INDEX($C:$C,ROW()-1)=$C362),$E$2:INDEX($E:$E,ROW()-1)),IFERROR(VLOOKUP($C362,'01_Warehouse_Ledger'!$A$2:$C$2002,3,FALSE),"")))</f>
        <v/>
      </c>
      <c r="G362" s="35"/>
    </row>
    <row r="363" spans="1:7">
      <c r="A363" s="78"/>
      <c r="D363" t="str">
        <f>IF($C363="","",IFERROR(LOOKUP(2,1/($C$2:INDEX($C:$C,ROW()-1)=$C363),$E$2:INDEX($E:$E,ROW()-1)),IFERROR(VLOOKUP($C363,'01_Warehouse_Ledger'!$A$2:$C$2002,3,FALSE),"")))</f>
        <v/>
      </c>
      <c r="G363" s="35"/>
    </row>
    <row r="364" spans="1:7">
      <c r="A364" s="78"/>
      <c r="D364" t="str">
        <f>IF($C364="","",IFERROR(LOOKUP(2,1/($C$2:INDEX($C:$C,ROW()-1)=$C364),$E$2:INDEX($E:$E,ROW()-1)),IFERROR(VLOOKUP($C364,'01_Warehouse_Ledger'!$A$2:$C$2002,3,FALSE),"")))</f>
        <v/>
      </c>
      <c r="G364" s="35"/>
    </row>
    <row r="365" spans="1:7">
      <c r="A365" s="78"/>
      <c r="D365" t="str">
        <f>IF($C365="","",IFERROR(LOOKUP(2,1/($C$2:INDEX($C:$C,ROW()-1)=$C365),$E$2:INDEX($E:$E,ROW()-1)),IFERROR(VLOOKUP($C365,'01_Warehouse_Ledger'!$A$2:$C$2002,3,FALSE),"")))</f>
        <v/>
      </c>
      <c r="G365" s="35"/>
    </row>
    <row r="366" spans="1:7">
      <c r="A366" s="78"/>
      <c r="D366" t="str">
        <f>IF($C366="","",IFERROR(LOOKUP(2,1/($C$2:INDEX($C:$C,ROW()-1)=$C366),$E$2:INDEX($E:$E,ROW()-1)),IFERROR(VLOOKUP($C366,'01_Warehouse_Ledger'!$A$2:$C$2002,3,FALSE),"")))</f>
        <v/>
      </c>
      <c r="G366" s="35"/>
    </row>
    <row r="367" spans="1:7">
      <c r="A367" s="78"/>
      <c r="D367" t="str">
        <f>IF($C367="","",IFERROR(LOOKUP(2,1/($C$2:INDEX($C:$C,ROW()-1)=$C367),$E$2:INDEX($E:$E,ROW()-1)),IFERROR(VLOOKUP($C367,'01_Warehouse_Ledger'!$A$2:$C$2002,3,FALSE),"")))</f>
        <v/>
      </c>
      <c r="G367" s="35"/>
    </row>
    <row r="368" spans="1:7">
      <c r="A368" s="78"/>
      <c r="D368" t="str">
        <f>IF($C368="","",IFERROR(LOOKUP(2,1/($C$2:INDEX($C:$C,ROW()-1)=$C368),$E$2:INDEX($E:$E,ROW()-1)),IFERROR(VLOOKUP($C368,'01_Warehouse_Ledger'!$A$2:$C$2002,3,FALSE),"")))</f>
        <v/>
      </c>
      <c r="G368" s="35"/>
    </row>
    <row r="369" spans="1:7">
      <c r="A369" s="78"/>
      <c r="D369" t="str">
        <f>IF($C369="","",IFERROR(LOOKUP(2,1/($C$2:INDEX($C:$C,ROW()-1)=$C369),$E$2:INDEX($E:$E,ROW()-1)),IFERROR(VLOOKUP($C369,'01_Warehouse_Ledger'!$A$2:$C$2002,3,FALSE),"")))</f>
        <v/>
      </c>
      <c r="G369" s="35"/>
    </row>
    <row r="370" spans="1:7">
      <c r="A370" s="78"/>
      <c r="D370" t="str">
        <f>IF($C370="","",IFERROR(LOOKUP(2,1/($C$2:INDEX($C:$C,ROW()-1)=$C370),$E$2:INDEX($E:$E,ROW()-1)),IFERROR(VLOOKUP($C370,'01_Warehouse_Ledger'!$A$2:$C$2002,3,FALSE),"")))</f>
        <v/>
      </c>
      <c r="G370" s="35"/>
    </row>
    <row r="371" spans="1:7">
      <c r="A371" s="78"/>
      <c r="D371" t="str">
        <f>IF($C371="","",IFERROR(LOOKUP(2,1/($C$2:INDEX($C:$C,ROW()-1)=$C371),$E$2:INDEX($E:$E,ROW()-1)),IFERROR(VLOOKUP($C371,'01_Warehouse_Ledger'!$A$2:$C$2002,3,FALSE),"")))</f>
        <v/>
      </c>
      <c r="G371" s="35"/>
    </row>
    <row r="372" spans="1:7">
      <c r="A372" s="78"/>
      <c r="D372" t="str">
        <f>IF($C372="","",IFERROR(LOOKUP(2,1/($C$2:INDEX($C:$C,ROW()-1)=$C372),$E$2:INDEX($E:$E,ROW()-1)),IFERROR(VLOOKUP($C372,'01_Warehouse_Ledger'!$A$2:$C$2002,3,FALSE),"")))</f>
        <v/>
      </c>
      <c r="G372" s="35"/>
    </row>
    <row r="373" spans="1:7">
      <c r="A373" s="78"/>
      <c r="D373" t="str">
        <f>IF($C373="","",IFERROR(LOOKUP(2,1/($C$2:INDEX($C:$C,ROW()-1)=$C373),$E$2:INDEX($E:$E,ROW()-1)),IFERROR(VLOOKUP($C373,'01_Warehouse_Ledger'!$A$2:$C$2002,3,FALSE),"")))</f>
        <v/>
      </c>
      <c r="G373" s="35"/>
    </row>
    <row r="374" spans="1:7">
      <c r="A374" s="78"/>
      <c r="D374" t="str">
        <f>IF($C374="","",IFERROR(LOOKUP(2,1/($C$2:INDEX($C:$C,ROW()-1)=$C374),$E$2:INDEX($E:$E,ROW()-1)),IFERROR(VLOOKUP($C374,'01_Warehouse_Ledger'!$A$2:$C$2002,3,FALSE),"")))</f>
        <v/>
      </c>
      <c r="G374" s="35"/>
    </row>
    <row r="375" spans="1:7">
      <c r="A375" s="78"/>
      <c r="D375" t="str">
        <f>IF($C375="","",IFERROR(LOOKUP(2,1/($C$2:INDEX($C:$C,ROW()-1)=$C375),$E$2:INDEX($E:$E,ROW()-1)),IFERROR(VLOOKUP($C375,'01_Warehouse_Ledger'!$A$2:$C$2002,3,FALSE),"")))</f>
        <v/>
      </c>
      <c r="G375" s="35"/>
    </row>
    <row r="376" spans="1:7">
      <c r="A376" s="78"/>
      <c r="D376" t="str">
        <f>IF($C376="","",IFERROR(LOOKUP(2,1/($C$2:INDEX($C:$C,ROW()-1)=$C376),$E$2:INDEX($E:$E,ROW()-1)),IFERROR(VLOOKUP($C376,'01_Warehouse_Ledger'!$A$2:$C$2002,3,FALSE),"")))</f>
        <v/>
      </c>
      <c r="G376" s="35"/>
    </row>
    <row r="377" spans="1:7">
      <c r="A377" s="78"/>
      <c r="D377" t="str">
        <f>IF($C377="","",IFERROR(LOOKUP(2,1/($C$2:INDEX($C:$C,ROW()-1)=$C377),$E$2:INDEX($E:$E,ROW()-1)),IFERROR(VLOOKUP($C377,'01_Warehouse_Ledger'!$A$2:$C$2002,3,FALSE),"")))</f>
        <v/>
      </c>
      <c r="G377" s="35"/>
    </row>
    <row r="378" spans="1:7">
      <c r="A378" s="78"/>
      <c r="D378" t="str">
        <f>IF($C378="","",IFERROR(LOOKUP(2,1/($C$2:INDEX($C:$C,ROW()-1)=$C378),$E$2:INDEX($E:$E,ROW()-1)),IFERROR(VLOOKUP($C378,'01_Warehouse_Ledger'!$A$2:$C$2002,3,FALSE),"")))</f>
        <v/>
      </c>
      <c r="G378" s="35"/>
    </row>
    <row r="379" spans="1:7">
      <c r="A379" s="78"/>
      <c r="D379" t="str">
        <f>IF($C379="","",IFERROR(LOOKUP(2,1/($C$2:INDEX($C:$C,ROW()-1)=$C379),$E$2:INDEX($E:$E,ROW()-1)),IFERROR(VLOOKUP($C379,'01_Warehouse_Ledger'!$A$2:$C$2002,3,FALSE),"")))</f>
        <v/>
      </c>
      <c r="G379" s="35"/>
    </row>
    <row r="380" spans="1:7">
      <c r="A380" s="78"/>
      <c r="D380" t="str">
        <f>IF($C380="","",IFERROR(LOOKUP(2,1/($C$2:INDEX($C:$C,ROW()-1)=$C380),$E$2:INDEX($E:$E,ROW()-1)),IFERROR(VLOOKUP($C380,'01_Warehouse_Ledger'!$A$2:$C$2002,3,FALSE),"")))</f>
        <v/>
      </c>
      <c r="G380" s="35"/>
    </row>
    <row r="381" spans="1:7">
      <c r="A381" s="78"/>
      <c r="D381" t="str">
        <f>IF($C381="","",IFERROR(LOOKUP(2,1/($C$2:INDEX($C:$C,ROW()-1)=$C381),$E$2:INDEX($E:$E,ROW()-1)),IFERROR(VLOOKUP($C381,'01_Warehouse_Ledger'!$A$2:$C$2002,3,FALSE),"")))</f>
        <v/>
      </c>
      <c r="G381" s="35"/>
    </row>
    <row r="382" spans="1:7">
      <c r="A382" s="78"/>
      <c r="D382" t="str">
        <f>IF($C382="","",IFERROR(LOOKUP(2,1/($C$2:INDEX($C:$C,ROW()-1)=$C382),$E$2:INDEX($E:$E,ROW()-1)),IFERROR(VLOOKUP($C382,'01_Warehouse_Ledger'!$A$2:$C$2002,3,FALSE),"")))</f>
        <v/>
      </c>
      <c r="G382" s="35"/>
    </row>
    <row r="383" spans="1:7">
      <c r="A383" s="78"/>
      <c r="D383" t="str">
        <f>IF($C383="","",IFERROR(LOOKUP(2,1/($C$2:INDEX($C:$C,ROW()-1)=$C383),$E$2:INDEX($E:$E,ROW()-1)),IFERROR(VLOOKUP($C383,'01_Warehouse_Ledger'!$A$2:$C$2002,3,FALSE),"")))</f>
        <v/>
      </c>
      <c r="G383" s="35"/>
    </row>
    <row r="384" spans="1:7">
      <c r="A384" s="78"/>
      <c r="D384" t="str">
        <f>IF($C384="","",IFERROR(LOOKUP(2,1/($C$2:INDEX($C:$C,ROW()-1)=$C384),$E$2:INDEX($E:$E,ROW()-1)),IFERROR(VLOOKUP($C384,'01_Warehouse_Ledger'!$A$2:$C$2002,3,FALSE),"")))</f>
        <v/>
      </c>
      <c r="G384" s="35"/>
    </row>
    <row r="385" spans="1:7">
      <c r="A385" s="78"/>
      <c r="D385" t="str">
        <f>IF($C385="","",IFERROR(LOOKUP(2,1/($C$2:INDEX($C:$C,ROW()-1)=$C385),$E$2:INDEX($E:$E,ROW()-1)),IFERROR(VLOOKUP($C385,'01_Warehouse_Ledger'!$A$2:$C$2002,3,FALSE),"")))</f>
        <v/>
      </c>
      <c r="G385" s="35"/>
    </row>
    <row r="386" spans="1:7">
      <c r="A386" s="78"/>
      <c r="D386" t="str">
        <f>IF($C386="","",IFERROR(LOOKUP(2,1/($C$2:INDEX($C:$C,ROW()-1)=$C386),$E$2:INDEX($E:$E,ROW()-1)),IFERROR(VLOOKUP($C386,'01_Warehouse_Ledger'!$A$2:$C$2002,3,FALSE),"")))</f>
        <v/>
      </c>
      <c r="G386" s="35"/>
    </row>
    <row r="387" spans="1:7">
      <c r="A387" s="78"/>
      <c r="D387" t="str">
        <f>IF($C387="","",IFERROR(LOOKUP(2,1/($C$2:INDEX($C:$C,ROW()-1)=$C387),$E$2:INDEX($E:$E,ROW()-1)),IFERROR(VLOOKUP($C387,'01_Warehouse_Ledger'!$A$2:$C$2002,3,FALSE),"")))</f>
        <v/>
      </c>
      <c r="G387" s="35"/>
    </row>
    <row r="388" spans="1:7">
      <c r="A388" s="78"/>
      <c r="D388" t="str">
        <f>IF($C388="","",IFERROR(LOOKUP(2,1/($C$2:INDEX($C:$C,ROW()-1)=$C388),$E$2:INDEX($E:$E,ROW()-1)),IFERROR(VLOOKUP($C388,'01_Warehouse_Ledger'!$A$2:$C$2002,3,FALSE),"")))</f>
        <v/>
      </c>
      <c r="G388" s="35"/>
    </row>
    <row r="389" spans="1:7">
      <c r="A389" s="78"/>
      <c r="D389" t="str">
        <f>IF($C389="","",IFERROR(LOOKUP(2,1/($C$2:INDEX($C:$C,ROW()-1)=$C389),$E$2:INDEX($E:$E,ROW()-1)),IFERROR(VLOOKUP($C389,'01_Warehouse_Ledger'!$A$2:$C$2002,3,FALSE),"")))</f>
        <v/>
      </c>
      <c r="G389" s="35"/>
    </row>
    <row r="390" spans="1:7">
      <c r="A390" s="78"/>
      <c r="D390" t="str">
        <f>IF($C390="","",IFERROR(LOOKUP(2,1/($C$2:INDEX($C:$C,ROW()-1)=$C390),$E$2:INDEX($E:$E,ROW()-1)),IFERROR(VLOOKUP($C390,'01_Warehouse_Ledger'!$A$2:$C$2002,3,FALSE),"")))</f>
        <v/>
      </c>
      <c r="G390" s="35"/>
    </row>
    <row r="391" spans="1:7">
      <c r="A391" s="78"/>
      <c r="D391" t="str">
        <f>IF($C391="","",IFERROR(LOOKUP(2,1/($C$2:INDEX($C:$C,ROW()-1)=$C391),$E$2:INDEX($E:$E,ROW()-1)),IFERROR(VLOOKUP($C391,'01_Warehouse_Ledger'!$A$2:$C$2002,3,FALSE),"")))</f>
        <v/>
      </c>
      <c r="G391" s="35"/>
    </row>
    <row r="392" spans="1:7">
      <c r="A392" s="78"/>
      <c r="D392" t="str">
        <f>IF($C392="","",IFERROR(LOOKUP(2,1/($C$2:INDEX($C:$C,ROW()-1)=$C392),$E$2:INDEX($E:$E,ROW()-1)),IFERROR(VLOOKUP($C392,'01_Warehouse_Ledger'!$A$2:$C$2002,3,FALSE),"")))</f>
        <v/>
      </c>
      <c r="G392" s="35"/>
    </row>
    <row r="393" spans="1:7">
      <c r="A393" s="78"/>
      <c r="D393" t="str">
        <f>IF($C393="","",IFERROR(LOOKUP(2,1/($C$2:INDEX($C:$C,ROW()-1)=$C393),$E$2:INDEX($E:$E,ROW()-1)),IFERROR(VLOOKUP($C393,'01_Warehouse_Ledger'!$A$2:$C$2002,3,FALSE),"")))</f>
        <v/>
      </c>
      <c r="G393" s="35"/>
    </row>
    <row r="394" spans="1:7">
      <c r="A394" s="78"/>
      <c r="D394" t="str">
        <f>IF($C394="","",IFERROR(LOOKUP(2,1/($C$2:INDEX($C:$C,ROW()-1)=$C394),$E$2:INDEX($E:$E,ROW()-1)),IFERROR(VLOOKUP($C394,'01_Warehouse_Ledger'!$A$2:$C$2002,3,FALSE),"")))</f>
        <v/>
      </c>
      <c r="G394" s="35"/>
    </row>
    <row r="395" spans="1:7">
      <c r="A395" s="78"/>
      <c r="D395" t="str">
        <f>IF($C395="","",IFERROR(LOOKUP(2,1/($C$2:INDEX($C:$C,ROW()-1)=$C395),$E$2:INDEX($E:$E,ROW()-1)),IFERROR(VLOOKUP($C395,'01_Warehouse_Ledger'!$A$2:$C$2002,3,FALSE),"")))</f>
        <v/>
      </c>
      <c r="G395" s="35"/>
    </row>
    <row r="396" spans="1:7">
      <c r="A396" s="78"/>
      <c r="D396" t="str">
        <f>IF($C396="","",IFERROR(LOOKUP(2,1/($C$2:INDEX($C:$C,ROW()-1)=$C396),$E$2:INDEX($E:$E,ROW()-1)),IFERROR(VLOOKUP($C396,'01_Warehouse_Ledger'!$A$2:$C$2002,3,FALSE),"")))</f>
        <v/>
      </c>
      <c r="G396" s="35"/>
    </row>
    <row r="397" spans="1:7">
      <c r="A397" s="78"/>
      <c r="D397" t="str">
        <f>IF($C397="","",IFERROR(LOOKUP(2,1/($C$2:INDEX($C:$C,ROW()-1)=$C397),$E$2:INDEX($E:$E,ROW()-1)),IFERROR(VLOOKUP($C397,'01_Warehouse_Ledger'!$A$2:$C$2002,3,FALSE),"")))</f>
        <v/>
      </c>
      <c r="G397" s="35"/>
    </row>
    <row r="398" spans="1:7">
      <c r="A398" s="78"/>
      <c r="D398" t="str">
        <f>IF($C398="","",IFERROR(LOOKUP(2,1/($C$2:INDEX($C:$C,ROW()-1)=$C398),$E$2:INDEX($E:$E,ROW()-1)),IFERROR(VLOOKUP($C398,'01_Warehouse_Ledger'!$A$2:$C$2002,3,FALSE),"")))</f>
        <v/>
      </c>
      <c r="G398" s="35"/>
    </row>
    <row r="399" spans="1:7">
      <c r="A399" s="78"/>
      <c r="D399" t="str">
        <f>IF($C399="","",IFERROR(LOOKUP(2,1/($C$2:INDEX($C:$C,ROW()-1)=$C399),$E$2:INDEX($E:$E,ROW()-1)),IFERROR(VLOOKUP($C399,'01_Warehouse_Ledger'!$A$2:$C$2002,3,FALSE),"")))</f>
        <v/>
      </c>
      <c r="G399" s="35"/>
    </row>
    <row r="400" spans="1:7">
      <c r="A400" s="78"/>
      <c r="D400" t="str">
        <f>IF($C400="","",IFERROR(LOOKUP(2,1/($C$2:INDEX($C:$C,ROW()-1)=$C400),$E$2:INDEX($E:$E,ROW()-1)),IFERROR(VLOOKUP($C400,'01_Warehouse_Ledger'!$A$2:$C$2002,3,FALSE),"")))</f>
        <v/>
      </c>
      <c r="G400" s="35"/>
    </row>
    <row r="401" spans="1:7">
      <c r="A401" s="78"/>
      <c r="D401" t="str">
        <f>IF($C401="","",IFERROR(LOOKUP(2,1/($C$2:INDEX($C:$C,ROW()-1)=$C401),$E$2:INDEX($E:$E,ROW()-1)),IFERROR(VLOOKUP($C401,'01_Warehouse_Ledger'!$A$2:$C$2002,3,FALSE),"")))</f>
        <v/>
      </c>
      <c r="G401" s="35"/>
    </row>
    <row r="402" spans="1:7">
      <c r="A402" s="78"/>
      <c r="D402" t="str">
        <f>IF($C402="","",IFERROR(LOOKUP(2,1/($C$2:INDEX($C:$C,ROW()-1)=$C402),$E$2:INDEX($E:$E,ROW()-1)),IFERROR(VLOOKUP($C402,'01_Warehouse_Ledger'!$A$2:$C$2002,3,FALSE),"")))</f>
        <v/>
      </c>
      <c r="G402" s="35"/>
    </row>
    <row r="403" spans="1:7">
      <c r="A403" s="78"/>
      <c r="D403" t="str">
        <f>IF($C403="","",IFERROR(LOOKUP(2,1/($C$2:INDEX($C:$C,ROW()-1)=$C403),$E$2:INDEX($E:$E,ROW()-1)),IFERROR(VLOOKUP($C403,'01_Warehouse_Ledger'!$A$2:$C$2002,3,FALSE),"")))</f>
        <v/>
      </c>
      <c r="G403" s="35"/>
    </row>
    <row r="404" spans="1:7">
      <c r="A404" s="78"/>
      <c r="D404" t="str">
        <f>IF($C404="","",IFERROR(LOOKUP(2,1/($C$2:INDEX($C:$C,ROW()-1)=$C404),$E$2:INDEX($E:$E,ROW()-1)),IFERROR(VLOOKUP($C404,'01_Warehouse_Ledger'!$A$2:$C$2002,3,FALSE),"")))</f>
        <v/>
      </c>
      <c r="G404" s="35"/>
    </row>
    <row r="405" spans="1:7">
      <c r="A405" s="78"/>
      <c r="D405" t="str">
        <f>IF($C405="","",IFERROR(LOOKUP(2,1/($C$2:INDEX($C:$C,ROW()-1)=$C405),$E$2:INDEX($E:$E,ROW()-1)),IFERROR(VLOOKUP($C405,'01_Warehouse_Ledger'!$A$2:$C$2002,3,FALSE),"")))</f>
        <v/>
      </c>
      <c r="G405" s="35"/>
    </row>
    <row r="406" spans="1:7">
      <c r="A406" s="78"/>
      <c r="D406" t="str">
        <f>IF($C406="","",IFERROR(LOOKUP(2,1/($C$2:INDEX($C:$C,ROW()-1)=$C406),$E$2:INDEX($E:$E,ROW()-1)),IFERROR(VLOOKUP($C406,'01_Warehouse_Ledger'!$A$2:$C$2002,3,FALSE),"")))</f>
        <v/>
      </c>
      <c r="G406" s="35"/>
    </row>
    <row r="407" spans="1:7">
      <c r="A407" s="78"/>
      <c r="D407" t="str">
        <f>IF($C407="","",IFERROR(LOOKUP(2,1/($C$2:INDEX($C:$C,ROW()-1)=$C407),$E$2:INDEX($E:$E,ROW()-1)),IFERROR(VLOOKUP($C407,'01_Warehouse_Ledger'!$A$2:$C$2002,3,FALSE),"")))</f>
        <v/>
      </c>
      <c r="G407" s="35"/>
    </row>
    <row r="408" spans="1:7">
      <c r="A408" s="78"/>
      <c r="D408" t="str">
        <f>IF($C408="","",IFERROR(LOOKUP(2,1/($C$2:INDEX($C:$C,ROW()-1)=$C408),$E$2:INDEX($E:$E,ROW()-1)),IFERROR(VLOOKUP($C408,'01_Warehouse_Ledger'!$A$2:$C$2002,3,FALSE),"")))</f>
        <v/>
      </c>
      <c r="G408" s="35"/>
    </row>
    <row r="409" spans="1:7">
      <c r="A409" s="78"/>
      <c r="D409" t="str">
        <f>IF($C409="","",IFERROR(LOOKUP(2,1/($C$2:INDEX($C:$C,ROW()-1)=$C409),$E$2:INDEX($E:$E,ROW()-1)),IFERROR(VLOOKUP($C409,'01_Warehouse_Ledger'!$A$2:$C$2002,3,FALSE),"")))</f>
        <v/>
      </c>
      <c r="G409" s="35"/>
    </row>
    <row r="410" spans="1:7">
      <c r="A410" s="78"/>
      <c r="D410" t="str">
        <f>IF($C410="","",IFERROR(LOOKUP(2,1/($C$2:INDEX($C:$C,ROW()-1)=$C410),$E$2:INDEX($E:$E,ROW()-1)),IFERROR(VLOOKUP($C410,'01_Warehouse_Ledger'!$A$2:$C$2002,3,FALSE),"")))</f>
        <v/>
      </c>
      <c r="G410" s="35"/>
    </row>
    <row r="411" spans="1:7">
      <c r="A411" s="78"/>
      <c r="D411" t="str">
        <f>IF($C411="","",IFERROR(LOOKUP(2,1/($C$2:INDEX($C:$C,ROW()-1)=$C411),$E$2:INDEX($E:$E,ROW()-1)),IFERROR(VLOOKUP($C411,'01_Warehouse_Ledger'!$A$2:$C$2002,3,FALSE),"")))</f>
        <v/>
      </c>
      <c r="G411" s="35"/>
    </row>
    <row r="412" spans="1:7">
      <c r="A412" s="78"/>
      <c r="D412" t="str">
        <f>IF($C412="","",IFERROR(LOOKUP(2,1/($C$2:INDEX($C:$C,ROW()-1)=$C412),$E$2:INDEX($E:$E,ROW()-1)),IFERROR(VLOOKUP($C412,'01_Warehouse_Ledger'!$A$2:$C$2002,3,FALSE),"")))</f>
        <v/>
      </c>
      <c r="G412" s="35"/>
    </row>
    <row r="413" spans="1:7">
      <c r="A413" s="78"/>
      <c r="D413" t="str">
        <f>IF($C413="","",IFERROR(LOOKUP(2,1/($C$2:INDEX($C:$C,ROW()-1)=$C413),$E$2:INDEX($E:$E,ROW()-1)),IFERROR(VLOOKUP($C413,'01_Warehouse_Ledger'!$A$2:$C$2002,3,FALSE),"")))</f>
        <v/>
      </c>
      <c r="G413" s="35"/>
    </row>
    <row r="414" spans="1:7">
      <c r="A414" s="78"/>
      <c r="D414" t="str">
        <f>IF($C414="","",IFERROR(LOOKUP(2,1/($C$2:INDEX($C:$C,ROW()-1)=$C414),$E$2:INDEX($E:$E,ROW()-1)),IFERROR(VLOOKUP($C414,'01_Warehouse_Ledger'!$A$2:$C$2002,3,FALSE),"")))</f>
        <v/>
      </c>
      <c r="G414" s="35"/>
    </row>
    <row r="415" spans="1:7">
      <c r="A415" s="78"/>
      <c r="D415" t="str">
        <f>IF($C415="","",IFERROR(LOOKUP(2,1/($C$2:INDEX($C:$C,ROW()-1)=$C415),$E$2:INDEX($E:$E,ROW()-1)),IFERROR(VLOOKUP($C415,'01_Warehouse_Ledger'!$A$2:$C$2002,3,FALSE),"")))</f>
        <v/>
      </c>
      <c r="G415" s="35"/>
    </row>
    <row r="416" spans="1:7">
      <c r="A416" s="78"/>
      <c r="D416" t="str">
        <f>IF($C416="","",IFERROR(LOOKUP(2,1/($C$2:INDEX($C:$C,ROW()-1)=$C416),$E$2:INDEX($E:$E,ROW()-1)),IFERROR(VLOOKUP($C416,'01_Warehouse_Ledger'!$A$2:$C$2002,3,FALSE),"")))</f>
        <v/>
      </c>
      <c r="G416" s="35"/>
    </row>
    <row r="417" spans="1:7">
      <c r="A417" s="78"/>
      <c r="D417" t="str">
        <f>IF($C417="","",IFERROR(LOOKUP(2,1/($C$2:INDEX($C:$C,ROW()-1)=$C417),$E$2:INDEX($E:$E,ROW()-1)),IFERROR(VLOOKUP($C417,'01_Warehouse_Ledger'!$A$2:$C$2002,3,FALSE),"")))</f>
        <v/>
      </c>
      <c r="G417" s="35"/>
    </row>
    <row r="418" spans="1:7">
      <c r="A418" s="78"/>
      <c r="D418" t="str">
        <f>IF($C418="","",IFERROR(LOOKUP(2,1/($C$2:INDEX($C:$C,ROW()-1)=$C418),$E$2:INDEX($E:$E,ROW()-1)),IFERROR(VLOOKUP($C418,'01_Warehouse_Ledger'!$A$2:$C$2002,3,FALSE),"")))</f>
        <v/>
      </c>
      <c r="G418" s="35"/>
    </row>
    <row r="419" spans="1:7">
      <c r="A419" s="78"/>
      <c r="D419" t="str">
        <f>IF($C419="","",IFERROR(LOOKUP(2,1/($C$2:INDEX($C:$C,ROW()-1)=$C419),$E$2:INDEX($E:$E,ROW()-1)),IFERROR(VLOOKUP($C419,'01_Warehouse_Ledger'!$A$2:$C$2002,3,FALSE),"")))</f>
        <v/>
      </c>
      <c r="G419" s="35"/>
    </row>
    <row r="420" spans="1:7">
      <c r="A420" s="78"/>
      <c r="D420" t="str">
        <f>IF($C420="","",IFERROR(LOOKUP(2,1/($C$2:INDEX($C:$C,ROW()-1)=$C420),$E$2:INDEX($E:$E,ROW()-1)),IFERROR(VLOOKUP($C420,'01_Warehouse_Ledger'!$A$2:$C$2002,3,FALSE),"")))</f>
        <v/>
      </c>
      <c r="G420" s="35"/>
    </row>
    <row r="421" spans="1:7">
      <c r="A421" s="78"/>
      <c r="D421" t="str">
        <f>IF($C421="","",IFERROR(LOOKUP(2,1/($C$2:INDEX($C:$C,ROW()-1)=$C421),$E$2:INDEX($E:$E,ROW()-1)),IFERROR(VLOOKUP($C421,'01_Warehouse_Ledger'!$A$2:$C$2002,3,FALSE),"")))</f>
        <v/>
      </c>
      <c r="G421" s="35"/>
    </row>
    <row r="422" spans="1:7">
      <c r="A422" s="78"/>
      <c r="D422" t="str">
        <f>IF($C422="","",IFERROR(LOOKUP(2,1/($C$2:INDEX($C:$C,ROW()-1)=$C422),$E$2:INDEX($E:$E,ROW()-1)),IFERROR(VLOOKUP($C422,'01_Warehouse_Ledger'!$A$2:$C$2002,3,FALSE),"")))</f>
        <v/>
      </c>
      <c r="G422" s="35"/>
    </row>
    <row r="423" spans="1:7">
      <c r="A423" s="78"/>
      <c r="D423" t="str">
        <f>IF($C423="","",IFERROR(LOOKUP(2,1/($C$2:INDEX($C:$C,ROW()-1)=$C423),$E$2:INDEX($E:$E,ROW()-1)),IFERROR(VLOOKUP($C423,'01_Warehouse_Ledger'!$A$2:$C$2002,3,FALSE),"")))</f>
        <v/>
      </c>
      <c r="G423" s="35"/>
    </row>
    <row r="424" spans="1:7">
      <c r="A424" s="78"/>
      <c r="D424" t="str">
        <f>IF($C424="","",IFERROR(LOOKUP(2,1/($C$2:INDEX($C:$C,ROW()-1)=$C424),$E$2:INDEX($E:$E,ROW()-1)),IFERROR(VLOOKUP($C424,'01_Warehouse_Ledger'!$A$2:$C$2002,3,FALSE),"")))</f>
        <v/>
      </c>
      <c r="G424" s="35"/>
    </row>
    <row r="425" spans="1:7">
      <c r="A425" s="78"/>
      <c r="D425" t="str">
        <f>IF($C425="","",IFERROR(LOOKUP(2,1/($C$2:INDEX($C:$C,ROW()-1)=$C425),$E$2:INDEX($E:$E,ROW()-1)),IFERROR(VLOOKUP($C425,'01_Warehouse_Ledger'!$A$2:$C$2002,3,FALSE),"")))</f>
        <v/>
      </c>
      <c r="G425" s="35"/>
    </row>
    <row r="426" spans="1:7">
      <c r="A426" s="78"/>
      <c r="D426" t="str">
        <f>IF($C426="","",IFERROR(LOOKUP(2,1/($C$2:INDEX($C:$C,ROW()-1)=$C426),$E$2:INDEX($E:$E,ROW()-1)),IFERROR(VLOOKUP($C426,'01_Warehouse_Ledger'!$A$2:$C$2002,3,FALSE),"")))</f>
        <v/>
      </c>
      <c r="G426" s="35"/>
    </row>
    <row r="427" spans="1:7">
      <c r="A427" s="78"/>
      <c r="D427" t="str">
        <f>IF($C427="","",IFERROR(LOOKUP(2,1/($C$2:INDEX($C:$C,ROW()-1)=$C427),$E$2:INDEX($E:$E,ROW()-1)),IFERROR(VLOOKUP($C427,'01_Warehouse_Ledger'!$A$2:$C$2002,3,FALSE),"")))</f>
        <v/>
      </c>
      <c r="G427" s="35"/>
    </row>
    <row r="428" spans="1:7">
      <c r="A428" s="78"/>
      <c r="D428" t="str">
        <f>IF($C428="","",IFERROR(LOOKUP(2,1/($C$2:INDEX($C:$C,ROW()-1)=$C428),$E$2:INDEX($E:$E,ROW()-1)),IFERROR(VLOOKUP($C428,'01_Warehouse_Ledger'!$A$2:$C$2002,3,FALSE),"")))</f>
        <v/>
      </c>
      <c r="G428" s="35"/>
    </row>
    <row r="429" spans="1:7">
      <c r="A429" s="78"/>
      <c r="D429" t="str">
        <f>IF($C429="","",IFERROR(LOOKUP(2,1/($C$2:INDEX($C:$C,ROW()-1)=$C429),$E$2:INDEX($E:$E,ROW()-1)),IFERROR(VLOOKUP($C429,'01_Warehouse_Ledger'!$A$2:$C$2002,3,FALSE),"")))</f>
        <v/>
      </c>
      <c r="G429" s="35"/>
    </row>
    <row r="430" spans="1:7">
      <c r="A430" s="78"/>
      <c r="D430" t="str">
        <f>IF($C430="","",IFERROR(LOOKUP(2,1/($C$2:INDEX($C:$C,ROW()-1)=$C430),$E$2:INDEX($E:$E,ROW()-1)),IFERROR(VLOOKUP($C430,'01_Warehouse_Ledger'!$A$2:$C$2002,3,FALSE),"")))</f>
        <v/>
      </c>
      <c r="G430" s="35"/>
    </row>
    <row r="431" spans="1:7">
      <c r="A431" s="78"/>
      <c r="D431" t="str">
        <f>IF($C431="","",IFERROR(LOOKUP(2,1/($C$2:INDEX($C:$C,ROW()-1)=$C431),$E$2:INDEX($E:$E,ROW()-1)),IFERROR(VLOOKUP($C431,'01_Warehouse_Ledger'!$A$2:$C$2002,3,FALSE),"")))</f>
        <v/>
      </c>
      <c r="G431" s="35"/>
    </row>
    <row r="432" spans="1:7">
      <c r="A432" s="78"/>
      <c r="D432" t="str">
        <f>IF($C432="","",IFERROR(LOOKUP(2,1/($C$2:INDEX($C:$C,ROW()-1)=$C432),$E$2:INDEX($E:$E,ROW()-1)),IFERROR(VLOOKUP($C432,'01_Warehouse_Ledger'!$A$2:$C$2002,3,FALSE),"")))</f>
        <v/>
      </c>
      <c r="G432" s="35"/>
    </row>
    <row r="433" spans="1:7">
      <c r="A433" s="78"/>
      <c r="D433" t="str">
        <f>IF($C433="","",IFERROR(LOOKUP(2,1/($C$2:INDEX($C:$C,ROW()-1)=$C433),$E$2:INDEX($E:$E,ROW()-1)),IFERROR(VLOOKUP($C433,'01_Warehouse_Ledger'!$A$2:$C$2002,3,FALSE),"")))</f>
        <v/>
      </c>
      <c r="G433" s="35"/>
    </row>
    <row r="434" spans="1:7">
      <c r="A434" s="78"/>
      <c r="D434" t="str">
        <f>IF($C434="","",IFERROR(LOOKUP(2,1/($C$2:INDEX($C:$C,ROW()-1)=$C434),$E$2:INDEX($E:$E,ROW()-1)),IFERROR(VLOOKUP($C434,'01_Warehouse_Ledger'!$A$2:$C$2002,3,FALSE),"")))</f>
        <v/>
      </c>
      <c r="G434" s="35"/>
    </row>
    <row r="435" spans="1:7">
      <c r="A435" s="78"/>
      <c r="D435" t="str">
        <f>IF($C435="","",IFERROR(LOOKUP(2,1/($C$2:INDEX($C:$C,ROW()-1)=$C435),$E$2:INDEX($E:$E,ROW()-1)),IFERROR(VLOOKUP($C435,'01_Warehouse_Ledger'!$A$2:$C$2002,3,FALSE),"")))</f>
        <v/>
      </c>
      <c r="G435" s="35"/>
    </row>
    <row r="436" spans="1:7">
      <c r="A436" s="78"/>
      <c r="D436" t="str">
        <f>IF($C436="","",IFERROR(LOOKUP(2,1/($C$2:INDEX($C:$C,ROW()-1)=$C436),$E$2:INDEX($E:$E,ROW()-1)),IFERROR(VLOOKUP($C436,'01_Warehouse_Ledger'!$A$2:$C$2002,3,FALSE),"")))</f>
        <v/>
      </c>
      <c r="G436" s="35"/>
    </row>
    <row r="437" spans="1:7">
      <c r="A437" s="78"/>
      <c r="D437" t="str">
        <f>IF($C437="","",IFERROR(LOOKUP(2,1/($C$2:INDEX($C:$C,ROW()-1)=$C437),$E$2:INDEX($E:$E,ROW()-1)),IFERROR(VLOOKUP($C437,'01_Warehouse_Ledger'!$A$2:$C$2002,3,FALSE),"")))</f>
        <v/>
      </c>
      <c r="G437" s="35"/>
    </row>
    <row r="438" spans="1:7">
      <c r="A438" s="78"/>
      <c r="D438" t="str">
        <f>IF($C438="","",IFERROR(LOOKUP(2,1/($C$2:INDEX($C:$C,ROW()-1)=$C438),$E$2:INDEX($E:$E,ROW()-1)),IFERROR(VLOOKUP($C438,'01_Warehouse_Ledger'!$A$2:$C$2002,3,FALSE),"")))</f>
        <v/>
      </c>
      <c r="G438" s="35"/>
    </row>
    <row r="439" spans="1:7">
      <c r="A439" s="78"/>
      <c r="D439" t="str">
        <f>IF($C439="","",IFERROR(LOOKUP(2,1/($C$2:INDEX($C:$C,ROW()-1)=$C439),$E$2:INDEX($E:$E,ROW()-1)),IFERROR(VLOOKUP($C439,'01_Warehouse_Ledger'!$A$2:$C$2002,3,FALSE),"")))</f>
        <v/>
      </c>
      <c r="G439" s="35"/>
    </row>
    <row r="440" spans="1:7">
      <c r="A440" s="78"/>
      <c r="D440" t="str">
        <f>IF($C440="","",IFERROR(LOOKUP(2,1/($C$2:INDEX($C:$C,ROW()-1)=$C440),$E$2:INDEX($E:$E,ROW()-1)),IFERROR(VLOOKUP($C440,'01_Warehouse_Ledger'!$A$2:$C$2002,3,FALSE),"")))</f>
        <v/>
      </c>
      <c r="G440" s="35"/>
    </row>
    <row r="441" spans="1:7">
      <c r="A441" s="78"/>
      <c r="D441" t="str">
        <f>IF($C441="","",IFERROR(LOOKUP(2,1/($C$2:INDEX($C:$C,ROW()-1)=$C441),$E$2:INDEX($E:$E,ROW()-1)),IFERROR(VLOOKUP($C441,'01_Warehouse_Ledger'!$A$2:$C$2002,3,FALSE),"")))</f>
        <v/>
      </c>
      <c r="G441" s="35"/>
    </row>
    <row r="442" spans="1:7">
      <c r="A442" s="78"/>
      <c r="D442" t="str">
        <f>IF($C442="","",IFERROR(LOOKUP(2,1/($C$2:INDEX($C:$C,ROW()-1)=$C442),$E$2:INDEX($E:$E,ROW()-1)),IFERROR(VLOOKUP($C442,'01_Warehouse_Ledger'!$A$2:$C$2002,3,FALSE),"")))</f>
        <v/>
      </c>
      <c r="G442" s="35"/>
    </row>
    <row r="443" spans="1:7">
      <c r="A443" s="78"/>
      <c r="D443" t="str">
        <f>IF($C443="","",IFERROR(LOOKUP(2,1/($C$2:INDEX($C:$C,ROW()-1)=$C443),$E$2:INDEX($E:$E,ROW()-1)),IFERROR(VLOOKUP($C443,'01_Warehouse_Ledger'!$A$2:$C$2002,3,FALSE),"")))</f>
        <v/>
      </c>
      <c r="G443" s="35"/>
    </row>
    <row r="444" spans="1:7">
      <c r="A444" s="78"/>
      <c r="D444" t="str">
        <f>IF($C444="","",IFERROR(LOOKUP(2,1/($C$2:INDEX($C:$C,ROW()-1)=$C444),$E$2:INDEX($E:$E,ROW()-1)),IFERROR(VLOOKUP($C444,'01_Warehouse_Ledger'!$A$2:$C$2002,3,FALSE),"")))</f>
        <v/>
      </c>
      <c r="G444" s="35"/>
    </row>
    <row r="445" spans="1:7">
      <c r="A445" s="78"/>
      <c r="D445" t="str">
        <f>IF($C445="","",IFERROR(LOOKUP(2,1/($C$2:INDEX($C:$C,ROW()-1)=$C445),$E$2:INDEX($E:$E,ROW()-1)),IFERROR(VLOOKUP($C445,'01_Warehouse_Ledger'!$A$2:$C$2002,3,FALSE),"")))</f>
        <v/>
      </c>
      <c r="G445" s="35"/>
    </row>
    <row r="446" spans="1:7">
      <c r="A446" s="78"/>
      <c r="D446" t="str">
        <f>IF($C446="","",IFERROR(LOOKUP(2,1/($C$2:INDEX($C:$C,ROW()-1)=$C446),$E$2:INDEX($E:$E,ROW()-1)),IFERROR(VLOOKUP($C446,'01_Warehouse_Ledger'!$A$2:$C$2002,3,FALSE),"")))</f>
        <v/>
      </c>
      <c r="G446" s="35"/>
    </row>
    <row r="447" spans="1:7">
      <c r="A447" s="78"/>
      <c r="D447" t="str">
        <f>IF($C447="","",IFERROR(LOOKUP(2,1/($C$2:INDEX($C:$C,ROW()-1)=$C447),$E$2:INDEX($E:$E,ROW()-1)),IFERROR(VLOOKUP($C447,'01_Warehouse_Ledger'!$A$2:$C$2002,3,FALSE),"")))</f>
        <v/>
      </c>
      <c r="G447" s="35"/>
    </row>
    <row r="448" spans="1:7">
      <c r="A448" s="78"/>
      <c r="D448" t="str">
        <f>IF($C448="","",IFERROR(LOOKUP(2,1/($C$2:INDEX($C:$C,ROW()-1)=$C448),$E$2:INDEX($E:$E,ROW()-1)),IFERROR(VLOOKUP($C448,'01_Warehouse_Ledger'!$A$2:$C$2002,3,FALSE),"")))</f>
        <v/>
      </c>
      <c r="G448" s="35"/>
    </row>
    <row r="449" spans="1:7">
      <c r="A449" s="78"/>
      <c r="D449" t="str">
        <f>IF($C449="","",IFERROR(LOOKUP(2,1/($C$2:INDEX($C:$C,ROW()-1)=$C449),$E$2:INDEX($E:$E,ROW()-1)),IFERROR(VLOOKUP($C449,'01_Warehouse_Ledger'!$A$2:$C$2002,3,FALSE),"")))</f>
        <v/>
      </c>
      <c r="G449" s="35"/>
    </row>
    <row r="450" spans="1:7">
      <c r="A450" s="78"/>
      <c r="D450" t="str">
        <f>IF($C450="","",IFERROR(LOOKUP(2,1/($C$2:INDEX($C:$C,ROW()-1)=$C450),$E$2:INDEX($E:$E,ROW()-1)),IFERROR(VLOOKUP($C450,'01_Warehouse_Ledger'!$A$2:$C$2002,3,FALSE),"")))</f>
        <v/>
      </c>
      <c r="G450" s="35"/>
    </row>
    <row r="451" spans="1:7">
      <c r="A451" s="78"/>
      <c r="D451" t="str">
        <f>IF($C451="","",IFERROR(LOOKUP(2,1/($C$2:INDEX($C:$C,ROW()-1)=$C451),$E$2:INDEX($E:$E,ROW()-1)),IFERROR(VLOOKUP($C451,'01_Warehouse_Ledger'!$A$2:$C$2002,3,FALSE),"")))</f>
        <v/>
      </c>
      <c r="G451" s="35"/>
    </row>
    <row r="452" spans="1:7">
      <c r="A452" s="78"/>
      <c r="D452" t="str">
        <f>IF($C452="","",IFERROR(LOOKUP(2,1/($C$2:INDEX($C:$C,ROW()-1)=$C452),$E$2:INDEX($E:$E,ROW()-1)),IFERROR(VLOOKUP($C452,'01_Warehouse_Ledger'!$A$2:$C$2002,3,FALSE),"")))</f>
        <v/>
      </c>
      <c r="G452" s="35"/>
    </row>
    <row r="453" spans="1:7">
      <c r="A453" s="78"/>
      <c r="D453" t="str">
        <f>IF($C453="","",IFERROR(LOOKUP(2,1/($C$2:INDEX($C:$C,ROW()-1)=$C453),$E$2:INDEX($E:$E,ROW()-1)),IFERROR(VLOOKUP($C453,'01_Warehouse_Ledger'!$A$2:$C$2002,3,FALSE),"")))</f>
        <v/>
      </c>
      <c r="G453" s="35"/>
    </row>
    <row r="454" spans="1:7">
      <c r="A454" s="78"/>
      <c r="D454" t="str">
        <f>IF($C454="","",IFERROR(LOOKUP(2,1/($C$2:INDEX($C:$C,ROW()-1)=$C454),$E$2:INDEX($E:$E,ROW()-1)),IFERROR(VLOOKUP($C454,'01_Warehouse_Ledger'!$A$2:$C$2002,3,FALSE),"")))</f>
        <v/>
      </c>
      <c r="G454" s="35"/>
    </row>
    <row r="455" spans="1:7">
      <c r="A455" s="78"/>
      <c r="D455" t="str">
        <f>IF($C455="","",IFERROR(LOOKUP(2,1/($C$2:INDEX($C:$C,ROW()-1)=$C455),$E$2:INDEX($E:$E,ROW()-1)),IFERROR(VLOOKUP($C455,'01_Warehouse_Ledger'!$A$2:$C$2002,3,FALSE),"")))</f>
        <v/>
      </c>
      <c r="G455" s="35"/>
    </row>
    <row r="456" spans="1:7">
      <c r="A456" s="78"/>
      <c r="D456" t="str">
        <f>IF($C456="","",IFERROR(LOOKUP(2,1/($C$2:INDEX($C:$C,ROW()-1)=$C456),$E$2:INDEX($E:$E,ROW()-1)),IFERROR(VLOOKUP($C456,'01_Warehouse_Ledger'!$A$2:$C$2002,3,FALSE),"")))</f>
        <v/>
      </c>
      <c r="G456" s="35"/>
    </row>
    <row r="457" spans="1:7">
      <c r="A457" s="78"/>
      <c r="D457" t="str">
        <f>IF($C457="","",IFERROR(LOOKUP(2,1/($C$2:INDEX($C:$C,ROW()-1)=$C457),$E$2:INDEX($E:$E,ROW()-1)),IFERROR(VLOOKUP($C457,'01_Warehouse_Ledger'!$A$2:$C$2002,3,FALSE),"")))</f>
        <v/>
      </c>
      <c r="G457" s="35"/>
    </row>
    <row r="458" spans="1:7">
      <c r="A458" s="78"/>
      <c r="D458" t="str">
        <f>IF($C458="","",IFERROR(LOOKUP(2,1/($C$2:INDEX($C:$C,ROW()-1)=$C458),$E$2:INDEX($E:$E,ROW()-1)),IFERROR(VLOOKUP($C458,'01_Warehouse_Ledger'!$A$2:$C$2002,3,FALSE),"")))</f>
        <v/>
      </c>
      <c r="G458" s="35"/>
    </row>
    <row r="459" spans="1:7">
      <c r="A459" s="78"/>
      <c r="D459" t="str">
        <f>IF($C459="","",IFERROR(LOOKUP(2,1/($C$2:INDEX($C:$C,ROW()-1)=$C459),$E$2:INDEX($E:$E,ROW()-1)),IFERROR(VLOOKUP($C459,'01_Warehouse_Ledger'!$A$2:$C$2002,3,FALSE),"")))</f>
        <v/>
      </c>
      <c r="G459" s="35"/>
    </row>
    <row r="460" spans="1:7">
      <c r="A460" s="78"/>
      <c r="D460" t="str">
        <f>IF($C460="","",IFERROR(LOOKUP(2,1/($C$2:INDEX($C:$C,ROW()-1)=$C460),$E$2:INDEX($E:$E,ROW()-1)),IFERROR(VLOOKUP($C460,'01_Warehouse_Ledger'!$A$2:$C$2002,3,FALSE),"")))</f>
        <v/>
      </c>
      <c r="G460" s="35"/>
    </row>
    <row r="461" spans="1:7">
      <c r="A461" s="78"/>
      <c r="D461" t="str">
        <f>IF($C461="","",IFERROR(LOOKUP(2,1/($C$2:INDEX($C:$C,ROW()-1)=$C461),$E$2:INDEX($E:$E,ROW()-1)),IFERROR(VLOOKUP($C461,'01_Warehouse_Ledger'!$A$2:$C$2002,3,FALSE),"")))</f>
        <v/>
      </c>
      <c r="G461" s="35"/>
    </row>
    <row r="462" spans="1:7">
      <c r="A462" s="78"/>
      <c r="D462" t="str">
        <f>IF($C462="","",IFERROR(LOOKUP(2,1/($C$2:INDEX($C:$C,ROW()-1)=$C462),$E$2:INDEX($E:$E,ROW()-1)),IFERROR(VLOOKUP($C462,'01_Warehouse_Ledger'!$A$2:$C$2002,3,FALSE),"")))</f>
        <v/>
      </c>
      <c r="G462" s="35"/>
    </row>
    <row r="463" spans="1:7">
      <c r="A463" s="78"/>
      <c r="D463" t="str">
        <f>IF($C463="","",IFERROR(LOOKUP(2,1/($C$2:INDEX($C:$C,ROW()-1)=$C463),$E$2:INDEX($E:$E,ROW()-1)),IFERROR(VLOOKUP($C463,'01_Warehouse_Ledger'!$A$2:$C$2002,3,FALSE),"")))</f>
        <v/>
      </c>
      <c r="G463" s="35"/>
    </row>
    <row r="464" spans="1:7">
      <c r="A464" s="78"/>
      <c r="D464" t="str">
        <f>IF($C464="","",IFERROR(LOOKUP(2,1/($C$2:INDEX($C:$C,ROW()-1)=$C464),$E$2:INDEX($E:$E,ROW()-1)),IFERROR(VLOOKUP($C464,'01_Warehouse_Ledger'!$A$2:$C$2002,3,FALSE),"")))</f>
        <v/>
      </c>
      <c r="G464" s="35"/>
    </row>
    <row r="465" spans="1:7">
      <c r="A465" s="78"/>
      <c r="D465" t="str">
        <f>IF($C465="","",IFERROR(LOOKUP(2,1/($C$2:INDEX($C:$C,ROW()-1)=$C465),$E$2:INDEX($E:$E,ROW()-1)),IFERROR(VLOOKUP($C465,'01_Warehouse_Ledger'!$A$2:$C$2002,3,FALSE),"")))</f>
        <v/>
      </c>
      <c r="G465" s="35"/>
    </row>
    <row r="466" spans="1:7">
      <c r="A466" s="78"/>
      <c r="D466" t="str">
        <f>IF($C466="","",IFERROR(LOOKUP(2,1/($C$2:INDEX($C:$C,ROW()-1)=$C466),$E$2:INDEX($E:$E,ROW()-1)),IFERROR(VLOOKUP($C466,'01_Warehouse_Ledger'!$A$2:$C$2002,3,FALSE),"")))</f>
        <v/>
      </c>
      <c r="G466" s="35"/>
    </row>
    <row r="467" spans="1:7">
      <c r="A467" s="78"/>
      <c r="D467" t="str">
        <f>IF($C467="","",IFERROR(LOOKUP(2,1/($C$2:INDEX($C:$C,ROW()-1)=$C467),$E$2:INDEX($E:$E,ROW()-1)),IFERROR(VLOOKUP($C467,'01_Warehouse_Ledger'!$A$2:$C$2002,3,FALSE),"")))</f>
        <v/>
      </c>
      <c r="G467" s="35"/>
    </row>
    <row r="468" spans="1:7">
      <c r="A468" s="78"/>
      <c r="D468" t="str">
        <f>IF($C468="","",IFERROR(LOOKUP(2,1/($C$2:INDEX($C:$C,ROW()-1)=$C468),$E$2:INDEX($E:$E,ROW()-1)),IFERROR(VLOOKUP($C468,'01_Warehouse_Ledger'!$A$2:$C$2002,3,FALSE),"")))</f>
        <v/>
      </c>
      <c r="G468" s="35"/>
    </row>
    <row r="469" spans="1:7">
      <c r="A469" s="78"/>
      <c r="D469" t="str">
        <f>IF($C469="","",IFERROR(LOOKUP(2,1/($C$2:INDEX($C:$C,ROW()-1)=$C469),$E$2:INDEX($E:$E,ROW()-1)),IFERROR(VLOOKUP($C469,'01_Warehouse_Ledger'!$A$2:$C$2002,3,FALSE),"")))</f>
        <v/>
      </c>
      <c r="G469" s="35"/>
    </row>
    <row r="470" spans="1:7">
      <c r="A470" s="78"/>
      <c r="D470" t="str">
        <f>IF($C470="","",IFERROR(LOOKUP(2,1/($C$2:INDEX($C:$C,ROW()-1)=$C470),$E$2:INDEX($E:$E,ROW()-1)),IFERROR(VLOOKUP($C470,'01_Warehouse_Ledger'!$A$2:$C$2002,3,FALSE),"")))</f>
        <v/>
      </c>
      <c r="G470" s="35"/>
    </row>
    <row r="471" spans="1:7">
      <c r="A471" s="78"/>
      <c r="D471" t="str">
        <f>IF($C471="","",IFERROR(LOOKUP(2,1/($C$2:INDEX($C:$C,ROW()-1)=$C471),$E$2:INDEX($E:$E,ROW()-1)),IFERROR(VLOOKUP($C471,'01_Warehouse_Ledger'!$A$2:$C$2002,3,FALSE),"")))</f>
        <v/>
      </c>
      <c r="G471" s="35"/>
    </row>
    <row r="472" spans="1:7">
      <c r="A472" s="78"/>
      <c r="D472" t="str">
        <f>IF($C472="","",IFERROR(LOOKUP(2,1/($C$2:INDEX($C:$C,ROW()-1)=$C472),$E$2:INDEX($E:$E,ROW()-1)),IFERROR(VLOOKUP($C472,'01_Warehouse_Ledger'!$A$2:$C$2002,3,FALSE),"")))</f>
        <v/>
      </c>
      <c r="G472" s="35"/>
    </row>
    <row r="473" spans="1:7">
      <c r="A473" s="78"/>
      <c r="D473" t="str">
        <f>IF($C473="","",IFERROR(LOOKUP(2,1/($C$2:INDEX($C:$C,ROW()-1)=$C473),$E$2:INDEX($E:$E,ROW()-1)),IFERROR(VLOOKUP($C473,'01_Warehouse_Ledger'!$A$2:$C$2002,3,FALSE),"")))</f>
        <v/>
      </c>
      <c r="G473" s="35"/>
    </row>
    <row r="474" spans="1:7">
      <c r="A474" s="78"/>
      <c r="D474" t="str">
        <f>IF($C474="","",IFERROR(LOOKUP(2,1/($C$2:INDEX($C:$C,ROW()-1)=$C474),$E$2:INDEX($E:$E,ROW()-1)),IFERROR(VLOOKUP($C474,'01_Warehouse_Ledger'!$A$2:$C$2002,3,FALSE),"")))</f>
        <v/>
      </c>
      <c r="G474" s="35"/>
    </row>
    <row r="475" spans="1:7">
      <c r="A475" s="78"/>
      <c r="D475" t="str">
        <f>IF($C475="","",IFERROR(LOOKUP(2,1/($C$2:INDEX($C:$C,ROW()-1)=$C475),$E$2:INDEX($E:$E,ROW()-1)),IFERROR(VLOOKUP($C475,'01_Warehouse_Ledger'!$A$2:$C$2002,3,FALSE),"")))</f>
        <v/>
      </c>
      <c r="G475" s="35"/>
    </row>
    <row r="476" spans="1:7">
      <c r="A476" s="78"/>
      <c r="D476" t="str">
        <f>IF($C476="","",IFERROR(LOOKUP(2,1/($C$2:INDEX($C:$C,ROW()-1)=$C476),$E$2:INDEX($E:$E,ROW()-1)),IFERROR(VLOOKUP($C476,'01_Warehouse_Ledger'!$A$2:$C$2002,3,FALSE),"")))</f>
        <v/>
      </c>
      <c r="G476" s="35"/>
    </row>
    <row r="477" spans="1:7">
      <c r="A477" s="78"/>
      <c r="D477" t="str">
        <f>IF($C477="","",IFERROR(LOOKUP(2,1/($C$2:INDEX($C:$C,ROW()-1)=$C477),$E$2:INDEX($E:$E,ROW()-1)),IFERROR(VLOOKUP($C477,'01_Warehouse_Ledger'!$A$2:$C$2002,3,FALSE),"")))</f>
        <v/>
      </c>
      <c r="G477" s="35"/>
    </row>
    <row r="478" spans="1:7">
      <c r="A478" s="78"/>
      <c r="D478" t="str">
        <f>IF($C478="","",IFERROR(LOOKUP(2,1/($C$2:INDEX($C:$C,ROW()-1)=$C478),$E$2:INDEX($E:$E,ROW()-1)),IFERROR(VLOOKUP($C478,'01_Warehouse_Ledger'!$A$2:$C$2002,3,FALSE),"")))</f>
        <v/>
      </c>
      <c r="G478" s="35"/>
    </row>
    <row r="479" spans="1:7">
      <c r="A479" s="78"/>
      <c r="D479" t="str">
        <f>IF($C479="","",IFERROR(LOOKUP(2,1/($C$2:INDEX($C:$C,ROW()-1)=$C479),$E$2:INDEX($E:$E,ROW()-1)),IFERROR(VLOOKUP($C479,'01_Warehouse_Ledger'!$A$2:$C$2002,3,FALSE),"")))</f>
        <v/>
      </c>
      <c r="G479" s="35"/>
    </row>
    <row r="480" spans="1:7">
      <c r="A480" s="78"/>
      <c r="D480" t="str">
        <f>IF($C480="","",IFERROR(LOOKUP(2,1/($C$2:INDEX($C:$C,ROW()-1)=$C480),$E$2:INDEX($E:$E,ROW()-1)),IFERROR(VLOOKUP($C480,'01_Warehouse_Ledger'!$A$2:$C$2002,3,FALSE),"")))</f>
        <v/>
      </c>
      <c r="G480" s="35"/>
    </row>
    <row r="481" spans="1:7">
      <c r="A481" s="78"/>
      <c r="D481" t="str">
        <f>IF($C481="","",IFERROR(LOOKUP(2,1/($C$2:INDEX($C:$C,ROW()-1)=$C481),$E$2:INDEX($E:$E,ROW()-1)),IFERROR(VLOOKUP($C481,'01_Warehouse_Ledger'!$A$2:$C$2002,3,FALSE),"")))</f>
        <v/>
      </c>
      <c r="G481" s="35"/>
    </row>
    <row r="482" spans="1:7">
      <c r="A482" s="78"/>
      <c r="D482" t="str">
        <f>IF($C482="","",IFERROR(LOOKUP(2,1/($C$2:INDEX($C:$C,ROW()-1)=$C482),$E$2:INDEX($E:$E,ROW()-1)),IFERROR(VLOOKUP($C482,'01_Warehouse_Ledger'!$A$2:$C$2002,3,FALSE),"")))</f>
        <v/>
      </c>
      <c r="G482" s="35"/>
    </row>
    <row r="483" spans="1:7">
      <c r="A483" s="78"/>
      <c r="D483" t="str">
        <f>IF($C483="","",IFERROR(LOOKUP(2,1/($C$2:INDEX($C:$C,ROW()-1)=$C483),$E$2:INDEX($E:$E,ROW()-1)),IFERROR(VLOOKUP($C483,'01_Warehouse_Ledger'!$A$2:$C$2002,3,FALSE),"")))</f>
        <v/>
      </c>
      <c r="G483" s="35"/>
    </row>
    <row r="484" spans="1:7">
      <c r="A484" s="78"/>
      <c r="D484" t="str">
        <f>IF($C484="","",IFERROR(LOOKUP(2,1/($C$2:INDEX($C:$C,ROW()-1)=$C484),$E$2:INDEX($E:$E,ROW()-1)),IFERROR(VLOOKUP($C484,'01_Warehouse_Ledger'!$A$2:$C$2002,3,FALSE),"")))</f>
        <v/>
      </c>
      <c r="G484" s="35"/>
    </row>
    <row r="485" spans="1:7">
      <c r="A485" s="78"/>
      <c r="D485" t="str">
        <f>IF($C485="","",IFERROR(LOOKUP(2,1/($C$2:INDEX($C:$C,ROW()-1)=$C485),$E$2:INDEX($E:$E,ROW()-1)),IFERROR(VLOOKUP($C485,'01_Warehouse_Ledger'!$A$2:$C$2002,3,FALSE),"")))</f>
        <v/>
      </c>
      <c r="G485" s="35"/>
    </row>
    <row r="486" spans="1:7">
      <c r="A486" s="78"/>
      <c r="D486" t="str">
        <f>IF($C486="","",IFERROR(LOOKUP(2,1/($C$2:INDEX($C:$C,ROW()-1)=$C486),$E$2:INDEX($E:$E,ROW()-1)),IFERROR(VLOOKUP($C486,'01_Warehouse_Ledger'!$A$2:$C$2002,3,FALSE),"")))</f>
        <v/>
      </c>
      <c r="G486" s="35"/>
    </row>
    <row r="487" spans="1:7">
      <c r="A487" s="78"/>
      <c r="D487" t="str">
        <f>IF($C487="","",IFERROR(LOOKUP(2,1/($C$2:INDEX($C:$C,ROW()-1)=$C487),$E$2:INDEX($E:$E,ROW()-1)),IFERROR(VLOOKUP($C487,'01_Warehouse_Ledger'!$A$2:$C$2002,3,FALSE),"")))</f>
        <v/>
      </c>
      <c r="G487" s="35"/>
    </row>
    <row r="488" spans="1:7">
      <c r="A488" s="78"/>
      <c r="D488" t="str">
        <f>IF($C488="","",IFERROR(LOOKUP(2,1/($C$2:INDEX($C:$C,ROW()-1)=$C488),$E$2:INDEX($E:$E,ROW()-1)),IFERROR(VLOOKUP($C488,'01_Warehouse_Ledger'!$A$2:$C$2002,3,FALSE),"")))</f>
        <v/>
      </c>
      <c r="G488" s="35"/>
    </row>
    <row r="489" spans="1:7">
      <c r="A489" s="78"/>
      <c r="D489" t="str">
        <f>IF($C489="","",IFERROR(LOOKUP(2,1/($C$2:INDEX($C:$C,ROW()-1)=$C489),$E$2:INDEX($E:$E,ROW()-1)),IFERROR(VLOOKUP($C489,'01_Warehouse_Ledger'!$A$2:$C$2002,3,FALSE),"")))</f>
        <v/>
      </c>
      <c r="G489" s="35"/>
    </row>
    <row r="490" spans="1:7">
      <c r="A490" s="78"/>
      <c r="D490" t="str">
        <f>IF($C490="","",IFERROR(LOOKUP(2,1/($C$2:INDEX($C:$C,ROW()-1)=$C490),$E$2:INDEX($E:$E,ROW()-1)),IFERROR(VLOOKUP($C490,'01_Warehouse_Ledger'!$A$2:$C$2002,3,FALSE),"")))</f>
        <v/>
      </c>
      <c r="G490" s="35"/>
    </row>
    <row r="491" spans="1:7">
      <c r="A491" s="78"/>
      <c r="D491" t="str">
        <f>IF($C491="","",IFERROR(LOOKUP(2,1/($C$2:INDEX($C:$C,ROW()-1)=$C491),$E$2:INDEX($E:$E,ROW()-1)),IFERROR(VLOOKUP($C491,'01_Warehouse_Ledger'!$A$2:$C$2002,3,FALSE),"")))</f>
        <v/>
      </c>
      <c r="G491" s="35"/>
    </row>
    <row r="492" spans="1:7">
      <c r="A492" s="78"/>
      <c r="D492" t="str">
        <f>IF($C492="","",IFERROR(LOOKUP(2,1/($C$2:INDEX($C:$C,ROW()-1)=$C492),$E$2:INDEX($E:$E,ROW()-1)),IFERROR(VLOOKUP($C492,'01_Warehouse_Ledger'!$A$2:$C$2002,3,FALSE),"")))</f>
        <v/>
      </c>
      <c r="G492" s="35"/>
    </row>
    <row r="493" spans="1:7">
      <c r="A493" s="78"/>
      <c r="D493" t="str">
        <f>IF($C493="","",IFERROR(LOOKUP(2,1/($C$2:INDEX($C:$C,ROW()-1)=$C493),$E$2:INDEX($E:$E,ROW()-1)),IFERROR(VLOOKUP($C493,'01_Warehouse_Ledger'!$A$2:$C$2002,3,FALSE),"")))</f>
        <v/>
      </c>
      <c r="G493" s="35"/>
    </row>
    <row r="494" spans="1:7">
      <c r="A494" s="78"/>
      <c r="D494" t="str">
        <f>IF($C494="","",IFERROR(LOOKUP(2,1/($C$2:INDEX($C:$C,ROW()-1)=$C494),$E$2:INDEX($E:$E,ROW()-1)),IFERROR(VLOOKUP($C494,'01_Warehouse_Ledger'!$A$2:$C$2002,3,FALSE),"")))</f>
        <v/>
      </c>
      <c r="G494" s="35"/>
    </row>
    <row r="495" spans="1:7">
      <c r="A495" s="78"/>
      <c r="D495" t="str">
        <f>IF($C495="","",IFERROR(LOOKUP(2,1/($C$2:INDEX($C:$C,ROW()-1)=$C495),$E$2:INDEX($E:$E,ROW()-1)),IFERROR(VLOOKUP($C495,'01_Warehouse_Ledger'!$A$2:$C$2002,3,FALSE),"")))</f>
        <v/>
      </c>
      <c r="G495" s="35"/>
    </row>
    <row r="496" spans="1:7">
      <c r="A496" s="78"/>
      <c r="D496" t="str">
        <f>IF($C496="","",IFERROR(LOOKUP(2,1/($C$2:INDEX($C:$C,ROW()-1)=$C496),$E$2:INDEX($E:$E,ROW()-1)),IFERROR(VLOOKUP($C496,'01_Warehouse_Ledger'!$A$2:$C$2002,3,FALSE),"")))</f>
        <v/>
      </c>
      <c r="G496" s="35"/>
    </row>
    <row r="497" spans="1:7">
      <c r="A497" s="78"/>
      <c r="D497" t="str">
        <f>IF($C497="","",IFERROR(LOOKUP(2,1/($C$2:INDEX($C:$C,ROW()-1)=$C497),$E$2:INDEX($E:$E,ROW()-1)),IFERROR(VLOOKUP($C497,'01_Warehouse_Ledger'!$A$2:$C$2002,3,FALSE),"")))</f>
        <v/>
      </c>
      <c r="G497" s="35"/>
    </row>
    <row r="498" spans="1:7">
      <c r="A498" s="78"/>
      <c r="D498" t="str">
        <f>IF($C498="","",IFERROR(LOOKUP(2,1/($C$2:INDEX($C:$C,ROW()-1)=$C498),$E$2:INDEX($E:$E,ROW()-1)),IFERROR(VLOOKUP($C498,'01_Warehouse_Ledger'!$A$2:$C$2002,3,FALSE),"")))</f>
        <v/>
      </c>
      <c r="G498" s="35"/>
    </row>
    <row r="499" spans="1:7">
      <c r="A499" s="78"/>
      <c r="D499" t="str">
        <f>IF($C499="","",IFERROR(LOOKUP(2,1/($C$2:INDEX($C:$C,ROW()-1)=$C499),$E$2:INDEX($E:$E,ROW()-1)),IFERROR(VLOOKUP($C499,'01_Warehouse_Ledger'!$A$2:$C$2002,3,FALSE),"")))</f>
        <v/>
      </c>
      <c r="G499" s="35"/>
    </row>
    <row r="500" spans="1:7">
      <c r="A500" s="78"/>
      <c r="D500" t="str">
        <f>IF($C500="","",IFERROR(LOOKUP(2,1/($C$2:INDEX($C:$C,ROW()-1)=$C500),$E$2:INDEX($E:$E,ROW()-1)),IFERROR(VLOOKUP($C500,'01_Warehouse_Ledger'!$A$2:$C$2002,3,FALSE),"")))</f>
        <v/>
      </c>
      <c r="G500" s="35"/>
    </row>
    <row r="501" spans="1:7">
      <c r="A501" s="78"/>
      <c r="G501" s="35"/>
    </row>
  </sheetData>
  <conditionalFormatting sqref="A2:J500">
    <cfRule type="expression" dxfId="29" priority="1" stopIfTrue="1">
      <formula>AND($B2&lt;&gt;"",OR($A2="",TRIM($C2)="",TRIM($E2)=""))</formula>
    </cfRule>
    <cfRule type="expression" dxfId="28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76" t="s">
        <v>1260</v>
      </c>
      <c r="B1" s="76" t="s">
        <v>1261</v>
      </c>
      <c r="C1" s="76" t="s">
        <v>1262</v>
      </c>
      <c r="D1" s="76" t="s">
        <v>21</v>
      </c>
    </row>
    <row r="2" spans="1:4">
      <c r="A2" s="37" t="s">
        <v>1263</v>
      </c>
    </row>
    <row r="3" spans="1:4">
      <c r="A3" t="s">
        <v>1264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1265</v>
      </c>
    </row>
    <row r="4" spans="1:4">
      <c r="A4" t="s">
        <v>1264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1265</v>
      </c>
    </row>
    <row r="5" spans="1:4">
      <c r="A5" t="s">
        <v>1264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1265</v>
      </c>
    </row>
    <row r="6" spans="1:4">
      <c r="A6" t="s">
        <v>1264</v>
      </c>
      <c r="B6" t="str">
        <f>IF('02_Warehouse_Locations'!A5="","",'02_Warehouse_Locations'!A5)</f>
        <v>Z1</v>
      </c>
      <c r="C6" t="str">
        <f t="shared" si="0"/>
        <v>Z1</v>
      </c>
      <c r="D6" t="s">
        <v>1265</v>
      </c>
    </row>
    <row r="7" spans="1:4">
      <c r="A7" t="s">
        <v>1264</v>
      </c>
      <c r="B7" t="str">
        <f>IF('02_Warehouse_Locations'!A6="","",'02_Warehouse_Locations'!A6)</f>
        <v>A</v>
      </c>
      <c r="C7" t="str">
        <f t="shared" si="0"/>
        <v>A</v>
      </c>
      <c r="D7" t="s">
        <v>1265</v>
      </c>
    </row>
    <row r="8" spans="1:4">
      <c r="A8" t="s">
        <v>1264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1265</v>
      </c>
    </row>
    <row r="9" spans="1:4">
      <c r="A9" t="s">
        <v>1264</v>
      </c>
      <c r="B9" t="str">
        <f>IF('02_Warehouse_Locations'!A8="","",'02_Warehouse_Locations'!A8)</f>
        <v>01</v>
      </c>
      <c r="C9" t="str">
        <f t="shared" si="0"/>
        <v>01</v>
      </c>
      <c r="D9" t="s">
        <v>1265</v>
      </c>
    </row>
    <row r="10" spans="1:4">
      <c r="A10" t="s">
        <v>1264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1265</v>
      </c>
    </row>
    <row r="11" spans="1:4">
      <c r="A11" t="s">
        <v>1264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1265</v>
      </c>
    </row>
    <row r="12" spans="1:4">
      <c r="A12" t="s">
        <v>1264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1265</v>
      </c>
    </row>
    <row r="13" spans="1:4">
      <c r="A13" t="s">
        <v>1264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1265</v>
      </c>
    </row>
    <row r="14" spans="1:4">
      <c r="A14" t="s">
        <v>1264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1265</v>
      </c>
    </row>
    <row r="15" spans="1:4">
      <c r="A15" t="s">
        <v>1264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1265</v>
      </c>
    </row>
    <row r="16" spans="1:4">
      <c r="A16" t="s">
        <v>1264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1265</v>
      </c>
    </row>
    <row r="17" spans="1:4">
      <c r="A17" t="s">
        <v>1264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1265</v>
      </c>
    </row>
    <row r="18" spans="1:4">
      <c r="A18" t="s">
        <v>1264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1265</v>
      </c>
    </row>
    <row r="19" spans="1:4">
      <c r="A19" t="s">
        <v>1264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1265</v>
      </c>
    </row>
    <row r="20" spans="1:4">
      <c r="A20" t="s">
        <v>1264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1265</v>
      </c>
    </row>
    <row r="21" spans="1:4">
      <c r="A21" t="s">
        <v>1264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1265</v>
      </c>
    </row>
    <row r="22" spans="1:4">
      <c r="A22" t="s">
        <v>1264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1265</v>
      </c>
    </row>
    <row r="23" spans="1:4">
      <c r="A23" t="s">
        <v>1264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1265</v>
      </c>
    </row>
    <row r="24" spans="1:4">
      <c r="A24" t="s">
        <v>1264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1265</v>
      </c>
    </row>
    <row r="25" spans="1:4">
      <c r="A25" t="s">
        <v>1264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1265</v>
      </c>
    </row>
    <row r="26" spans="1:4">
      <c r="A26" t="s">
        <v>1264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1265</v>
      </c>
    </row>
    <row r="27" spans="1:4">
      <c r="A27" t="s">
        <v>1264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1265</v>
      </c>
    </row>
    <row r="28" spans="1:4">
      <c r="A28" t="s">
        <v>1264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1265</v>
      </c>
    </row>
    <row r="29" spans="1:4">
      <c r="A29" t="s">
        <v>1264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1265</v>
      </c>
    </row>
    <row r="30" spans="1:4">
      <c r="A30" t="s">
        <v>1264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1265</v>
      </c>
    </row>
    <row r="31" spans="1:4">
      <c r="A31" t="s">
        <v>1264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1265</v>
      </c>
    </row>
    <row r="32" spans="1:4">
      <c r="A32" t="s">
        <v>1264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1265</v>
      </c>
    </row>
    <row r="33" spans="1:4">
      <c r="A33" t="s">
        <v>1264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1265</v>
      </c>
    </row>
    <row r="34" spans="1:4">
      <c r="A34" t="s">
        <v>1264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1265</v>
      </c>
    </row>
    <row r="35" spans="1:4">
      <c r="A35" t="s">
        <v>1264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1265</v>
      </c>
    </row>
    <row r="36" spans="1:4">
      <c r="A36" t="s">
        <v>1264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1265</v>
      </c>
    </row>
    <row r="37" spans="1:4">
      <c r="A37" t="s">
        <v>1264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1265</v>
      </c>
    </row>
    <row r="38" spans="1:4">
      <c r="A38" t="s">
        <v>1264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1265</v>
      </c>
    </row>
    <row r="39" spans="1:4">
      <c r="A39" t="s">
        <v>1264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1265</v>
      </c>
    </row>
    <row r="40" spans="1:4">
      <c r="A40" t="s">
        <v>1264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1265</v>
      </c>
    </row>
    <row r="41" spans="1:4">
      <c r="A41" t="s">
        <v>1264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1265</v>
      </c>
    </row>
    <row r="42" spans="1:4">
      <c r="A42" t="s">
        <v>1264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1265</v>
      </c>
    </row>
    <row r="43" spans="1:4">
      <c r="A43" t="s">
        <v>1264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1265</v>
      </c>
    </row>
    <row r="44" spans="1:4">
      <c r="A44" t="s">
        <v>1264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1265</v>
      </c>
    </row>
    <row r="45" spans="1:4">
      <c r="A45" t="s">
        <v>1264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1265</v>
      </c>
    </row>
    <row r="46" spans="1:4">
      <c r="A46" t="s">
        <v>1264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1265</v>
      </c>
    </row>
    <row r="47" spans="1:4">
      <c r="A47" t="s">
        <v>1264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1265</v>
      </c>
    </row>
    <row r="48" spans="1:4">
      <c r="A48" t="s">
        <v>1264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1265</v>
      </c>
    </row>
    <row r="49" spans="1:4">
      <c r="A49" t="s">
        <v>1264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1265</v>
      </c>
    </row>
    <row r="50" spans="1:4">
      <c r="A50" t="s">
        <v>1264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1265</v>
      </c>
    </row>
    <row r="51" spans="1:4">
      <c r="A51" t="s">
        <v>1264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1265</v>
      </c>
    </row>
    <row r="52" spans="1:4">
      <c r="A52" t="s">
        <v>1264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1265</v>
      </c>
    </row>
    <row r="53" spans="1:4">
      <c r="A53" t="s">
        <v>1264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1265</v>
      </c>
    </row>
    <row r="54" spans="1:4">
      <c r="A54" t="s">
        <v>1264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1265</v>
      </c>
    </row>
    <row r="55" spans="1:4">
      <c r="A55" t="s">
        <v>1264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1265</v>
      </c>
    </row>
    <row r="56" spans="1:4">
      <c r="A56" t="s">
        <v>1264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1265</v>
      </c>
    </row>
    <row r="57" spans="1:4">
      <c r="A57" t="s">
        <v>1264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1265</v>
      </c>
    </row>
    <row r="58" spans="1:4">
      <c r="A58" t="s">
        <v>1264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1265</v>
      </c>
    </row>
    <row r="59" spans="1:4">
      <c r="A59" t="s">
        <v>1264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1265</v>
      </c>
    </row>
    <row r="60" spans="1:4">
      <c r="A60" t="s">
        <v>1264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1265</v>
      </c>
    </row>
    <row r="61" spans="1:4">
      <c r="A61" t="s">
        <v>1264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1265</v>
      </c>
    </row>
    <row r="62" spans="1:4">
      <c r="A62" t="s">
        <v>1264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1265</v>
      </c>
    </row>
    <row r="63" spans="1:4">
      <c r="A63" t="s">
        <v>1264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1265</v>
      </c>
    </row>
    <row r="64" spans="1:4">
      <c r="A64" t="s">
        <v>1264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1265</v>
      </c>
    </row>
    <row r="65" spans="1:4">
      <c r="A65" t="s">
        <v>1264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1265</v>
      </c>
    </row>
    <row r="66" spans="1:4">
      <c r="A66" t="s">
        <v>1264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1265</v>
      </c>
    </row>
    <row r="67" spans="1:4">
      <c r="A67" t="s">
        <v>1264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1265</v>
      </c>
    </row>
    <row r="68" spans="1:4">
      <c r="A68" t="s">
        <v>1264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1265</v>
      </c>
    </row>
    <row r="69" spans="1:4">
      <c r="A69" t="s">
        <v>1264</v>
      </c>
      <c r="B69" t="str">
        <f>IF('02_Warehouse_Locations'!A68="","",'02_Warehouse_Locations'!A68)</f>
        <v>D</v>
      </c>
      <c r="C69" t="str">
        <f t="shared" si="1"/>
        <v>D</v>
      </c>
      <c r="D69" t="s">
        <v>1265</v>
      </c>
    </row>
    <row r="70" spans="1:4">
      <c r="A70" t="s">
        <v>1264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1265</v>
      </c>
    </row>
    <row r="71" spans="1:4">
      <c r="A71" t="s">
        <v>1264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1265</v>
      </c>
    </row>
    <row r="72" spans="1:4">
      <c r="A72" t="s">
        <v>1264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1265</v>
      </c>
    </row>
    <row r="73" spans="1:4">
      <c r="A73" t="s">
        <v>1264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1265</v>
      </c>
    </row>
    <row r="74" spans="1:4">
      <c r="A74" t="s">
        <v>1264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1265</v>
      </c>
    </row>
    <row r="75" spans="1:4">
      <c r="A75" t="s">
        <v>1264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1265</v>
      </c>
    </row>
    <row r="76" spans="1:4">
      <c r="A76" t="s">
        <v>1264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1265</v>
      </c>
    </row>
    <row r="77" spans="1:4">
      <c r="A77" t="s">
        <v>1264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1265</v>
      </c>
    </row>
    <row r="78" spans="1:4">
      <c r="A78" t="s">
        <v>1264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1265</v>
      </c>
    </row>
    <row r="79" spans="1:4">
      <c r="A79" t="s">
        <v>1264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1265</v>
      </c>
    </row>
    <row r="80" spans="1:4">
      <c r="A80" t="s">
        <v>1264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1265</v>
      </c>
    </row>
    <row r="81" spans="1:4">
      <c r="A81" t="s">
        <v>1264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1265</v>
      </c>
    </row>
    <row r="82" spans="1:4">
      <c r="A82" t="s">
        <v>1264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1265</v>
      </c>
    </row>
    <row r="83" spans="1:4">
      <c r="A83" t="s">
        <v>1264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1265</v>
      </c>
    </row>
    <row r="84" spans="1:4">
      <c r="A84" t="s">
        <v>1264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1265</v>
      </c>
    </row>
    <row r="85" spans="1:4">
      <c r="A85" t="s">
        <v>1264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1265</v>
      </c>
    </row>
    <row r="86" spans="1:4">
      <c r="A86" t="s">
        <v>1264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1265</v>
      </c>
    </row>
    <row r="87" spans="1:4">
      <c r="A87" t="s">
        <v>1264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1265</v>
      </c>
    </row>
    <row r="88" spans="1:4">
      <c r="A88" t="s">
        <v>1264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1265</v>
      </c>
    </row>
    <row r="89" spans="1:4">
      <c r="A89" t="s">
        <v>1264</v>
      </c>
      <c r="B89" t="str">
        <f>IF('02_Warehouse_Locations'!A88="","",'02_Warehouse_Locations'!A88)</f>
        <v>E</v>
      </c>
      <c r="C89" t="str">
        <f t="shared" si="1"/>
        <v>E</v>
      </c>
      <c r="D89" t="s">
        <v>1265</v>
      </c>
    </row>
    <row r="90" spans="1:4">
      <c r="A90" t="s">
        <v>1264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1265</v>
      </c>
    </row>
    <row r="91" spans="1:4">
      <c r="A91" t="s">
        <v>1264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1265</v>
      </c>
    </row>
    <row r="92" spans="1:4">
      <c r="A92" t="s">
        <v>1264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1265</v>
      </c>
    </row>
    <row r="93" spans="1:4">
      <c r="A93" t="s">
        <v>1264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1265</v>
      </c>
    </row>
    <row r="94" spans="1:4">
      <c r="A94" t="s">
        <v>1264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1265</v>
      </c>
    </row>
    <row r="95" spans="1:4">
      <c r="A95" t="s">
        <v>1264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1265</v>
      </c>
    </row>
    <row r="96" spans="1:4">
      <c r="A96" t="s">
        <v>1264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1265</v>
      </c>
    </row>
    <row r="97" spans="1:4">
      <c r="A97" t="s">
        <v>1264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1265</v>
      </c>
    </row>
    <row r="98" spans="1:4">
      <c r="A98" t="s">
        <v>1264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1265</v>
      </c>
    </row>
    <row r="99" spans="1:4">
      <c r="A99" t="s">
        <v>1264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1265</v>
      </c>
    </row>
    <row r="100" spans="1:4">
      <c r="A100" t="s">
        <v>1264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1265</v>
      </c>
    </row>
    <row r="101" spans="1:4">
      <c r="A101" t="s">
        <v>1264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1265</v>
      </c>
    </row>
    <row r="102" spans="1:4">
      <c r="A102" t="s">
        <v>1264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1265</v>
      </c>
    </row>
    <row r="103" spans="1:4">
      <c r="A103" t="s">
        <v>1264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1265</v>
      </c>
    </row>
    <row r="104" spans="1:4">
      <c r="A104" t="s">
        <v>1264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1265</v>
      </c>
    </row>
    <row r="105" spans="1:4">
      <c r="A105" t="s">
        <v>1264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1265</v>
      </c>
    </row>
    <row r="106" spans="1:4">
      <c r="A106" t="s">
        <v>1264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1265</v>
      </c>
    </row>
    <row r="107" spans="1:4">
      <c r="A107" t="s">
        <v>1264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1265</v>
      </c>
    </row>
    <row r="108" spans="1:4">
      <c r="A108" t="s">
        <v>1264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1265</v>
      </c>
    </row>
    <row r="109" spans="1:4">
      <c r="A109" t="s">
        <v>1264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1265</v>
      </c>
    </row>
    <row r="110" spans="1:4">
      <c r="A110" t="s">
        <v>1264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1265</v>
      </c>
    </row>
    <row r="111" spans="1:4">
      <c r="A111" t="s">
        <v>1264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1265</v>
      </c>
    </row>
    <row r="112" spans="1:4">
      <c r="A112" t="s">
        <v>1264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1265</v>
      </c>
    </row>
    <row r="113" spans="1:4">
      <c r="A113" t="s">
        <v>1264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1265</v>
      </c>
    </row>
    <row r="114" spans="1:4">
      <c r="A114" t="s">
        <v>1264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1265</v>
      </c>
    </row>
    <row r="115" spans="1:4">
      <c r="A115" t="s">
        <v>1264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1265</v>
      </c>
    </row>
    <row r="116" spans="1:4">
      <c r="A116" t="s">
        <v>1264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1265</v>
      </c>
    </row>
    <row r="117" spans="1:4">
      <c r="A117" t="s">
        <v>1264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1265</v>
      </c>
    </row>
    <row r="118" spans="1:4">
      <c r="A118" t="s">
        <v>1264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1265</v>
      </c>
    </row>
    <row r="119" spans="1:4">
      <c r="A119" t="s">
        <v>1264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1265</v>
      </c>
    </row>
    <row r="120" spans="1:4">
      <c r="A120" t="s">
        <v>1264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1265</v>
      </c>
    </row>
    <row r="121" spans="1:4">
      <c r="A121" t="s">
        <v>1264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1265</v>
      </c>
    </row>
    <row r="122" spans="1:4">
      <c r="A122" t="s">
        <v>1264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1265</v>
      </c>
    </row>
    <row r="123" spans="1:4">
      <c r="A123" t="s">
        <v>1264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1265</v>
      </c>
    </row>
    <row r="124" spans="1:4">
      <c r="A124" t="s">
        <v>1264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1265</v>
      </c>
    </row>
    <row r="125" spans="1:4">
      <c r="A125" t="s">
        <v>1264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1265</v>
      </c>
    </row>
    <row r="126" spans="1:4">
      <c r="A126" t="s">
        <v>1264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1265</v>
      </c>
    </row>
    <row r="127" spans="1:4">
      <c r="A127" t="s">
        <v>1264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1265</v>
      </c>
    </row>
    <row r="128" spans="1:4">
      <c r="A128" t="s">
        <v>1264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1265</v>
      </c>
    </row>
    <row r="129" spans="1:4">
      <c r="A129" t="s">
        <v>1264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1265</v>
      </c>
    </row>
    <row r="130" spans="1:4">
      <c r="A130" t="s">
        <v>1264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1265</v>
      </c>
    </row>
    <row r="131" spans="1:4">
      <c r="A131" t="s">
        <v>1264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1265</v>
      </c>
    </row>
    <row r="132" spans="1:4">
      <c r="A132" t="s">
        <v>1264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1265</v>
      </c>
    </row>
    <row r="133" spans="1:4">
      <c r="A133" t="s">
        <v>1264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1265</v>
      </c>
    </row>
    <row r="134" spans="1:4">
      <c r="A134" t="s">
        <v>1264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1265</v>
      </c>
    </row>
    <row r="135" spans="1:4">
      <c r="A135" t="s">
        <v>1264</v>
      </c>
      <c r="B135" t="str">
        <f>IF('02_Warehouse_Locations'!A134="","",'02_Warehouse_Locations'!A134)</f>
        <v/>
      </c>
      <c r="C135" t="str">
        <f t="shared" si="2"/>
        <v/>
      </c>
      <c r="D135" t="s">
        <v>1265</v>
      </c>
    </row>
    <row r="136" spans="1:4">
      <c r="A136" t="s">
        <v>1264</v>
      </c>
      <c r="B136" t="str">
        <f>IF('02_Warehouse_Locations'!A135="","",'02_Warehouse_Locations'!A135)</f>
        <v/>
      </c>
      <c r="C136" t="str">
        <f t="shared" si="2"/>
        <v/>
      </c>
      <c r="D136" t="s">
        <v>1265</v>
      </c>
    </row>
    <row r="137" spans="1:4">
      <c r="A137" t="s">
        <v>1264</v>
      </c>
      <c r="B137" t="str">
        <f>IF('02_Warehouse_Locations'!A136="","",'02_Warehouse_Locations'!A136)</f>
        <v/>
      </c>
      <c r="C137" t="str">
        <f t="shared" si="2"/>
        <v/>
      </c>
      <c r="D137" t="s">
        <v>1265</v>
      </c>
    </row>
    <row r="138" spans="1:4">
      <c r="A138" t="s">
        <v>1264</v>
      </c>
      <c r="B138" t="str">
        <f>IF('02_Warehouse_Locations'!A137="","",'02_Warehouse_Locations'!A137)</f>
        <v/>
      </c>
      <c r="C138" t="str">
        <f t="shared" si="2"/>
        <v/>
      </c>
      <c r="D138" t="s">
        <v>1265</v>
      </c>
    </row>
    <row r="139" spans="1:4">
      <c r="A139" t="s">
        <v>1264</v>
      </c>
      <c r="B139" t="str">
        <f>IF('02_Warehouse_Locations'!A138="","",'02_Warehouse_Locations'!A138)</f>
        <v/>
      </c>
      <c r="C139" t="str">
        <f t="shared" si="2"/>
        <v/>
      </c>
      <c r="D139" t="s">
        <v>1265</v>
      </c>
    </row>
    <row r="140" spans="1:4">
      <c r="A140" t="s">
        <v>1264</v>
      </c>
      <c r="B140" t="str">
        <f>IF('02_Warehouse_Locations'!A139="","",'02_Warehouse_Locations'!A139)</f>
        <v/>
      </c>
      <c r="C140" t="str">
        <f t="shared" si="2"/>
        <v/>
      </c>
      <c r="D140" t="s">
        <v>1265</v>
      </c>
    </row>
    <row r="141" spans="1:4">
      <c r="A141" t="s">
        <v>1264</v>
      </c>
      <c r="B141" t="str">
        <f>IF('02_Warehouse_Locations'!A140="","",'02_Warehouse_Locations'!A140)</f>
        <v/>
      </c>
      <c r="C141" t="str">
        <f t="shared" si="2"/>
        <v/>
      </c>
      <c r="D141" t="s">
        <v>1265</v>
      </c>
    </row>
    <row r="142" spans="1:4">
      <c r="A142" t="s">
        <v>1264</v>
      </c>
      <c r="B142" t="str">
        <f>IF('02_Warehouse_Locations'!A141="","",'02_Warehouse_Locations'!A141)</f>
        <v/>
      </c>
      <c r="C142" t="str">
        <f t="shared" si="2"/>
        <v/>
      </c>
      <c r="D142" t="s">
        <v>1265</v>
      </c>
    </row>
    <row r="143" spans="1:4">
      <c r="A143" t="s">
        <v>1264</v>
      </c>
      <c r="B143" t="str">
        <f>IF('02_Warehouse_Locations'!A142="","",'02_Warehouse_Locations'!A142)</f>
        <v/>
      </c>
      <c r="C143" t="str">
        <f t="shared" si="2"/>
        <v/>
      </c>
      <c r="D143" t="s">
        <v>1265</v>
      </c>
    </row>
    <row r="144" spans="1:4">
      <c r="A144" t="s">
        <v>1264</v>
      </c>
      <c r="B144" t="str">
        <f>IF('02_Warehouse_Locations'!A143="","",'02_Warehouse_Locations'!A143)</f>
        <v/>
      </c>
      <c r="C144" t="str">
        <f t="shared" si="2"/>
        <v/>
      </c>
      <c r="D144" t="s">
        <v>1265</v>
      </c>
    </row>
    <row r="145" spans="1:4">
      <c r="A145" t="s">
        <v>1264</v>
      </c>
      <c r="B145" t="str">
        <f>IF('02_Warehouse_Locations'!A144="","",'02_Warehouse_Locations'!A144)</f>
        <v/>
      </c>
      <c r="C145" t="str">
        <f t="shared" si="2"/>
        <v/>
      </c>
      <c r="D145" t="s">
        <v>1265</v>
      </c>
    </row>
    <row r="146" spans="1:4">
      <c r="A146" t="s">
        <v>1264</v>
      </c>
      <c r="B146" t="str">
        <f>IF('02_Warehouse_Locations'!A145="","",'02_Warehouse_Locations'!A145)</f>
        <v/>
      </c>
      <c r="C146" t="str">
        <f t="shared" si="2"/>
        <v/>
      </c>
      <c r="D146" t="s">
        <v>1265</v>
      </c>
    </row>
    <row r="147" spans="1:4">
      <c r="A147" t="s">
        <v>1264</v>
      </c>
      <c r="B147" t="str">
        <f>IF('02_Warehouse_Locations'!A146="","",'02_Warehouse_Locations'!A146)</f>
        <v/>
      </c>
      <c r="C147" t="str">
        <f t="shared" si="2"/>
        <v/>
      </c>
      <c r="D147" t="s">
        <v>1265</v>
      </c>
    </row>
    <row r="148" spans="1:4">
      <c r="A148" t="s">
        <v>1264</v>
      </c>
      <c r="B148" t="str">
        <f>IF('02_Warehouse_Locations'!A147="","",'02_Warehouse_Locations'!A147)</f>
        <v/>
      </c>
      <c r="C148" t="str">
        <f t="shared" si="2"/>
        <v/>
      </c>
      <c r="D148" t="s">
        <v>1265</v>
      </c>
    </row>
    <row r="149" spans="1:4">
      <c r="A149" t="s">
        <v>1264</v>
      </c>
      <c r="B149" t="str">
        <f>IF('02_Warehouse_Locations'!A148="","",'02_Warehouse_Locations'!A148)</f>
        <v/>
      </c>
      <c r="C149" t="str">
        <f t="shared" si="2"/>
        <v/>
      </c>
      <c r="D149" t="s">
        <v>1265</v>
      </c>
    </row>
    <row r="150" spans="1:4">
      <c r="A150" t="s">
        <v>1264</v>
      </c>
      <c r="B150" t="str">
        <f>IF('02_Warehouse_Locations'!A149="","",'02_Warehouse_Locations'!A149)</f>
        <v/>
      </c>
      <c r="C150" t="str">
        <f t="shared" si="2"/>
        <v/>
      </c>
      <c r="D150" t="s">
        <v>1265</v>
      </c>
    </row>
    <row r="151" spans="1:4">
      <c r="A151" t="s">
        <v>1264</v>
      </c>
      <c r="B151" t="str">
        <f>IF('02_Warehouse_Locations'!A150="","",'02_Warehouse_Locations'!A150)</f>
        <v/>
      </c>
      <c r="C151" t="str">
        <f t="shared" si="2"/>
        <v/>
      </c>
      <c r="D151" t="s">
        <v>1265</v>
      </c>
    </row>
    <row r="152" spans="1:4">
      <c r="A152" t="s">
        <v>1264</v>
      </c>
      <c r="B152" t="str">
        <f>IF('02_Warehouse_Locations'!A151="","",'02_Warehouse_Locations'!A151)</f>
        <v/>
      </c>
      <c r="C152" t="str">
        <f t="shared" si="2"/>
        <v/>
      </c>
      <c r="D152" t="s">
        <v>1265</v>
      </c>
    </row>
    <row r="153" spans="1:4">
      <c r="A153" t="s">
        <v>1264</v>
      </c>
      <c r="B153" t="str">
        <f>IF('02_Warehouse_Locations'!A152="","",'02_Warehouse_Locations'!A152)</f>
        <v/>
      </c>
      <c r="C153" t="str">
        <f t="shared" si="2"/>
        <v/>
      </c>
      <c r="D153" t="s">
        <v>1265</v>
      </c>
    </row>
    <row r="154" spans="1:4">
      <c r="A154" t="s">
        <v>1264</v>
      </c>
      <c r="B154" t="str">
        <f>IF('02_Warehouse_Locations'!A153="","",'02_Warehouse_Locations'!A153)</f>
        <v/>
      </c>
      <c r="C154" t="str">
        <f t="shared" si="2"/>
        <v/>
      </c>
      <c r="D154" t="s">
        <v>1265</v>
      </c>
    </row>
    <row r="155" spans="1:4">
      <c r="A155" t="s">
        <v>1264</v>
      </c>
      <c r="B155" t="str">
        <f>IF('02_Warehouse_Locations'!A154="","",'02_Warehouse_Locations'!A154)</f>
        <v/>
      </c>
      <c r="C155" t="str">
        <f t="shared" si="2"/>
        <v/>
      </c>
      <c r="D155" t="s">
        <v>1265</v>
      </c>
    </row>
    <row r="156" spans="1:4">
      <c r="A156" t="s">
        <v>1264</v>
      </c>
      <c r="B156" t="str">
        <f>IF('02_Warehouse_Locations'!A155="","",'02_Warehouse_Locations'!A155)</f>
        <v/>
      </c>
      <c r="C156" t="str">
        <f t="shared" si="2"/>
        <v/>
      </c>
      <c r="D156" t="s">
        <v>1265</v>
      </c>
    </row>
    <row r="157" spans="1:4">
      <c r="A157" t="s">
        <v>1264</v>
      </c>
      <c r="B157" t="str">
        <f>IF('02_Warehouse_Locations'!A156="","",'02_Warehouse_Locations'!A156)</f>
        <v/>
      </c>
      <c r="C157" t="str">
        <f t="shared" si="2"/>
        <v/>
      </c>
      <c r="D157" t="s">
        <v>1265</v>
      </c>
    </row>
    <row r="158" spans="1:4">
      <c r="A158" t="s">
        <v>1264</v>
      </c>
      <c r="B158" t="str">
        <f>IF('02_Warehouse_Locations'!A157="","",'02_Warehouse_Locations'!A157)</f>
        <v/>
      </c>
      <c r="C158" t="str">
        <f t="shared" si="2"/>
        <v/>
      </c>
      <c r="D158" t="s">
        <v>1265</v>
      </c>
    </row>
    <row r="159" spans="1:4">
      <c r="A159" t="s">
        <v>1264</v>
      </c>
      <c r="B159" t="str">
        <f>IF('02_Warehouse_Locations'!A158="","",'02_Warehouse_Locations'!A158)</f>
        <v/>
      </c>
      <c r="C159" t="str">
        <f t="shared" si="2"/>
        <v/>
      </c>
      <c r="D159" t="s">
        <v>1265</v>
      </c>
    </row>
    <row r="160" spans="1:4">
      <c r="A160" t="s">
        <v>1264</v>
      </c>
      <c r="B160" t="str">
        <f>IF('02_Warehouse_Locations'!A159="","",'02_Warehouse_Locations'!A159)</f>
        <v/>
      </c>
      <c r="C160" t="str">
        <f t="shared" si="2"/>
        <v/>
      </c>
      <c r="D160" t="s">
        <v>1265</v>
      </c>
    </row>
    <row r="161" spans="1:4">
      <c r="A161" t="s">
        <v>1264</v>
      </c>
      <c r="B161" t="str">
        <f>IF('02_Warehouse_Locations'!A160="","",'02_Warehouse_Locations'!A160)</f>
        <v/>
      </c>
      <c r="C161" t="str">
        <f t="shared" si="2"/>
        <v/>
      </c>
      <c r="D161" t="s">
        <v>1265</v>
      </c>
    </row>
    <row r="162" spans="1:4">
      <c r="A162" t="s">
        <v>1264</v>
      </c>
      <c r="B162" t="str">
        <f>IF('02_Warehouse_Locations'!A161="","",'02_Warehouse_Locations'!A161)</f>
        <v/>
      </c>
      <c r="C162" t="str">
        <f t="shared" si="2"/>
        <v/>
      </c>
      <c r="D162" t="s">
        <v>1265</v>
      </c>
    </row>
    <row r="163" spans="1:4">
      <c r="A163" t="s">
        <v>1264</v>
      </c>
      <c r="B163" t="str">
        <f>IF('02_Warehouse_Locations'!A162="","",'02_Warehouse_Locations'!A162)</f>
        <v/>
      </c>
      <c r="C163" t="str">
        <f t="shared" si="2"/>
        <v/>
      </c>
      <c r="D163" t="s">
        <v>1265</v>
      </c>
    </row>
    <row r="164" spans="1:4">
      <c r="A164" t="s">
        <v>1264</v>
      </c>
      <c r="B164" t="str">
        <f>IF('02_Warehouse_Locations'!A163="","",'02_Warehouse_Locations'!A163)</f>
        <v/>
      </c>
      <c r="C164" t="str">
        <f t="shared" si="2"/>
        <v/>
      </c>
      <c r="D164" t="s">
        <v>1265</v>
      </c>
    </row>
    <row r="165" spans="1:4">
      <c r="A165" t="s">
        <v>1264</v>
      </c>
      <c r="B165" t="str">
        <f>IF('02_Warehouse_Locations'!A164="","",'02_Warehouse_Locations'!A164)</f>
        <v/>
      </c>
      <c r="C165" t="str">
        <f t="shared" si="2"/>
        <v/>
      </c>
      <c r="D165" t="s">
        <v>1265</v>
      </c>
    </row>
    <row r="166" spans="1:4">
      <c r="A166" t="s">
        <v>1264</v>
      </c>
      <c r="B166" t="str">
        <f>IF('02_Warehouse_Locations'!A165="","",'02_Warehouse_Locations'!A165)</f>
        <v/>
      </c>
      <c r="C166" t="str">
        <f t="shared" si="2"/>
        <v/>
      </c>
      <c r="D166" t="s">
        <v>1265</v>
      </c>
    </row>
    <row r="167" spans="1:4">
      <c r="A167" t="s">
        <v>1264</v>
      </c>
      <c r="B167" t="str">
        <f>IF('02_Warehouse_Locations'!A166="","",'02_Warehouse_Locations'!A166)</f>
        <v/>
      </c>
      <c r="C167" t="str">
        <f t="shared" si="2"/>
        <v/>
      </c>
      <c r="D167" t="s">
        <v>1265</v>
      </c>
    </row>
    <row r="168" spans="1:4">
      <c r="A168" t="s">
        <v>1264</v>
      </c>
      <c r="B168" t="str">
        <f>IF('02_Warehouse_Locations'!A167="","",'02_Warehouse_Locations'!A167)</f>
        <v/>
      </c>
      <c r="C168" t="str">
        <f t="shared" si="2"/>
        <v/>
      </c>
      <c r="D168" t="s">
        <v>1265</v>
      </c>
    </row>
    <row r="169" spans="1:4">
      <c r="A169" t="s">
        <v>1264</v>
      </c>
      <c r="B169" t="str">
        <f>IF('02_Warehouse_Locations'!A168="","",'02_Warehouse_Locations'!A168)</f>
        <v/>
      </c>
      <c r="C169" t="str">
        <f t="shared" si="2"/>
        <v/>
      </c>
      <c r="D169" t="s">
        <v>1265</v>
      </c>
    </row>
    <row r="170" spans="1:4">
      <c r="A170" t="s">
        <v>1264</v>
      </c>
      <c r="B170" t="str">
        <f>IF('02_Warehouse_Locations'!A169="","",'02_Warehouse_Locations'!A169)</f>
        <v/>
      </c>
      <c r="C170" t="str">
        <f t="shared" si="2"/>
        <v/>
      </c>
      <c r="D170" t="s">
        <v>1265</v>
      </c>
    </row>
    <row r="171" spans="1:4">
      <c r="A171" t="s">
        <v>1264</v>
      </c>
      <c r="B171" t="str">
        <f>IF('02_Warehouse_Locations'!A170="","",'02_Warehouse_Locations'!A170)</f>
        <v/>
      </c>
      <c r="C171" t="str">
        <f t="shared" si="2"/>
        <v/>
      </c>
      <c r="D171" t="s">
        <v>1265</v>
      </c>
    </row>
    <row r="172" spans="1:4">
      <c r="A172" t="s">
        <v>1264</v>
      </c>
      <c r="B172" t="str">
        <f>IF('02_Warehouse_Locations'!A171="","",'02_Warehouse_Locations'!A171)</f>
        <v/>
      </c>
      <c r="C172" t="str">
        <f t="shared" si="2"/>
        <v/>
      </c>
      <c r="D172" t="s">
        <v>1265</v>
      </c>
    </row>
    <row r="173" spans="1:4">
      <c r="A173" t="s">
        <v>1264</v>
      </c>
      <c r="B173" t="str">
        <f>IF('02_Warehouse_Locations'!A172="","",'02_Warehouse_Locations'!A172)</f>
        <v/>
      </c>
      <c r="C173" t="str">
        <f t="shared" si="2"/>
        <v/>
      </c>
      <c r="D173" t="s">
        <v>1265</v>
      </c>
    </row>
    <row r="174" spans="1:4">
      <c r="A174" t="s">
        <v>1264</v>
      </c>
      <c r="B174" t="str">
        <f>IF('02_Warehouse_Locations'!A173="","",'02_Warehouse_Locations'!A173)</f>
        <v/>
      </c>
      <c r="C174" t="str">
        <f t="shared" si="2"/>
        <v/>
      </c>
      <c r="D174" t="s">
        <v>1265</v>
      </c>
    </row>
    <row r="175" spans="1:4">
      <c r="A175" t="s">
        <v>1264</v>
      </c>
      <c r="B175" t="str">
        <f>IF('02_Warehouse_Locations'!A174="","",'02_Warehouse_Locations'!A174)</f>
        <v/>
      </c>
      <c r="C175" t="str">
        <f t="shared" si="2"/>
        <v/>
      </c>
      <c r="D175" t="s">
        <v>1265</v>
      </c>
    </row>
    <row r="176" spans="1:4">
      <c r="A176" t="s">
        <v>1264</v>
      </c>
      <c r="B176" t="str">
        <f>IF('02_Warehouse_Locations'!A175="","",'02_Warehouse_Locations'!A175)</f>
        <v/>
      </c>
      <c r="C176" t="str">
        <f t="shared" si="2"/>
        <v/>
      </c>
      <c r="D176" t="s">
        <v>1265</v>
      </c>
    </row>
    <row r="177" spans="1:4">
      <c r="A177" t="s">
        <v>1264</v>
      </c>
      <c r="B177" t="str">
        <f>IF('02_Warehouse_Locations'!A176="","",'02_Warehouse_Locations'!A176)</f>
        <v/>
      </c>
      <c r="C177" t="str">
        <f t="shared" si="2"/>
        <v/>
      </c>
      <c r="D177" t="s">
        <v>1265</v>
      </c>
    </row>
    <row r="178" spans="1:4">
      <c r="A178" t="s">
        <v>1264</v>
      </c>
      <c r="B178" t="str">
        <f>IF('02_Warehouse_Locations'!A177="","",'02_Warehouse_Locations'!A177)</f>
        <v/>
      </c>
      <c r="C178" t="str">
        <f t="shared" si="2"/>
        <v/>
      </c>
      <c r="D178" t="s">
        <v>1265</v>
      </c>
    </row>
    <row r="179" spans="1:4">
      <c r="A179" t="s">
        <v>1264</v>
      </c>
      <c r="B179" t="str">
        <f>IF('02_Warehouse_Locations'!A178="","",'02_Warehouse_Locations'!A178)</f>
        <v/>
      </c>
      <c r="C179" t="str">
        <f t="shared" si="2"/>
        <v/>
      </c>
      <c r="D179" t="s">
        <v>1265</v>
      </c>
    </row>
    <row r="180" spans="1:4">
      <c r="A180" t="s">
        <v>1264</v>
      </c>
      <c r="B180" t="str">
        <f>IF('02_Warehouse_Locations'!A179="","",'02_Warehouse_Locations'!A179)</f>
        <v/>
      </c>
      <c r="C180" t="str">
        <f t="shared" si="2"/>
        <v/>
      </c>
      <c r="D180" t="s">
        <v>1265</v>
      </c>
    </row>
    <row r="181" spans="1:4">
      <c r="A181" t="s">
        <v>1264</v>
      </c>
      <c r="B181" t="str">
        <f>IF('02_Warehouse_Locations'!A180="","",'02_Warehouse_Locations'!A180)</f>
        <v/>
      </c>
      <c r="C181" t="str">
        <f t="shared" si="2"/>
        <v/>
      </c>
      <c r="D181" t="s">
        <v>1265</v>
      </c>
    </row>
    <row r="182" spans="1:4">
      <c r="A182" t="s">
        <v>1264</v>
      </c>
      <c r="B182" t="str">
        <f>IF('02_Warehouse_Locations'!A181="","",'02_Warehouse_Locations'!A181)</f>
        <v/>
      </c>
      <c r="C182" t="str">
        <f t="shared" si="2"/>
        <v/>
      </c>
      <c r="D182" t="s">
        <v>1265</v>
      </c>
    </row>
    <row r="183" spans="1:4">
      <c r="A183" t="s">
        <v>1264</v>
      </c>
      <c r="B183" t="str">
        <f>IF('02_Warehouse_Locations'!A182="","",'02_Warehouse_Locations'!A182)</f>
        <v/>
      </c>
      <c r="C183" t="str">
        <f t="shared" si="2"/>
        <v/>
      </c>
      <c r="D183" t="s">
        <v>1265</v>
      </c>
    </row>
    <row r="184" spans="1:4">
      <c r="A184" t="s">
        <v>1264</v>
      </c>
      <c r="B184" t="str">
        <f>IF('02_Warehouse_Locations'!A183="","",'02_Warehouse_Locations'!A183)</f>
        <v/>
      </c>
      <c r="C184" t="str">
        <f t="shared" si="2"/>
        <v/>
      </c>
      <c r="D184" t="s">
        <v>1265</v>
      </c>
    </row>
    <row r="185" spans="1:4">
      <c r="A185" t="s">
        <v>1264</v>
      </c>
      <c r="B185" t="str">
        <f>IF('02_Warehouse_Locations'!A184="","",'02_Warehouse_Locations'!A184)</f>
        <v/>
      </c>
      <c r="C185" t="str">
        <f t="shared" si="2"/>
        <v/>
      </c>
      <c r="D185" t="s">
        <v>1265</v>
      </c>
    </row>
    <row r="186" spans="1:4">
      <c r="A186" t="s">
        <v>1264</v>
      </c>
      <c r="B186" t="str">
        <f>IF('02_Warehouse_Locations'!A185="","",'02_Warehouse_Locations'!A185)</f>
        <v/>
      </c>
      <c r="C186" t="str">
        <f t="shared" si="2"/>
        <v/>
      </c>
      <c r="D186" t="s">
        <v>1265</v>
      </c>
    </row>
    <row r="187" spans="1:4">
      <c r="A187" t="s">
        <v>1264</v>
      </c>
      <c r="B187" t="str">
        <f>IF('02_Warehouse_Locations'!A186="","",'02_Warehouse_Locations'!A186)</f>
        <v/>
      </c>
      <c r="C187" t="str">
        <f t="shared" si="2"/>
        <v/>
      </c>
      <c r="D187" t="s">
        <v>1265</v>
      </c>
    </row>
    <row r="188" spans="1:4">
      <c r="A188" t="s">
        <v>1264</v>
      </c>
      <c r="B188" t="str">
        <f>IF('02_Warehouse_Locations'!A187="","",'02_Warehouse_Locations'!A187)</f>
        <v/>
      </c>
      <c r="C188" t="str">
        <f t="shared" si="2"/>
        <v/>
      </c>
      <c r="D188" t="s">
        <v>1265</v>
      </c>
    </row>
    <row r="189" spans="1:4">
      <c r="A189" t="s">
        <v>1264</v>
      </c>
      <c r="B189" t="str">
        <f>IF('02_Warehouse_Locations'!A188="","",'02_Warehouse_Locations'!A188)</f>
        <v/>
      </c>
      <c r="C189" t="str">
        <f t="shared" si="2"/>
        <v/>
      </c>
      <c r="D189" t="s">
        <v>1265</v>
      </c>
    </row>
    <row r="190" spans="1:4">
      <c r="A190" t="s">
        <v>1264</v>
      </c>
      <c r="B190" t="str">
        <f>IF('02_Warehouse_Locations'!A189="","",'02_Warehouse_Locations'!A189)</f>
        <v/>
      </c>
      <c r="C190" t="str">
        <f t="shared" si="2"/>
        <v/>
      </c>
      <c r="D190" t="s">
        <v>1265</v>
      </c>
    </row>
    <row r="191" spans="1:4">
      <c r="A191" t="s">
        <v>1264</v>
      </c>
      <c r="B191" t="str">
        <f>IF('02_Warehouse_Locations'!A190="","",'02_Warehouse_Locations'!A190)</f>
        <v/>
      </c>
      <c r="C191" t="str">
        <f t="shared" si="2"/>
        <v/>
      </c>
      <c r="D191" t="s">
        <v>1265</v>
      </c>
    </row>
    <row r="192" spans="1:4">
      <c r="A192" t="s">
        <v>1264</v>
      </c>
      <c r="B192" t="str">
        <f>IF('02_Warehouse_Locations'!A191="","",'02_Warehouse_Locations'!A191)</f>
        <v/>
      </c>
      <c r="C192" t="str">
        <f t="shared" si="2"/>
        <v/>
      </c>
      <c r="D192" t="s">
        <v>1265</v>
      </c>
    </row>
    <row r="193" spans="1:4">
      <c r="A193" t="s">
        <v>1264</v>
      </c>
      <c r="B193" t="str">
        <f>IF('02_Warehouse_Locations'!A192="","",'02_Warehouse_Locations'!A192)</f>
        <v/>
      </c>
      <c r="C193" t="str">
        <f t="shared" si="2"/>
        <v/>
      </c>
      <c r="D193" t="s">
        <v>1265</v>
      </c>
    </row>
    <row r="194" spans="1:4">
      <c r="A194" t="s">
        <v>1264</v>
      </c>
      <c r="B194" t="str">
        <f>IF('02_Warehouse_Locations'!A193="","",'02_Warehouse_Locations'!A193)</f>
        <v/>
      </c>
      <c r="C194" t="str">
        <f t="shared" si="2"/>
        <v/>
      </c>
      <c r="D194" t="s">
        <v>1265</v>
      </c>
    </row>
    <row r="195" spans="1:4">
      <c r="A195" t="s">
        <v>1264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1265</v>
      </c>
    </row>
    <row r="196" spans="1:4">
      <c r="A196" t="s">
        <v>1264</v>
      </c>
      <c r="B196" t="str">
        <f>IF('02_Warehouse_Locations'!A195="","",'02_Warehouse_Locations'!A195)</f>
        <v/>
      </c>
      <c r="C196" t="str">
        <f t="shared" si="3"/>
        <v/>
      </c>
      <c r="D196" t="s">
        <v>1265</v>
      </c>
    </row>
    <row r="197" spans="1:4">
      <c r="A197" t="s">
        <v>1264</v>
      </c>
      <c r="B197" t="str">
        <f>IF('02_Warehouse_Locations'!A196="","",'02_Warehouse_Locations'!A196)</f>
        <v/>
      </c>
      <c r="C197" t="str">
        <f t="shared" si="3"/>
        <v/>
      </c>
      <c r="D197" t="s">
        <v>1265</v>
      </c>
    </row>
    <row r="198" spans="1:4">
      <c r="A198" t="s">
        <v>1264</v>
      </c>
      <c r="B198" t="str">
        <f>IF('02_Warehouse_Locations'!A197="","",'02_Warehouse_Locations'!A197)</f>
        <v/>
      </c>
      <c r="C198" t="str">
        <f t="shared" si="3"/>
        <v/>
      </c>
      <c r="D198" t="s">
        <v>1265</v>
      </c>
    </row>
    <row r="199" spans="1:4">
      <c r="A199" t="s">
        <v>1264</v>
      </c>
      <c r="B199" t="str">
        <f>IF('02_Warehouse_Locations'!A198="","",'02_Warehouse_Locations'!A198)</f>
        <v/>
      </c>
      <c r="C199" t="str">
        <f t="shared" si="3"/>
        <v/>
      </c>
      <c r="D199" t="s">
        <v>1265</v>
      </c>
    </row>
    <row r="200" spans="1:4">
      <c r="A200" t="s">
        <v>1264</v>
      </c>
      <c r="B200" t="str">
        <f>IF('02_Warehouse_Locations'!A199="","",'02_Warehouse_Locations'!A199)</f>
        <v/>
      </c>
      <c r="C200" t="str">
        <f t="shared" si="3"/>
        <v/>
      </c>
      <c r="D200" t="s">
        <v>1265</v>
      </c>
    </row>
    <row r="201" spans="1:4">
      <c r="A201" t="s">
        <v>1264</v>
      </c>
      <c r="B201" t="str">
        <f>IF('02_Warehouse_Locations'!A200="","",'02_Warehouse_Locations'!A200)</f>
        <v/>
      </c>
      <c r="C201" t="str">
        <f t="shared" si="3"/>
        <v/>
      </c>
      <c r="D201" t="s">
        <v>1265</v>
      </c>
    </row>
    <row r="202" spans="1:4">
      <c r="A202" t="s">
        <v>1264</v>
      </c>
      <c r="B202" t="str">
        <f>IF('02_Warehouse_Locations'!A201="","",'02_Warehouse_Locations'!A201)</f>
        <v/>
      </c>
      <c r="C202" t="str">
        <f t="shared" si="3"/>
        <v/>
      </c>
      <c r="D202" t="s">
        <v>1265</v>
      </c>
    </row>
    <row r="203" spans="1:4">
      <c r="A203" t="s">
        <v>1264</v>
      </c>
      <c r="B203" t="str">
        <f>IF('02_Warehouse_Locations'!A202="","",'02_Warehouse_Locations'!A202)</f>
        <v/>
      </c>
      <c r="C203" t="str">
        <f t="shared" si="3"/>
        <v/>
      </c>
      <c r="D203" t="s">
        <v>1265</v>
      </c>
    </row>
    <row r="204" spans="1:4">
      <c r="A204" t="s">
        <v>1264</v>
      </c>
      <c r="B204" t="str">
        <f>IF('02_Warehouse_Locations'!A203="","",'02_Warehouse_Locations'!A203)</f>
        <v/>
      </c>
      <c r="C204" t="str">
        <f t="shared" si="3"/>
        <v/>
      </c>
      <c r="D204" t="s">
        <v>1265</v>
      </c>
    </row>
    <row r="205" spans="1:4">
      <c r="A205" t="s">
        <v>1264</v>
      </c>
      <c r="B205" t="str">
        <f>IF('02_Warehouse_Locations'!A204="","",'02_Warehouse_Locations'!A204)</f>
        <v/>
      </c>
      <c r="C205" t="str">
        <f t="shared" si="3"/>
        <v/>
      </c>
      <c r="D205" t="s">
        <v>1265</v>
      </c>
    </row>
    <row r="206" spans="1:4">
      <c r="A206" t="s">
        <v>1264</v>
      </c>
      <c r="B206" t="str">
        <f>IF('02_Warehouse_Locations'!A205="","",'02_Warehouse_Locations'!A205)</f>
        <v/>
      </c>
      <c r="C206" t="str">
        <f t="shared" si="3"/>
        <v/>
      </c>
      <c r="D206" t="s">
        <v>1265</v>
      </c>
    </row>
    <row r="207" spans="1:4">
      <c r="A207" t="s">
        <v>1264</v>
      </c>
      <c r="B207" t="str">
        <f>IF('02_Warehouse_Locations'!A206="","",'02_Warehouse_Locations'!A206)</f>
        <v/>
      </c>
      <c r="C207" t="str">
        <f t="shared" si="3"/>
        <v/>
      </c>
      <c r="D207" t="s">
        <v>1265</v>
      </c>
    </row>
    <row r="208" spans="1:4">
      <c r="A208" t="s">
        <v>1264</v>
      </c>
      <c r="B208" t="str">
        <f>IF('02_Warehouse_Locations'!A207="","",'02_Warehouse_Locations'!A207)</f>
        <v/>
      </c>
      <c r="C208" t="str">
        <f t="shared" si="3"/>
        <v/>
      </c>
      <c r="D208" t="s">
        <v>1265</v>
      </c>
    </row>
    <row r="209" spans="1:4">
      <c r="A209" t="s">
        <v>1264</v>
      </c>
      <c r="B209" t="str">
        <f>IF('02_Warehouse_Locations'!A208="","",'02_Warehouse_Locations'!A208)</f>
        <v/>
      </c>
      <c r="C209" t="str">
        <f t="shared" si="3"/>
        <v/>
      </c>
      <c r="D209" t="s">
        <v>1265</v>
      </c>
    </row>
    <row r="210" spans="1:4">
      <c r="A210" t="s">
        <v>1264</v>
      </c>
      <c r="B210" t="str">
        <f>IF('02_Warehouse_Locations'!A209="","",'02_Warehouse_Locations'!A209)</f>
        <v/>
      </c>
      <c r="C210" t="str">
        <f t="shared" si="3"/>
        <v/>
      </c>
      <c r="D210" t="s">
        <v>1265</v>
      </c>
    </row>
    <row r="211" spans="1:4">
      <c r="A211" t="s">
        <v>1264</v>
      </c>
      <c r="B211" t="str">
        <f>IF('02_Warehouse_Locations'!A210="","",'02_Warehouse_Locations'!A210)</f>
        <v/>
      </c>
      <c r="C211" t="str">
        <f t="shared" si="3"/>
        <v/>
      </c>
      <c r="D211" t="s">
        <v>1265</v>
      </c>
    </row>
    <row r="212" spans="1:4">
      <c r="A212" t="s">
        <v>1264</v>
      </c>
      <c r="B212" t="str">
        <f>IF('02_Warehouse_Locations'!A211="","",'02_Warehouse_Locations'!A211)</f>
        <v/>
      </c>
      <c r="C212" t="str">
        <f t="shared" si="3"/>
        <v/>
      </c>
      <c r="D212" t="s">
        <v>1265</v>
      </c>
    </row>
    <row r="213" spans="1:4">
      <c r="A213" t="s">
        <v>1264</v>
      </c>
      <c r="B213" t="str">
        <f>IF('02_Warehouse_Locations'!A212="","",'02_Warehouse_Locations'!A212)</f>
        <v/>
      </c>
      <c r="C213" t="str">
        <f t="shared" si="3"/>
        <v/>
      </c>
      <c r="D213" t="s">
        <v>1265</v>
      </c>
    </row>
    <row r="214" spans="1:4">
      <c r="A214" t="s">
        <v>1264</v>
      </c>
      <c r="B214" t="str">
        <f>IF('02_Warehouse_Locations'!A213="","",'02_Warehouse_Locations'!A213)</f>
        <v/>
      </c>
      <c r="C214" t="str">
        <f t="shared" si="3"/>
        <v/>
      </c>
      <c r="D214" t="s">
        <v>1265</v>
      </c>
    </row>
    <row r="215" spans="1:4">
      <c r="A215" t="s">
        <v>1264</v>
      </c>
      <c r="B215" t="str">
        <f>IF('02_Warehouse_Locations'!A214="","",'02_Warehouse_Locations'!A214)</f>
        <v/>
      </c>
      <c r="C215" t="str">
        <f t="shared" si="3"/>
        <v/>
      </c>
      <c r="D215" t="s">
        <v>1265</v>
      </c>
    </row>
    <row r="216" spans="1:4">
      <c r="A216" t="s">
        <v>1264</v>
      </c>
      <c r="B216" t="str">
        <f>IF('02_Warehouse_Locations'!A215="","",'02_Warehouse_Locations'!A215)</f>
        <v/>
      </c>
      <c r="C216" t="str">
        <f t="shared" si="3"/>
        <v/>
      </c>
      <c r="D216" t="s">
        <v>1265</v>
      </c>
    </row>
    <row r="217" spans="1:4">
      <c r="A217" t="s">
        <v>1264</v>
      </c>
      <c r="B217" t="str">
        <f>IF('02_Warehouse_Locations'!A216="","",'02_Warehouse_Locations'!A216)</f>
        <v/>
      </c>
      <c r="C217" t="str">
        <f t="shared" si="3"/>
        <v/>
      </c>
      <c r="D217" t="s">
        <v>1265</v>
      </c>
    </row>
    <row r="218" spans="1:4">
      <c r="A218" t="s">
        <v>1264</v>
      </c>
      <c r="B218" t="str">
        <f>IF('02_Warehouse_Locations'!A217="","",'02_Warehouse_Locations'!A217)</f>
        <v/>
      </c>
      <c r="C218" t="str">
        <f t="shared" si="3"/>
        <v/>
      </c>
      <c r="D218" t="s">
        <v>1265</v>
      </c>
    </row>
    <row r="219" spans="1:4">
      <c r="A219" t="s">
        <v>1264</v>
      </c>
      <c r="B219" t="str">
        <f>IF('02_Warehouse_Locations'!A218="","",'02_Warehouse_Locations'!A218)</f>
        <v/>
      </c>
      <c r="C219" t="str">
        <f t="shared" si="3"/>
        <v/>
      </c>
      <c r="D219" t="s">
        <v>1265</v>
      </c>
    </row>
    <row r="220" spans="1:4">
      <c r="A220" t="s">
        <v>1264</v>
      </c>
      <c r="B220" t="str">
        <f>IF('02_Warehouse_Locations'!A219="","",'02_Warehouse_Locations'!A219)</f>
        <v/>
      </c>
      <c r="C220" t="str">
        <f t="shared" si="3"/>
        <v/>
      </c>
      <c r="D220" t="s">
        <v>1265</v>
      </c>
    </row>
    <row r="221" spans="1:4">
      <c r="A221" t="s">
        <v>1264</v>
      </c>
      <c r="B221" t="str">
        <f>IF('02_Warehouse_Locations'!A220="","",'02_Warehouse_Locations'!A220)</f>
        <v/>
      </c>
      <c r="C221" t="str">
        <f t="shared" si="3"/>
        <v/>
      </c>
      <c r="D221" t="s">
        <v>1265</v>
      </c>
    </row>
    <row r="222" spans="1:4">
      <c r="A222" t="s">
        <v>1264</v>
      </c>
      <c r="B222" t="str">
        <f>IF('02_Warehouse_Locations'!A221="","",'02_Warehouse_Locations'!A221)</f>
        <v/>
      </c>
      <c r="C222" t="str">
        <f t="shared" si="3"/>
        <v/>
      </c>
      <c r="D222" t="s">
        <v>1265</v>
      </c>
    </row>
    <row r="223" spans="1:4">
      <c r="A223" t="s">
        <v>1264</v>
      </c>
      <c r="B223" t="str">
        <f>IF('02_Warehouse_Locations'!A222="","",'02_Warehouse_Locations'!A222)</f>
        <v/>
      </c>
      <c r="C223" t="str">
        <f t="shared" si="3"/>
        <v/>
      </c>
      <c r="D223" t="s">
        <v>1265</v>
      </c>
    </row>
    <row r="224" spans="1:4">
      <c r="A224" t="s">
        <v>1264</v>
      </c>
      <c r="B224" t="str">
        <f>IF('02_Warehouse_Locations'!A223="","",'02_Warehouse_Locations'!A223)</f>
        <v/>
      </c>
      <c r="C224" t="str">
        <f t="shared" si="3"/>
        <v/>
      </c>
      <c r="D224" t="s">
        <v>1265</v>
      </c>
    </row>
    <row r="225" spans="1:4">
      <c r="A225" t="s">
        <v>1264</v>
      </c>
      <c r="B225" t="str">
        <f>IF('02_Warehouse_Locations'!A224="","",'02_Warehouse_Locations'!A224)</f>
        <v/>
      </c>
      <c r="C225" t="str">
        <f t="shared" si="3"/>
        <v/>
      </c>
      <c r="D225" t="s">
        <v>1265</v>
      </c>
    </row>
    <row r="226" spans="1:4">
      <c r="A226" t="s">
        <v>1264</v>
      </c>
      <c r="B226" t="str">
        <f>IF('02_Warehouse_Locations'!A225="","",'02_Warehouse_Locations'!A225)</f>
        <v/>
      </c>
      <c r="C226" t="str">
        <f t="shared" si="3"/>
        <v/>
      </c>
      <c r="D226" t="s">
        <v>1265</v>
      </c>
    </row>
    <row r="227" spans="1:4">
      <c r="A227" t="s">
        <v>1264</v>
      </c>
      <c r="B227" t="str">
        <f>IF('02_Warehouse_Locations'!A226="","",'02_Warehouse_Locations'!A226)</f>
        <v/>
      </c>
      <c r="C227" t="str">
        <f t="shared" si="3"/>
        <v/>
      </c>
      <c r="D227" t="s">
        <v>1265</v>
      </c>
    </row>
    <row r="228" spans="1:4">
      <c r="A228" t="s">
        <v>1264</v>
      </c>
      <c r="B228" t="str">
        <f>IF('02_Warehouse_Locations'!A227="","",'02_Warehouse_Locations'!A227)</f>
        <v/>
      </c>
      <c r="C228" t="str">
        <f t="shared" si="3"/>
        <v/>
      </c>
      <c r="D228" t="s">
        <v>1265</v>
      </c>
    </row>
    <row r="229" spans="1:4">
      <c r="A229" t="s">
        <v>1264</v>
      </c>
      <c r="B229" t="str">
        <f>IF('02_Warehouse_Locations'!A228="","",'02_Warehouse_Locations'!A228)</f>
        <v/>
      </c>
      <c r="C229" t="str">
        <f t="shared" si="3"/>
        <v/>
      </c>
      <c r="D229" t="s">
        <v>1265</v>
      </c>
    </row>
    <row r="230" spans="1:4">
      <c r="A230" t="s">
        <v>1264</v>
      </c>
      <c r="B230" t="str">
        <f>IF('02_Warehouse_Locations'!A229="","",'02_Warehouse_Locations'!A229)</f>
        <v/>
      </c>
      <c r="C230" t="str">
        <f t="shared" si="3"/>
        <v/>
      </c>
      <c r="D230" t="s">
        <v>1265</v>
      </c>
    </row>
    <row r="231" spans="1:4">
      <c r="A231" t="s">
        <v>1264</v>
      </c>
      <c r="B231" t="str">
        <f>IF('02_Warehouse_Locations'!A230="","",'02_Warehouse_Locations'!A230)</f>
        <v/>
      </c>
      <c r="C231" t="str">
        <f t="shared" si="3"/>
        <v/>
      </c>
      <c r="D231" t="s">
        <v>1265</v>
      </c>
    </row>
    <row r="232" spans="1:4">
      <c r="A232" t="s">
        <v>1264</v>
      </c>
      <c r="B232" t="str">
        <f>IF('02_Warehouse_Locations'!A231="","",'02_Warehouse_Locations'!A231)</f>
        <v/>
      </c>
      <c r="C232" t="str">
        <f t="shared" si="3"/>
        <v/>
      </c>
      <c r="D232" t="s">
        <v>1265</v>
      </c>
    </row>
    <row r="233" spans="1:4">
      <c r="A233" t="s">
        <v>1264</v>
      </c>
      <c r="B233" t="str">
        <f>IF('02_Warehouse_Locations'!A232="","",'02_Warehouse_Locations'!A232)</f>
        <v/>
      </c>
      <c r="C233" t="str">
        <f t="shared" si="3"/>
        <v/>
      </c>
      <c r="D233" t="s">
        <v>1265</v>
      </c>
    </row>
    <row r="234" spans="1:4">
      <c r="A234" t="s">
        <v>1264</v>
      </c>
      <c r="B234" t="str">
        <f>IF('02_Warehouse_Locations'!A233="","",'02_Warehouse_Locations'!A233)</f>
        <v/>
      </c>
      <c r="C234" t="str">
        <f t="shared" si="3"/>
        <v/>
      </c>
      <c r="D234" t="s">
        <v>1265</v>
      </c>
    </row>
    <row r="235" spans="1:4">
      <c r="A235" t="s">
        <v>1264</v>
      </c>
      <c r="B235" t="str">
        <f>IF('02_Warehouse_Locations'!A234="","",'02_Warehouse_Locations'!A234)</f>
        <v/>
      </c>
      <c r="C235" t="str">
        <f t="shared" si="3"/>
        <v/>
      </c>
      <c r="D235" t="s">
        <v>1265</v>
      </c>
    </row>
    <row r="236" spans="1:4">
      <c r="A236" t="s">
        <v>1264</v>
      </c>
      <c r="B236" t="str">
        <f>IF('02_Warehouse_Locations'!A235="","",'02_Warehouse_Locations'!A235)</f>
        <v/>
      </c>
      <c r="C236" t="str">
        <f t="shared" si="3"/>
        <v/>
      </c>
      <c r="D236" t="s">
        <v>1265</v>
      </c>
    </row>
    <row r="237" spans="1:4">
      <c r="A237" t="s">
        <v>1264</v>
      </c>
      <c r="B237" t="str">
        <f>IF('02_Warehouse_Locations'!A236="","",'02_Warehouse_Locations'!A236)</f>
        <v/>
      </c>
      <c r="C237" t="str">
        <f t="shared" si="3"/>
        <v/>
      </c>
      <c r="D237" t="s">
        <v>1265</v>
      </c>
    </row>
    <row r="238" spans="1:4">
      <c r="A238" t="s">
        <v>1264</v>
      </c>
      <c r="B238" t="str">
        <f>IF('02_Warehouse_Locations'!A237="","",'02_Warehouse_Locations'!A237)</f>
        <v/>
      </c>
      <c r="C238" t="str">
        <f t="shared" si="3"/>
        <v/>
      </c>
      <c r="D238" t="s">
        <v>1265</v>
      </c>
    </row>
    <row r="239" spans="1:4">
      <c r="A239" t="s">
        <v>1264</v>
      </c>
      <c r="B239" t="str">
        <f>IF('02_Warehouse_Locations'!A238="","",'02_Warehouse_Locations'!A238)</f>
        <v/>
      </c>
      <c r="C239" t="str">
        <f t="shared" si="3"/>
        <v/>
      </c>
      <c r="D239" t="s">
        <v>1265</v>
      </c>
    </row>
    <row r="240" spans="1:4">
      <c r="A240" t="s">
        <v>1264</v>
      </c>
      <c r="B240" t="str">
        <f>IF('02_Warehouse_Locations'!A239="","",'02_Warehouse_Locations'!A239)</f>
        <v/>
      </c>
      <c r="C240" t="str">
        <f t="shared" si="3"/>
        <v/>
      </c>
      <c r="D240" t="s">
        <v>1265</v>
      </c>
    </row>
    <row r="241" spans="1:4">
      <c r="A241" t="s">
        <v>1264</v>
      </c>
      <c r="B241" t="str">
        <f>IF('02_Warehouse_Locations'!A240="","",'02_Warehouse_Locations'!A240)</f>
        <v/>
      </c>
      <c r="C241" t="str">
        <f t="shared" si="3"/>
        <v/>
      </c>
      <c r="D241" t="s">
        <v>1265</v>
      </c>
    </row>
    <row r="242" spans="1:4">
      <c r="A242" t="s">
        <v>1264</v>
      </c>
      <c r="B242" t="str">
        <f>IF('02_Warehouse_Locations'!A241="","",'02_Warehouse_Locations'!A241)</f>
        <v/>
      </c>
      <c r="C242" t="str">
        <f t="shared" si="3"/>
        <v/>
      </c>
      <c r="D242" t="s">
        <v>1265</v>
      </c>
    </row>
    <row r="243" spans="1:4">
      <c r="A243" t="s">
        <v>1264</v>
      </c>
      <c r="B243" t="str">
        <f>IF('02_Warehouse_Locations'!A242="","",'02_Warehouse_Locations'!A242)</f>
        <v/>
      </c>
      <c r="C243" t="str">
        <f t="shared" si="3"/>
        <v/>
      </c>
      <c r="D243" t="s">
        <v>1265</v>
      </c>
    </row>
    <row r="244" spans="1:4">
      <c r="A244" t="s">
        <v>1264</v>
      </c>
      <c r="B244" t="str">
        <f>IF('02_Warehouse_Locations'!A243="","",'02_Warehouse_Locations'!A243)</f>
        <v/>
      </c>
      <c r="C244" t="str">
        <f t="shared" si="3"/>
        <v/>
      </c>
      <c r="D244" t="s">
        <v>1265</v>
      </c>
    </row>
    <row r="245" spans="1:4">
      <c r="A245" t="s">
        <v>1264</v>
      </c>
      <c r="B245" t="str">
        <f>IF('02_Warehouse_Locations'!A244="","",'02_Warehouse_Locations'!A244)</f>
        <v/>
      </c>
      <c r="C245" t="str">
        <f t="shared" si="3"/>
        <v/>
      </c>
      <c r="D245" t="s">
        <v>1265</v>
      </c>
    </row>
    <row r="246" spans="1:4">
      <c r="A246" t="s">
        <v>1264</v>
      </c>
      <c r="B246" t="str">
        <f>IF('02_Warehouse_Locations'!A245="","",'02_Warehouse_Locations'!A245)</f>
        <v/>
      </c>
      <c r="C246" t="str">
        <f t="shared" si="3"/>
        <v/>
      </c>
      <c r="D246" t="s">
        <v>1265</v>
      </c>
    </row>
    <row r="247" spans="1:4">
      <c r="A247" t="s">
        <v>1264</v>
      </c>
      <c r="B247" t="str">
        <f>IF('02_Warehouse_Locations'!A246="","",'02_Warehouse_Locations'!A246)</f>
        <v/>
      </c>
      <c r="C247" t="str">
        <f t="shared" si="3"/>
        <v/>
      </c>
      <c r="D247" t="s">
        <v>1265</v>
      </c>
    </row>
    <row r="248" spans="1:4">
      <c r="A248" t="s">
        <v>1264</v>
      </c>
      <c r="B248" t="str">
        <f>IF('02_Warehouse_Locations'!A247="","",'02_Warehouse_Locations'!A247)</f>
        <v/>
      </c>
      <c r="C248" t="str">
        <f t="shared" si="3"/>
        <v/>
      </c>
      <c r="D248" t="s">
        <v>1265</v>
      </c>
    </row>
    <row r="249" spans="1:4">
      <c r="A249" t="s">
        <v>1264</v>
      </c>
      <c r="B249" t="str">
        <f>IF('02_Warehouse_Locations'!A248="","",'02_Warehouse_Locations'!A248)</f>
        <v/>
      </c>
      <c r="C249" t="str">
        <f t="shared" si="3"/>
        <v/>
      </c>
      <c r="D249" t="s">
        <v>1265</v>
      </c>
    </row>
    <row r="250" spans="1:4">
      <c r="A250" t="s">
        <v>1264</v>
      </c>
      <c r="B250" t="str">
        <f>IF('02_Warehouse_Locations'!A249="","",'02_Warehouse_Locations'!A249)</f>
        <v/>
      </c>
      <c r="C250" t="str">
        <f t="shared" si="3"/>
        <v/>
      </c>
      <c r="D250" t="s">
        <v>1265</v>
      </c>
    </row>
    <row r="251" spans="1:4">
      <c r="A251" t="s">
        <v>1264</v>
      </c>
      <c r="B251" t="str">
        <f>IF('02_Warehouse_Locations'!A250="","",'02_Warehouse_Locations'!A250)</f>
        <v/>
      </c>
      <c r="C251" t="str">
        <f t="shared" si="3"/>
        <v/>
      </c>
      <c r="D251" t="s">
        <v>1265</v>
      </c>
    </row>
    <row r="252" spans="1:4">
      <c r="A252" t="s">
        <v>1264</v>
      </c>
      <c r="B252" t="str">
        <f>IF('02_Warehouse_Locations'!A251="","",'02_Warehouse_Locations'!A251)</f>
        <v/>
      </c>
      <c r="C252" t="str">
        <f t="shared" si="3"/>
        <v/>
      </c>
      <c r="D252" t="s">
        <v>1265</v>
      </c>
    </row>
    <row r="253" spans="1:4">
      <c r="A253" t="s">
        <v>1264</v>
      </c>
      <c r="B253" t="str">
        <f>IF('02_Warehouse_Locations'!A252="","",'02_Warehouse_Locations'!A252)</f>
        <v/>
      </c>
      <c r="C253" t="str">
        <f t="shared" si="3"/>
        <v/>
      </c>
      <c r="D253" t="s">
        <v>1265</v>
      </c>
    </row>
    <row r="254" spans="1:4">
      <c r="A254" t="s">
        <v>1264</v>
      </c>
      <c r="B254" t="str">
        <f>IF('02_Warehouse_Locations'!A253="","",'02_Warehouse_Locations'!A253)</f>
        <v/>
      </c>
      <c r="C254" t="str">
        <f t="shared" si="3"/>
        <v/>
      </c>
      <c r="D254" t="s">
        <v>1265</v>
      </c>
    </row>
    <row r="255" spans="1:4">
      <c r="A255" t="s">
        <v>1264</v>
      </c>
      <c r="B255" t="str">
        <f>IF('02_Warehouse_Locations'!A254="","",'02_Warehouse_Locations'!A254)</f>
        <v/>
      </c>
      <c r="C255" t="str">
        <f t="shared" si="3"/>
        <v/>
      </c>
      <c r="D255" t="s">
        <v>1265</v>
      </c>
    </row>
    <row r="256" spans="1:4">
      <c r="A256" t="s">
        <v>1264</v>
      </c>
      <c r="B256" t="str">
        <f>IF('02_Warehouse_Locations'!A255="","",'02_Warehouse_Locations'!A255)</f>
        <v/>
      </c>
      <c r="C256" t="str">
        <f t="shared" si="3"/>
        <v/>
      </c>
      <c r="D256" t="s">
        <v>1265</v>
      </c>
    </row>
    <row r="257" spans="1:4">
      <c r="A257" t="s">
        <v>1264</v>
      </c>
      <c r="B257" t="str">
        <f>IF('02_Warehouse_Locations'!A256="","",'02_Warehouse_Locations'!A256)</f>
        <v/>
      </c>
      <c r="C257" t="str">
        <f t="shared" si="3"/>
        <v/>
      </c>
      <c r="D257" t="s">
        <v>1265</v>
      </c>
    </row>
    <row r="258" spans="1:4">
      <c r="A258" t="s">
        <v>1264</v>
      </c>
      <c r="B258" t="str">
        <f>IF('02_Warehouse_Locations'!A257="","",'02_Warehouse_Locations'!A257)</f>
        <v/>
      </c>
      <c r="C258" t="str">
        <f t="shared" si="3"/>
        <v/>
      </c>
      <c r="D258" t="s">
        <v>1265</v>
      </c>
    </row>
    <row r="259" spans="1:4">
      <c r="A259" t="s">
        <v>1264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1265</v>
      </c>
    </row>
    <row r="260" spans="1:4">
      <c r="A260" t="s">
        <v>1264</v>
      </c>
      <c r="B260" t="str">
        <f>IF('02_Warehouse_Locations'!A259="","",'02_Warehouse_Locations'!A259)</f>
        <v/>
      </c>
      <c r="C260" t="str">
        <f t="shared" si="4"/>
        <v/>
      </c>
      <c r="D260" t="s">
        <v>1265</v>
      </c>
    </row>
    <row r="261" spans="1:4">
      <c r="A261" t="s">
        <v>1264</v>
      </c>
      <c r="B261" t="str">
        <f>IF('02_Warehouse_Locations'!A260="","",'02_Warehouse_Locations'!A260)</f>
        <v/>
      </c>
      <c r="C261" t="str">
        <f t="shared" si="4"/>
        <v/>
      </c>
      <c r="D261" t="s">
        <v>1265</v>
      </c>
    </row>
    <row r="262" spans="1:4">
      <c r="A262" t="s">
        <v>1264</v>
      </c>
      <c r="B262" t="str">
        <f>IF('02_Warehouse_Locations'!A261="","",'02_Warehouse_Locations'!A261)</f>
        <v/>
      </c>
      <c r="C262" t="str">
        <f t="shared" si="4"/>
        <v/>
      </c>
      <c r="D262" t="s">
        <v>1265</v>
      </c>
    </row>
    <row r="263" spans="1:4">
      <c r="A263" t="s">
        <v>1264</v>
      </c>
      <c r="B263" t="str">
        <f>IF('02_Warehouse_Locations'!A262="","",'02_Warehouse_Locations'!A262)</f>
        <v/>
      </c>
      <c r="C263" t="str">
        <f t="shared" si="4"/>
        <v/>
      </c>
      <c r="D263" t="s">
        <v>1265</v>
      </c>
    </row>
    <row r="264" spans="1:4">
      <c r="A264" t="s">
        <v>1264</v>
      </c>
      <c r="B264" t="str">
        <f>IF('02_Warehouse_Locations'!A263="","",'02_Warehouse_Locations'!A263)</f>
        <v/>
      </c>
      <c r="C264" t="str">
        <f t="shared" si="4"/>
        <v/>
      </c>
      <c r="D264" t="s">
        <v>1265</v>
      </c>
    </row>
    <row r="265" spans="1:4">
      <c r="A265" t="s">
        <v>1264</v>
      </c>
      <c r="B265" t="str">
        <f>IF('02_Warehouse_Locations'!A264="","",'02_Warehouse_Locations'!A264)</f>
        <v/>
      </c>
      <c r="C265" t="str">
        <f t="shared" si="4"/>
        <v/>
      </c>
      <c r="D265" t="s">
        <v>1265</v>
      </c>
    </row>
    <row r="266" spans="1:4">
      <c r="A266" t="s">
        <v>1264</v>
      </c>
      <c r="B266" t="str">
        <f>IF('02_Warehouse_Locations'!A265="","",'02_Warehouse_Locations'!A265)</f>
        <v/>
      </c>
      <c r="C266" t="str">
        <f t="shared" si="4"/>
        <v/>
      </c>
      <c r="D266" t="s">
        <v>1265</v>
      </c>
    </row>
    <row r="267" spans="1:4">
      <c r="A267" t="s">
        <v>1264</v>
      </c>
      <c r="B267" t="str">
        <f>IF('02_Warehouse_Locations'!A266="","",'02_Warehouse_Locations'!A266)</f>
        <v/>
      </c>
      <c r="C267" t="str">
        <f t="shared" si="4"/>
        <v/>
      </c>
      <c r="D267" t="s">
        <v>1265</v>
      </c>
    </row>
    <row r="268" spans="1:4">
      <c r="A268" t="s">
        <v>1264</v>
      </c>
      <c r="B268" t="str">
        <f>IF('02_Warehouse_Locations'!A267="","",'02_Warehouse_Locations'!A267)</f>
        <v/>
      </c>
      <c r="C268" t="str">
        <f t="shared" si="4"/>
        <v/>
      </c>
      <c r="D268" t="s">
        <v>1265</v>
      </c>
    </row>
    <row r="269" spans="1:4">
      <c r="A269" t="s">
        <v>1264</v>
      </c>
      <c r="B269" t="str">
        <f>IF('02_Warehouse_Locations'!A268="","",'02_Warehouse_Locations'!A268)</f>
        <v/>
      </c>
      <c r="C269" t="str">
        <f t="shared" si="4"/>
        <v/>
      </c>
      <c r="D269" t="s">
        <v>1265</v>
      </c>
    </row>
    <row r="270" spans="1:4">
      <c r="A270" t="s">
        <v>1264</v>
      </c>
      <c r="B270" t="str">
        <f>IF('02_Warehouse_Locations'!A269="","",'02_Warehouse_Locations'!A269)</f>
        <v/>
      </c>
      <c r="C270" t="str">
        <f t="shared" si="4"/>
        <v/>
      </c>
      <c r="D270" t="s">
        <v>1265</v>
      </c>
    </row>
    <row r="271" spans="1:4">
      <c r="A271" t="s">
        <v>1264</v>
      </c>
      <c r="B271" t="str">
        <f>IF('02_Warehouse_Locations'!A270="","",'02_Warehouse_Locations'!A270)</f>
        <v/>
      </c>
      <c r="C271" t="str">
        <f t="shared" si="4"/>
        <v/>
      </c>
      <c r="D271" t="s">
        <v>1265</v>
      </c>
    </row>
    <row r="272" spans="1:4">
      <c r="A272" t="s">
        <v>1264</v>
      </c>
      <c r="B272" t="str">
        <f>IF('02_Warehouse_Locations'!A271="","",'02_Warehouse_Locations'!A271)</f>
        <v/>
      </c>
      <c r="C272" t="str">
        <f t="shared" si="4"/>
        <v/>
      </c>
      <c r="D272" t="s">
        <v>1265</v>
      </c>
    </row>
    <row r="273" spans="1:4">
      <c r="A273" t="s">
        <v>1264</v>
      </c>
      <c r="B273" t="str">
        <f>IF('02_Warehouse_Locations'!A272="","",'02_Warehouse_Locations'!A272)</f>
        <v/>
      </c>
      <c r="C273" t="str">
        <f t="shared" si="4"/>
        <v/>
      </c>
      <c r="D273" t="s">
        <v>1265</v>
      </c>
    </row>
    <row r="274" spans="1:4">
      <c r="A274" t="s">
        <v>1264</v>
      </c>
      <c r="B274" t="str">
        <f>IF('02_Warehouse_Locations'!A273="","",'02_Warehouse_Locations'!A273)</f>
        <v/>
      </c>
      <c r="C274" t="str">
        <f t="shared" si="4"/>
        <v/>
      </c>
      <c r="D274" t="s">
        <v>1265</v>
      </c>
    </row>
    <row r="275" spans="1:4">
      <c r="A275" t="s">
        <v>1264</v>
      </c>
      <c r="B275" t="str">
        <f>IF('02_Warehouse_Locations'!A274="","",'02_Warehouse_Locations'!A274)</f>
        <v/>
      </c>
      <c r="C275" t="str">
        <f t="shared" si="4"/>
        <v/>
      </c>
      <c r="D275" t="s">
        <v>1265</v>
      </c>
    </row>
    <row r="276" spans="1:4">
      <c r="A276" t="s">
        <v>1264</v>
      </c>
      <c r="B276" t="str">
        <f>IF('02_Warehouse_Locations'!A275="","",'02_Warehouse_Locations'!A275)</f>
        <v/>
      </c>
      <c r="C276" t="str">
        <f t="shared" si="4"/>
        <v/>
      </c>
      <c r="D276" t="s">
        <v>1265</v>
      </c>
    </row>
    <row r="277" spans="1:4">
      <c r="A277" t="s">
        <v>1264</v>
      </c>
      <c r="B277" t="str">
        <f>IF('02_Warehouse_Locations'!A276="","",'02_Warehouse_Locations'!A276)</f>
        <v/>
      </c>
      <c r="C277" t="str">
        <f t="shared" si="4"/>
        <v/>
      </c>
      <c r="D277" t="s">
        <v>1265</v>
      </c>
    </row>
    <row r="278" spans="1:4">
      <c r="A278" t="s">
        <v>1264</v>
      </c>
      <c r="B278" t="str">
        <f>IF('02_Warehouse_Locations'!A277="","",'02_Warehouse_Locations'!A277)</f>
        <v/>
      </c>
      <c r="C278" t="str">
        <f t="shared" si="4"/>
        <v/>
      </c>
      <c r="D278" t="s">
        <v>1265</v>
      </c>
    </row>
    <row r="279" spans="1:4">
      <c r="A279" t="s">
        <v>1264</v>
      </c>
      <c r="B279" t="str">
        <f>IF('02_Warehouse_Locations'!A278="","",'02_Warehouse_Locations'!A278)</f>
        <v/>
      </c>
      <c r="C279" t="str">
        <f t="shared" si="4"/>
        <v/>
      </c>
      <c r="D279" t="s">
        <v>1265</v>
      </c>
    </row>
    <row r="280" spans="1:4">
      <c r="A280" t="s">
        <v>1264</v>
      </c>
      <c r="B280" t="str">
        <f>IF('02_Warehouse_Locations'!A279="","",'02_Warehouse_Locations'!A279)</f>
        <v/>
      </c>
      <c r="C280" t="str">
        <f t="shared" si="4"/>
        <v/>
      </c>
      <c r="D280" t="s">
        <v>1265</v>
      </c>
    </row>
    <row r="281" spans="1:4">
      <c r="A281" t="s">
        <v>1264</v>
      </c>
      <c r="B281" t="str">
        <f>IF('02_Warehouse_Locations'!A280="","",'02_Warehouse_Locations'!A280)</f>
        <v/>
      </c>
      <c r="C281" t="str">
        <f t="shared" si="4"/>
        <v/>
      </c>
      <c r="D281" t="s">
        <v>1265</v>
      </c>
    </row>
    <row r="282" spans="1:4">
      <c r="A282" t="s">
        <v>1264</v>
      </c>
      <c r="B282" t="str">
        <f>IF('02_Warehouse_Locations'!A281="","",'02_Warehouse_Locations'!A281)</f>
        <v/>
      </c>
      <c r="C282" t="str">
        <f t="shared" si="4"/>
        <v/>
      </c>
      <c r="D282" t="s">
        <v>1265</v>
      </c>
    </row>
    <row r="283" spans="1:4">
      <c r="A283" t="s">
        <v>1264</v>
      </c>
      <c r="B283" t="str">
        <f>IF('02_Warehouse_Locations'!A282="","",'02_Warehouse_Locations'!A282)</f>
        <v/>
      </c>
      <c r="C283" t="str">
        <f t="shared" si="4"/>
        <v/>
      </c>
      <c r="D283" t="s">
        <v>1265</v>
      </c>
    </row>
    <row r="284" spans="1:4">
      <c r="A284" t="s">
        <v>1264</v>
      </c>
      <c r="B284" t="str">
        <f>IF('02_Warehouse_Locations'!A283="","",'02_Warehouse_Locations'!A283)</f>
        <v/>
      </c>
      <c r="C284" t="str">
        <f t="shared" si="4"/>
        <v/>
      </c>
      <c r="D284" t="s">
        <v>1265</v>
      </c>
    </row>
    <row r="285" spans="1:4">
      <c r="A285" t="s">
        <v>1264</v>
      </c>
      <c r="B285" t="str">
        <f>IF('02_Warehouse_Locations'!A284="","",'02_Warehouse_Locations'!A284)</f>
        <v/>
      </c>
      <c r="C285" t="str">
        <f t="shared" si="4"/>
        <v/>
      </c>
      <c r="D285" t="s">
        <v>1265</v>
      </c>
    </row>
    <row r="286" spans="1:4">
      <c r="A286" t="s">
        <v>1264</v>
      </c>
      <c r="B286" t="str">
        <f>IF('02_Warehouse_Locations'!A285="","",'02_Warehouse_Locations'!A285)</f>
        <v/>
      </c>
      <c r="C286" t="str">
        <f t="shared" si="4"/>
        <v/>
      </c>
      <c r="D286" t="s">
        <v>1265</v>
      </c>
    </row>
    <row r="287" spans="1:4">
      <c r="A287" t="s">
        <v>1264</v>
      </c>
      <c r="B287" t="str">
        <f>IF('02_Warehouse_Locations'!A286="","",'02_Warehouse_Locations'!A286)</f>
        <v/>
      </c>
      <c r="C287" t="str">
        <f t="shared" si="4"/>
        <v/>
      </c>
      <c r="D287" t="s">
        <v>1265</v>
      </c>
    </row>
    <row r="288" spans="1:4">
      <c r="A288" t="s">
        <v>1264</v>
      </c>
      <c r="B288" t="str">
        <f>IF('02_Warehouse_Locations'!A287="","",'02_Warehouse_Locations'!A287)</f>
        <v/>
      </c>
      <c r="C288" t="str">
        <f t="shared" si="4"/>
        <v/>
      </c>
      <c r="D288" t="s">
        <v>1265</v>
      </c>
    </row>
    <row r="289" spans="1:4">
      <c r="A289" t="s">
        <v>1264</v>
      </c>
      <c r="B289" t="str">
        <f>IF('02_Warehouse_Locations'!A288="","",'02_Warehouse_Locations'!A288)</f>
        <v/>
      </c>
      <c r="C289" t="str">
        <f t="shared" si="4"/>
        <v/>
      </c>
      <c r="D289" t="s">
        <v>1265</v>
      </c>
    </row>
    <row r="290" spans="1:4">
      <c r="A290" t="s">
        <v>1264</v>
      </c>
      <c r="B290" t="str">
        <f>IF('02_Warehouse_Locations'!A289="","",'02_Warehouse_Locations'!A289)</f>
        <v/>
      </c>
      <c r="C290" t="str">
        <f t="shared" si="4"/>
        <v/>
      </c>
      <c r="D290" t="s">
        <v>1265</v>
      </c>
    </row>
    <row r="291" spans="1:4">
      <c r="A291" t="s">
        <v>1264</v>
      </c>
      <c r="B291" t="str">
        <f>IF('02_Warehouse_Locations'!A290="","",'02_Warehouse_Locations'!A290)</f>
        <v/>
      </c>
      <c r="C291" t="str">
        <f t="shared" si="4"/>
        <v/>
      </c>
      <c r="D291" t="s">
        <v>1265</v>
      </c>
    </row>
    <row r="292" spans="1:4">
      <c r="A292" t="s">
        <v>1264</v>
      </c>
      <c r="B292" t="str">
        <f>IF('02_Warehouse_Locations'!A291="","",'02_Warehouse_Locations'!A291)</f>
        <v/>
      </c>
      <c r="C292" t="str">
        <f t="shared" si="4"/>
        <v/>
      </c>
      <c r="D292" t="s">
        <v>1265</v>
      </c>
    </row>
    <row r="293" spans="1:4">
      <c r="A293" t="s">
        <v>1264</v>
      </c>
      <c r="B293" t="str">
        <f>IF('02_Warehouse_Locations'!A292="","",'02_Warehouse_Locations'!A292)</f>
        <v/>
      </c>
      <c r="C293" t="str">
        <f t="shared" si="4"/>
        <v/>
      </c>
      <c r="D293" t="s">
        <v>1265</v>
      </c>
    </row>
    <row r="294" spans="1:4">
      <c r="A294" t="s">
        <v>1264</v>
      </c>
      <c r="B294" t="str">
        <f>IF('02_Warehouse_Locations'!A293="","",'02_Warehouse_Locations'!A293)</f>
        <v/>
      </c>
      <c r="C294" t="str">
        <f t="shared" si="4"/>
        <v/>
      </c>
      <c r="D294" t="s">
        <v>1265</v>
      </c>
    </row>
    <row r="295" spans="1:4">
      <c r="A295" t="s">
        <v>1264</v>
      </c>
      <c r="B295" t="str">
        <f>IF('02_Warehouse_Locations'!A294="","",'02_Warehouse_Locations'!A294)</f>
        <v/>
      </c>
      <c r="C295" t="str">
        <f t="shared" si="4"/>
        <v/>
      </c>
      <c r="D295" t="s">
        <v>1265</v>
      </c>
    </row>
    <row r="296" spans="1:4">
      <c r="A296" t="s">
        <v>1264</v>
      </c>
      <c r="B296" t="str">
        <f>IF('02_Warehouse_Locations'!A295="","",'02_Warehouse_Locations'!A295)</f>
        <v/>
      </c>
      <c r="C296" t="str">
        <f t="shared" si="4"/>
        <v/>
      </c>
      <c r="D296" t="s">
        <v>1265</v>
      </c>
    </row>
    <row r="297" spans="1:4">
      <c r="A297" t="s">
        <v>1264</v>
      </c>
      <c r="B297" t="str">
        <f>IF('02_Warehouse_Locations'!A296="","",'02_Warehouse_Locations'!A296)</f>
        <v/>
      </c>
      <c r="C297" t="str">
        <f t="shared" si="4"/>
        <v/>
      </c>
      <c r="D297" t="s">
        <v>1265</v>
      </c>
    </row>
    <row r="298" spans="1:4">
      <c r="A298" t="s">
        <v>1264</v>
      </c>
      <c r="B298" t="str">
        <f>IF('02_Warehouse_Locations'!A297="","",'02_Warehouse_Locations'!A297)</f>
        <v/>
      </c>
      <c r="C298" t="str">
        <f t="shared" si="4"/>
        <v/>
      </c>
      <c r="D298" t="s">
        <v>1265</v>
      </c>
    </row>
    <row r="299" spans="1:4">
      <c r="A299" t="s">
        <v>1264</v>
      </c>
      <c r="B299" t="str">
        <f>IF('02_Warehouse_Locations'!A298="","",'02_Warehouse_Locations'!A298)</f>
        <v/>
      </c>
      <c r="C299" t="str">
        <f t="shared" si="4"/>
        <v/>
      </c>
      <c r="D299" t="s">
        <v>1265</v>
      </c>
    </row>
    <row r="300" spans="1:4">
      <c r="A300" t="s">
        <v>1264</v>
      </c>
      <c r="B300" t="str">
        <f>IF('02_Warehouse_Locations'!A299="","",'02_Warehouse_Locations'!A299)</f>
        <v/>
      </c>
      <c r="C300" t="str">
        <f t="shared" si="4"/>
        <v/>
      </c>
      <c r="D300" t="s">
        <v>1265</v>
      </c>
    </row>
    <row r="301" spans="1:4">
      <c r="A301" t="s">
        <v>1264</v>
      </c>
      <c r="B301" t="str">
        <f>IF('02_Warehouse_Locations'!A300="","",'02_Warehouse_Locations'!A300)</f>
        <v/>
      </c>
      <c r="C301" t="str">
        <f t="shared" si="4"/>
        <v/>
      </c>
      <c r="D301" t="s">
        <v>1265</v>
      </c>
    </row>
    <row r="302" spans="1:4">
      <c r="A302" t="s">
        <v>1264</v>
      </c>
      <c r="B302" t="str">
        <f>IF('02_Warehouse_Locations'!A301="","",'02_Warehouse_Locations'!A301)</f>
        <v/>
      </c>
      <c r="C302" t="str">
        <f t="shared" si="4"/>
        <v/>
      </c>
      <c r="D302" t="s">
        <v>1265</v>
      </c>
    </row>
    <row r="303" spans="1:4">
      <c r="A303" t="s">
        <v>1264</v>
      </c>
      <c r="B303" t="str">
        <f>IF('02_Warehouse_Locations'!A302="","",'02_Warehouse_Locations'!A302)</f>
        <v/>
      </c>
      <c r="C303" t="str">
        <f t="shared" si="4"/>
        <v/>
      </c>
      <c r="D303" t="s">
        <v>1265</v>
      </c>
    </row>
    <row r="304" spans="1:4">
      <c r="A304" t="s">
        <v>1264</v>
      </c>
      <c r="B304" t="str">
        <f>IF('02_Warehouse_Locations'!A303="","",'02_Warehouse_Locations'!A303)</f>
        <v/>
      </c>
      <c r="C304" t="str">
        <f t="shared" si="4"/>
        <v/>
      </c>
      <c r="D304" t="s">
        <v>1265</v>
      </c>
    </row>
    <row r="305" spans="1:4">
      <c r="A305" t="s">
        <v>1264</v>
      </c>
      <c r="B305" t="str">
        <f>IF('02_Warehouse_Locations'!A304="","",'02_Warehouse_Locations'!A304)</f>
        <v/>
      </c>
      <c r="C305" t="str">
        <f t="shared" si="4"/>
        <v/>
      </c>
      <c r="D305" t="s">
        <v>1265</v>
      </c>
    </row>
    <row r="306" spans="1:4">
      <c r="A306" t="s">
        <v>1264</v>
      </c>
      <c r="B306" t="str">
        <f>IF('02_Warehouse_Locations'!A305="","",'02_Warehouse_Locations'!A305)</f>
        <v/>
      </c>
      <c r="C306" t="str">
        <f t="shared" si="4"/>
        <v/>
      </c>
      <c r="D306" t="s">
        <v>1265</v>
      </c>
    </row>
    <row r="307" spans="1:4">
      <c r="A307" t="s">
        <v>1264</v>
      </c>
      <c r="B307" t="str">
        <f>IF('02_Warehouse_Locations'!A306="","",'02_Warehouse_Locations'!A306)</f>
        <v/>
      </c>
      <c r="C307" t="str">
        <f t="shared" si="4"/>
        <v/>
      </c>
      <c r="D307" t="s">
        <v>1265</v>
      </c>
    </row>
    <row r="308" spans="1:4">
      <c r="A308" t="s">
        <v>1264</v>
      </c>
      <c r="B308" t="str">
        <f>IF('02_Warehouse_Locations'!A307="","",'02_Warehouse_Locations'!A307)</f>
        <v/>
      </c>
      <c r="C308" t="str">
        <f t="shared" si="4"/>
        <v/>
      </c>
      <c r="D308" t="s">
        <v>1265</v>
      </c>
    </row>
    <row r="309" spans="1:4">
      <c r="A309" t="s">
        <v>1264</v>
      </c>
      <c r="B309" t="str">
        <f>IF('02_Warehouse_Locations'!A308="","",'02_Warehouse_Locations'!A308)</f>
        <v/>
      </c>
      <c r="C309" t="str">
        <f t="shared" si="4"/>
        <v/>
      </c>
      <c r="D309" t="s">
        <v>1265</v>
      </c>
    </row>
    <row r="310" spans="1:4">
      <c r="A310" t="s">
        <v>1264</v>
      </c>
      <c r="B310" t="str">
        <f>IF('02_Warehouse_Locations'!A309="","",'02_Warehouse_Locations'!A309)</f>
        <v/>
      </c>
      <c r="C310" t="str">
        <f t="shared" si="4"/>
        <v/>
      </c>
      <c r="D310" t="s">
        <v>1265</v>
      </c>
    </row>
    <row r="311" spans="1:4">
      <c r="A311" t="s">
        <v>1264</v>
      </c>
      <c r="B311" t="str">
        <f>IF('02_Warehouse_Locations'!A310="","",'02_Warehouse_Locations'!A310)</f>
        <v/>
      </c>
      <c r="C311" t="str">
        <f t="shared" si="4"/>
        <v/>
      </c>
      <c r="D311" t="s">
        <v>1265</v>
      </c>
    </row>
    <row r="312" spans="1:4">
      <c r="A312" t="s">
        <v>1264</v>
      </c>
      <c r="B312" t="str">
        <f>IF('02_Warehouse_Locations'!A311="","",'02_Warehouse_Locations'!A311)</f>
        <v/>
      </c>
      <c r="C312" t="str">
        <f t="shared" si="4"/>
        <v/>
      </c>
      <c r="D312" t="s">
        <v>1265</v>
      </c>
    </row>
    <row r="313" spans="1:4">
      <c r="A313" t="s">
        <v>1264</v>
      </c>
      <c r="B313" t="str">
        <f>IF('02_Warehouse_Locations'!A312="","",'02_Warehouse_Locations'!A312)</f>
        <v/>
      </c>
      <c r="C313" t="str">
        <f t="shared" si="4"/>
        <v/>
      </c>
      <c r="D313" t="s">
        <v>1265</v>
      </c>
    </row>
    <row r="314" spans="1:4">
      <c r="A314" t="s">
        <v>1264</v>
      </c>
      <c r="B314" t="str">
        <f>IF('02_Warehouse_Locations'!A313="","",'02_Warehouse_Locations'!A313)</f>
        <v/>
      </c>
      <c r="C314" t="str">
        <f t="shared" si="4"/>
        <v/>
      </c>
      <c r="D314" t="s">
        <v>1265</v>
      </c>
    </row>
    <row r="315" spans="1:4">
      <c r="A315" t="s">
        <v>1264</v>
      </c>
      <c r="B315" t="str">
        <f>IF('02_Warehouse_Locations'!A314="","",'02_Warehouse_Locations'!A314)</f>
        <v/>
      </c>
      <c r="C315" t="str">
        <f t="shared" si="4"/>
        <v/>
      </c>
      <c r="D315" t="s">
        <v>1265</v>
      </c>
    </row>
    <row r="316" spans="1:4">
      <c r="A316" t="s">
        <v>1264</v>
      </c>
      <c r="B316" t="str">
        <f>IF('02_Warehouse_Locations'!A315="","",'02_Warehouse_Locations'!A315)</f>
        <v/>
      </c>
      <c r="C316" t="str">
        <f t="shared" si="4"/>
        <v/>
      </c>
      <c r="D316" t="s">
        <v>1265</v>
      </c>
    </row>
    <row r="317" spans="1:4">
      <c r="A317" t="s">
        <v>1264</v>
      </c>
      <c r="B317" t="str">
        <f>IF('02_Warehouse_Locations'!A316="","",'02_Warehouse_Locations'!A316)</f>
        <v/>
      </c>
      <c r="C317" t="str">
        <f t="shared" si="4"/>
        <v/>
      </c>
      <c r="D317" t="s">
        <v>1265</v>
      </c>
    </row>
    <row r="318" spans="1:4">
      <c r="A318" t="s">
        <v>1264</v>
      </c>
      <c r="B318" t="str">
        <f>IF('02_Warehouse_Locations'!A317="","",'02_Warehouse_Locations'!A317)</f>
        <v/>
      </c>
      <c r="C318" t="str">
        <f t="shared" si="4"/>
        <v/>
      </c>
      <c r="D318" t="s">
        <v>1265</v>
      </c>
    </row>
    <row r="319" spans="1:4">
      <c r="A319" t="s">
        <v>1264</v>
      </c>
      <c r="B319" t="str">
        <f>IF('02_Warehouse_Locations'!A318="","",'02_Warehouse_Locations'!A318)</f>
        <v/>
      </c>
      <c r="C319" t="str">
        <f t="shared" si="4"/>
        <v/>
      </c>
      <c r="D319" t="s">
        <v>1265</v>
      </c>
    </row>
    <row r="320" spans="1:4">
      <c r="A320" t="s">
        <v>1264</v>
      </c>
      <c r="B320" t="str">
        <f>IF('02_Warehouse_Locations'!A319="","",'02_Warehouse_Locations'!A319)</f>
        <v/>
      </c>
      <c r="C320" t="str">
        <f t="shared" si="4"/>
        <v/>
      </c>
      <c r="D320" t="s">
        <v>1265</v>
      </c>
    </row>
    <row r="321" spans="1:4">
      <c r="A321" t="s">
        <v>1264</v>
      </c>
      <c r="B321" t="str">
        <f>IF('02_Warehouse_Locations'!A320="","",'02_Warehouse_Locations'!A320)</f>
        <v/>
      </c>
      <c r="C321" t="str">
        <f t="shared" si="4"/>
        <v/>
      </c>
      <c r="D321" t="s">
        <v>1265</v>
      </c>
    </row>
    <row r="322" spans="1:4">
      <c r="A322" t="s">
        <v>1264</v>
      </c>
      <c r="B322" t="str">
        <f>IF('02_Warehouse_Locations'!A321="","",'02_Warehouse_Locations'!A321)</f>
        <v/>
      </c>
      <c r="C322" t="str">
        <f t="shared" si="4"/>
        <v/>
      </c>
      <c r="D322" t="s">
        <v>1265</v>
      </c>
    </row>
    <row r="323" spans="1:4">
      <c r="A323" t="s">
        <v>1264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1265</v>
      </c>
    </row>
    <row r="324" spans="1:4">
      <c r="A324" t="s">
        <v>1264</v>
      </c>
      <c r="B324" t="str">
        <f>IF('02_Warehouse_Locations'!A323="","",'02_Warehouse_Locations'!A323)</f>
        <v/>
      </c>
      <c r="C324" t="str">
        <f t="shared" si="5"/>
        <v/>
      </c>
      <c r="D324" t="s">
        <v>1265</v>
      </c>
    </row>
    <row r="325" spans="1:4">
      <c r="A325" t="s">
        <v>1264</v>
      </c>
      <c r="B325" t="str">
        <f>IF('02_Warehouse_Locations'!A324="","",'02_Warehouse_Locations'!A324)</f>
        <v/>
      </c>
      <c r="C325" t="str">
        <f t="shared" si="5"/>
        <v/>
      </c>
      <c r="D325" t="s">
        <v>1265</v>
      </c>
    </row>
    <row r="326" spans="1:4">
      <c r="A326" t="s">
        <v>1264</v>
      </c>
      <c r="B326" t="str">
        <f>IF('02_Warehouse_Locations'!A325="","",'02_Warehouse_Locations'!A325)</f>
        <v/>
      </c>
      <c r="C326" t="str">
        <f t="shared" si="5"/>
        <v/>
      </c>
      <c r="D326" t="s">
        <v>1265</v>
      </c>
    </row>
    <row r="327" spans="1:4">
      <c r="A327" t="s">
        <v>1264</v>
      </c>
      <c r="B327" t="str">
        <f>IF('02_Warehouse_Locations'!A326="","",'02_Warehouse_Locations'!A326)</f>
        <v/>
      </c>
      <c r="C327" t="str">
        <f t="shared" si="5"/>
        <v/>
      </c>
      <c r="D327" t="s">
        <v>1265</v>
      </c>
    </row>
    <row r="328" spans="1:4">
      <c r="A328" t="s">
        <v>1264</v>
      </c>
      <c r="B328" t="str">
        <f>IF('02_Warehouse_Locations'!A327="","",'02_Warehouse_Locations'!A327)</f>
        <v/>
      </c>
      <c r="C328" t="str">
        <f t="shared" si="5"/>
        <v/>
      </c>
      <c r="D328" t="s">
        <v>1265</v>
      </c>
    </row>
    <row r="329" spans="1:4">
      <c r="A329" t="s">
        <v>1264</v>
      </c>
      <c r="B329" t="str">
        <f>IF('02_Warehouse_Locations'!A328="","",'02_Warehouse_Locations'!A328)</f>
        <v/>
      </c>
      <c r="C329" t="str">
        <f t="shared" si="5"/>
        <v/>
      </c>
      <c r="D329" t="s">
        <v>1265</v>
      </c>
    </row>
    <row r="330" spans="1:4">
      <c r="A330" t="s">
        <v>1264</v>
      </c>
      <c r="B330" t="str">
        <f>IF('02_Warehouse_Locations'!A329="","",'02_Warehouse_Locations'!A329)</f>
        <v/>
      </c>
      <c r="C330" t="str">
        <f t="shared" si="5"/>
        <v/>
      </c>
      <c r="D330" t="s">
        <v>1265</v>
      </c>
    </row>
    <row r="331" spans="1:4">
      <c r="A331" t="s">
        <v>1264</v>
      </c>
      <c r="B331" t="str">
        <f>IF('02_Warehouse_Locations'!A330="","",'02_Warehouse_Locations'!A330)</f>
        <v/>
      </c>
      <c r="C331" t="str">
        <f t="shared" si="5"/>
        <v/>
      </c>
      <c r="D331" t="s">
        <v>1265</v>
      </c>
    </row>
    <row r="332" spans="1:4">
      <c r="A332" t="s">
        <v>1264</v>
      </c>
      <c r="B332" t="str">
        <f>IF('02_Warehouse_Locations'!A331="","",'02_Warehouse_Locations'!A331)</f>
        <v/>
      </c>
      <c r="C332" t="str">
        <f t="shared" si="5"/>
        <v/>
      </c>
      <c r="D332" t="s">
        <v>1265</v>
      </c>
    </row>
    <row r="333" spans="1:4">
      <c r="A333" t="s">
        <v>1264</v>
      </c>
      <c r="B333" t="str">
        <f>IF('02_Warehouse_Locations'!A332="","",'02_Warehouse_Locations'!A332)</f>
        <v/>
      </c>
      <c r="C333" t="str">
        <f t="shared" si="5"/>
        <v/>
      </c>
      <c r="D333" t="s">
        <v>1265</v>
      </c>
    </row>
    <row r="334" spans="1:4">
      <c r="A334" t="s">
        <v>1264</v>
      </c>
      <c r="B334" t="str">
        <f>IF('02_Warehouse_Locations'!A333="","",'02_Warehouse_Locations'!A333)</f>
        <v/>
      </c>
      <c r="C334" t="str">
        <f t="shared" si="5"/>
        <v/>
      </c>
      <c r="D334" t="s">
        <v>1265</v>
      </c>
    </row>
    <row r="335" spans="1:4">
      <c r="A335" t="s">
        <v>1264</v>
      </c>
      <c r="B335" t="str">
        <f>IF('02_Warehouse_Locations'!A334="","",'02_Warehouse_Locations'!A334)</f>
        <v/>
      </c>
      <c r="C335" t="str">
        <f t="shared" si="5"/>
        <v/>
      </c>
      <c r="D335" t="s">
        <v>1265</v>
      </c>
    </row>
    <row r="336" spans="1:4">
      <c r="A336" t="s">
        <v>1264</v>
      </c>
      <c r="B336" t="str">
        <f>IF('02_Warehouse_Locations'!A335="","",'02_Warehouse_Locations'!A335)</f>
        <v/>
      </c>
      <c r="C336" t="str">
        <f t="shared" si="5"/>
        <v/>
      </c>
      <c r="D336" t="s">
        <v>1265</v>
      </c>
    </row>
    <row r="337" spans="1:4">
      <c r="A337" t="s">
        <v>1264</v>
      </c>
      <c r="B337" t="str">
        <f>IF('02_Warehouse_Locations'!A336="","",'02_Warehouse_Locations'!A336)</f>
        <v/>
      </c>
      <c r="C337" t="str">
        <f t="shared" si="5"/>
        <v/>
      </c>
      <c r="D337" t="s">
        <v>1265</v>
      </c>
    </row>
    <row r="338" spans="1:4">
      <c r="A338" t="s">
        <v>1264</v>
      </c>
      <c r="B338" t="str">
        <f>IF('02_Warehouse_Locations'!A337="","",'02_Warehouse_Locations'!A337)</f>
        <v/>
      </c>
      <c r="C338" t="str">
        <f t="shared" si="5"/>
        <v/>
      </c>
      <c r="D338" t="s">
        <v>1265</v>
      </c>
    </row>
    <row r="339" spans="1:4">
      <c r="A339" t="s">
        <v>1264</v>
      </c>
      <c r="B339" t="str">
        <f>IF('02_Warehouse_Locations'!A338="","",'02_Warehouse_Locations'!A338)</f>
        <v/>
      </c>
      <c r="C339" t="str">
        <f t="shared" si="5"/>
        <v/>
      </c>
      <c r="D339" t="s">
        <v>1265</v>
      </c>
    </row>
    <row r="340" spans="1:4">
      <c r="A340" t="s">
        <v>1264</v>
      </c>
      <c r="B340" t="str">
        <f>IF('02_Warehouse_Locations'!A339="","",'02_Warehouse_Locations'!A339)</f>
        <v/>
      </c>
      <c r="C340" t="str">
        <f t="shared" si="5"/>
        <v/>
      </c>
      <c r="D340" t="s">
        <v>1265</v>
      </c>
    </row>
    <row r="341" spans="1:4">
      <c r="A341" t="s">
        <v>1264</v>
      </c>
      <c r="B341" t="str">
        <f>IF('02_Warehouse_Locations'!A340="","",'02_Warehouse_Locations'!A340)</f>
        <v/>
      </c>
      <c r="C341" t="str">
        <f t="shared" si="5"/>
        <v/>
      </c>
      <c r="D341" t="s">
        <v>1265</v>
      </c>
    </row>
    <row r="342" spans="1:4">
      <c r="A342" t="s">
        <v>1264</v>
      </c>
      <c r="B342" t="str">
        <f>IF('02_Warehouse_Locations'!A341="","",'02_Warehouse_Locations'!A341)</f>
        <v/>
      </c>
      <c r="C342" t="str">
        <f t="shared" si="5"/>
        <v/>
      </c>
      <c r="D342" t="s">
        <v>1265</v>
      </c>
    </row>
    <row r="343" spans="1:4">
      <c r="A343" t="s">
        <v>1264</v>
      </c>
      <c r="B343" t="str">
        <f>IF('02_Warehouse_Locations'!A342="","",'02_Warehouse_Locations'!A342)</f>
        <v/>
      </c>
      <c r="C343" t="str">
        <f t="shared" si="5"/>
        <v/>
      </c>
      <c r="D343" t="s">
        <v>1265</v>
      </c>
    </row>
    <row r="344" spans="1:4">
      <c r="A344" t="s">
        <v>1264</v>
      </c>
      <c r="B344" t="str">
        <f>IF('02_Warehouse_Locations'!A343="","",'02_Warehouse_Locations'!A343)</f>
        <v/>
      </c>
      <c r="C344" t="str">
        <f t="shared" si="5"/>
        <v/>
      </c>
      <c r="D344" t="s">
        <v>1265</v>
      </c>
    </row>
    <row r="345" spans="1:4">
      <c r="A345" t="s">
        <v>1264</v>
      </c>
      <c r="B345" t="str">
        <f>IF('02_Warehouse_Locations'!A344="","",'02_Warehouse_Locations'!A344)</f>
        <v/>
      </c>
      <c r="C345" t="str">
        <f t="shared" si="5"/>
        <v/>
      </c>
      <c r="D345" t="s">
        <v>1265</v>
      </c>
    </row>
    <row r="346" spans="1:4">
      <c r="A346" t="s">
        <v>1264</v>
      </c>
      <c r="B346" t="str">
        <f>IF('02_Warehouse_Locations'!A345="","",'02_Warehouse_Locations'!A345)</f>
        <v/>
      </c>
      <c r="C346" t="str">
        <f t="shared" si="5"/>
        <v/>
      </c>
      <c r="D346" t="s">
        <v>1265</v>
      </c>
    </row>
    <row r="347" spans="1:4">
      <c r="A347" t="s">
        <v>1264</v>
      </c>
      <c r="B347" t="str">
        <f>IF('02_Warehouse_Locations'!A346="","",'02_Warehouse_Locations'!A346)</f>
        <v/>
      </c>
      <c r="C347" t="str">
        <f t="shared" si="5"/>
        <v/>
      </c>
      <c r="D347" t="s">
        <v>1265</v>
      </c>
    </row>
    <row r="348" spans="1:4">
      <c r="A348" t="s">
        <v>1264</v>
      </c>
      <c r="B348" t="str">
        <f>IF('02_Warehouse_Locations'!A347="","",'02_Warehouse_Locations'!A347)</f>
        <v/>
      </c>
      <c r="C348" t="str">
        <f t="shared" si="5"/>
        <v/>
      </c>
      <c r="D348" t="s">
        <v>1265</v>
      </c>
    </row>
    <row r="349" spans="1:4">
      <c r="A349" t="s">
        <v>1264</v>
      </c>
      <c r="B349" t="str">
        <f>IF('02_Warehouse_Locations'!A348="","",'02_Warehouse_Locations'!A348)</f>
        <v/>
      </c>
      <c r="C349" t="str">
        <f t="shared" si="5"/>
        <v/>
      </c>
      <c r="D349" t="s">
        <v>1265</v>
      </c>
    </row>
    <row r="350" spans="1:4">
      <c r="A350" t="s">
        <v>1264</v>
      </c>
      <c r="B350" t="str">
        <f>IF('02_Warehouse_Locations'!A349="","",'02_Warehouse_Locations'!A349)</f>
        <v/>
      </c>
      <c r="C350" t="str">
        <f t="shared" si="5"/>
        <v/>
      </c>
      <c r="D350" t="s">
        <v>1265</v>
      </c>
    </row>
    <row r="351" spans="1:4">
      <c r="A351" t="s">
        <v>1264</v>
      </c>
      <c r="B351" t="str">
        <f>IF('02_Warehouse_Locations'!A350="","",'02_Warehouse_Locations'!A350)</f>
        <v/>
      </c>
      <c r="C351" t="str">
        <f t="shared" si="5"/>
        <v/>
      </c>
      <c r="D351" t="s">
        <v>1265</v>
      </c>
    </row>
    <row r="352" spans="1:4">
      <c r="A352" t="s">
        <v>1264</v>
      </c>
      <c r="B352" t="str">
        <f>IF('02_Warehouse_Locations'!A351="","",'02_Warehouse_Locations'!A351)</f>
        <v/>
      </c>
      <c r="C352" t="str">
        <f t="shared" si="5"/>
        <v/>
      </c>
      <c r="D352" t="s">
        <v>1265</v>
      </c>
    </row>
    <row r="353" spans="1:4">
      <c r="A353" t="s">
        <v>1264</v>
      </c>
      <c r="B353" t="str">
        <f>IF('02_Warehouse_Locations'!A352="","",'02_Warehouse_Locations'!A352)</f>
        <v/>
      </c>
      <c r="C353" t="str">
        <f t="shared" si="5"/>
        <v/>
      </c>
      <c r="D353" t="s">
        <v>1265</v>
      </c>
    </row>
    <row r="354" spans="1:4">
      <c r="A354" t="s">
        <v>1264</v>
      </c>
      <c r="B354" t="str">
        <f>IF('02_Warehouse_Locations'!A353="","",'02_Warehouse_Locations'!A353)</f>
        <v/>
      </c>
      <c r="C354" t="str">
        <f t="shared" si="5"/>
        <v/>
      </c>
      <c r="D354" t="s">
        <v>1265</v>
      </c>
    </row>
    <row r="355" spans="1:4">
      <c r="A355" t="s">
        <v>1264</v>
      </c>
      <c r="B355" t="str">
        <f>IF('02_Warehouse_Locations'!A354="","",'02_Warehouse_Locations'!A354)</f>
        <v/>
      </c>
      <c r="C355" t="str">
        <f t="shared" si="5"/>
        <v/>
      </c>
      <c r="D355" t="s">
        <v>1265</v>
      </c>
    </row>
    <row r="356" spans="1:4">
      <c r="A356" t="s">
        <v>1264</v>
      </c>
      <c r="B356" t="str">
        <f>IF('02_Warehouse_Locations'!A355="","",'02_Warehouse_Locations'!A355)</f>
        <v/>
      </c>
      <c r="C356" t="str">
        <f t="shared" si="5"/>
        <v/>
      </c>
      <c r="D356" t="s">
        <v>1265</v>
      </c>
    </row>
    <row r="357" spans="1:4">
      <c r="A357" t="s">
        <v>1264</v>
      </c>
      <c r="B357" t="str">
        <f>IF('02_Warehouse_Locations'!A356="","",'02_Warehouse_Locations'!A356)</f>
        <v/>
      </c>
      <c r="C357" t="str">
        <f t="shared" si="5"/>
        <v/>
      </c>
      <c r="D357" t="s">
        <v>1265</v>
      </c>
    </row>
    <row r="358" spans="1:4">
      <c r="A358" t="s">
        <v>1264</v>
      </c>
      <c r="B358" t="str">
        <f>IF('02_Warehouse_Locations'!A357="","",'02_Warehouse_Locations'!A357)</f>
        <v/>
      </c>
      <c r="C358" t="str">
        <f t="shared" si="5"/>
        <v/>
      </c>
      <c r="D358" t="s">
        <v>1265</v>
      </c>
    </row>
    <row r="359" spans="1:4">
      <c r="A359" t="s">
        <v>1264</v>
      </c>
      <c r="B359" t="str">
        <f>IF('02_Warehouse_Locations'!A358="","",'02_Warehouse_Locations'!A358)</f>
        <v/>
      </c>
      <c r="C359" t="str">
        <f t="shared" si="5"/>
        <v/>
      </c>
      <c r="D359" t="s">
        <v>1265</v>
      </c>
    </row>
    <row r="360" spans="1:4">
      <c r="A360" t="s">
        <v>1264</v>
      </c>
      <c r="B360" t="str">
        <f>IF('02_Warehouse_Locations'!A359="","",'02_Warehouse_Locations'!A359)</f>
        <v/>
      </c>
      <c r="C360" t="str">
        <f t="shared" si="5"/>
        <v/>
      </c>
      <c r="D360" t="s">
        <v>1265</v>
      </c>
    </row>
    <row r="361" spans="1:4">
      <c r="A361" t="s">
        <v>1264</v>
      </c>
      <c r="B361" t="str">
        <f>IF('02_Warehouse_Locations'!A360="","",'02_Warehouse_Locations'!A360)</f>
        <v/>
      </c>
      <c r="C361" t="str">
        <f t="shared" si="5"/>
        <v/>
      </c>
      <c r="D361" t="s">
        <v>1265</v>
      </c>
    </row>
    <row r="362" spans="1:4">
      <c r="A362" t="s">
        <v>1264</v>
      </c>
      <c r="B362" t="str">
        <f>IF('02_Warehouse_Locations'!A361="","",'02_Warehouse_Locations'!A361)</f>
        <v/>
      </c>
      <c r="C362" t="str">
        <f t="shared" si="5"/>
        <v/>
      </c>
      <c r="D362" t="s">
        <v>1265</v>
      </c>
    </row>
    <row r="363" spans="1:4">
      <c r="A363" t="s">
        <v>1264</v>
      </c>
      <c r="B363" t="str">
        <f>IF('02_Warehouse_Locations'!A362="","",'02_Warehouse_Locations'!A362)</f>
        <v/>
      </c>
      <c r="C363" t="str">
        <f t="shared" si="5"/>
        <v/>
      </c>
      <c r="D363" t="s">
        <v>1265</v>
      </c>
    </row>
    <row r="364" spans="1:4">
      <c r="A364" t="s">
        <v>1264</v>
      </c>
      <c r="B364" t="str">
        <f>IF('02_Warehouse_Locations'!A363="","",'02_Warehouse_Locations'!A363)</f>
        <v/>
      </c>
      <c r="C364" t="str">
        <f t="shared" si="5"/>
        <v/>
      </c>
      <c r="D364" t="s">
        <v>1265</v>
      </c>
    </row>
    <row r="365" spans="1:4">
      <c r="A365" t="s">
        <v>1264</v>
      </c>
      <c r="B365" t="str">
        <f>IF('02_Warehouse_Locations'!A364="","",'02_Warehouse_Locations'!A364)</f>
        <v/>
      </c>
      <c r="C365" t="str">
        <f t="shared" si="5"/>
        <v/>
      </c>
      <c r="D365" t="s">
        <v>1265</v>
      </c>
    </row>
    <row r="366" spans="1:4">
      <c r="A366" t="s">
        <v>1264</v>
      </c>
      <c r="B366" t="str">
        <f>IF('02_Warehouse_Locations'!A365="","",'02_Warehouse_Locations'!A365)</f>
        <v/>
      </c>
      <c r="C366" t="str">
        <f t="shared" si="5"/>
        <v/>
      </c>
      <c r="D366" t="s">
        <v>1265</v>
      </c>
    </row>
    <row r="367" spans="1:4">
      <c r="A367" t="s">
        <v>1264</v>
      </c>
      <c r="B367" t="str">
        <f>IF('02_Warehouse_Locations'!A366="","",'02_Warehouse_Locations'!A366)</f>
        <v/>
      </c>
      <c r="C367" t="str">
        <f t="shared" si="5"/>
        <v/>
      </c>
      <c r="D367" t="s">
        <v>1265</v>
      </c>
    </row>
    <row r="368" spans="1:4">
      <c r="A368" t="s">
        <v>1264</v>
      </c>
      <c r="B368" t="str">
        <f>IF('02_Warehouse_Locations'!A367="","",'02_Warehouse_Locations'!A367)</f>
        <v/>
      </c>
      <c r="C368" t="str">
        <f t="shared" si="5"/>
        <v/>
      </c>
      <c r="D368" t="s">
        <v>1265</v>
      </c>
    </row>
    <row r="369" spans="1:4">
      <c r="A369" t="s">
        <v>1264</v>
      </c>
      <c r="B369" t="str">
        <f>IF('02_Warehouse_Locations'!A368="","",'02_Warehouse_Locations'!A368)</f>
        <v/>
      </c>
      <c r="C369" t="str">
        <f t="shared" si="5"/>
        <v/>
      </c>
      <c r="D369" t="s">
        <v>1265</v>
      </c>
    </row>
    <row r="370" spans="1:4">
      <c r="A370" t="s">
        <v>1264</v>
      </c>
      <c r="B370" t="str">
        <f>IF('02_Warehouse_Locations'!A369="","",'02_Warehouse_Locations'!A369)</f>
        <v/>
      </c>
      <c r="C370" t="str">
        <f t="shared" si="5"/>
        <v/>
      </c>
      <c r="D370" t="s">
        <v>1265</v>
      </c>
    </row>
    <row r="371" spans="1:4">
      <c r="A371" t="s">
        <v>1264</v>
      </c>
      <c r="B371" t="str">
        <f>IF('02_Warehouse_Locations'!A370="","",'02_Warehouse_Locations'!A370)</f>
        <v/>
      </c>
      <c r="C371" t="str">
        <f t="shared" si="5"/>
        <v/>
      </c>
      <c r="D371" t="s">
        <v>1265</v>
      </c>
    </row>
    <row r="372" spans="1:4">
      <c r="A372" t="s">
        <v>1264</v>
      </c>
      <c r="B372" t="str">
        <f>IF('02_Warehouse_Locations'!A371="","",'02_Warehouse_Locations'!A371)</f>
        <v/>
      </c>
      <c r="C372" t="str">
        <f t="shared" si="5"/>
        <v/>
      </c>
      <c r="D372" t="s">
        <v>1265</v>
      </c>
    </row>
    <row r="373" spans="1:4">
      <c r="A373" t="s">
        <v>1264</v>
      </c>
      <c r="B373" t="str">
        <f>IF('02_Warehouse_Locations'!A372="","",'02_Warehouse_Locations'!A372)</f>
        <v/>
      </c>
      <c r="C373" t="str">
        <f t="shared" si="5"/>
        <v/>
      </c>
      <c r="D373" t="s">
        <v>1265</v>
      </c>
    </row>
    <row r="374" spans="1:4">
      <c r="A374" t="s">
        <v>1264</v>
      </c>
      <c r="B374" t="str">
        <f>IF('02_Warehouse_Locations'!A373="","",'02_Warehouse_Locations'!A373)</f>
        <v/>
      </c>
      <c r="C374" t="str">
        <f t="shared" si="5"/>
        <v/>
      </c>
      <c r="D374" t="s">
        <v>1265</v>
      </c>
    </row>
    <row r="375" spans="1:4">
      <c r="A375" t="s">
        <v>1264</v>
      </c>
      <c r="B375" t="str">
        <f>IF('02_Warehouse_Locations'!A374="","",'02_Warehouse_Locations'!A374)</f>
        <v/>
      </c>
      <c r="C375" t="str">
        <f t="shared" si="5"/>
        <v/>
      </c>
      <c r="D375" t="s">
        <v>1265</v>
      </c>
    </row>
    <row r="376" spans="1:4">
      <c r="A376" t="s">
        <v>1264</v>
      </c>
      <c r="B376" t="str">
        <f>IF('02_Warehouse_Locations'!A375="","",'02_Warehouse_Locations'!A375)</f>
        <v/>
      </c>
      <c r="C376" t="str">
        <f t="shared" si="5"/>
        <v/>
      </c>
      <c r="D376" t="s">
        <v>1265</v>
      </c>
    </row>
    <row r="377" spans="1:4">
      <c r="A377" t="s">
        <v>1264</v>
      </c>
      <c r="B377" t="str">
        <f>IF('02_Warehouse_Locations'!A376="","",'02_Warehouse_Locations'!A376)</f>
        <v/>
      </c>
      <c r="C377" t="str">
        <f t="shared" si="5"/>
        <v/>
      </c>
      <c r="D377" t="s">
        <v>1265</v>
      </c>
    </row>
    <row r="378" spans="1:4">
      <c r="A378" t="s">
        <v>1264</v>
      </c>
      <c r="B378" t="str">
        <f>IF('02_Warehouse_Locations'!A377="","",'02_Warehouse_Locations'!A377)</f>
        <v/>
      </c>
      <c r="C378" t="str">
        <f t="shared" si="5"/>
        <v/>
      </c>
      <c r="D378" t="s">
        <v>1265</v>
      </c>
    </row>
    <row r="379" spans="1:4">
      <c r="A379" t="s">
        <v>1264</v>
      </c>
      <c r="B379" t="str">
        <f>IF('02_Warehouse_Locations'!A378="","",'02_Warehouse_Locations'!A378)</f>
        <v/>
      </c>
      <c r="C379" t="str">
        <f t="shared" si="5"/>
        <v/>
      </c>
      <c r="D379" t="s">
        <v>1265</v>
      </c>
    </row>
    <row r="380" spans="1:4">
      <c r="A380" t="s">
        <v>1264</v>
      </c>
      <c r="B380" t="str">
        <f>IF('02_Warehouse_Locations'!A379="","",'02_Warehouse_Locations'!A379)</f>
        <v/>
      </c>
      <c r="C380" t="str">
        <f t="shared" si="5"/>
        <v/>
      </c>
      <c r="D380" t="s">
        <v>1265</v>
      </c>
    </row>
    <row r="381" spans="1:4">
      <c r="A381" t="s">
        <v>1264</v>
      </c>
      <c r="B381" t="str">
        <f>IF('02_Warehouse_Locations'!A380="","",'02_Warehouse_Locations'!A380)</f>
        <v/>
      </c>
      <c r="C381" t="str">
        <f t="shared" si="5"/>
        <v/>
      </c>
      <c r="D381" t="s">
        <v>1265</v>
      </c>
    </row>
    <row r="382" spans="1:4">
      <c r="A382" t="s">
        <v>1264</v>
      </c>
      <c r="B382" t="str">
        <f>IF('02_Warehouse_Locations'!A381="","",'02_Warehouse_Locations'!A381)</f>
        <v/>
      </c>
      <c r="C382" t="str">
        <f t="shared" si="5"/>
        <v/>
      </c>
      <c r="D382" t="s">
        <v>1265</v>
      </c>
    </row>
    <row r="383" spans="1:4">
      <c r="A383" t="s">
        <v>1264</v>
      </c>
      <c r="B383" t="str">
        <f>IF('02_Warehouse_Locations'!A382="","",'02_Warehouse_Locations'!A382)</f>
        <v/>
      </c>
      <c r="C383" t="str">
        <f t="shared" si="5"/>
        <v/>
      </c>
      <c r="D383" t="s">
        <v>1265</v>
      </c>
    </row>
    <row r="384" spans="1:4">
      <c r="A384" t="s">
        <v>1264</v>
      </c>
      <c r="B384" t="str">
        <f>IF('02_Warehouse_Locations'!A383="","",'02_Warehouse_Locations'!A383)</f>
        <v/>
      </c>
      <c r="C384" t="str">
        <f t="shared" si="5"/>
        <v/>
      </c>
      <c r="D384" t="s">
        <v>1265</v>
      </c>
    </row>
    <row r="385" spans="1:4">
      <c r="A385" t="s">
        <v>1264</v>
      </c>
      <c r="B385" t="str">
        <f>IF('02_Warehouse_Locations'!A384="","",'02_Warehouse_Locations'!A384)</f>
        <v/>
      </c>
      <c r="C385" t="str">
        <f t="shared" si="5"/>
        <v/>
      </c>
      <c r="D385" t="s">
        <v>1265</v>
      </c>
    </row>
    <row r="386" spans="1:4">
      <c r="A386" t="s">
        <v>1264</v>
      </c>
      <c r="B386" t="str">
        <f>IF('02_Warehouse_Locations'!A385="","",'02_Warehouse_Locations'!A385)</f>
        <v/>
      </c>
      <c r="C386" t="str">
        <f t="shared" si="5"/>
        <v/>
      </c>
      <c r="D386" t="s">
        <v>1265</v>
      </c>
    </row>
    <row r="387" spans="1:4">
      <c r="A387" t="s">
        <v>1264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1265</v>
      </c>
    </row>
    <row r="388" spans="1:4">
      <c r="A388" t="s">
        <v>1264</v>
      </c>
      <c r="B388" t="str">
        <f>IF('02_Warehouse_Locations'!A387="","",'02_Warehouse_Locations'!A387)</f>
        <v/>
      </c>
      <c r="C388" t="str">
        <f t="shared" si="6"/>
        <v/>
      </c>
      <c r="D388" t="s">
        <v>1265</v>
      </c>
    </row>
    <row r="389" spans="1:4">
      <c r="A389" t="s">
        <v>1264</v>
      </c>
      <c r="B389" t="str">
        <f>IF('02_Warehouse_Locations'!A388="","",'02_Warehouse_Locations'!A388)</f>
        <v/>
      </c>
      <c r="C389" t="str">
        <f t="shared" si="6"/>
        <v/>
      </c>
      <c r="D389" t="s">
        <v>1265</v>
      </c>
    </row>
    <row r="390" spans="1:4">
      <c r="A390" t="s">
        <v>1264</v>
      </c>
      <c r="B390" t="str">
        <f>IF('02_Warehouse_Locations'!A389="","",'02_Warehouse_Locations'!A389)</f>
        <v/>
      </c>
      <c r="C390" t="str">
        <f t="shared" si="6"/>
        <v/>
      </c>
      <c r="D390" t="s">
        <v>1265</v>
      </c>
    </row>
    <row r="391" spans="1:4">
      <c r="A391" t="s">
        <v>1264</v>
      </c>
      <c r="B391" t="str">
        <f>IF('02_Warehouse_Locations'!A390="","",'02_Warehouse_Locations'!A390)</f>
        <v/>
      </c>
      <c r="C391" t="str">
        <f t="shared" si="6"/>
        <v/>
      </c>
      <c r="D391" t="s">
        <v>1265</v>
      </c>
    </row>
    <row r="392" spans="1:4">
      <c r="A392" t="s">
        <v>1264</v>
      </c>
      <c r="B392" t="str">
        <f>IF('02_Warehouse_Locations'!A391="","",'02_Warehouse_Locations'!A391)</f>
        <v/>
      </c>
      <c r="C392" t="str">
        <f t="shared" si="6"/>
        <v/>
      </c>
      <c r="D392" t="s">
        <v>1265</v>
      </c>
    </row>
    <row r="393" spans="1:4">
      <c r="A393" t="s">
        <v>1264</v>
      </c>
      <c r="B393" t="str">
        <f>IF('02_Warehouse_Locations'!A392="","",'02_Warehouse_Locations'!A392)</f>
        <v/>
      </c>
      <c r="C393" t="str">
        <f t="shared" si="6"/>
        <v/>
      </c>
      <c r="D393" t="s">
        <v>1265</v>
      </c>
    </row>
    <row r="394" spans="1:4">
      <c r="A394" t="s">
        <v>1264</v>
      </c>
      <c r="B394" t="str">
        <f>IF('02_Warehouse_Locations'!A393="","",'02_Warehouse_Locations'!A393)</f>
        <v/>
      </c>
      <c r="C394" t="str">
        <f t="shared" si="6"/>
        <v/>
      </c>
      <c r="D394" t="s">
        <v>1265</v>
      </c>
    </row>
    <row r="395" spans="1:4">
      <c r="A395" t="s">
        <v>1264</v>
      </c>
      <c r="B395" t="str">
        <f>IF('02_Warehouse_Locations'!A394="","",'02_Warehouse_Locations'!A394)</f>
        <v/>
      </c>
      <c r="C395" t="str">
        <f t="shared" si="6"/>
        <v/>
      </c>
      <c r="D395" t="s">
        <v>1265</v>
      </c>
    </row>
    <row r="396" spans="1:4">
      <c r="A396" t="s">
        <v>1264</v>
      </c>
      <c r="B396" t="str">
        <f>IF('02_Warehouse_Locations'!A395="","",'02_Warehouse_Locations'!A395)</f>
        <v/>
      </c>
      <c r="C396" t="str">
        <f t="shared" si="6"/>
        <v/>
      </c>
      <c r="D396" t="s">
        <v>1265</v>
      </c>
    </row>
    <row r="397" spans="1:4">
      <c r="A397" t="s">
        <v>1264</v>
      </c>
      <c r="B397" t="str">
        <f>IF('02_Warehouse_Locations'!A396="","",'02_Warehouse_Locations'!A396)</f>
        <v/>
      </c>
      <c r="C397" t="str">
        <f t="shared" si="6"/>
        <v/>
      </c>
      <c r="D397" t="s">
        <v>1265</v>
      </c>
    </row>
    <row r="398" spans="1:4">
      <c r="A398" t="s">
        <v>1264</v>
      </c>
      <c r="B398" t="str">
        <f>IF('02_Warehouse_Locations'!A397="","",'02_Warehouse_Locations'!A397)</f>
        <v/>
      </c>
      <c r="C398" t="str">
        <f t="shared" si="6"/>
        <v/>
      </c>
      <c r="D398" t="s">
        <v>1265</v>
      </c>
    </row>
    <row r="399" spans="1:4">
      <c r="A399" t="s">
        <v>1264</v>
      </c>
      <c r="B399" t="str">
        <f>IF('02_Warehouse_Locations'!A398="","",'02_Warehouse_Locations'!A398)</f>
        <v/>
      </c>
      <c r="C399" t="str">
        <f t="shared" si="6"/>
        <v/>
      </c>
      <c r="D399" t="s">
        <v>1265</v>
      </c>
    </row>
    <row r="400" spans="1:4">
      <c r="A400" t="s">
        <v>1264</v>
      </c>
      <c r="B400" t="str">
        <f>IF('02_Warehouse_Locations'!A399="","",'02_Warehouse_Locations'!A399)</f>
        <v/>
      </c>
      <c r="C400" t="str">
        <f t="shared" si="6"/>
        <v/>
      </c>
      <c r="D400" t="s">
        <v>1265</v>
      </c>
    </row>
    <row r="401" spans="1:4">
      <c r="A401" t="s">
        <v>1264</v>
      </c>
      <c r="B401" t="str">
        <f>IF('02_Warehouse_Locations'!A400="","",'02_Warehouse_Locations'!A400)</f>
        <v/>
      </c>
      <c r="C401" t="str">
        <f t="shared" si="6"/>
        <v/>
      </c>
      <c r="D401" t="s">
        <v>1265</v>
      </c>
    </row>
    <row r="402" spans="1:4">
      <c r="A402" t="s">
        <v>1264</v>
      </c>
      <c r="B402" t="str">
        <f>IF('02_Warehouse_Locations'!A401="","",'02_Warehouse_Locations'!A401)</f>
        <v/>
      </c>
      <c r="C402" t="str">
        <f t="shared" si="6"/>
        <v/>
      </c>
      <c r="D402" t="s">
        <v>1265</v>
      </c>
    </row>
    <row r="403" spans="1:4">
      <c r="A403" t="s">
        <v>1264</v>
      </c>
      <c r="B403" t="str">
        <f>IF('02_Warehouse_Locations'!A402="","",'02_Warehouse_Locations'!A402)</f>
        <v/>
      </c>
      <c r="C403" t="str">
        <f t="shared" si="6"/>
        <v/>
      </c>
      <c r="D403" t="s">
        <v>1265</v>
      </c>
    </row>
    <row r="404" spans="1:4">
      <c r="A404" t="s">
        <v>1264</v>
      </c>
      <c r="B404" t="str">
        <f>IF('02_Warehouse_Locations'!A403="","",'02_Warehouse_Locations'!A403)</f>
        <v/>
      </c>
      <c r="C404" t="str">
        <f t="shared" si="6"/>
        <v/>
      </c>
      <c r="D404" t="s">
        <v>1265</v>
      </c>
    </row>
    <row r="405" spans="1:4">
      <c r="A405" t="s">
        <v>1264</v>
      </c>
      <c r="B405" t="str">
        <f>IF('02_Warehouse_Locations'!A404="","",'02_Warehouse_Locations'!A404)</f>
        <v/>
      </c>
      <c r="C405" t="str">
        <f t="shared" si="6"/>
        <v/>
      </c>
      <c r="D405" t="s">
        <v>1265</v>
      </c>
    </row>
    <row r="406" spans="1:4">
      <c r="A406" t="s">
        <v>1264</v>
      </c>
      <c r="B406" t="str">
        <f>IF('02_Warehouse_Locations'!A405="","",'02_Warehouse_Locations'!A405)</f>
        <v/>
      </c>
      <c r="C406" t="str">
        <f t="shared" si="6"/>
        <v/>
      </c>
      <c r="D406" t="s">
        <v>1265</v>
      </c>
    </row>
    <row r="407" spans="1:4">
      <c r="A407" t="s">
        <v>1264</v>
      </c>
      <c r="B407" t="str">
        <f>IF('02_Warehouse_Locations'!A406="","",'02_Warehouse_Locations'!A406)</f>
        <v/>
      </c>
      <c r="C407" t="str">
        <f t="shared" si="6"/>
        <v/>
      </c>
      <c r="D407" t="s">
        <v>1265</v>
      </c>
    </row>
    <row r="408" spans="1:4">
      <c r="A408" t="s">
        <v>1264</v>
      </c>
      <c r="B408" t="str">
        <f>IF('02_Warehouse_Locations'!A407="","",'02_Warehouse_Locations'!A407)</f>
        <v/>
      </c>
      <c r="C408" t="str">
        <f t="shared" si="6"/>
        <v/>
      </c>
      <c r="D408" t="s">
        <v>1265</v>
      </c>
    </row>
    <row r="409" spans="1:4">
      <c r="A409" t="s">
        <v>1264</v>
      </c>
      <c r="B409" t="str">
        <f>IF('02_Warehouse_Locations'!A408="","",'02_Warehouse_Locations'!A408)</f>
        <v/>
      </c>
      <c r="C409" t="str">
        <f t="shared" si="6"/>
        <v/>
      </c>
      <c r="D409" t="s">
        <v>1265</v>
      </c>
    </row>
    <row r="410" spans="1:4">
      <c r="A410" t="s">
        <v>1264</v>
      </c>
      <c r="B410" t="str">
        <f>IF('02_Warehouse_Locations'!A409="","",'02_Warehouse_Locations'!A409)</f>
        <v/>
      </c>
      <c r="C410" t="str">
        <f t="shared" si="6"/>
        <v/>
      </c>
      <c r="D410" t="s">
        <v>1265</v>
      </c>
    </row>
    <row r="411" spans="1:4">
      <c r="A411" t="s">
        <v>1264</v>
      </c>
      <c r="B411" t="str">
        <f>IF('02_Warehouse_Locations'!A410="","",'02_Warehouse_Locations'!A410)</f>
        <v/>
      </c>
      <c r="C411" t="str">
        <f t="shared" si="6"/>
        <v/>
      </c>
      <c r="D411" t="s">
        <v>1265</v>
      </c>
    </row>
    <row r="412" spans="1:4">
      <c r="A412" t="s">
        <v>1264</v>
      </c>
      <c r="B412" t="str">
        <f>IF('02_Warehouse_Locations'!A411="","",'02_Warehouse_Locations'!A411)</f>
        <v/>
      </c>
      <c r="C412" t="str">
        <f t="shared" si="6"/>
        <v/>
      </c>
      <c r="D412" t="s">
        <v>1265</v>
      </c>
    </row>
    <row r="413" spans="1:4">
      <c r="A413" t="s">
        <v>1264</v>
      </c>
      <c r="B413" t="str">
        <f>IF('02_Warehouse_Locations'!A412="","",'02_Warehouse_Locations'!A412)</f>
        <v/>
      </c>
      <c r="C413" t="str">
        <f t="shared" si="6"/>
        <v/>
      </c>
      <c r="D413" t="s">
        <v>1265</v>
      </c>
    </row>
    <row r="414" spans="1:4">
      <c r="A414" t="s">
        <v>1264</v>
      </c>
      <c r="B414" t="str">
        <f>IF('02_Warehouse_Locations'!A413="","",'02_Warehouse_Locations'!A413)</f>
        <v/>
      </c>
      <c r="C414" t="str">
        <f t="shared" si="6"/>
        <v/>
      </c>
      <c r="D414" t="s">
        <v>1265</v>
      </c>
    </row>
    <row r="415" spans="1:4">
      <c r="A415" t="s">
        <v>1264</v>
      </c>
      <c r="B415" t="str">
        <f>IF('02_Warehouse_Locations'!A414="","",'02_Warehouse_Locations'!A414)</f>
        <v/>
      </c>
      <c r="C415" t="str">
        <f t="shared" si="6"/>
        <v/>
      </c>
      <c r="D415" t="s">
        <v>1265</v>
      </c>
    </row>
    <row r="416" spans="1:4">
      <c r="A416" t="s">
        <v>1264</v>
      </c>
      <c r="B416" t="str">
        <f>IF('02_Warehouse_Locations'!A415="","",'02_Warehouse_Locations'!A415)</f>
        <v/>
      </c>
      <c r="C416" t="str">
        <f t="shared" si="6"/>
        <v/>
      </c>
      <c r="D416" t="s">
        <v>1265</v>
      </c>
    </row>
    <row r="417" spans="1:4">
      <c r="A417" t="s">
        <v>1264</v>
      </c>
      <c r="B417" t="str">
        <f>IF('02_Warehouse_Locations'!A416="","",'02_Warehouse_Locations'!A416)</f>
        <v/>
      </c>
      <c r="C417" t="str">
        <f t="shared" si="6"/>
        <v/>
      </c>
      <c r="D417" t="s">
        <v>1265</v>
      </c>
    </row>
    <row r="418" spans="1:4">
      <c r="A418" t="s">
        <v>1264</v>
      </c>
      <c r="B418" t="str">
        <f>IF('02_Warehouse_Locations'!A417="","",'02_Warehouse_Locations'!A417)</f>
        <v/>
      </c>
      <c r="C418" t="str">
        <f t="shared" si="6"/>
        <v/>
      </c>
      <c r="D418" t="s">
        <v>1265</v>
      </c>
    </row>
    <row r="419" spans="1:4">
      <c r="A419" t="s">
        <v>1264</v>
      </c>
      <c r="B419" t="str">
        <f>IF('02_Warehouse_Locations'!A418="","",'02_Warehouse_Locations'!A418)</f>
        <v/>
      </c>
      <c r="C419" t="str">
        <f t="shared" si="6"/>
        <v/>
      </c>
      <c r="D419" t="s">
        <v>1265</v>
      </c>
    </row>
    <row r="420" spans="1:4">
      <c r="A420" t="s">
        <v>1264</v>
      </c>
      <c r="B420" t="str">
        <f>IF('02_Warehouse_Locations'!A419="","",'02_Warehouse_Locations'!A419)</f>
        <v/>
      </c>
      <c r="C420" t="str">
        <f t="shared" si="6"/>
        <v/>
      </c>
      <c r="D420" t="s">
        <v>1265</v>
      </c>
    </row>
    <row r="421" spans="1:4">
      <c r="A421" t="s">
        <v>1264</v>
      </c>
      <c r="B421" t="str">
        <f>IF('02_Warehouse_Locations'!A420="","",'02_Warehouse_Locations'!A420)</f>
        <v/>
      </c>
      <c r="C421" t="str">
        <f t="shared" si="6"/>
        <v/>
      </c>
      <c r="D421" t="s">
        <v>1265</v>
      </c>
    </row>
    <row r="422" spans="1:4">
      <c r="A422" t="s">
        <v>1264</v>
      </c>
      <c r="B422" t="str">
        <f>IF('02_Warehouse_Locations'!A421="","",'02_Warehouse_Locations'!A421)</f>
        <v/>
      </c>
      <c r="C422" t="str">
        <f t="shared" si="6"/>
        <v/>
      </c>
      <c r="D422" t="s">
        <v>1265</v>
      </c>
    </row>
    <row r="423" spans="1:4">
      <c r="A423" t="s">
        <v>1264</v>
      </c>
      <c r="B423" t="str">
        <f>IF('02_Warehouse_Locations'!A422="","",'02_Warehouse_Locations'!A422)</f>
        <v/>
      </c>
      <c r="C423" t="str">
        <f t="shared" si="6"/>
        <v/>
      </c>
      <c r="D423" t="s">
        <v>1265</v>
      </c>
    </row>
    <row r="424" spans="1:4">
      <c r="A424" t="s">
        <v>1264</v>
      </c>
      <c r="B424" t="str">
        <f>IF('02_Warehouse_Locations'!A423="","",'02_Warehouse_Locations'!A423)</f>
        <v/>
      </c>
      <c r="C424" t="str">
        <f t="shared" si="6"/>
        <v/>
      </c>
      <c r="D424" t="s">
        <v>1265</v>
      </c>
    </row>
    <row r="425" spans="1:4">
      <c r="A425" t="s">
        <v>1264</v>
      </c>
      <c r="B425" t="str">
        <f>IF('02_Warehouse_Locations'!A424="","",'02_Warehouse_Locations'!A424)</f>
        <v/>
      </c>
      <c r="C425" t="str">
        <f t="shared" si="6"/>
        <v/>
      </c>
      <c r="D425" t="s">
        <v>1265</v>
      </c>
    </row>
    <row r="426" spans="1:4">
      <c r="A426" t="s">
        <v>1264</v>
      </c>
      <c r="B426" t="str">
        <f>IF('02_Warehouse_Locations'!A425="","",'02_Warehouse_Locations'!A425)</f>
        <v/>
      </c>
      <c r="C426" t="str">
        <f t="shared" si="6"/>
        <v/>
      </c>
      <c r="D426" t="s">
        <v>1265</v>
      </c>
    </row>
    <row r="427" spans="1:4">
      <c r="A427" t="s">
        <v>1264</v>
      </c>
      <c r="B427" t="str">
        <f>IF('02_Warehouse_Locations'!A426="","",'02_Warehouse_Locations'!A426)</f>
        <v/>
      </c>
      <c r="C427" t="str">
        <f t="shared" si="6"/>
        <v/>
      </c>
      <c r="D427" t="s">
        <v>1265</v>
      </c>
    </row>
    <row r="428" spans="1:4">
      <c r="A428" t="s">
        <v>1264</v>
      </c>
      <c r="B428" t="str">
        <f>IF('02_Warehouse_Locations'!A427="","",'02_Warehouse_Locations'!A427)</f>
        <v/>
      </c>
      <c r="C428" t="str">
        <f t="shared" si="6"/>
        <v/>
      </c>
      <c r="D428" t="s">
        <v>1265</v>
      </c>
    </row>
    <row r="429" spans="1:4">
      <c r="A429" t="s">
        <v>1264</v>
      </c>
      <c r="B429" t="str">
        <f>IF('02_Warehouse_Locations'!A428="","",'02_Warehouse_Locations'!A428)</f>
        <v/>
      </c>
      <c r="C429" t="str">
        <f t="shared" si="6"/>
        <v/>
      </c>
      <c r="D429" t="s">
        <v>1265</v>
      </c>
    </row>
    <row r="430" spans="1:4">
      <c r="A430" t="s">
        <v>1264</v>
      </c>
      <c r="B430" t="str">
        <f>IF('02_Warehouse_Locations'!A429="","",'02_Warehouse_Locations'!A429)</f>
        <v/>
      </c>
      <c r="C430" t="str">
        <f t="shared" si="6"/>
        <v/>
      </c>
      <c r="D430" t="s">
        <v>1265</v>
      </c>
    </row>
    <row r="431" spans="1:4">
      <c r="A431" t="s">
        <v>1264</v>
      </c>
      <c r="B431" t="str">
        <f>IF('02_Warehouse_Locations'!A430="","",'02_Warehouse_Locations'!A430)</f>
        <v/>
      </c>
      <c r="C431" t="str">
        <f t="shared" si="6"/>
        <v/>
      </c>
      <c r="D431" t="s">
        <v>1265</v>
      </c>
    </row>
    <row r="432" spans="1:4">
      <c r="A432" t="s">
        <v>1264</v>
      </c>
      <c r="B432" t="str">
        <f>IF('02_Warehouse_Locations'!A431="","",'02_Warehouse_Locations'!A431)</f>
        <v/>
      </c>
      <c r="C432" t="str">
        <f t="shared" si="6"/>
        <v/>
      </c>
      <c r="D432" t="s">
        <v>1265</v>
      </c>
    </row>
    <row r="433" spans="1:4">
      <c r="A433" t="s">
        <v>1264</v>
      </c>
      <c r="B433" t="str">
        <f>IF('02_Warehouse_Locations'!A432="","",'02_Warehouse_Locations'!A432)</f>
        <v/>
      </c>
      <c r="C433" t="str">
        <f t="shared" si="6"/>
        <v/>
      </c>
      <c r="D433" t="s">
        <v>1265</v>
      </c>
    </row>
    <row r="434" spans="1:4">
      <c r="A434" t="s">
        <v>1264</v>
      </c>
      <c r="B434" t="str">
        <f>IF('02_Warehouse_Locations'!A433="","",'02_Warehouse_Locations'!A433)</f>
        <v/>
      </c>
      <c r="C434" t="str">
        <f t="shared" si="6"/>
        <v/>
      </c>
      <c r="D434" t="s">
        <v>1265</v>
      </c>
    </row>
    <row r="435" spans="1:4">
      <c r="A435" t="s">
        <v>1264</v>
      </c>
      <c r="B435" t="str">
        <f>IF('02_Warehouse_Locations'!A434="","",'02_Warehouse_Locations'!A434)</f>
        <v/>
      </c>
      <c r="C435" t="str">
        <f t="shared" si="6"/>
        <v/>
      </c>
      <c r="D435" t="s">
        <v>1265</v>
      </c>
    </row>
    <row r="436" spans="1:4">
      <c r="A436" t="s">
        <v>1264</v>
      </c>
      <c r="B436" t="str">
        <f>IF('02_Warehouse_Locations'!A435="","",'02_Warehouse_Locations'!A435)</f>
        <v/>
      </c>
      <c r="C436" t="str">
        <f t="shared" si="6"/>
        <v/>
      </c>
      <c r="D436" t="s">
        <v>1265</v>
      </c>
    </row>
    <row r="437" spans="1:4">
      <c r="A437" t="s">
        <v>1264</v>
      </c>
      <c r="B437" t="str">
        <f>IF('02_Warehouse_Locations'!A436="","",'02_Warehouse_Locations'!A436)</f>
        <v/>
      </c>
      <c r="C437" t="str">
        <f t="shared" si="6"/>
        <v/>
      </c>
      <c r="D437" t="s">
        <v>1265</v>
      </c>
    </row>
    <row r="438" spans="1:4">
      <c r="A438" t="s">
        <v>1264</v>
      </c>
      <c r="B438" t="str">
        <f>IF('02_Warehouse_Locations'!A437="","",'02_Warehouse_Locations'!A437)</f>
        <v/>
      </c>
      <c r="C438" t="str">
        <f t="shared" si="6"/>
        <v/>
      </c>
      <c r="D438" t="s">
        <v>1265</v>
      </c>
    </row>
    <row r="439" spans="1:4">
      <c r="A439" t="s">
        <v>1264</v>
      </c>
      <c r="B439" t="str">
        <f>IF('02_Warehouse_Locations'!A438="","",'02_Warehouse_Locations'!A438)</f>
        <v/>
      </c>
      <c r="C439" t="str">
        <f t="shared" si="6"/>
        <v/>
      </c>
      <c r="D439" t="s">
        <v>1265</v>
      </c>
    </row>
    <row r="440" spans="1:4">
      <c r="A440" t="s">
        <v>1264</v>
      </c>
      <c r="B440" t="str">
        <f>IF('02_Warehouse_Locations'!A439="","",'02_Warehouse_Locations'!A439)</f>
        <v/>
      </c>
      <c r="C440" t="str">
        <f t="shared" si="6"/>
        <v/>
      </c>
      <c r="D440" t="s">
        <v>1265</v>
      </c>
    </row>
    <row r="441" spans="1:4">
      <c r="A441" t="s">
        <v>1264</v>
      </c>
      <c r="B441" t="str">
        <f>IF('02_Warehouse_Locations'!A440="","",'02_Warehouse_Locations'!A440)</f>
        <v/>
      </c>
      <c r="C441" t="str">
        <f t="shared" si="6"/>
        <v/>
      </c>
      <c r="D441" t="s">
        <v>1265</v>
      </c>
    </row>
    <row r="442" spans="1:4">
      <c r="A442" t="s">
        <v>1264</v>
      </c>
      <c r="B442" t="str">
        <f>IF('02_Warehouse_Locations'!A441="","",'02_Warehouse_Locations'!A441)</f>
        <v/>
      </c>
      <c r="C442" t="str">
        <f t="shared" si="6"/>
        <v/>
      </c>
      <c r="D442" t="s">
        <v>1265</v>
      </c>
    </row>
    <row r="443" spans="1:4">
      <c r="A443" t="s">
        <v>1264</v>
      </c>
      <c r="B443" t="str">
        <f>IF('02_Warehouse_Locations'!A442="","",'02_Warehouse_Locations'!A442)</f>
        <v/>
      </c>
      <c r="C443" t="str">
        <f t="shared" si="6"/>
        <v/>
      </c>
      <c r="D443" t="s">
        <v>1265</v>
      </c>
    </row>
    <row r="444" spans="1:4">
      <c r="A444" t="s">
        <v>1264</v>
      </c>
      <c r="B444" t="str">
        <f>IF('02_Warehouse_Locations'!A443="","",'02_Warehouse_Locations'!A443)</f>
        <v/>
      </c>
      <c r="C444" t="str">
        <f t="shared" si="6"/>
        <v/>
      </c>
      <c r="D444" t="s">
        <v>1265</v>
      </c>
    </row>
    <row r="445" spans="1:4">
      <c r="A445" t="s">
        <v>1264</v>
      </c>
      <c r="B445" t="str">
        <f>IF('02_Warehouse_Locations'!A444="","",'02_Warehouse_Locations'!A444)</f>
        <v/>
      </c>
      <c r="C445" t="str">
        <f t="shared" si="6"/>
        <v/>
      </c>
      <c r="D445" t="s">
        <v>1265</v>
      </c>
    </row>
    <row r="446" spans="1:4">
      <c r="A446" t="s">
        <v>1264</v>
      </c>
      <c r="B446" t="str">
        <f>IF('02_Warehouse_Locations'!A445="","",'02_Warehouse_Locations'!A445)</f>
        <v/>
      </c>
      <c r="C446" t="str">
        <f t="shared" si="6"/>
        <v/>
      </c>
      <c r="D446" t="s">
        <v>1265</v>
      </c>
    </row>
    <row r="447" spans="1:4">
      <c r="A447" t="s">
        <v>1264</v>
      </c>
      <c r="B447" t="str">
        <f>IF('02_Warehouse_Locations'!A446="","",'02_Warehouse_Locations'!A446)</f>
        <v/>
      </c>
      <c r="C447" t="str">
        <f t="shared" si="6"/>
        <v/>
      </c>
      <c r="D447" t="s">
        <v>1265</v>
      </c>
    </row>
    <row r="448" spans="1:4">
      <c r="A448" t="s">
        <v>1264</v>
      </c>
      <c r="B448" t="str">
        <f>IF('02_Warehouse_Locations'!A447="","",'02_Warehouse_Locations'!A447)</f>
        <v/>
      </c>
      <c r="C448" t="str">
        <f t="shared" si="6"/>
        <v/>
      </c>
      <c r="D448" t="s">
        <v>1265</v>
      </c>
    </row>
    <row r="449" spans="1:4">
      <c r="A449" t="s">
        <v>1264</v>
      </c>
      <c r="B449" t="str">
        <f>IF('02_Warehouse_Locations'!A448="","",'02_Warehouse_Locations'!A448)</f>
        <v/>
      </c>
      <c r="C449" t="str">
        <f t="shared" si="6"/>
        <v/>
      </c>
      <c r="D449" t="s">
        <v>1265</v>
      </c>
    </row>
    <row r="450" spans="1:4">
      <c r="A450" t="s">
        <v>1264</v>
      </c>
      <c r="B450" t="str">
        <f>IF('02_Warehouse_Locations'!A449="","",'02_Warehouse_Locations'!A449)</f>
        <v/>
      </c>
      <c r="C450" t="str">
        <f t="shared" si="6"/>
        <v/>
      </c>
      <c r="D450" t="s">
        <v>1265</v>
      </c>
    </row>
    <row r="451" spans="1:4">
      <c r="A451" t="s">
        <v>1264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1265</v>
      </c>
    </row>
    <row r="452" spans="1:4">
      <c r="A452" t="s">
        <v>1264</v>
      </c>
      <c r="B452" t="str">
        <f>IF('02_Warehouse_Locations'!A451="","",'02_Warehouse_Locations'!A451)</f>
        <v/>
      </c>
      <c r="C452" t="str">
        <f t="shared" si="7"/>
        <v/>
      </c>
      <c r="D452" t="s">
        <v>1265</v>
      </c>
    </row>
    <row r="453" spans="1:4">
      <c r="A453" t="s">
        <v>1264</v>
      </c>
      <c r="B453" t="str">
        <f>IF('02_Warehouse_Locations'!A452="","",'02_Warehouse_Locations'!A452)</f>
        <v/>
      </c>
      <c r="C453" t="str">
        <f t="shared" si="7"/>
        <v/>
      </c>
      <c r="D453" t="s">
        <v>1265</v>
      </c>
    </row>
    <row r="454" spans="1:4">
      <c r="A454" t="s">
        <v>1264</v>
      </c>
      <c r="B454" t="str">
        <f>IF('02_Warehouse_Locations'!A453="","",'02_Warehouse_Locations'!A453)</f>
        <v/>
      </c>
      <c r="C454" t="str">
        <f t="shared" si="7"/>
        <v/>
      </c>
      <c r="D454" t="s">
        <v>1265</v>
      </c>
    </row>
    <row r="455" spans="1:4">
      <c r="A455" t="s">
        <v>1264</v>
      </c>
      <c r="B455" t="str">
        <f>IF('02_Warehouse_Locations'!A454="","",'02_Warehouse_Locations'!A454)</f>
        <v/>
      </c>
      <c r="C455" t="str">
        <f t="shared" si="7"/>
        <v/>
      </c>
      <c r="D455" t="s">
        <v>1265</v>
      </c>
    </row>
    <row r="456" spans="1:4">
      <c r="A456" t="s">
        <v>1264</v>
      </c>
      <c r="B456" t="str">
        <f>IF('02_Warehouse_Locations'!A455="","",'02_Warehouse_Locations'!A455)</f>
        <v/>
      </c>
      <c r="C456" t="str">
        <f t="shared" si="7"/>
        <v/>
      </c>
      <c r="D456" t="s">
        <v>1265</v>
      </c>
    </row>
    <row r="457" spans="1:4">
      <c r="A457" t="s">
        <v>1264</v>
      </c>
      <c r="B457" t="str">
        <f>IF('02_Warehouse_Locations'!A456="","",'02_Warehouse_Locations'!A456)</f>
        <v/>
      </c>
      <c r="C457" t="str">
        <f t="shared" si="7"/>
        <v/>
      </c>
      <c r="D457" t="s">
        <v>1265</v>
      </c>
    </row>
    <row r="458" spans="1:4">
      <c r="A458" t="s">
        <v>1264</v>
      </c>
      <c r="B458" t="str">
        <f>IF('02_Warehouse_Locations'!A457="","",'02_Warehouse_Locations'!A457)</f>
        <v/>
      </c>
      <c r="C458" t="str">
        <f t="shared" si="7"/>
        <v/>
      </c>
      <c r="D458" t="s">
        <v>1265</v>
      </c>
    </row>
    <row r="459" spans="1:4">
      <c r="A459" t="s">
        <v>1264</v>
      </c>
      <c r="B459" t="str">
        <f>IF('02_Warehouse_Locations'!A458="","",'02_Warehouse_Locations'!A458)</f>
        <v/>
      </c>
      <c r="C459" t="str">
        <f t="shared" si="7"/>
        <v/>
      </c>
      <c r="D459" t="s">
        <v>1265</v>
      </c>
    </row>
    <row r="460" spans="1:4">
      <c r="A460" t="s">
        <v>1264</v>
      </c>
      <c r="B460" t="str">
        <f>IF('02_Warehouse_Locations'!A459="","",'02_Warehouse_Locations'!A459)</f>
        <v/>
      </c>
      <c r="C460" t="str">
        <f t="shared" si="7"/>
        <v/>
      </c>
      <c r="D460" t="s">
        <v>1265</v>
      </c>
    </row>
    <row r="461" spans="1:4">
      <c r="A461" t="s">
        <v>1264</v>
      </c>
      <c r="B461" t="str">
        <f>IF('02_Warehouse_Locations'!A460="","",'02_Warehouse_Locations'!A460)</f>
        <v/>
      </c>
      <c r="C461" t="str">
        <f t="shared" si="7"/>
        <v/>
      </c>
      <c r="D461" t="s">
        <v>1265</v>
      </c>
    </row>
    <row r="462" spans="1:4">
      <c r="A462" t="s">
        <v>1264</v>
      </c>
      <c r="B462" t="str">
        <f>IF('02_Warehouse_Locations'!A461="","",'02_Warehouse_Locations'!A461)</f>
        <v/>
      </c>
      <c r="C462" t="str">
        <f t="shared" si="7"/>
        <v/>
      </c>
      <c r="D462" t="s">
        <v>1265</v>
      </c>
    </row>
    <row r="463" spans="1:4">
      <c r="A463" t="s">
        <v>1264</v>
      </c>
      <c r="B463" t="str">
        <f>IF('02_Warehouse_Locations'!A462="","",'02_Warehouse_Locations'!A462)</f>
        <v/>
      </c>
      <c r="C463" t="str">
        <f t="shared" si="7"/>
        <v/>
      </c>
      <c r="D463" t="s">
        <v>1265</v>
      </c>
    </row>
    <row r="464" spans="1:4">
      <c r="A464" t="s">
        <v>1264</v>
      </c>
      <c r="B464" t="str">
        <f>IF('02_Warehouse_Locations'!A463="","",'02_Warehouse_Locations'!A463)</f>
        <v/>
      </c>
      <c r="C464" t="str">
        <f t="shared" si="7"/>
        <v/>
      </c>
      <c r="D464" t="s">
        <v>1265</v>
      </c>
    </row>
    <row r="465" spans="1:4">
      <c r="A465" t="s">
        <v>1264</v>
      </c>
      <c r="B465" t="str">
        <f>IF('02_Warehouse_Locations'!A464="","",'02_Warehouse_Locations'!A464)</f>
        <v/>
      </c>
      <c r="C465" t="str">
        <f t="shared" si="7"/>
        <v/>
      </c>
      <c r="D465" t="s">
        <v>1265</v>
      </c>
    </row>
    <row r="466" spans="1:4">
      <c r="A466" t="s">
        <v>1264</v>
      </c>
      <c r="B466" t="str">
        <f>IF('02_Warehouse_Locations'!A465="","",'02_Warehouse_Locations'!A465)</f>
        <v/>
      </c>
      <c r="C466" t="str">
        <f t="shared" si="7"/>
        <v/>
      </c>
      <c r="D466" t="s">
        <v>1265</v>
      </c>
    </row>
    <row r="467" spans="1:4">
      <c r="A467" t="s">
        <v>1264</v>
      </c>
      <c r="B467" t="str">
        <f>IF('02_Warehouse_Locations'!A466="","",'02_Warehouse_Locations'!A466)</f>
        <v/>
      </c>
      <c r="C467" t="str">
        <f t="shared" si="7"/>
        <v/>
      </c>
      <c r="D467" t="s">
        <v>1265</v>
      </c>
    </row>
    <row r="468" spans="1:4">
      <c r="A468" t="s">
        <v>1264</v>
      </c>
      <c r="B468" t="str">
        <f>IF('02_Warehouse_Locations'!A467="","",'02_Warehouse_Locations'!A467)</f>
        <v/>
      </c>
      <c r="C468" t="str">
        <f t="shared" si="7"/>
        <v/>
      </c>
      <c r="D468" t="s">
        <v>1265</v>
      </c>
    </row>
    <row r="469" spans="1:4">
      <c r="A469" t="s">
        <v>1264</v>
      </c>
      <c r="B469" t="str">
        <f>IF('02_Warehouse_Locations'!A468="","",'02_Warehouse_Locations'!A468)</f>
        <v/>
      </c>
      <c r="C469" t="str">
        <f t="shared" si="7"/>
        <v/>
      </c>
      <c r="D469" t="s">
        <v>1265</v>
      </c>
    </row>
    <row r="470" spans="1:4">
      <c r="A470" t="s">
        <v>1264</v>
      </c>
      <c r="B470" t="str">
        <f>IF('02_Warehouse_Locations'!A469="","",'02_Warehouse_Locations'!A469)</f>
        <v/>
      </c>
      <c r="C470" t="str">
        <f t="shared" si="7"/>
        <v/>
      </c>
      <c r="D470" t="s">
        <v>1265</v>
      </c>
    </row>
    <row r="471" spans="1:4">
      <c r="A471" t="s">
        <v>1264</v>
      </c>
      <c r="B471" t="str">
        <f>IF('02_Warehouse_Locations'!A470="","",'02_Warehouse_Locations'!A470)</f>
        <v/>
      </c>
      <c r="C471" t="str">
        <f t="shared" si="7"/>
        <v/>
      </c>
      <c r="D471" t="s">
        <v>1265</v>
      </c>
    </row>
    <row r="472" spans="1:4">
      <c r="A472" t="s">
        <v>1264</v>
      </c>
      <c r="B472" t="str">
        <f>IF('02_Warehouse_Locations'!A471="","",'02_Warehouse_Locations'!A471)</f>
        <v/>
      </c>
      <c r="C472" t="str">
        <f t="shared" si="7"/>
        <v/>
      </c>
      <c r="D472" t="s">
        <v>1265</v>
      </c>
    </row>
    <row r="473" spans="1:4">
      <c r="A473" t="s">
        <v>1264</v>
      </c>
      <c r="B473" t="str">
        <f>IF('02_Warehouse_Locations'!A472="","",'02_Warehouse_Locations'!A472)</f>
        <v/>
      </c>
      <c r="C473" t="str">
        <f t="shared" si="7"/>
        <v/>
      </c>
      <c r="D473" t="s">
        <v>1265</v>
      </c>
    </row>
    <row r="474" spans="1:4">
      <c r="A474" t="s">
        <v>1264</v>
      </c>
      <c r="B474" t="str">
        <f>IF('02_Warehouse_Locations'!A473="","",'02_Warehouse_Locations'!A473)</f>
        <v/>
      </c>
      <c r="C474" t="str">
        <f t="shared" si="7"/>
        <v/>
      </c>
      <c r="D474" t="s">
        <v>1265</v>
      </c>
    </row>
    <row r="475" spans="1:4">
      <c r="A475" t="s">
        <v>1264</v>
      </c>
      <c r="B475" t="str">
        <f>IF('02_Warehouse_Locations'!A474="","",'02_Warehouse_Locations'!A474)</f>
        <v/>
      </c>
      <c r="C475" t="str">
        <f t="shared" si="7"/>
        <v/>
      </c>
      <c r="D475" t="s">
        <v>1265</v>
      </c>
    </row>
    <row r="476" spans="1:4">
      <c r="A476" t="s">
        <v>1264</v>
      </c>
      <c r="B476" t="str">
        <f>IF('02_Warehouse_Locations'!A475="","",'02_Warehouse_Locations'!A475)</f>
        <v/>
      </c>
      <c r="C476" t="str">
        <f t="shared" si="7"/>
        <v/>
      </c>
      <c r="D476" t="s">
        <v>1265</v>
      </c>
    </row>
    <row r="477" spans="1:4">
      <c r="A477" t="s">
        <v>1264</v>
      </c>
      <c r="B477" t="str">
        <f>IF('02_Warehouse_Locations'!A476="","",'02_Warehouse_Locations'!A476)</f>
        <v/>
      </c>
      <c r="C477" t="str">
        <f t="shared" si="7"/>
        <v/>
      </c>
      <c r="D477" t="s">
        <v>1265</v>
      </c>
    </row>
    <row r="478" spans="1:4">
      <c r="A478" t="s">
        <v>1264</v>
      </c>
      <c r="B478" t="str">
        <f>IF('02_Warehouse_Locations'!A477="","",'02_Warehouse_Locations'!A477)</f>
        <v/>
      </c>
      <c r="C478" t="str">
        <f t="shared" si="7"/>
        <v/>
      </c>
      <c r="D478" t="s">
        <v>1265</v>
      </c>
    </row>
    <row r="479" spans="1:4">
      <c r="A479" t="s">
        <v>1264</v>
      </c>
      <c r="B479" t="str">
        <f>IF('02_Warehouse_Locations'!A478="","",'02_Warehouse_Locations'!A478)</f>
        <v/>
      </c>
      <c r="C479" t="str">
        <f t="shared" si="7"/>
        <v/>
      </c>
      <c r="D479" t="s">
        <v>1265</v>
      </c>
    </row>
    <row r="480" spans="1:4">
      <c r="A480" t="s">
        <v>1264</v>
      </c>
      <c r="B480" t="str">
        <f>IF('02_Warehouse_Locations'!A479="","",'02_Warehouse_Locations'!A479)</f>
        <v/>
      </c>
      <c r="C480" t="str">
        <f t="shared" si="7"/>
        <v/>
      </c>
      <c r="D480" t="s">
        <v>1265</v>
      </c>
    </row>
    <row r="481" spans="1:4">
      <c r="A481" t="s">
        <v>1264</v>
      </c>
      <c r="B481" t="str">
        <f>IF('02_Warehouse_Locations'!A480="","",'02_Warehouse_Locations'!A480)</f>
        <v/>
      </c>
      <c r="C481" t="str">
        <f t="shared" si="7"/>
        <v/>
      </c>
      <c r="D481" t="s">
        <v>1265</v>
      </c>
    </row>
    <row r="482" spans="1:4">
      <c r="A482" t="s">
        <v>1264</v>
      </c>
      <c r="B482" t="str">
        <f>IF('02_Warehouse_Locations'!A481="","",'02_Warehouse_Locations'!A481)</f>
        <v/>
      </c>
      <c r="C482" t="str">
        <f t="shared" si="7"/>
        <v/>
      </c>
      <c r="D482" t="s">
        <v>1265</v>
      </c>
    </row>
    <row r="483" spans="1:4">
      <c r="A483" t="s">
        <v>1264</v>
      </c>
      <c r="B483" t="str">
        <f>IF('02_Warehouse_Locations'!A482="","",'02_Warehouse_Locations'!A482)</f>
        <v/>
      </c>
      <c r="C483" t="str">
        <f t="shared" si="7"/>
        <v/>
      </c>
      <c r="D483" t="s">
        <v>1265</v>
      </c>
    </row>
    <row r="484" spans="1:4">
      <c r="A484" t="s">
        <v>1264</v>
      </c>
      <c r="B484" t="str">
        <f>IF('02_Warehouse_Locations'!A483="","",'02_Warehouse_Locations'!A483)</f>
        <v/>
      </c>
      <c r="C484" t="str">
        <f t="shared" si="7"/>
        <v/>
      </c>
      <c r="D484" t="s">
        <v>1265</v>
      </c>
    </row>
    <row r="485" spans="1:4">
      <c r="A485" t="s">
        <v>1264</v>
      </c>
      <c r="B485" t="str">
        <f>IF('02_Warehouse_Locations'!A484="","",'02_Warehouse_Locations'!A484)</f>
        <v/>
      </c>
      <c r="C485" t="str">
        <f t="shared" si="7"/>
        <v/>
      </c>
      <c r="D485" t="s">
        <v>1265</v>
      </c>
    </row>
    <row r="486" spans="1:4">
      <c r="A486" t="s">
        <v>1264</v>
      </c>
      <c r="B486" t="str">
        <f>IF('02_Warehouse_Locations'!A485="","",'02_Warehouse_Locations'!A485)</f>
        <v/>
      </c>
      <c r="C486" t="str">
        <f t="shared" si="7"/>
        <v/>
      </c>
      <c r="D486" t="s">
        <v>1265</v>
      </c>
    </row>
    <row r="487" spans="1:4">
      <c r="A487" t="s">
        <v>1264</v>
      </c>
      <c r="B487" t="str">
        <f>IF('02_Warehouse_Locations'!A486="","",'02_Warehouse_Locations'!A486)</f>
        <v/>
      </c>
      <c r="C487" t="str">
        <f t="shared" si="7"/>
        <v/>
      </c>
      <c r="D487" t="s">
        <v>1265</v>
      </c>
    </row>
    <row r="488" spans="1:4">
      <c r="A488" t="s">
        <v>1264</v>
      </c>
      <c r="B488" t="str">
        <f>IF('02_Warehouse_Locations'!A487="","",'02_Warehouse_Locations'!A487)</f>
        <v/>
      </c>
      <c r="C488" t="str">
        <f t="shared" si="7"/>
        <v/>
      </c>
      <c r="D488" t="s">
        <v>1265</v>
      </c>
    </row>
    <row r="489" spans="1:4">
      <c r="A489" t="s">
        <v>1264</v>
      </c>
      <c r="B489" t="str">
        <f>IF('02_Warehouse_Locations'!A488="","",'02_Warehouse_Locations'!A488)</f>
        <v/>
      </c>
      <c r="C489" t="str">
        <f t="shared" si="7"/>
        <v/>
      </c>
      <c r="D489" t="s">
        <v>1265</v>
      </c>
    </row>
    <row r="490" spans="1:4">
      <c r="A490" t="s">
        <v>1264</v>
      </c>
      <c r="B490" t="str">
        <f>IF('02_Warehouse_Locations'!A489="","",'02_Warehouse_Locations'!A489)</f>
        <v/>
      </c>
      <c r="C490" t="str">
        <f t="shared" si="7"/>
        <v/>
      </c>
      <c r="D490" t="s">
        <v>1265</v>
      </c>
    </row>
    <row r="491" spans="1:4">
      <c r="A491" t="s">
        <v>1264</v>
      </c>
      <c r="B491" t="str">
        <f>IF('02_Warehouse_Locations'!A490="","",'02_Warehouse_Locations'!A490)</f>
        <v/>
      </c>
      <c r="C491" t="str">
        <f t="shared" si="7"/>
        <v/>
      </c>
      <c r="D491" t="s">
        <v>1265</v>
      </c>
    </row>
    <row r="492" spans="1:4">
      <c r="A492" t="s">
        <v>1264</v>
      </c>
      <c r="B492" t="str">
        <f>IF('02_Warehouse_Locations'!A491="","",'02_Warehouse_Locations'!A491)</f>
        <v/>
      </c>
      <c r="C492" t="str">
        <f t="shared" si="7"/>
        <v/>
      </c>
      <c r="D492" t="s">
        <v>1265</v>
      </c>
    </row>
    <row r="493" spans="1:4">
      <c r="A493" t="s">
        <v>1264</v>
      </c>
      <c r="B493" t="str">
        <f>IF('02_Warehouse_Locations'!A492="","",'02_Warehouse_Locations'!A492)</f>
        <v/>
      </c>
      <c r="C493" t="str">
        <f t="shared" si="7"/>
        <v/>
      </c>
      <c r="D493" t="s">
        <v>1265</v>
      </c>
    </row>
    <row r="494" spans="1:4">
      <c r="A494" t="s">
        <v>1264</v>
      </c>
      <c r="B494" t="str">
        <f>IF('02_Warehouse_Locations'!A493="","",'02_Warehouse_Locations'!A493)</f>
        <v/>
      </c>
      <c r="C494" t="str">
        <f t="shared" si="7"/>
        <v/>
      </c>
      <c r="D494" t="s">
        <v>1265</v>
      </c>
    </row>
    <row r="495" spans="1:4">
      <c r="A495" t="s">
        <v>1264</v>
      </c>
      <c r="B495" t="str">
        <f>IF('02_Warehouse_Locations'!A494="","",'02_Warehouse_Locations'!A494)</f>
        <v/>
      </c>
      <c r="C495" t="str">
        <f t="shared" si="7"/>
        <v/>
      </c>
      <c r="D495" t="s">
        <v>1265</v>
      </c>
    </row>
    <row r="496" spans="1:4">
      <c r="A496" t="s">
        <v>1264</v>
      </c>
      <c r="B496" t="str">
        <f>IF('02_Warehouse_Locations'!A495="","",'02_Warehouse_Locations'!A495)</f>
        <v/>
      </c>
      <c r="C496" t="str">
        <f t="shared" si="7"/>
        <v/>
      </c>
      <c r="D496" t="s">
        <v>1265</v>
      </c>
    </row>
    <row r="497" spans="1:4">
      <c r="A497" t="s">
        <v>1264</v>
      </c>
      <c r="B497" t="str">
        <f>IF('02_Warehouse_Locations'!A496="","",'02_Warehouse_Locations'!A496)</f>
        <v/>
      </c>
      <c r="C497" t="str">
        <f t="shared" si="7"/>
        <v/>
      </c>
      <c r="D497" t="s">
        <v>1265</v>
      </c>
    </row>
    <row r="498" spans="1:4">
      <c r="A498" t="s">
        <v>1264</v>
      </c>
      <c r="B498" t="str">
        <f>IF('02_Warehouse_Locations'!A497="","",'02_Warehouse_Locations'!A497)</f>
        <v/>
      </c>
      <c r="C498" t="str">
        <f t="shared" si="7"/>
        <v/>
      </c>
      <c r="D498" t="s">
        <v>1265</v>
      </c>
    </row>
    <row r="499" spans="1:4">
      <c r="A499" t="s">
        <v>1264</v>
      </c>
      <c r="B499" t="str">
        <f>IF('02_Warehouse_Locations'!A498="","",'02_Warehouse_Locations'!A498)</f>
        <v/>
      </c>
      <c r="C499" t="str">
        <f t="shared" si="7"/>
        <v/>
      </c>
      <c r="D499" t="s">
        <v>1265</v>
      </c>
    </row>
    <row r="500" spans="1:4">
      <c r="A500" t="s">
        <v>1264</v>
      </c>
      <c r="B500" t="str">
        <f>IF('02_Warehouse_Locations'!A499="","",'02_Warehouse_Locations'!A499)</f>
        <v/>
      </c>
      <c r="C500" t="str">
        <f t="shared" si="7"/>
        <v/>
      </c>
      <c r="D500" t="s">
        <v>1265</v>
      </c>
    </row>
    <row r="501" spans="1:4">
      <c r="A501" t="s">
        <v>1264</v>
      </c>
      <c r="B501" t="str">
        <f>IF('02_Warehouse_Locations'!A500="","",'02_Warehouse_Locations'!A500)</f>
        <v/>
      </c>
      <c r="C501" t="str">
        <f t="shared" si="7"/>
        <v/>
      </c>
      <c r="D501" t="s">
        <v>1265</v>
      </c>
    </row>
    <row r="502" spans="1:4">
      <c r="A502" t="s">
        <v>1264</v>
      </c>
      <c r="B502" t="str">
        <f>IF('02_Warehouse_Locations'!A501="","",'02_Warehouse_Locations'!A501)</f>
        <v/>
      </c>
      <c r="C502" t="str">
        <f t="shared" si="7"/>
        <v/>
      </c>
      <c r="D502" t="s">
        <v>1265</v>
      </c>
    </row>
    <row r="505" spans="1:4">
      <c r="A505" s="37" t="s">
        <v>1266</v>
      </c>
    </row>
    <row r="506" spans="1:4">
      <c r="A506" t="s">
        <v>1267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1268</v>
      </c>
    </row>
    <row r="507" spans="1:4">
      <c r="A507" t="s">
        <v>1267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1268</v>
      </c>
    </row>
    <row r="508" spans="1:4">
      <c r="A508" t="s">
        <v>1267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1268</v>
      </c>
    </row>
    <row r="509" spans="1:4">
      <c r="A509" t="s">
        <v>1267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1268</v>
      </c>
    </row>
    <row r="510" spans="1:4">
      <c r="A510" t="s">
        <v>1267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1268</v>
      </c>
    </row>
    <row r="511" spans="1:4">
      <c r="A511" t="s">
        <v>1267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1268</v>
      </c>
    </row>
    <row r="512" spans="1:4">
      <c r="A512" t="s">
        <v>1267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1268</v>
      </c>
    </row>
    <row r="513" spans="1:4">
      <c r="A513" t="s">
        <v>1267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1268</v>
      </c>
    </row>
    <row r="514" spans="1:4">
      <c r="A514" t="s">
        <v>1267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1268</v>
      </c>
    </row>
    <row r="515" spans="1:4">
      <c r="A515" t="s">
        <v>1267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1268</v>
      </c>
    </row>
    <row r="516" spans="1:4">
      <c r="A516" t="s">
        <v>1267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1268</v>
      </c>
    </row>
    <row r="517" spans="1:4">
      <c r="A517" t="s">
        <v>1267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1268</v>
      </c>
    </row>
    <row r="518" spans="1:4">
      <c r="A518" t="s">
        <v>1267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1268</v>
      </c>
    </row>
    <row r="519" spans="1:4">
      <c r="A519" t="s">
        <v>1267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1268</v>
      </c>
    </row>
    <row r="520" spans="1:4">
      <c r="A520" t="s">
        <v>1267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1268</v>
      </c>
    </row>
    <row r="521" spans="1:4">
      <c r="A521" t="s">
        <v>1267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1268</v>
      </c>
    </row>
    <row r="522" spans="1:4">
      <c r="A522" t="s">
        <v>1267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1268</v>
      </c>
    </row>
    <row r="523" spans="1:4">
      <c r="A523" t="s">
        <v>1267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1268</v>
      </c>
    </row>
    <row r="524" spans="1:4">
      <c r="A524" t="s">
        <v>1267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1268</v>
      </c>
    </row>
    <row r="525" spans="1:4">
      <c r="A525" t="s">
        <v>1267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1268</v>
      </c>
    </row>
    <row r="526" spans="1:4">
      <c r="A526" t="s">
        <v>1267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1268</v>
      </c>
    </row>
    <row r="527" spans="1:4">
      <c r="A527" t="s">
        <v>1267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1268</v>
      </c>
    </row>
    <row r="528" spans="1:4">
      <c r="A528" t="s">
        <v>1267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1268</v>
      </c>
    </row>
    <row r="529" spans="1:4">
      <c r="A529" t="s">
        <v>1267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1268</v>
      </c>
    </row>
    <row r="530" spans="1:4">
      <c r="A530" t="s">
        <v>1267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1268</v>
      </c>
    </row>
    <row r="531" spans="1:4">
      <c r="A531" t="s">
        <v>1267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1268</v>
      </c>
    </row>
    <row r="532" spans="1:4">
      <c r="A532" t="s">
        <v>1267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1268</v>
      </c>
    </row>
    <row r="533" spans="1:4">
      <c r="A533" t="s">
        <v>1267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1268</v>
      </c>
    </row>
    <row r="534" spans="1:4">
      <c r="A534" t="s">
        <v>1267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1268</v>
      </c>
    </row>
    <row r="535" spans="1:4">
      <c r="A535" t="s">
        <v>1267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1268</v>
      </c>
    </row>
    <row r="536" spans="1:4">
      <c r="A536" t="s">
        <v>1267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1268</v>
      </c>
    </row>
    <row r="537" spans="1:4">
      <c r="A537" t="s">
        <v>1267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1268</v>
      </c>
    </row>
    <row r="538" spans="1:4">
      <c r="A538" t="s">
        <v>1267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1268</v>
      </c>
    </row>
    <row r="539" spans="1:4">
      <c r="A539" t="s">
        <v>1267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1268</v>
      </c>
    </row>
    <row r="540" spans="1:4">
      <c r="A540" t="s">
        <v>1267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1268</v>
      </c>
    </row>
    <row r="541" spans="1:4">
      <c r="A541" t="s">
        <v>1267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1268</v>
      </c>
    </row>
    <row r="542" spans="1:4">
      <c r="A542" t="s">
        <v>1267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1268</v>
      </c>
    </row>
    <row r="543" spans="1:4">
      <c r="A543" t="s">
        <v>1267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1268</v>
      </c>
    </row>
    <row r="544" spans="1:4">
      <c r="A544" t="s">
        <v>1267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1268</v>
      </c>
    </row>
    <row r="545" spans="1:4">
      <c r="A545" t="s">
        <v>1267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1268</v>
      </c>
    </row>
    <row r="546" spans="1:4">
      <c r="A546" t="s">
        <v>1267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1268</v>
      </c>
    </row>
    <row r="547" spans="1:4">
      <c r="A547" t="s">
        <v>1267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1268</v>
      </c>
    </row>
    <row r="548" spans="1:4">
      <c r="A548" t="s">
        <v>1267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1268</v>
      </c>
    </row>
    <row r="549" spans="1:4">
      <c r="A549" t="s">
        <v>1267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1268</v>
      </c>
    </row>
    <row r="550" spans="1:4">
      <c r="A550" t="s">
        <v>1267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1268</v>
      </c>
    </row>
    <row r="551" spans="1:4">
      <c r="A551" t="s">
        <v>1267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1268</v>
      </c>
    </row>
    <row r="552" spans="1:4">
      <c r="A552" t="s">
        <v>1267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1268</v>
      </c>
    </row>
    <row r="553" spans="1:4">
      <c r="A553" t="s">
        <v>1267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1268</v>
      </c>
    </row>
    <row r="554" spans="1:4">
      <c r="A554" t="s">
        <v>1267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1268</v>
      </c>
    </row>
    <row r="555" spans="1:4">
      <c r="A555" t="s">
        <v>1267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1268</v>
      </c>
    </row>
    <row r="556" spans="1:4">
      <c r="A556" t="s">
        <v>1267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1268</v>
      </c>
    </row>
    <row r="557" spans="1:4">
      <c r="A557" t="s">
        <v>1267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1268</v>
      </c>
    </row>
    <row r="558" spans="1:4">
      <c r="A558" t="s">
        <v>1267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1268</v>
      </c>
    </row>
    <row r="559" spans="1:4">
      <c r="A559" t="s">
        <v>1267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1268</v>
      </c>
    </row>
    <row r="560" spans="1:4">
      <c r="A560" t="s">
        <v>1267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1268</v>
      </c>
    </row>
    <row r="561" spans="1:4">
      <c r="A561" t="s">
        <v>1267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1268</v>
      </c>
    </row>
    <row r="562" spans="1:4">
      <c r="A562" t="s">
        <v>1267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1268</v>
      </c>
    </row>
    <row r="563" spans="1:4">
      <c r="A563" t="s">
        <v>1267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1268</v>
      </c>
    </row>
    <row r="564" spans="1:4">
      <c r="A564" t="s">
        <v>1267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1268</v>
      </c>
    </row>
    <row r="565" spans="1:4">
      <c r="A565" t="s">
        <v>1267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1268</v>
      </c>
    </row>
    <row r="566" spans="1:4">
      <c r="A566" t="s">
        <v>1267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1268</v>
      </c>
    </row>
    <row r="567" spans="1:4">
      <c r="A567" t="s">
        <v>1267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1268</v>
      </c>
    </row>
    <row r="568" spans="1:4">
      <c r="A568" t="s">
        <v>1267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1268</v>
      </c>
    </row>
    <row r="569" spans="1:4">
      <c r="A569" t="s">
        <v>1267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1268</v>
      </c>
    </row>
    <row r="570" spans="1:4">
      <c r="A570" t="s">
        <v>1267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1268</v>
      </c>
    </row>
    <row r="571" spans="1:4">
      <c r="A571" t="s">
        <v>1267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1268</v>
      </c>
    </row>
    <row r="572" spans="1:4">
      <c r="A572" t="s">
        <v>1267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1268</v>
      </c>
    </row>
    <row r="573" spans="1:4">
      <c r="A573" t="s">
        <v>1267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1268</v>
      </c>
    </row>
    <row r="574" spans="1:4">
      <c r="A574" t="s">
        <v>1267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1268</v>
      </c>
    </row>
    <row r="575" spans="1:4">
      <c r="A575" t="s">
        <v>1267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1268</v>
      </c>
    </row>
    <row r="576" spans="1:4">
      <c r="A576" t="s">
        <v>1267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1268</v>
      </c>
    </row>
    <row r="577" spans="1:4">
      <c r="A577" t="s">
        <v>1267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1268</v>
      </c>
    </row>
    <row r="578" spans="1:4">
      <c r="A578" t="s">
        <v>1267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1268</v>
      </c>
    </row>
    <row r="579" spans="1:4">
      <c r="A579" t="s">
        <v>1267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1268</v>
      </c>
    </row>
    <row r="580" spans="1:4">
      <c r="A580" t="s">
        <v>1267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1268</v>
      </c>
    </row>
    <row r="581" spans="1:4">
      <c r="A581" t="s">
        <v>1267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1268</v>
      </c>
    </row>
    <row r="582" spans="1:4">
      <c r="A582" t="s">
        <v>1267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1268</v>
      </c>
    </row>
    <row r="583" spans="1:4">
      <c r="A583" t="s">
        <v>1267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1268</v>
      </c>
    </row>
    <row r="584" spans="1:4">
      <c r="A584" t="s">
        <v>1267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1268</v>
      </c>
    </row>
    <row r="585" spans="1:4">
      <c r="A585" t="s">
        <v>1267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1268</v>
      </c>
    </row>
    <row r="586" spans="1:4">
      <c r="A586" t="s">
        <v>1267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1268</v>
      </c>
    </row>
    <row r="587" spans="1:4">
      <c r="A587" t="s">
        <v>1267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1268</v>
      </c>
    </row>
    <row r="588" spans="1:4">
      <c r="A588" t="s">
        <v>1267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1268</v>
      </c>
    </row>
    <row r="589" spans="1:4">
      <c r="A589" t="s">
        <v>1267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1268</v>
      </c>
    </row>
    <row r="590" spans="1:4">
      <c r="A590" t="s">
        <v>1267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1268</v>
      </c>
    </row>
    <row r="591" spans="1:4">
      <c r="A591" t="s">
        <v>1267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1268</v>
      </c>
    </row>
    <row r="592" spans="1:4">
      <c r="A592" t="s">
        <v>1267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1268</v>
      </c>
    </row>
    <row r="593" spans="1:4">
      <c r="A593" t="s">
        <v>1267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1268</v>
      </c>
    </row>
    <row r="594" spans="1:4">
      <c r="A594" t="s">
        <v>1267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1268</v>
      </c>
    </row>
    <row r="595" spans="1:4">
      <c r="A595" t="s">
        <v>1267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1268</v>
      </c>
    </row>
    <row r="596" spans="1:4">
      <c r="A596" t="s">
        <v>1267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1268</v>
      </c>
    </row>
    <row r="597" spans="1:4">
      <c r="A597" t="s">
        <v>1267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1268</v>
      </c>
    </row>
    <row r="598" spans="1:4">
      <c r="A598" t="s">
        <v>1267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1268</v>
      </c>
    </row>
    <row r="599" spans="1:4">
      <c r="A599" t="s">
        <v>1267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1268</v>
      </c>
    </row>
    <row r="600" spans="1:4">
      <c r="A600" t="s">
        <v>1267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1268</v>
      </c>
    </row>
    <row r="601" spans="1:4">
      <c r="A601" t="s">
        <v>1267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1268</v>
      </c>
    </row>
    <row r="602" spans="1:4">
      <c r="A602" t="s">
        <v>1267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1268</v>
      </c>
    </row>
    <row r="603" spans="1:4">
      <c r="A603" t="s">
        <v>1267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1268</v>
      </c>
    </row>
    <row r="604" spans="1:4">
      <c r="A604" t="s">
        <v>1267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1268</v>
      </c>
    </row>
    <row r="605" spans="1:4">
      <c r="A605" t="s">
        <v>1267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1268</v>
      </c>
    </row>
    <row r="606" spans="1:4">
      <c r="A606" t="s">
        <v>1267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1268</v>
      </c>
    </row>
    <row r="607" spans="1:4">
      <c r="A607" t="s">
        <v>1267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1268</v>
      </c>
    </row>
    <row r="608" spans="1:4">
      <c r="A608" t="s">
        <v>1267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1268</v>
      </c>
    </row>
    <row r="609" spans="1:4">
      <c r="A609" t="s">
        <v>1267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1268</v>
      </c>
    </row>
    <row r="610" spans="1:4">
      <c r="A610" t="s">
        <v>1267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1268</v>
      </c>
    </row>
    <row r="611" spans="1:4">
      <c r="A611" t="s">
        <v>1267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1268</v>
      </c>
    </row>
    <row r="612" spans="1:4">
      <c r="A612" t="s">
        <v>1267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1268</v>
      </c>
    </row>
    <row r="613" spans="1:4">
      <c r="A613" t="s">
        <v>1267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1268</v>
      </c>
    </row>
    <row r="614" spans="1:4">
      <c r="A614" t="s">
        <v>1267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1268</v>
      </c>
    </row>
    <row r="615" spans="1:4">
      <c r="A615" t="s">
        <v>1267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1268</v>
      </c>
    </row>
    <row r="616" spans="1:4">
      <c r="A616" t="s">
        <v>1267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1268</v>
      </c>
    </row>
    <row r="617" spans="1:4">
      <c r="A617" t="s">
        <v>1267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1268</v>
      </c>
    </row>
    <row r="618" spans="1:4">
      <c r="A618" t="s">
        <v>1267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1268</v>
      </c>
    </row>
    <row r="619" spans="1:4">
      <c r="A619" t="s">
        <v>1267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1268</v>
      </c>
    </row>
    <row r="620" spans="1:4">
      <c r="A620" t="s">
        <v>1267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1268</v>
      </c>
    </row>
    <row r="621" spans="1:4">
      <c r="A621" t="s">
        <v>1267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1268</v>
      </c>
    </row>
    <row r="622" spans="1:4">
      <c r="A622" t="s">
        <v>1267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1268</v>
      </c>
    </row>
    <row r="623" spans="1:4">
      <c r="A623" t="s">
        <v>1267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1268</v>
      </c>
    </row>
    <row r="624" spans="1:4">
      <c r="A624" t="s">
        <v>1267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1268</v>
      </c>
    </row>
    <row r="625" spans="1:4">
      <c r="A625" t="s">
        <v>1267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1268</v>
      </c>
    </row>
    <row r="626" spans="1:4">
      <c r="A626" t="s">
        <v>1267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1268</v>
      </c>
    </row>
    <row r="627" spans="1:4">
      <c r="A627" t="s">
        <v>1267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1268</v>
      </c>
    </row>
    <row r="628" spans="1:4">
      <c r="A628" t="s">
        <v>1267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1268</v>
      </c>
    </row>
    <row r="629" spans="1:4">
      <c r="A629" t="s">
        <v>1267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1268</v>
      </c>
    </row>
    <row r="630" spans="1:4">
      <c r="A630" t="s">
        <v>1267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1268</v>
      </c>
    </row>
    <row r="631" spans="1:4">
      <c r="A631" t="s">
        <v>1267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1268</v>
      </c>
    </row>
    <row r="632" spans="1:4">
      <c r="A632" t="s">
        <v>1267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1268</v>
      </c>
    </row>
    <row r="633" spans="1:4">
      <c r="A633" t="s">
        <v>1267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1268</v>
      </c>
    </row>
    <row r="634" spans="1:4">
      <c r="A634" t="s">
        <v>1267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1268</v>
      </c>
    </row>
    <row r="635" spans="1:4">
      <c r="A635" t="s">
        <v>1267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1268</v>
      </c>
    </row>
    <row r="636" spans="1:4">
      <c r="A636" t="s">
        <v>1267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1268</v>
      </c>
    </row>
    <row r="637" spans="1:4">
      <c r="A637" t="s">
        <v>1267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1268</v>
      </c>
    </row>
    <row r="638" spans="1:4">
      <c r="A638" t="s">
        <v>1267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1268</v>
      </c>
    </row>
    <row r="639" spans="1:4">
      <c r="A639" t="s">
        <v>1267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1268</v>
      </c>
    </row>
    <row r="640" spans="1:4">
      <c r="A640" t="s">
        <v>1267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1268</v>
      </c>
    </row>
    <row r="641" spans="1:4">
      <c r="A641" t="s">
        <v>1267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1268</v>
      </c>
    </row>
    <row r="642" spans="1:4">
      <c r="A642" t="s">
        <v>1267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1268</v>
      </c>
    </row>
    <row r="643" spans="1:4">
      <c r="A643" t="s">
        <v>1267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1268</v>
      </c>
    </row>
    <row r="644" spans="1:4">
      <c r="A644" t="s">
        <v>1267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1268</v>
      </c>
    </row>
    <row r="645" spans="1:4">
      <c r="A645" t="s">
        <v>1267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1268</v>
      </c>
    </row>
    <row r="646" spans="1:4">
      <c r="A646" t="s">
        <v>1267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1268</v>
      </c>
    </row>
    <row r="647" spans="1:4">
      <c r="A647" t="s">
        <v>1267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1268</v>
      </c>
    </row>
    <row r="648" spans="1:4">
      <c r="A648" t="s">
        <v>1267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1268</v>
      </c>
    </row>
    <row r="649" spans="1:4">
      <c r="A649" t="s">
        <v>1267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1268</v>
      </c>
    </row>
    <row r="650" spans="1:4">
      <c r="A650" t="s">
        <v>1267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1268</v>
      </c>
    </row>
    <row r="651" spans="1:4">
      <c r="A651" t="s">
        <v>1267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1268</v>
      </c>
    </row>
    <row r="652" spans="1:4">
      <c r="A652" t="s">
        <v>1267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1268</v>
      </c>
    </row>
    <row r="653" spans="1:4">
      <c r="A653" t="s">
        <v>1267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1268</v>
      </c>
    </row>
    <row r="654" spans="1:4">
      <c r="A654" t="s">
        <v>1267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1268</v>
      </c>
    </row>
    <row r="655" spans="1:4">
      <c r="A655" t="s">
        <v>1267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1268</v>
      </c>
    </row>
    <row r="656" spans="1:4">
      <c r="A656" t="s">
        <v>1267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1268</v>
      </c>
    </row>
    <row r="657" spans="1:4">
      <c r="A657" t="s">
        <v>1267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1268</v>
      </c>
    </row>
    <row r="658" spans="1:4">
      <c r="A658" t="s">
        <v>1267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1268</v>
      </c>
    </row>
    <row r="659" spans="1:4">
      <c r="A659" t="s">
        <v>1267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1268</v>
      </c>
    </row>
    <row r="660" spans="1:4">
      <c r="A660" t="s">
        <v>1267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1268</v>
      </c>
    </row>
    <row r="661" spans="1:4">
      <c r="A661" t="s">
        <v>1267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1268</v>
      </c>
    </row>
    <row r="662" spans="1:4">
      <c r="A662" t="s">
        <v>1267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1268</v>
      </c>
    </row>
    <row r="663" spans="1:4">
      <c r="A663" t="s">
        <v>1267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1268</v>
      </c>
    </row>
    <row r="664" spans="1:4">
      <c r="A664" t="s">
        <v>1267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1268</v>
      </c>
    </row>
    <row r="665" spans="1:4">
      <c r="A665" t="s">
        <v>1267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1268</v>
      </c>
    </row>
    <row r="666" spans="1:4">
      <c r="A666" t="s">
        <v>1267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1268</v>
      </c>
    </row>
    <row r="667" spans="1:4">
      <c r="A667" t="s">
        <v>1267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1268</v>
      </c>
    </row>
    <row r="668" spans="1:4">
      <c r="A668" t="s">
        <v>1267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1268</v>
      </c>
    </row>
    <row r="669" spans="1:4">
      <c r="A669" t="s">
        <v>1267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1268</v>
      </c>
    </row>
    <row r="670" spans="1:4">
      <c r="A670" t="s">
        <v>1267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1268</v>
      </c>
    </row>
    <row r="671" spans="1:4">
      <c r="A671" t="s">
        <v>1267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1268</v>
      </c>
    </row>
    <row r="672" spans="1:4">
      <c r="A672" t="s">
        <v>1267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1268</v>
      </c>
    </row>
    <row r="673" spans="1:4">
      <c r="A673" t="s">
        <v>1267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1268</v>
      </c>
    </row>
    <row r="674" spans="1:4">
      <c r="A674" t="s">
        <v>1267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1268</v>
      </c>
    </row>
    <row r="675" spans="1:4">
      <c r="A675" t="s">
        <v>1267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1268</v>
      </c>
    </row>
    <row r="676" spans="1:4">
      <c r="A676" t="s">
        <v>1267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1268</v>
      </c>
    </row>
    <row r="677" spans="1:4">
      <c r="A677" t="s">
        <v>1267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1268</v>
      </c>
    </row>
    <row r="678" spans="1:4">
      <c r="A678" t="s">
        <v>1267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1268</v>
      </c>
    </row>
    <row r="679" spans="1:4">
      <c r="A679" t="s">
        <v>1267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1268</v>
      </c>
    </row>
    <row r="680" spans="1:4">
      <c r="A680" t="s">
        <v>1267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1268</v>
      </c>
    </row>
    <row r="681" spans="1:4">
      <c r="A681" t="s">
        <v>1267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1268</v>
      </c>
    </row>
    <row r="682" spans="1:4">
      <c r="A682" t="s">
        <v>1267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1268</v>
      </c>
    </row>
    <row r="683" spans="1:4">
      <c r="A683" t="s">
        <v>1267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1268</v>
      </c>
    </row>
    <row r="684" spans="1:4">
      <c r="A684" t="s">
        <v>1267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1268</v>
      </c>
    </row>
    <row r="685" spans="1:4">
      <c r="A685" t="s">
        <v>1267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1268</v>
      </c>
    </row>
    <row r="686" spans="1:4">
      <c r="A686" t="s">
        <v>1267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1268</v>
      </c>
    </row>
    <row r="687" spans="1:4">
      <c r="A687" t="s">
        <v>1267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1268</v>
      </c>
    </row>
    <row r="688" spans="1:4">
      <c r="A688" t="s">
        <v>1267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1268</v>
      </c>
    </row>
    <row r="689" spans="1:4">
      <c r="A689" t="s">
        <v>1267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1268</v>
      </c>
    </row>
    <row r="690" spans="1:4">
      <c r="A690" t="s">
        <v>1267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1268</v>
      </c>
    </row>
    <row r="691" spans="1:4">
      <c r="A691" t="s">
        <v>1267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1268</v>
      </c>
    </row>
    <row r="692" spans="1:4">
      <c r="A692" t="s">
        <v>1267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1268</v>
      </c>
    </row>
    <row r="693" spans="1:4">
      <c r="A693" t="s">
        <v>1267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1268</v>
      </c>
    </row>
    <row r="694" spans="1:4">
      <c r="A694" t="s">
        <v>1267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1268</v>
      </c>
    </row>
    <row r="695" spans="1:4">
      <c r="A695" t="s">
        <v>1267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1268</v>
      </c>
    </row>
    <row r="696" spans="1:4">
      <c r="A696" t="s">
        <v>1267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1268</v>
      </c>
    </row>
    <row r="697" spans="1:4">
      <c r="A697" t="s">
        <v>1267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1268</v>
      </c>
    </row>
    <row r="698" spans="1:4">
      <c r="A698" t="s">
        <v>1267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1268</v>
      </c>
    </row>
    <row r="699" spans="1:4">
      <c r="A699" t="s">
        <v>1267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1268</v>
      </c>
    </row>
    <row r="700" spans="1:4">
      <c r="A700" t="s">
        <v>1267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1268</v>
      </c>
    </row>
    <row r="701" spans="1:4">
      <c r="A701" t="s">
        <v>1267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1268</v>
      </c>
    </row>
    <row r="702" spans="1:4">
      <c r="A702" t="s">
        <v>1267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1268</v>
      </c>
    </row>
    <row r="703" spans="1:4">
      <c r="A703" t="s">
        <v>1267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1268</v>
      </c>
    </row>
    <row r="704" spans="1:4">
      <c r="A704" t="s">
        <v>1267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1268</v>
      </c>
    </row>
    <row r="705" spans="1:4">
      <c r="A705" t="s">
        <v>1267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1268</v>
      </c>
    </row>
    <row r="706" spans="1:4">
      <c r="A706" t="s">
        <v>1267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1268</v>
      </c>
    </row>
    <row r="707" spans="1:4">
      <c r="A707" t="s">
        <v>1267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1268</v>
      </c>
    </row>
    <row r="708" spans="1:4">
      <c r="A708" t="s">
        <v>1267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1268</v>
      </c>
    </row>
    <row r="709" spans="1:4">
      <c r="A709" t="s">
        <v>1267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1268</v>
      </c>
    </row>
    <row r="710" spans="1:4">
      <c r="A710" t="s">
        <v>1267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1268</v>
      </c>
    </row>
    <row r="711" spans="1:4">
      <c r="A711" t="s">
        <v>1267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1268</v>
      </c>
    </row>
    <row r="712" spans="1:4">
      <c r="A712" t="s">
        <v>1267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1268</v>
      </c>
    </row>
    <row r="713" spans="1:4">
      <c r="A713" t="s">
        <v>1267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1268</v>
      </c>
    </row>
    <row r="714" spans="1:4">
      <c r="A714" t="s">
        <v>1267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1268</v>
      </c>
    </row>
    <row r="715" spans="1:4">
      <c r="A715" t="s">
        <v>1267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1268</v>
      </c>
    </row>
    <row r="716" spans="1:4">
      <c r="A716" t="s">
        <v>1267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1268</v>
      </c>
    </row>
    <row r="717" spans="1:4">
      <c r="A717" t="s">
        <v>1267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1268</v>
      </c>
    </row>
    <row r="718" spans="1:4">
      <c r="A718" t="s">
        <v>1267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1268</v>
      </c>
    </row>
    <row r="719" spans="1:4">
      <c r="A719" t="s">
        <v>1267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1268</v>
      </c>
    </row>
    <row r="720" spans="1:4">
      <c r="A720" t="s">
        <v>1267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1268</v>
      </c>
    </row>
    <row r="721" spans="1:4">
      <c r="A721" t="s">
        <v>1267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1268</v>
      </c>
    </row>
    <row r="722" spans="1:4">
      <c r="A722" t="s">
        <v>1267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1268</v>
      </c>
    </row>
    <row r="723" spans="1:4">
      <c r="A723" t="s">
        <v>1267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1268</v>
      </c>
    </row>
    <row r="724" spans="1:4">
      <c r="A724" t="s">
        <v>1267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1268</v>
      </c>
    </row>
    <row r="725" spans="1:4">
      <c r="A725" t="s">
        <v>1267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1268</v>
      </c>
    </row>
    <row r="726" spans="1:4">
      <c r="A726" t="s">
        <v>1267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1268</v>
      </c>
    </row>
    <row r="727" spans="1:4">
      <c r="A727" t="s">
        <v>1267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1268</v>
      </c>
    </row>
    <row r="728" spans="1:4">
      <c r="A728" t="s">
        <v>1267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1268</v>
      </c>
    </row>
    <row r="729" spans="1:4">
      <c r="A729" t="s">
        <v>1267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1268</v>
      </c>
    </row>
    <row r="730" spans="1:4">
      <c r="A730" t="s">
        <v>1267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1268</v>
      </c>
    </row>
    <row r="731" spans="1:4">
      <c r="A731" t="s">
        <v>1267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1268</v>
      </c>
    </row>
    <row r="732" spans="1:4">
      <c r="A732" t="s">
        <v>1267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1268</v>
      </c>
    </row>
    <row r="733" spans="1:4">
      <c r="A733" t="s">
        <v>1267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1268</v>
      </c>
    </row>
    <row r="734" spans="1:4">
      <c r="A734" t="s">
        <v>1267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1268</v>
      </c>
    </row>
    <row r="735" spans="1:4">
      <c r="A735" t="s">
        <v>1267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1268</v>
      </c>
    </row>
    <row r="736" spans="1:4">
      <c r="A736" t="s">
        <v>1267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1268</v>
      </c>
    </row>
    <row r="737" spans="1:4">
      <c r="A737" t="s">
        <v>1267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1268</v>
      </c>
    </row>
    <row r="738" spans="1:4">
      <c r="A738" t="s">
        <v>1267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1268</v>
      </c>
    </row>
    <row r="739" spans="1:4">
      <c r="A739" t="s">
        <v>1267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1268</v>
      </c>
    </row>
    <row r="740" spans="1:4">
      <c r="A740" t="s">
        <v>1267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1268</v>
      </c>
    </row>
    <row r="741" spans="1:4">
      <c r="A741" t="s">
        <v>1267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1268</v>
      </c>
    </row>
    <row r="742" spans="1:4">
      <c r="A742" t="s">
        <v>1267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1268</v>
      </c>
    </row>
    <row r="743" spans="1:4">
      <c r="A743" t="s">
        <v>1267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1268</v>
      </c>
    </row>
    <row r="744" spans="1:4">
      <c r="A744" t="s">
        <v>1267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1268</v>
      </c>
    </row>
    <row r="745" spans="1:4">
      <c r="A745" t="s">
        <v>1267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1268</v>
      </c>
    </row>
    <row r="746" spans="1:4">
      <c r="A746" t="s">
        <v>1267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1268</v>
      </c>
    </row>
    <row r="747" spans="1:4">
      <c r="A747" t="s">
        <v>1267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1268</v>
      </c>
    </row>
    <row r="748" spans="1:4">
      <c r="A748" t="s">
        <v>1267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1268</v>
      </c>
    </row>
    <row r="749" spans="1:4">
      <c r="A749" t="s">
        <v>1267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1268</v>
      </c>
    </row>
    <row r="750" spans="1:4">
      <c r="A750" t="s">
        <v>1267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1268</v>
      </c>
    </row>
    <row r="751" spans="1:4">
      <c r="A751" t="s">
        <v>1267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1268</v>
      </c>
    </row>
    <row r="752" spans="1:4">
      <c r="A752" t="s">
        <v>1267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1268</v>
      </c>
    </row>
    <row r="753" spans="1:4">
      <c r="A753" t="s">
        <v>1267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1268</v>
      </c>
    </row>
    <row r="754" spans="1:4">
      <c r="A754" t="s">
        <v>1267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1268</v>
      </c>
    </row>
    <row r="755" spans="1:4">
      <c r="A755" t="s">
        <v>1267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1268</v>
      </c>
    </row>
    <row r="756" spans="1:4">
      <c r="A756" t="s">
        <v>1267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1268</v>
      </c>
    </row>
    <row r="757" spans="1:4">
      <c r="A757" t="s">
        <v>1267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1268</v>
      </c>
    </row>
    <row r="758" spans="1:4">
      <c r="A758" t="s">
        <v>1267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1268</v>
      </c>
    </row>
    <row r="759" spans="1:4">
      <c r="A759" t="s">
        <v>1267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1268</v>
      </c>
    </row>
    <row r="760" spans="1:4">
      <c r="A760" t="s">
        <v>1267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1268</v>
      </c>
    </row>
    <row r="761" spans="1:4">
      <c r="A761" t="s">
        <v>1267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1268</v>
      </c>
    </row>
    <row r="762" spans="1:4">
      <c r="A762" t="s">
        <v>1267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1268</v>
      </c>
    </row>
    <row r="763" spans="1:4">
      <c r="A763" t="s">
        <v>1267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1268</v>
      </c>
    </row>
    <row r="764" spans="1:4">
      <c r="A764" t="s">
        <v>1267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1268</v>
      </c>
    </row>
    <row r="765" spans="1:4">
      <c r="A765" t="s">
        <v>1267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1268</v>
      </c>
    </row>
    <row r="766" spans="1:4">
      <c r="A766" t="s">
        <v>1267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1268</v>
      </c>
    </row>
    <row r="767" spans="1:4">
      <c r="A767" t="s">
        <v>1267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1268</v>
      </c>
    </row>
    <row r="768" spans="1:4">
      <c r="A768" t="s">
        <v>1267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1268</v>
      </c>
    </row>
    <row r="769" spans="1:4">
      <c r="A769" t="s">
        <v>1267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1268</v>
      </c>
    </row>
    <row r="770" spans="1:4">
      <c r="A770" t="s">
        <v>1267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1268</v>
      </c>
    </row>
    <row r="771" spans="1:4">
      <c r="A771" t="s">
        <v>1267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1268</v>
      </c>
    </row>
    <row r="772" spans="1:4">
      <c r="A772" t="s">
        <v>1267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1268</v>
      </c>
    </row>
    <row r="773" spans="1:4">
      <c r="A773" t="s">
        <v>1267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1268</v>
      </c>
    </row>
    <row r="774" spans="1:4">
      <c r="A774" t="s">
        <v>1267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1268</v>
      </c>
    </row>
    <row r="775" spans="1:4">
      <c r="A775" t="s">
        <v>1267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1268</v>
      </c>
    </row>
    <row r="776" spans="1:4">
      <c r="A776" t="s">
        <v>1267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1268</v>
      </c>
    </row>
    <row r="777" spans="1:4">
      <c r="A777" t="s">
        <v>1267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1268</v>
      </c>
    </row>
    <row r="778" spans="1:4">
      <c r="A778" t="s">
        <v>1267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1268</v>
      </c>
    </row>
    <row r="779" spans="1:4">
      <c r="A779" t="s">
        <v>1267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1268</v>
      </c>
    </row>
    <row r="780" spans="1:4">
      <c r="A780" t="s">
        <v>1267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1268</v>
      </c>
    </row>
    <row r="781" spans="1:4">
      <c r="A781" t="s">
        <v>1267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1268</v>
      </c>
    </row>
    <row r="782" spans="1:4">
      <c r="A782" t="s">
        <v>1267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1268</v>
      </c>
    </row>
    <row r="783" spans="1:4">
      <c r="A783" t="s">
        <v>1267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1268</v>
      </c>
    </row>
    <row r="784" spans="1:4">
      <c r="A784" t="s">
        <v>1267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1268</v>
      </c>
    </row>
    <row r="785" spans="1:4">
      <c r="A785" t="s">
        <v>1267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1268</v>
      </c>
    </row>
    <row r="786" spans="1:4">
      <c r="A786" t="s">
        <v>1267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1268</v>
      </c>
    </row>
    <row r="787" spans="1:4">
      <c r="A787" t="s">
        <v>1267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1268</v>
      </c>
    </row>
    <row r="788" spans="1:4">
      <c r="A788" t="s">
        <v>1267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1268</v>
      </c>
    </row>
    <row r="789" spans="1:4">
      <c r="A789" t="s">
        <v>1267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1268</v>
      </c>
    </row>
    <row r="790" spans="1:4">
      <c r="A790" t="s">
        <v>1267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1268</v>
      </c>
    </row>
    <row r="791" spans="1:4">
      <c r="A791" t="s">
        <v>1267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1268</v>
      </c>
    </row>
    <row r="792" spans="1:4">
      <c r="A792" t="s">
        <v>1267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1268</v>
      </c>
    </row>
    <row r="793" spans="1:4">
      <c r="A793" t="s">
        <v>1267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1268</v>
      </c>
    </row>
    <row r="794" spans="1:4">
      <c r="A794" t="s">
        <v>1267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1268</v>
      </c>
    </row>
    <row r="795" spans="1:4">
      <c r="A795" t="s">
        <v>1267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1268</v>
      </c>
    </row>
    <row r="796" spans="1:4">
      <c r="A796" t="s">
        <v>1267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1268</v>
      </c>
    </row>
    <row r="797" spans="1:4">
      <c r="A797" t="s">
        <v>1267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1268</v>
      </c>
    </row>
    <row r="798" spans="1:4">
      <c r="A798" t="s">
        <v>1267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1268</v>
      </c>
    </row>
    <row r="799" spans="1:4">
      <c r="A799" t="s">
        <v>1267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1268</v>
      </c>
    </row>
    <row r="800" spans="1:4">
      <c r="A800" t="s">
        <v>1267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1268</v>
      </c>
    </row>
    <row r="801" spans="1:4">
      <c r="A801" t="s">
        <v>1267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1268</v>
      </c>
    </row>
    <row r="802" spans="1:4">
      <c r="A802" t="s">
        <v>1267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1268</v>
      </c>
    </row>
    <row r="803" spans="1:4">
      <c r="A803" t="s">
        <v>1267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1268</v>
      </c>
    </row>
    <row r="804" spans="1:4">
      <c r="A804" t="s">
        <v>1267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1268</v>
      </c>
    </row>
    <row r="805" spans="1:4">
      <c r="A805" t="s">
        <v>1267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1268</v>
      </c>
    </row>
    <row r="806" spans="1:4">
      <c r="A806" t="s">
        <v>1267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1268</v>
      </c>
    </row>
    <row r="807" spans="1:4">
      <c r="A807" t="s">
        <v>1267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1268</v>
      </c>
    </row>
    <row r="808" spans="1:4">
      <c r="A808" t="s">
        <v>1267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1268</v>
      </c>
    </row>
    <row r="809" spans="1:4">
      <c r="A809" t="s">
        <v>1267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1268</v>
      </c>
    </row>
    <row r="810" spans="1:4">
      <c r="A810" t="s">
        <v>1267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1268</v>
      </c>
    </row>
    <row r="811" spans="1:4">
      <c r="A811" t="s">
        <v>1267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1268</v>
      </c>
    </row>
    <row r="812" spans="1:4">
      <c r="A812" t="s">
        <v>1267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1268</v>
      </c>
    </row>
    <row r="813" spans="1:4">
      <c r="A813" t="s">
        <v>1267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1268</v>
      </c>
    </row>
    <row r="814" spans="1:4">
      <c r="A814" t="s">
        <v>1267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1268</v>
      </c>
    </row>
    <row r="815" spans="1:4">
      <c r="A815" t="s">
        <v>1267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1268</v>
      </c>
    </row>
    <row r="816" spans="1:4">
      <c r="A816" t="s">
        <v>1267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1268</v>
      </c>
    </row>
    <row r="817" spans="1:4">
      <c r="A817" t="s">
        <v>1267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1268</v>
      </c>
    </row>
    <row r="818" spans="1:4">
      <c r="A818" t="s">
        <v>1267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1268</v>
      </c>
    </row>
    <row r="819" spans="1:4">
      <c r="A819" t="s">
        <v>1267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1268</v>
      </c>
    </row>
    <row r="820" spans="1:4">
      <c r="A820" t="s">
        <v>1267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1268</v>
      </c>
    </row>
    <row r="821" spans="1:4">
      <c r="A821" t="s">
        <v>1267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1268</v>
      </c>
    </row>
    <row r="822" spans="1:4">
      <c r="A822" t="s">
        <v>1267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1268</v>
      </c>
    </row>
    <row r="823" spans="1:4">
      <c r="A823" t="s">
        <v>1267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1268</v>
      </c>
    </row>
    <row r="824" spans="1:4">
      <c r="A824" t="s">
        <v>1267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1268</v>
      </c>
    </row>
    <row r="825" spans="1:4">
      <c r="A825" t="s">
        <v>1267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1268</v>
      </c>
    </row>
    <row r="826" spans="1:4">
      <c r="A826" t="s">
        <v>1267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1268</v>
      </c>
    </row>
    <row r="827" spans="1:4">
      <c r="A827" t="s">
        <v>1267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1268</v>
      </c>
    </row>
    <row r="828" spans="1:4">
      <c r="A828" t="s">
        <v>1267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1268</v>
      </c>
    </row>
    <row r="829" spans="1:4">
      <c r="A829" t="s">
        <v>1267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1268</v>
      </c>
    </row>
    <row r="830" spans="1:4">
      <c r="A830" t="s">
        <v>1267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1268</v>
      </c>
    </row>
    <row r="831" spans="1:4">
      <c r="A831" t="s">
        <v>1267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1268</v>
      </c>
    </row>
    <row r="832" spans="1:4">
      <c r="A832" t="s">
        <v>1267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1268</v>
      </c>
    </row>
    <row r="833" spans="1:4">
      <c r="A833" t="s">
        <v>1267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1268</v>
      </c>
    </row>
    <row r="834" spans="1:4">
      <c r="A834" t="s">
        <v>1267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1268</v>
      </c>
    </row>
    <row r="835" spans="1:4">
      <c r="A835" t="s">
        <v>1267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1268</v>
      </c>
    </row>
    <row r="836" spans="1:4">
      <c r="A836" t="s">
        <v>1267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1268</v>
      </c>
    </row>
    <row r="837" spans="1:4">
      <c r="A837" t="s">
        <v>1267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1268</v>
      </c>
    </row>
    <row r="838" spans="1:4">
      <c r="A838" t="s">
        <v>1267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1268</v>
      </c>
    </row>
    <row r="839" spans="1:4">
      <c r="A839" t="s">
        <v>1267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1268</v>
      </c>
    </row>
    <row r="840" spans="1:4">
      <c r="A840" t="s">
        <v>1267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1268</v>
      </c>
    </row>
    <row r="841" spans="1:4">
      <c r="A841" t="s">
        <v>1267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1268</v>
      </c>
    </row>
    <row r="842" spans="1:4">
      <c r="A842" t="s">
        <v>1267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1268</v>
      </c>
    </row>
    <row r="843" spans="1:4">
      <c r="A843" t="s">
        <v>1267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1268</v>
      </c>
    </row>
    <row r="844" spans="1:4">
      <c r="A844" t="s">
        <v>1267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1268</v>
      </c>
    </row>
    <row r="845" spans="1:4">
      <c r="A845" t="s">
        <v>1267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1268</v>
      </c>
    </row>
    <row r="846" spans="1:4">
      <c r="A846" t="s">
        <v>1267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1268</v>
      </c>
    </row>
    <row r="847" spans="1:4">
      <c r="A847" t="s">
        <v>1267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1268</v>
      </c>
    </row>
    <row r="848" spans="1:4">
      <c r="A848" t="s">
        <v>1267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1268</v>
      </c>
    </row>
    <row r="849" spans="1:4">
      <c r="A849" t="s">
        <v>1267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1268</v>
      </c>
    </row>
    <row r="850" spans="1:4">
      <c r="A850" t="s">
        <v>1267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1268</v>
      </c>
    </row>
    <row r="851" spans="1:4">
      <c r="A851" t="s">
        <v>1267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1268</v>
      </c>
    </row>
    <row r="852" spans="1:4">
      <c r="A852" t="s">
        <v>1267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1268</v>
      </c>
    </row>
    <row r="853" spans="1:4">
      <c r="A853" t="s">
        <v>1267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1268</v>
      </c>
    </row>
    <row r="854" spans="1:4">
      <c r="A854" t="s">
        <v>1267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1268</v>
      </c>
    </row>
    <row r="855" spans="1:4">
      <c r="A855" t="s">
        <v>1267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1268</v>
      </c>
    </row>
    <row r="856" spans="1:4">
      <c r="A856" t="s">
        <v>1267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1268</v>
      </c>
    </row>
    <row r="857" spans="1:4">
      <c r="A857" t="s">
        <v>1267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1268</v>
      </c>
    </row>
    <row r="858" spans="1:4">
      <c r="A858" t="s">
        <v>1267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1268</v>
      </c>
    </row>
    <row r="859" spans="1:4">
      <c r="A859" t="s">
        <v>1267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1268</v>
      </c>
    </row>
    <row r="860" spans="1:4">
      <c r="A860" t="s">
        <v>1267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1268</v>
      </c>
    </row>
    <row r="861" spans="1:4">
      <c r="A861" t="s">
        <v>1267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1268</v>
      </c>
    </row>
    <row r="862" spans="1:4">
      <c r="A862" t="s">
        <v>1267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1268</v>
      </c>
    </row>
    <row r="863" spans="1:4">
      <c r="A863" t="s">
        <v>1267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1268</v>
      </c>
    </row>
    <row r="864" spans="1:4">
      <c r="A864" t="s">
        <v>1267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1268</v>
      </c>
    </row>
    <row r="865" spans="1:4">
      <c r="A865" t="s">
        <v>1267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1268</v>
      </c>
    </row>
    <row r="866" spans="1:4">
      <c r="A866" t="s">
        <v>1267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1268</v>
      </c>
    </row>
    <row r="867" spans="1:4">
      <c r="A867" t="s">
        <v>1267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1268</v>
      </c>
    </row>
    <row r="868" spans="1:4">
      <c r="A868" t="s">
        <v>1267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1268</v>
      </c>
    </row>
    <row r="869" spans="1:4">
      <c r="A869" t="s">
        <v>1267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1268</v>
      </c>
    </row>
    <row r="870" spans="1:4">
      <c r="A870" t="s">
        <v>1267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1268</v>
      </c>
    </row>
    <row r="871" spans="1:4">
      <c r="A871" t="s">
        <v>1267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1268</v>
      </c>
    </row>
    <row r="872" spans="1:4">
      <c r="A872" t="s">
        <v>1267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1268</v>
      </c>
    </row>
    <row r="873" spans="1:4">
      <c r="A873" t="s">
        <v>1267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1268</v>
      </c>
    </row>
    <row r="874" spans="1:4">
      <c r="A874" t="s">
        <v>1267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1268</v>
      </c>
    </row>
    <row r="875" spans="1:4">
      <c r="A875" t="s">
        <v>1267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1268</v>
      </c>
    </row>
    <row r="876" spans="1:4">
      <c r="A876" t="s">
        <v>1267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1268</v>
      </c>
    </row>
    <row r="877" spans="1:4">
      <c r="A877" t="s">
        <v>1267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1268</v>
      </c>
    </row>
    <row r="878" spans="1:4">
      <c r="A878" t="s">
        <v>1267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1268</v>
      </c>
    </row>
    <row r="879" spans="1:4">
      <c r="A879" t="s">
        <v>1267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1268</v>
      </c>
    </row>
    <row r="880" spans="1:4">
      <c r="A880" t="s">
        <v>1267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1268</v>
      </c>
    </row>
    <row r="881" spans="1:4">
      <c r="A881" t="s">
        <v>1267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1268</v>
      </c>
    </row>
    <row r="882" spans="1:4">
      <c r="A882" t="s">
        <v>1267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1268</v>
      </c>
    </row>
    <row r="883" spans="1:4">
      <c r="A883" t="s">
        <v>1267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1268</v>
      </c>
    </row>
    <row r="884" spans="1:4">
      <c r="A884" t="s">
        <v>1267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1268</v>
      </c>
    </row>
    <row r="885" spans="1:4">
      <c r="A885" t="s">
        <v>1267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1268</v>
      </c>
    </row>
    <row r="886" spans="1:4">
      <c r="A886" t="s">
        <v>1267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1268</v>
      </c>
    </row>
    <row r="887" spans="1:4">
      <c r="A887" t="s">
        <v>1267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1268</v>
      </c>
    </row>
    <row r="888" spans="1:4">
      <c r="A888" t="s">
        <v>1267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1268</v>
      </c>
    </row>
    <row r="889" spans="1:4">
      <c r="A889" t="s">
        <v>1267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1268</v>
      </c>
    </row>
    <row r="890" spans="1:4">
      <c r="A890" t="s">
        <v>1267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1268</v>
      </c>
    </row>
    <row r="891" spans="1:4">
      <c r="A891" t="s">
        <v>1267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1268</v>
      </c>
    </row>
    <row r="892" spans="1:4">
      <c r="A892" t="s">
        <v>1267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1268</v>
      </c>
    </row>
    <row r="893" spans="1:4">
      <c r="A893" t="s">
        <v>1267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1268</v>
      </c>
    </row>
    <row r="894" spans="1:4">
      <c r="A894" t="s">
        <v>1267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1268</v>
      </c>
    </row>
    <row r="895" spans="1:4">
      <c r="A895" t="s">
        <v>1267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1268</v>
      </c>
    </row>
    <row r="896" spans="1:4">
      <c r="A896" t="s">
        <v>1267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1268</v>
      </c>
    </row>
    <row r="897" spans="1:4">
      <c r="A897" t="s">
        <v>1267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1268</v>
      </c>
    </row>
    <row r="898" spans="1:4">
      <c r="A898" t="s">
        <v>1267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1268</v>
      </c>
    </row>
    <row r="899" spans="1:4">
      <c r="A899" t="s">
        <v>1267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1268</v>
      </c>
    </row>
    <row r="900" spans="1:4">
      <c r="A900" t="s">
        <v>1267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1268</v>
      </c>
    </row>
    <row r="901" spans="1:4">
      <c r="A901" t="s">
        <v>1267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1268</v>
      </c>
    </row>
    <row r="902" spans="1:4">
      <c r="A902" t="s">
        <v>1267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1268</v>
      </c>
    </row>
    <row r="903" spans="1:4">
      <c r="A903" t="s">
        <v>1267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1268</v>
      </c>
    </row>
    <row r="904" spans="1:4">
      <c r="A904" t="s">
        <v>1267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1268</v>
      </c>
    </row>
    <row r="905" spans="1:4">
      <c r="A905" t="s">
        <v>1267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1268</v>
      </c>
    </row>
    <row r="906" spans="1:4">
      <c r="A906" t="s">
        <v>1267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1268</v>
      </c>
    </row>
    <row r="907" spans="1:4">
      <c r="A907" t="s">
        <v>1267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1268</v>
      </c>
    </row>
    <row r="908" spans="1:4">
      <c r="A908" t="s">
        <v>1267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1268</v>
      </c>
    </row>
    <row r="909" spans="1:4">
      <c r="A909" t="s">
        <v>1267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1268</v>
      </c>
    </row>
    <row r="910" spans="1:4">
      <c r="A910" t="s">
        <v>1267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1268</v>
      </c>
    </row>
    <row r="911" spans="1:4">
      <c r="A911" t="s">
        <v>1267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1268</v>
      </c>
    </row>
    <row r="912" spans="1:4">
      <c r="A912" t="s">
        <v>1267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1268</v>
      </c>
    </row>
    <row r="913" spans="1:4">
      <c r="A913" t="s">
        <v>1267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1268</v>
      </c>
    </row>
    <row r="914" spans="1:4">
      <c r="A914" t="s">
        <v>1267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1268</v>
      </c>
    </row>
    <row r="915" spans="1:4">
      <c r="A915" t="s">
        <v>1267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1268</v>
      </c>
    </row>
    <row r="916" spans="1:4">
      <c r="A916" t="s">
        <v>1267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1268</v>
      </c>
    </row>
    <row r="917" spans="1:4">
      <c r="A917" t="s">
        <v>1267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1268</v>
      </c>
    </row>
    <row r="918" spans="1:4">
      <c r="A918" t="s">
        <v>1267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1268</v>
      </c>
    </row>
    <row r="919" spans="1:4">
      <c r="A919" t="s">
        <v>1267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1268</v>
      </c>
    </row>
    <row r="920" spans="1:4">
      <c r="A920" t="s">
        <v>1267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1268</v>
      </c>
    </row>
    <row r="921" spans="1:4">
      <c r="A921" t="s">
        <v>1267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1268</v>
      </c>
    </row>
    <row r="922" spans="1:4">
      <c r="A922" t="s">
        <v>1267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1268</v>
      </c>
    </row>
    <row r="923" spans="1:4">
      <c r="A923" t="s">
        <v>1267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1268</v>
      </c>
    </row>
    <row r="924" spans="1:4">
      <c r="A924" t="s">
        <v>1267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1268</v>
      </c>
    </row>
    <row r="925" spans="1:4">
      <c r="A925" t="s">
        <v>1267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1268</v>
      </c>
    </row>
    <row r="926" spans="1:4">
      <c r="A926" t="s">
        <v>1267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1268</v>
      </c>
    </row>
    <row r="927" spans="1:4">
      <c r="A927" t="s">
        <v>1267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1268</v>
      </c>
    </row>
    <row r="928" spans="1:4">
      <c r="A928" t="s">
        <v>1267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1268</v>
      </c>
    </row>
    <row r="929" spans="1:4">
      <c r="A929" t="s">
        <v>1267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1268</v>
      </c>
    </row>
    <row r="930" spans="1:4">
      <c r="A930" t="s">
        <v>1267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1268</v>
      </c>
    </row>
    <row r="931" spans="1:4">
      <c r="A931" t="s">
        <v>1267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1268</v>
      </c>
    </row>
    <row r="932" spans="1:4">
      <c r="A932" t="s">
        <v>1267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1268</v>
      </c>
    </row>
    <row r="933" spans="1:4">
      <c r="A933" t="s">
        <v>1267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1268</v>
      </c>
    </row>
    <row r="934" spans="1:4">
      <c r="A934" t="s">
        <v>1267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1268</v>
      </c>
    </row>
    <row r="935" spans="1:4">
      <c r="A935" t="s">
        <v>1267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1268</v>
      </c>
    </row>
    <row r="936" spans="1:4">
      <c r="A936" t="s">
        <v>1267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1268</v>
      </c>
    </row>
    <row r="937" spans="1:4">
      <c r="A937" t="s">
        <v>1267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1268</v>
      </c>
    </row>
    <row r="938" spans="1:4">
      <c r="A938" t="s">
        <v>1267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1268</v>
      </c>
    </row>
    <row r="939" spans="1:4">
      <c r="A939" t="s">
        <v>1267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1268</v>
      </c>
    </row>
    <row r="940" spans="1:4">
      <c r="A940" t="s">
        <v>1267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1268</v>
      </c>
    </row>
    <row r="941" spans="1:4">
      <c r="A941" t="s">
        <v>1267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1268</v>
      </c>
    </row>
    <row r="942" spans="1:4">
      <c r="A942" t="s">
        <v>1267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1268</v>
      </c>
    </row>
    <row r="943" spans="1:4">
      <c r="A943" t="s">
        <v>1267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1268</v>
      </c>
    </row>
    <row r="944" spans="1:4">
      <c r="A944" t="s">
        <v>1267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1268</v>
      </c>
    </row>
    <row r="945" spans="1:4">
      <c r="A945" t="s">
        <v>1267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1268</v>
      </c>
    </row>
    <row r="946" spans="1:4">
      <c r="A946" t="s">
        <v>1267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1268</v>
      </c>
    </row>
    <row r="947" spans="1:4">
      <c r="A947" t="s">
        <v>1267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1268</v>
      </c>
    </row>
    <row r="948" spans="1:4">
      <c r="A948" t="s">
        <v>1267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1268</v>
      </c>
    </row>
    <row r="949" spans="1:4">
      <c r="A949" t="s">
        <v>1267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1268</v>
      </c>
    </row>
    <row r="950" spans="1:4">
      <c r="A950" t="s">
        <v>1267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1268</v>
      </c>
    </row>
    <row r="951" spans="1:4">
      <c r="A951" t="s">
        <v>1267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1268</v>
      </c>
    </row>
    <row r="952" spans="1:4">
      <c r="A952" t="s">
        <v>1267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1268</v>
      </c>
    </row>
    <row r="953" spans="1:4">
      <c r="A953" t="s">
        <v>1267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1268</v>
      </c>
    </row>
    <row r="954" spans="1:4">
      <c r="A954" t="s">
        <v>1267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1268</v>
      </c>
    </row>
    <row r="955" spans="1:4">
      <c r="A955" t="s">
        <v>1267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1268</v>
      </c>
    </row>
    <row r="956" spans="1:4">
      <c r="A956" t="s">
        <v>1267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1268</v>
      </c>
    </row>
    <row r="957" spans="1:4">
      <c r="A957" t="s">
        <v>1267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1268</v>
      </c>
    </row>
    <row r="958" spans="1:4">
      <c r="A958" t="s">
        <v>1267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1268</v>
      </c>
    </row>
    <row r="959" spans="1:4">
      <c r="A959" t="s">
        <v>1267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1268</v>
      </c>
    </row>
    <row r="960" spans="1:4">
      <c r="A960" t="s">
        <v>1267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1268</v>
      </c>
    </row>
    <row r="961" spans="1:4">
      <c r="A961" t="s">
        <v>1267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1268</v>
      </c>
    </row>
    <row r="962" spans="1:4">
      <c r="A962" t="s">
        <v>1267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1268</v>
      </c>
    </row>
    <row r="963" spans="1:4">
      <c r="A963" t="s">
        <v>1267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1268</v>
      </c>
    </row>
    <row r="964" spans="1:4">
      <c r="A964" t="s">
        <v>1267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1268</v>
      </c>
    </row>
    <row r="965" spans="1:4">
      <c r="A965" t="s">
        <v>1267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1268</v>
      </c>
    </row>
    <row r="966" spans="1:4">
      <c r="A966" t="s">
        <v>1267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1268</v>
      </c>
    </row>
    <row r="967" spans="1:4">
      <c r="A967" t="s">
        <v>1267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1268</v>
      </c>
    </row>
    <row r="968" spans="1:4">
      <c r="A968" t="s">
        <v>1267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1268</v>
      </c>
    </row>
    <row r="969" spans="1:4">
      <c r="A969" t="s">
        <v>1267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1268</v>
      </c>
    </row>
    <row r="970" spans="1:4">
      <c r="A970" t="s">
        <v>1267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1268</v>
      </c>
    </row>
    <row r="971" spans="1:4">
      <c r="A971" t="s">
        <v>1267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1268</v>
      </c>
    </row>
    <row r="972" spans="1:4">
      <c r="A972" t="s">
        <v>1267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1268</v>
      </c>
    </row>
    <row r="973" spans="1:4">
      <c r="A973" t="s">
        <v>1267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1268</v>
      </c>
    </row>
    <row r="974" spans="1:4">
      <c r="A974" t="s">
        <v>1267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1268</v>
      </c>
    </row>
    <row r="975" spans="1:4">
      <c r="A975" t="s">
        <v>1267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1268</v>
      </c>
    </row>
    <row r="976" spans="1:4">
      <c r="A976" t="s">
        <v>1267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1268</v>
      </c>
    </row>
    <row r="977" spans="1:4">
      <c r="A977" t="s">
        <v>1267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1268</v>
      </c>
    </row>
    <row r="978" spans="1:4">
      <c r="A978" t="s">
        <v>1267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1268</v>
      </c>
    </row>
    <row r="979" spans="1:4">
      <c r="A979" t="s">
        <v>1267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1268</v>
      </c>
    </row>
    <row r="980" spans="1:4">
      <c r="A980" t="s">
        <v>1267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1268</v>
      </c>
    </row>
    <row r="981" spans="1:4">
      <c r="A981" t="s">
        <v>1267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1268</v>
      </c>
    </row>
    <row r="982" spans="1:4">
      <c r="A982" t="s">
        <v>1267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1268</v>
      </c>
    </row>
    <row r="983" spans="1:4">
      <c r="A983" t="s">
        <v>1267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1268</v>
      </c>
    </row>
    <row r="984" spans="1:4">
      <c r="A984" t="s">
        <v>1267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1268</v>
      </c>
    </row>
    <row r="985" spans="1:4">
      <c r="A985" t="s">
        <v>1267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1268</v>
      </c>
    </row>
    <row r="986" spans="1:4">
      <c r="A986" t="s">
        <v>1267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1268</v>
      </c>
    </row>
    <row r="987" spans="1:4">
      <c r="A987" t="s">
        <v>1267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1268</v>
      </c>
    </row>
    <row r="988" spans="1:4">
      <c r="A988" t="s">
        <v>1267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1268</v>
      </c>
    </row>
    <row r="989" spans="1:4">
      <c r="A989" t="s">
        <v>1267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1268</v>
      </c>
    </row>
    <row r="990" spans="1:4">
      <c r="A990" t="s">
        <v>1267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1268</v>
      </c>
    </row>
    <row r="991" spans="1:4">
      <c r="A991" t="s">
        <v>1267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1268</v>
      </c>
    </row>
    <row r="992" spans="1:4">
      <c r="A992" t="s">
        <v>1267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1268</v>
      </c>
    </row>
    <row r="993" spans="1:4">
      <c r="A993" t="s">
        <v>1267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1268</v>
      </c>
    </row>
    <row r="994" spans="1:4">
      <c r="A994" t="s">
        <v>1267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1268</v>
      </c>
    </row>
    <row r="995" spans="1:4">
      <c r="A995" t="s">
        <v>1267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1268</v>
      </c>
    </row>
    <row r="996" spans="1:4">
      <c r="A996" t="s">
        <v>1267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1268</v>
      </c>
    </row>
    <row r="997" spans="1:4">
      <c r="A997" t="s">
        <v>1267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1268</v>
      </c>
    </row>
    <row r="998" spans="1:4">
      <c r="A998" t="s">
        <v>1267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1268</v>
      </c>
    </row>
    <row r="999" spans="1:4">
      <c r="A999" t="s">
        <v>1267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1268</v>
      </c>
    </row>
    <row r="1000" spans="1:4">
      <c r="A1000" t="s">
        <v>1267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1268</v>
      </c>
    </row>
    <row r="1001" spans="1:4">
      <c r="A1001" t="s">
        <v>1267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1268</v>
      </c>
    </row>
    <row r="1002" spans="1:4">
      <c r="A1002" t="s">
        <v>1267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1268</v>
      </c>
    </row>
    <row r="1003" spans="1:4">
      <c r="A1003" t="s">
        <v>1267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1268</v>
      </c>
    </row>
    <row r="1004" spans="1:4">
      <c r="A1004" t="s">
        <v>1267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1268</v>
      </c>
    </row>
    <row r="1005" spans="1:4">
      <c r="A1005" t="s">
        <v>1267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1268</v>
      </c>
    </row>
  </sheetData>
  <conditionalFormatting sqref="A3:D1005">
    <cfRule type="expression" dxfId="27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8" t="s">
        <v>1269</v>
      </c>
    </row>
    <row r="3" spans="1:4">
      <c r="A3" s="39" t="s">
        <v>1270</v>
      </c>
      <c r="B3" s="4"/>
      <c r="D3" s="40" t="s">
        <v>1271</v>
      </c>
    </row>
    <row r="4" spans="1:4">
      <c r="A4" s="5"/>
      <c r="B4" s="5"/>
    </row>
    <row r="5" spans="1:4">
      <c r="A5" s="41" t="s">
        <v>192</v>
      </c>
      <c r="B5" s="42" t="str">
        <f>IFERROR(INDEX('01_Warehouse_Ledger'!$B$2:$B$2002,MATCH($B$3,'01_Warehouse_Ledger'!$A$2:$A$2002,0)),"")</f>
        <v/>
      </c>
    </row>
    <row r="6" spans="1:4">
      <c r="A6" s="41" t="s">
        <v>1272</v>
      </c>
      <c r="B6" s="42" t="str">
        <f>IFERROR(INDEX('01_Warehouse_Ledger'!$D$2:$D$2002,MATCH($B$3,'01_Warehouse_Ledger'!$A$2:$A$2002,0)),"")</f>
        <v/>
      </c>
    </row>
    <row r="7" spans="1:4">
      <c r="A7" s="41" t="s">
        <v>1273</v>
      </c>
      <c r="B7" s="42" t="str">
        <f>IFERROR(INDEX('02_Warehouse_Locations'!$J$2:$J$501,MATCH($B$6,'02_Warehouse_Locations'!$A$2:$A$501,0)),"")</f>
        <v/>
      </c>
    </row>
    <row r="8" spans="1:4">
      <c r="A8" s="41" t="s">
        <v>825</v>
      </c>
      <c r="B8" s="42" t="str">
        <f>IFERROR(INDEX('02_Warehouse_Locations'!$B$2:$B$501,MATCH($B$6,'02_Warehouse_Locations'!$A$2:$A$501,0)),"")</f>
        <v/>
      </c>
    </row>
    <row r="9" spans="1:4">
      <c r="A9" s="41" t="s">
        <v>826</v>
      </c>
      <c r="B9" s="42" t="str">
        <f>IFERROR(INDEX('02_Warehouse_Locations'!$C$2:$C$501,MATCH($B$6,'02_Warehouse_Locations'!$A$2:$A$501,0)),"")</f>
        <v/>
      </c>
    </row>
    <row r="10" spans="1:4">
      <c r="A10" s="41" t="s">
        <v>1274</v>
      </c>
      <c r="B10" s="42" t="str">
        <f>IFERROR(INDEX('02_Warehouse_Locations'!$D$2:$D$501,MATCH($B$6,'02_Warehouse_Locations'!$A$2:$A$501,0)),"")</f>
        <v/>
      </c>
    </row>
    <row r="11" spans="1:4">
      <c r="A11" s="41" t="s">
        <v>828</v>
      </c>
      <c r="B11" s="42" t="str">
        <f>IFERROR(INDEX('02_Warehouse_Locations'!$E$2:$E$501,MATCH($B$6,'02_Warehouse_Locations'!$A$2:$A$501,0)),"")</f>
        <v/>
      </c>
    </row>
    <row r="12" spans="1:4">
      <c r="A12" s="41" t="s">
        <v>1275</v>
      </c>
      <c r="B12" s="42" t="str">
        <f>IFERROR(INDEX('02_Warehouse_Locations'!$N$2:$N$501,MATCH($B$6,'02_Warehouse_Locations'!$A$2:$A$501,0)),"")</f>
        <v/>
      </c>
    </row>
    <row r="13" spans="1:4">
      <c r="A13" s="41" t="s">
        <v>836</v>
      </c>
      <c r="B13" s="42" t="str">
        <f>IFERROR(INDEX('02_Warehouse_Locations'!$O$2:$O$501,MATCH($B$6,'02_Warehouse_Locations'!$A$2:$A$501,0)),"")</f>
        <v/>
      </c>
    </row>
    <row r="14" spans="1:4">
      <c r="A14" s="41" t="s">
        <v>837</v>
      </c>
      <c r="B14" s="42" t="str">
        <f>IFERROR(INDEX('02_Warehouse_Locations'!$P$2:$P$501,MATCH($B$6,'02_Warehouse_Locations'!$A$2:$A$501,0)),"")</f>
        <v/>
      </c>
    </row>
    <row r="15" spans="1:4">
      <c r="A15" t="s">
        <v>838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26" priority="1" stopIfTrue="1">
      <formula>AND(TRIM($A3)="",OR($B3&lt;&gt;"",$C3&lt;&gt;"",$D3&lt;&gt;"",$E3&lt;&gt;"",$I3&lt;&gt;"",$J3&lt;&gt;""))</formula>
    </cfRule>
    <cfRule type="expression" dxfId="25" priority="2">
      <formula>AND(TRIM($A3)&lt;&gt;"",NOT(AND(LEFT($A3,4)="PAL-",LEN($A3)=11,ISNUMBER(--MID($A3,5,7)))))</formula>
    </cfRule>
    <cfRule type="expression" dxfId="24" priority="3">
      <formula>AND(TRIM($A3)&lt;&gt;"",COUNTIF($A$2:$A$2002,$A3)&gt;1)</formula>
    </cfRule>
    <cfRule type="expression" dxfId="23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43" t="s">
        <v>1276</v>
      </c>
    </row>
    <row r="2" spans="1:21">
      <c r="A2" s="44" t="s">
        <v>1277</v>
      </c>
      <c r="B2" s="45" t="str">
        <f>IFERROR('05_Scan_Lookup'!$B$13,"")</f>
        <v/>
      </c>
    </row>
    <row r="3" spans="1:21">
      <c r="A3" s="44" t="s">
        <v>1278</v>
      </c>
      <c r="B3" s="45" t="str">
        <f>IFERROR('05_Scan_Lookup'!$B$14,"")</f>
        <v/>
      </c>
    </row>
    <row r="4" spans="1:21">
      <c r="A4" s="44" t="s">
        <v>1279</v>
      </c>
      <c r="B4" s="45" t="str">
        <f>IFERROR(INDEX('02_Warehouse_Locations'!$M$2:$M$501,MATCH('05_Scan_Lookup'!$B$6,'02_Warehouse_Locations'!$A$2:$A$501,0)),"")</f>
        <v/>
      </c>
    </row>
    <row r="5" spans="1:21">
      <c r="A5" s="44" t="s">
        <v>1280</v>
      </c>
      <c r="B5" s="45" t="s">
        <v>1281</v>
      </c>
    </row>
    <row r="6" spans="1:21" ht="20.100000000000001" customHeight="1">
      <c r="A6" s="48" t="s">
        <v>1282</v>
      </c>
      <c r="B6" s="48" t="s">
        <v>855</v>
      </c>
      <c r="C6" s="48" t="s">
        <v>267</v>
      </c>
      <c r="D6" s="48" t="s">
        <v>906</v>
      </c>
      <c r="E6" s="48" t="s">
        <v>931</v>
      </c>
      <c r="F6" s="48" t="s">
        <v>972</v>
      </c>
      <c r="G6" s="48" t="s">
        <v>1013</v>
      </c>
      <c r="H6" s="48" t="s">
        <v>1283</v>
      </c>
      <c r="I6" s="48" t="s">
        <v>1284</v>
      </c>
      <c r="J6" s="48" t="s">
        <v>1285</v>
      </c>
      <c r="K6" s="48" t="s">
        <v>1286</v>
      </c>
      <c r="L6" s="48" t="s">
        <v>1287</v>
      </c>
      <c r="M6" s="48" t="s">
        <v>851</v>
      </c>
      <c r="N6" s="48">
        <v>13</v>
      </c>
      <c r="O6" s="48">
        <v>14</v>
      </c>
      <c r="P6" s="48">
        <v>15</v>
      </c>
      <c r="Q6" s="48">
        <v>16</v>
      </c>
      <c r="R6" s="48">
        <v>17</v>
      </c>
      <c r="S6" s="48">
        <v>18</v>
      </c>
      <c r="T6" s="48">
        <v>19</v>
      </c>
      <c r="U6" s="48">
        <v>20</v>
      </c>
    </row>
    <row r="7" spans="1:21" ht="15.75">
      <c r="A7" s="46">
        <v>1</v>
      </c>
      <c r="B7" s="47" t="str">
        <f>IF(AND(B6=$B$2,A7=$B$3),"●","")</f>
        <v/>
      </c>
      <c r="C7" s="47" t="str">
        <f>IF(AND(C6=$B$2,A7=$B$3),"●","")</f>
        <v/>
      </c>
      <c r="D7" s="47" t="str">
        <f>IF(AND(D6=$B$2,A7=$B$3),"●","")</f>
        <v/>
      </c>
      <c r="E7" s="47" t="str">
        <f>IF(AND(E6=$B$2,A7=$B$3),"●","")</f>
        <v/>
      </c>
      <c r="F7" s="47" t="str">
        <f>IF(AND(F6=$B$2,A7=$B$3),"●","")</f>
        <v/>
      </c>
      <c r="G7" s="47" t="str">
        <f>IF(AND(G6=$B$2,A7=$B$3),"●","")</f>
        <v/>
      </c>
      <c r="H7" s="47" t="str">
        <f>IF(AND(H6=$B$2,A7=$B$3),"●","")</f>
        <v/>
      </c>
      <c r="I7" s="47" t="str">
        <f>IF(AND(I6=$B$2,A7=$B$3),"●","")</f>
        <v/>
      </c>
      <c r="J7" s="47" t="str">
        <f>IF(AND(J6=$B$2,A7=$B$3),"●","")</f>
        <v/>
      </c>
      <c r="K7" s="47" t="str">
        <f>IF(AND(K6=$B$2,A7=$B$3),"●","")</f>
        <v/>
      </c>
      <c r="L7" s="47" t="str">
        <f>IF(AND(L6=$B$2,A7=$B$3),"●","")</f>
        <v/>
      </c>
      <c r="M7" s="47" t="str">
        <f>IF(AND(M6=$B$2,A7=$B$3),"●","")</f>
        <v/>
      </c>
      <c r="N7" s="47" t="str">
        <f t="shared" ref="N7:U16" si="0">IF(AND($A7=$B$2,N$6=$B$3),"●","")</f>
        <v/>
      </c>
      <c r="O7" s="47" t="str">
        <f t="shared" si="0"/>
        <v/>
      </c>
      <c r="P7" s="47" t="str">
        <f t="shared" si="0"/>
        <v/>
      </c>
      <c r="Q7" s="47" t="str">
        <f t="shared" si="0"/>
        <v/>
      </c>
      <c r="R7" s="47" t="str">
        <f t="shared" si="0"/>
        <v/>
      </c>
      <c r="S7" s="47" t="str">
        <f t="shared" si="0"/>
        <v/>
      </c>
      <c r="T7" s="47" t="str">
        <f t="shared" si="0"/>
        <v/>
      </c>
      <c r="U7" s="47" t="str">
        <f t="shared" si="0"/>
        <v/>
      </c>
    </row>
    <row r="8" spans="1:21" ht="15.75">
      <c r="A8" s="46">
        <v>2</v>
      </c>
      <c r="B8" s="47" t="str">
        <f>IF(AND(B6=$B$2,A8=$B$3),"●","")</f>
        <v/>
      </c>
      <c r="C8" s="47" t="str">
        <f>IF(AND(C6=$B$2,A8=$B$3),"●","")</f>
        <v/>
      </c>
      <c r="D8" s="47" t="str">
        <f>IF(AND(D6=$B$2,A8=$B$3),"●","")</f>
        <v/>
      </c>
      <c r="E8" s="47" t="str">
        <f>IF(AND(E6=$B$2,A8=$B$3),"●","")</f>
        <v/>
      </c>
      <c r="F8" s="47" t="str">
        <f>IF(AND(F6=$B$2,A8=$B$3),"●","")</f>
        <v/>
      </c>
      <c r="G8" s="47" t="str">
        <f>IF(AND(G6=$B$2,A8=$B$3),"●","")</f>
        <v/>
      </c>
      <c r="H8" s="47" t="str">
        <f>IF(AND(H6=$B$2,A8=$B$3),"●","")</f>
        <v/>
      </c>
      <c r="I8" s="47" t="str">
        <f>IF(AND(I6=$B$2,A8=$B$3),"●","")</f>
        <v/>
      </c>
      <c r="J8" s="47" t="str">
        <f>IF(AND(J6=$B$2,A8=$B$3),"●","")</f>
        <v/>
      </c>
      <c r="K8" s="47" t="str">
        <f>IF(AND(K6=$B$2,A8=$B$3),"●","")</f>
        <v/>
      </c>
      <c r="L8" s="47" t="str">
        <f>IF(AND(L6=$B$2,A8=$B$3),"●","")</f>
        <v/>
      </c>
      <c r="M8" s="47" t="str">
        <f>IF(AND(M6=$B$2,A8=$B$3),"●","")</f>
        <v/>
      </c>
      <c r="N8" s="47" t="str">
        <f t="shared" si="0"/>
        <v/>
      </c>
      <c r="O8" s="47" t="str">
        <f t="shared" si="0"/>
        <v/>
      </c>
      <c r="P8" s="47" t="str">
        <f t="shared" si="0"/>
        <v/>
      </c>
      <c r="Q8" s="47" t="str">
        <f t="shared" si="0"/>
        <v/>
      </c>
      <c r="R8" s="47" t="str">
        <f t="shared" si="0"/>
        <v/>
      </c>
      <c r="S8" s="47" t="str">
        <f t="shared" si="0"/>
        <v/>
      </c>
      <c r="T8" s="47" t="str">
        <f t="shared" si="0"/>
        <v/>
      </c>
      <c r="U8" s="47" t="str">
        <f t="shared" si="0"/>
        <v/>
      </c>
    </row>
    <row r="9" spans="1:21" ht="15.75">
      <c r="A9" s="46">
        <v>3</v>
      </c>
      <c r="B9" s="47" t="str">
        <f>IF(AND(B6=$B$2,A9=$B$3),"●","")</f>
        <v/>
      </c>
      <c r="C9" s="47" t="str">
        <f>IF(AND(C6=$B$2,A9=$B$3),"●","")</f>
        <v/>
      </c>
      <c r="D9" s="47" t="str">
        <f>IF(AND(D6=$B$2,A9=$B$3),"●","")</f>
        <v/>
      </c>
      <c r="E9" s="47" t="str">
        <f>IF(AND(E6=$B$2,A9=$B$3),"●","")</f>
        <v/>
      </c>
      <c r="F9" s="47" t="str">
        <f>IF(AND(F6=$B$2,A9=$B$3),"●","")</f>
        <v/>
      </c>
      <c r="G9" s="47" t="str">
        <f>IF(AND(G6=$B$2,A9=$B$3),"●","")</f>
        <v/>
      </c>
      <c r="H9" s="47" t="str">
        <f>IF(AND(H6=$B$2,A9=$B$3),"●","")</f>
        <v/>
      </c>
      <c r="I9" s="47" t="str">
        <f>IF(AND(I6=$B$2,A9=$B$3),"●","")</f>
        <v/>
      </c>
      <c r="J9" s="47" t="str">
        <f>IF(AND(J6=$B$2,A9=$B$3),"●","")</f>
        <v/>
      </c>
      <c r="K9" s="47" t="str">
        <f>IF(AND(K6=$B$2,A9=$B$3),"●","")</f>
        <v/>
      </c>
      <c r="L9" s="47" t="str">
        <f>IF(AND(L6=$B$2,A9=$B$3),"●","")</f>
        <v/>
      </c>
      <c r="M9" s="47" t="str">
        <f>IF(AND(M6=$B$2,A9=$B$3),"●","")</f>
        <v/>
      </c>
      <c r="N9" s="47" t="str">
        <f t="shared" si="0"/>
        <v/>
      </c>
      <c r="O9" s="47" t="str">
        <f t="shared" si="0"/>
        <v/>
      </c>
      <c r="P9" s="47" t="str">
        <f t="shared" si="0"/>
        <v/>
      </c>
      <c r="Q9" s="47" t="str">
        <f t="shared" si="0"/>
        <v/>
      </c>
      <c r="R9" s="47" t="str">
        <f t="shared" si="0"/>
        <v/>
      </c>
      <c r="S9" s="47" t="str">
        <f t="shared" si="0"/>
        <v/>
      </c>
      <c r="T9" s="47" t="str">
        <f t="shared" si="0"/>
        <v/>
      </c>
      <c r="U9" s="47" t="str">
        <f t="shared" si="0"/>
        <v/>
      </c>
    </row>
    <row r="10" spans="1:21" ht="15.75">
      <c r="A10" s="46">
        <v>4</v>
      </c>
      <c r="B10" s="47" t="str">
        <f>IF(AND(B6=$B$2,A10=$B$3),"●","")</f>
        <v/>
      </c>
      <c r="C10" s="47" t="str">
        <f>IF(AND(C6=$B$2,A10=$B$3),"●","")</f>
        <v/>
      </c>
      <c r="D10" s="47" t="str">
        <f>IF(AND(D6=$B$2,A10=$B$3),"●","")</f>
        <v/>
      </c>
      <c r="E10" s="47" t="str">
        <f>IF(AND(E6=$B$2,A10=$B$3),"●","")</f>
        <v/>
      </c>
      <c r="F10" s="47" t="str">
        <f>IF(AND(F6=$B$2,A10=$B$3),"●","")</f>
        <v/>
      </c>
      <c r="G10" s="47" t="str">
        <f>IF(AND(G6=$B$2,A10=$B$3),"●","")</f>
        <v/>
      </c>
      <c r="H10" s="47" t="str">
        <f>IF(AND(H6=$B$2,A10=$B$3),"●","")</f>
        <v/>
      </c>
      <c r="I10" s="47" t="str">
        <f>IF(AND(I6=$B$2,A10=$B$3),"●","")</f>
        <v/>
      </c>
      <c r="J10" s="47" t="str">
        <f>IF(AND(J6=$B$2,A10=$B$3),"●","")</f>
        <v/>
      </c>
      <c r="K10" s="47" t="str">
        <f>IF(AND(K6=$B$2,A10=$B$3),"●","")</f>
        <v/>
      </c>
      <c r="L10" s="47" t="str">
        <f>IF(AND(L6=$B$2,A10=$B$3),"●","")</f>
        <v/>
      </c>
      <c r="M10" s="47" t="str">
        <f>IF(AND(M6=$B$2,A10=$B$3),"●","")</f>
        <v/>
      </c>
      <c r="N10" s="47" t="str">
        <f t="shared" si="0"/>
        <v/>
      </c>
      <c r="O10" s="47" t="str">
        <f t="shared" si="0"/>
        <v/>
      </c>
      <c r="P10" s="47" t="str">
        <f t="shared" si="0"/>
        <v/>
      </c>
      <c r="Q10" s="47" t="str">
        <f t="shared" si="0"/>
        <v/>
      </c>
      <c r="R10" s="47" t="str">
        <f t="shared" si="0"/>
        <v/>
      </c>
      <c r="S10" s="47" t="str">
        <f t="shared" si="0"/>
        <v/>
      </c>
      <c r="T10" s="47" t="str">
        <f t="shared" si="0"/>
        <v/>
      </c>
      <c r="U10" s="47" t="str">
        <f t="shared" si="0"/>
        <v/>
      </c>
    </row>
    <row r="11" spans="1:21" ht="15.75">
      <c r="A11" s="46">
        <v>5</v>
      </c>
      <c r="B11" s="47" t="str">
        <f>IF(AND(B6=$B$2,A11=$B$3),"●","")</f>
        <v/>
      </c>
      <c r="C11" s="47" t="str">
        <f>IF(AND(C6=$B$2,A11=$B$3),"●","")</f>
        <v/>
      </c>
      <c r="D11" s="47" t="str">
        <f>IF(AND(D6=$B$2,A11=$B$3),"●","")</f>
        <v/>
      </c>
      <c r="E11" s="47" t="str">
        <f>IF(AND(E6=$B$2,A11=$B$3),"●","")</f>
        <v/>
      </c>
      <c r="F11" s="47" t="str">
        <f>IF(AND(F6=$B$2,A11=$B$3),"●","")</f>
        <v/>
      </c>
      <c r="G11" s="47" t="str">
        <f>IF(AND(G6=$B$2,A11=$B$3),"●","")</f>
        <v/>
      </c>
      <c r="H11" s="47" t="str">
        <f>IF(AND(H6=$B$2,A11=$B$3),"●","")</f>
        <v/>
      </c>
      <c r="I11" s="47" t="str">
        <f>IF(AND(I6=$B$2,A11=$B$3),"●","")</f>
        <v/>
      </c>
      <c r="J11" s="47" t="str">
        <f>IF(AND(J6=$B$2,A11=$B$3),"●","")</f>
        <v/>
      </c>
      <c r="K11" s="47" t="str">
        <f>IF(AND(K6=$B$2,A11=$B$3),"●","")</f>
        <v/>
      </c>
      <c r="L11" s="47" t="str">
        <f>IF(AND(L6=$B$2,A11=$B$3),"●","")</f>
        <v/>
      </c>
      <c r="M11" s="47" t="str">
        <f>IF(AND(M6=$B$2,A11=$B$3),"●","")</f>
        <v/>
      </c>
      <c r="N11" s="47" t="str">
        <f t="shared" si="0"/>
        <v/>
      </c>
      <c r="O11" s="47" t="str">
        <f t="shared" si="0"/>
        <v/>
      </c>
      <c r="P11" s="47" t="str">
        <f t="shared" si="0"/>
        <v/>
      </c>
      <c r="Q11" s="47" t="str">
        <f t="shared" si="0"/>
        <v/>
      </c>
      <c r="R11" s="47" t="str">
        <f t="shared" si="0"/>
        <v/>
      </c>
      <c r="S11" s="47" t="str">
        <f t="shared" si="0"/>
        <v/>
      </c>
      <c r="T11" s="47" t="str">
        <f t="shared" si="0"/>
        <v/>
      </c>
      <c r="U11" s="47" t="str">
        <f t="shared" si="0"/>
        <v/>
      </c>
    </row>
    <row r="12" spans="1:21" ht="15.75">
      <c r="A12" s="46">
        <v>6</v>
      </c>
      <c r="B12" s="47" t="str">
        <f>IF(AND(B6=$B$2,A12=$B$3),"●","")</f>
        <v/>
      </c>
      <c r="C12" s="47" t="str">
        <f>IF(AND(C6=$B$2,A12=$B$3),"●","")</f>
        <v/>
      </c>
      <c r="D12" s="47" t="str">
        <f>IF(AND(D6=$B$2,A12=$B$3),"●","")</f>
        <v/>
      </c>
      <c r="E12" s="47" t="str">
        <f>IF(AND(E6=$B$2,A12=$B$3),"●","")</f>
        <v/>
      </c>
      <c r="F12" s="47" t="str">
        <f>IF(AND(F6=$B$2,A12=$B$3),"●","")</f>
        <v/>
      </c>
      <c r="G12" s="47" t="str">
        <f>IF(AND(G6=$B$2,A12=$B$3),"●","")</f>
        <v/>
      </c>
      <c r="H12" s="47" t="str">
        <f>IF(AND(H6=$B$2,A12=$B$3),"●","")</f>
        <v/>
      </c>
      <c r="I12" s="47" t="str">
        <f>IF(AND(I6=$B$2,A12=$B$3),"●","")</f>
        <v/>
      </c>
      <c r="J12" s="47" t="str">
        <f>IF(AND(J6=$B$2,A12=$B$3),"●","")</f>
        <v/>
      </c>
      <c r="K12" s="47" t="str">
        <f>IF(AND(K6=$B$2,A12=$B$3),"●","")</f>
        <v/>
      </c>
      <c r="L12" s="47" t="str">
        <f>IF(AND(L6=$B$2,A12=$B$3),"●","")</f>
        <v/>
      </c>
      <c r="M12" s="47" t="str">
        <f>IF(AND(M6=$B$2,A12=$B$3),"●","")</f>
        <v/>
      </c>
      <c r="N12" s="47" t="str">
        <f t="shared" si="0"/>
        <v/>
      </c>
      <c r="O12" s="47" t="str">
        <f t="shared" si="0"/>
        <v/>
      </c>
      <c r="P12" s="47" t="str">
        <f t="shared" si="0"/>
        <v/>
      </c>
      <c r="Q12" s="47" t="str">
        <f t="shared" si="0"/>
        <v/>
      </c>
      <c r="R12" s="47" t="str">
        <f t="shared" si="0"/>
        <v/>
      </c>
      <c r="S12" s="47" t="str">
        <f t="shared" si="0"/>
        <v/>
      </c>
      <c r="T12" s="47" t="str">
        <f t="shared" si="0"/>
        <v/>
      </c>
      <c r="U12" s="47" t="str">
        <f t="shared" si="0"/>
        <v/>
      </c>
    </row>
    <row r="13" spans="1:21" ht="15.75">
      <c r="A13" s="46">
        <v>7</v>
      </c>
      <c r="B13" s="47" t="str">
        <f>IF(AND(B6=$B$2,A13=$B$3),"●","")</f>
        <v/>
      </c>
      <c r="C13" s="47" t="str">
        <f>IF(AND(C6=$B$2,A13=$B$3),"●","")</f>
        <v/>
      </c>
      <c r="D13" s="47" t="str">
        <f>IF(AND(D6=$B$2,A13=$B$3),"●","")</f>
        <v/>
      </c>
      <c r="E13" s="47" t="str">
        <f>IF(AND(E6=$B$2,A13=$B$3),"●","")</f>
        <v/>
      </c>
      <c r="F13" s="47" t="str">
        <f>IF(AND(F6=$B$2,A13=$B$3),"●","")</f>
        <v/>
      </c>
      <c r="G13" s="47" t="str">
        <f>IF(AND(G6=$B$2,A13=$B$3),"●","")</f>
        <v/>
      </c>
      <c r="H13" s="47" t="str">
        <f>IF(AND(H6=$B$2,A13=$B$3),"●","")</f>
        <v/>
      </c>
      <c r="I13" s="47" t="str">
        <f>IF(AND(I6=$B$2,A13=$B$3),"●","")</f>
        <v/>
      </c>
      <c r="J13" s="47" t="str">
        <f>IF(AND(J6=$B$2,A13=$B$3),"●","")</f>
        <v/>
      </c>
      <c r="K13" s="47" t="str">
        <f>IF(AND(K6=$B$2,A13=$B$3),"●","")</f>
        <v/>
      </c>
      <c r="L13" s="47" t="str">
        <f>IF(AND(L6=$B$2,A13=$B$3),"●","")</f>
        <v/>
      </c>
      <c r="M13" s="47" t="str">
        <f>IF(AND(M6=$B$2,A13=$B$3),"●","")</f>
        <v/>
      </c>
      <c r="N13" s="47" t="str">
        <f t="shared" si="0"/>
        <v/>
      </c>
      <c r="O13" s="47" t="str">
        <f t="shared" si="0"/>
        <v/>
      </c>
      <c r="P13" s="47" t="str">
        <f t="shared" si="0"/>
        <v/>
      </c>
      <c r="Q13" s="47" t="str">
        <f t="shared" si="0"/>
        <v/>
      </c>
      <c r="R13" s="47" t="str">
        <f t="shared" si="0"/>
        <v/>
      </c>
      <c r="S13" s="47" t="str">
        <f t="shared" si="0"/>
        <v/>
      </c>
      <c r="T13" s="47" t="str">
        <f t="shared" si="0"/>
        <v/>
      </c>
      <c r="U13" s="47" t="str">
        <f t="shared" si="0"/>
        <v/>
      </c>
    </row>
    <row r="14" spans="1:21" ht="15.75">
      <c r="A14" s="46">
        <v>8</v>
      </c>
      <c r="B14" s="47" t="str">
        <f>IF(AND(B6=$B$2,A14=$B$3),"●","")</f>
        <v/>
      </c>
      <c r="C14" s="47" t="str">
        <f>IF(AND(C6=$B$2,A14=$B$3),"●","")</f>
        <v/>
      </c>
      <c r="D14" s="47" t="str">
        <f>IF(AND(D6=$B$2,A14=$B$3),"●","")</f>
        <v/>
      </c>
      <c r="E14" s="47" t="str">
        <f>IF(AND(E6=$B$2,A14=$B$3),"●","")</f>
        <v/>
      </c>
      <c r="F14" s="47" t="str">
        <f>IF(AND(F6=$B$2,A14=$B$3),"●","")</f>
        <v/>
      </c>
      <c r="G14" s="47" t="str">
        <f>IF(AND(G6=$B$2,A14=$B$3),"●","")</f>
        <v/>
      </c>
      <c r="H14" s="47" t="str">
        <f>IF(AND(H6=$B$2,A14=$B$3),"●","")</f>
        <v/>
      </c>
      <c r="I14" s="47" t="str">
        <f>IF(AND(I6=$B$2,A14=$B$3),"●","")</f>
        <v/>
      </c>
      <c r="J14" s="47" t="str">
        <f>IF(AND(J6=$B$2,A14=$B$3),"●","")</f>
        <v/>
      </c>
      <c r="K14" s="47" t="str">
        <f>IF(AND(K6=$B$2,A14=$B$3),"●","")</f>
        <v/>
      </c>
      <c r="L14" s="47" t="str">
        <f>IF(AND(L6=$B$2,A14=$B$3),"●","")</f>
        <v/>
      </c>
      <c r="M14" s="47" t="str">
        <f>IF(AND(M6=$B$2,A14=$B$3),"●","")</f>
        <v/>
      </c>
      <c r="N14" s="47" t="str">
        <f t="shared" si="0"/>
        <v/>
      </c>
      <c r="O14" s="47" t="str">
        <f t="shared" si="0"/>
        <v/>
      </c>
      <c r="P14" s="47" t="str">
        <f t="shared" si="0"/>
        <v/>
      </c>
      <c r="Q14" s="47" t="str">
        <f t="shared" si="0"/>
        <v/>
      </c>
      <c r="R14" s="47" t="str">
        <f t="shared" si="0"/>
        <v/>
      </c>
      <c r="S14" s="47" t="str">
        <f t="shared" si="0"/>
        <v/>
      </c>
      <c r="T14" s="47" t="str">
        <f t="shared" si="0"/>
        <v/>
      </c>
      <c r="U14" s="47" t="str">
        <f t="shared" si="0"/>
        <v/>
      </c>
    </row>
    <row r="15" spans="1:21" ht="15.75">
      <c r="A15" s="46">
        <v>9</v>
      </c>
      <c r="B15" s="47" t="str">
        <f>IF(AND(B6=$B$2,A15=$B$3),"●","")</f>
        <v/>
      </c>
      <c r="C15" s="47" t="str">
        <f>IF(AND(C6=$B$2,A15=$B$3),"●","")</f>
        <v/>
      </c>
      <c r="D15" s="47" t="str">
        <f>IF(AND(D6=$B$2,A15=$B$3),"●","")</f>
        <v/>
      </c>
      <c r="E15" s="47" t="str">
        <f>IF(AND(E6=$B$2,A15=$B$3),"●","")</f>
        <v/>
      </c>
      <c r="F15" s="47" t="str">
        <f>IF(AND(F6=$B$2,A15=$B$3),"●","")</f>
        <v/>
      </c>
      <c r="G15" s="47" t="str">
        <f>IF(AND(G6=$B$2,A15=$B$3),"●","")</f>
        <v/>
      </c>
      <c r="H15" s="47" t="str">
        <f>IF(AND(H6=$B$2,A15=$B$3),"●","")</f>
        <v/>
      </c>
      <c r="I15" s="47" t="str">
        <f>IF(AND(I6=$B$2,A15=$B$3),"●","")</f>
        <v/>
      </c>
      <c r="J15" s="47" t="str">
        <f>IF(AND(J6=$B$2,A15=$B$3),"●","")</f>
        <v/>
      </c>
      <c r="K15" s="47" t="str">
        <f>IF(AND(K6=$B$2,A15=$B$3),"●","")</f>
        <v/>
      </c>
      <c r="L15" s="47" t="str">
        <f>IF(AND(L6=$B$2,A15=$B$3),"●","")</f>
        <v/>
      </c>
      <c r="M15" s="47" t="str">
        <f>IF(AND(M6=$B$2,A15=$B$3),"●","")</f>
        <v/>
      </c>
      <c r="N15" s="47" t="str">
        <f t="shared" si="0"/>
        <v/>
      </c>
      <c r="O15" s="47" t="str">
        <f t="shared" si="0"/>
        <v/>
      </c>
      <c r="P15" s="47" t="str">
        <f t="shared" si="0"/>
        <v/>
      </c>
      <c r="Q15" s="47" t="str">
        <f t="shared" si="0"/>
        <v/>
      </c>
      <c r="R15" s="47" t="str">
        <f t="shared" si="0"/>
        <v/>
      </c>
      <c r="S15" s="47" t="str">
        <f t="shared" si="0"/>
        <v/>
      </c>
      <c r="T15" s="47" t="str">
        <f t="shared" si="0"/>
        <v/>
      </c>
      <c r="U15" s="47" t="str">
        <f t="shared" si="0"/>
        <v/>
      </c>
    </row>
    <row r="16" spans="1:21" ht="15.75">
      <c r="A16" s="46">
        <v>10</v>
      </c>
      <c r="B16" s="47" t="str">
        <f>IF(AND(B6=$B$2,A16=$B$3),"●","")</f>
        <v/>
      </c>
      <c r="C16" s="47" t="str">
        <f>IF(AND(C6=$B$2,A16=$B$3),"●","")</f>
        <v/>
      </c>
      <c r="D16" s="47" t="str">
        <f>IF(AND(D6=$B$2,A16=$B$3),"●","")</f>
        <v/>
      </c>
      <c r="E16" s="47" t="str">
        <f>IF(AND(E6=$B$2,A16=$B$3),"●","")</f>
        <v/>
      </c>
      <c r="F16" s="47" t="str">
        <f>IF(AND(F6=$B$2,A16=$B$3),"●","")</f>
        <v/>
      </c>
      <c r="G16" s="47" t="str">
        <f>IF(AND(G6=$B$2,A16=$B$3),"●","")</f>
        <v/>
      </c>
      <c r="H16" s="47" t="str">
        <f>IF(AND(H6=$B$2,A16=$B$3),"●","")</f>
        <v/>
      </c>
      <c r="I16" s="47" t="str">
        <f>IF(AND(I6=$B$2,A16=$B$3),"●","")</f>
        <v/>
      </c>
      <c r="J16" s="47" t="str">
        <f>IF(AND(J6=$B$2,A16=$B$3),"●","")</f>
        <v/>
      </c>
      <c r="K16" s="47" t="str">
        <f>IF(AND(K6=$B$2,A16=$B$3),"●","")</f>
        <v/>
      </c>
      <c r="L16" s="47" t="str">
        <f>IF(AND(L6=$B$2,A16=$B$3),"●","")</f>
        <v/>
      </c>
      <c r="M16" s="47" t="str">
        <f>IF(AND(M6=$B$2,A16=$B$3),"●","")</f>
        <v/>
      </c>
      <c r="N16" s="47" t="str">
        <f t="shared" si="0"/>
        <v/>
      </c>
      <c r="O16" s="47" t="str">
        <f t="shared" si="0"/>
        <v/>
      </c>
      <c r="P16" s="47" t="str">
        <f t="shared" si="0"/>
        <v/>
      </c>
      <c r="Q16" s="47" t="str">
        <f t="shared" si="0"/>
        <v/>
      </c>
      <c r="R16" s="47" t="str">
        <f t="shared" si="0"/>
        <v/>
      </c>
      <c r="S16" s="47" t="str">
        <f t="shared" si="0"/>
        <v/>
      </c>
      <c r="T16" s="47" t="str">
        <f t="shared" si="0"/>
        <v/>
      </c>
      <c r="U16" s="47" t="str">
        <f t="shared" si="0"/>
        <v/>
      </c>
    </row>
    <row r="17" spans="1:21" ht="15.75">
      <c r="A17" s="46">
        <v>11</v>
      </c>
      <c r="B17" s="47" t="str">
        <f>IF(AND(B6=$B$2,A17=$B$3),"●","")</f>
        <v/>
      </c>
      <c r="C17" s="47" t="str">
        <f>IF(AND(C6=$B$2,A17=$B$3),"●","")</f>
        <v/>
      </c>
      <c r="D17" s="47" t="str">
        <f>IF(AND(D6=$B$2,A17=$B$3),"●","")</f>
        <v/>
      </c>
      <c r="E17" s="47" t="str">
        <f>IF(AND(E6=$B$2,A17=$B$3),"●","")</f>
        <v/>
      </c>
      <c r="F17" s="47" t="str">
        <f>IF(AND(F6=$B$2,A17=$B$3),"●","")</f>
        <v/>
      </c>
      <c r="G17" s="47" t="str">
        <f>IF(AND(G6=$B$2,A17=$B$3),"●","")</f>
        <v/>
      </c>
      <c r="H17" s="47" t="str">
        <f>IF(AND(H6=$B$2,A17=$B$3),"●","")</f>
        <v/>
      </c>
      <c r="I17" s="47" t="str">
        <f>IF(AND(I6=$B$2,A17=$B$3),"●","")</f>
        <v/>
      </c>
      <c r="J17" s="47" t="str">
        <f>IF(AND(J6=$B$2,A17=$B$3),"●","")</f>
        <v/>
      </c>
      <c r="K17" s="47" t="str">
        <f>IF(AND(K6=$B$2,A17=$B$3),"●","")</f>
        <v/>
      </c>
      <c r="L17" s="47" t="str">
        <f>IF(AND(L6=$B$2,A17=$B$3),"●","")</f>
        <v/>
      </c>
      <c r="M17" s="47" t="str">
        <f>IF(AND(M6=$B$2,A17=$B$3),"●","")</f>
        <v/>
      </c>
      <c r="N17" s="47" t="str">
        <f t="shared" ref="N17:U26" si="1">IF(AND($A17=$B$2,N$6=$B$3),"●","")</f>
        <v/>
      </c>
      <c r="O17" s="47" t="str">
        <f t="shared" si="1"/>
        <v/>
      </c>
      <c r="P17" s="47" t="str">
        <f t="shared" si="1"/>
        <v/>
      </c>
      <c r="Q17" s="47" t="str">
        <f t="shared" si="1"/>
        <v/>
      </c>
      <c r="R17" s="47" t="str">
        <f t="shared" si="1"/>
        <v/>
      </c>
      <c r="S17" s="47" t="str">
        <f t="shared" si="1"/>
        <v/>
      </c>
      <c r="T17" s="47" t="str">
        <f t="shared" si="1"/>
        <v/>
      </c>
      <c r="U17" s="47" t="str">
        <f t="shared" si="1"/>
        <v/>
      </c>
    </row>
    <row r="18" spans="1:21" ht="15.75">
      <c r="A18" s="46">
        <v>12</v>
      </c>
      <c r="B18" s="47" t="str">
        <f>IF(AND(B6=$B$2,A18=$B$3),"●","")</f>
        <v/>
      </c>
      <c r="C18" s="47" t="str">
        <f>IF(AND(C6=$B$2,A18=$B$3),"●","")</f>
        <v/>
      </c>
      <c r="D18" s="47" t="str">
        <f>IF(AND(D6=$B$2,A18=$B$3),"●","")</f>
        <v/>
      </c>
      <c r="E18" s="47" t="str">
        <f>IF(AND(E6=$B$2,A18=$B$3),"●","")</f>
        <v/>
      </c>
      <c r="F18" s="47" t="str">
        <f>IF(AND(F6=$B$2,A18=$B$3),"●","")</f>
        <v/>
      </c>
      <c r="G18" s="47" t="str">
        <f>IF(AND(G6=$B$2,A18=$B$3),"●","")</f>
        <v/>
      </c>
      <c r="H18" s="47" t="str">
        <f>IF(AND(H6=$B$2,A18=$B$3),"●","")</f>
        <v/>
      </c>
      <c r="I18" s="47" t="str">
        <f>IF(AND(I6=$B$2,A18=$B$3),"●","")</f>
        <v/>
      </c>
      <c r="J18" s="47" t="str">
        <f>IF(AND(J6=$B$2,A18=$B$3),"●","")</f>
        <v/>
      </c>
      <c r="K18" s="47" t="str">
        <f>IF(AND(K6=$B$2,A18=$B$3),"●","")</f>
        <v/>
      </c>
      <c r="L18" s="47" t="str">
        <f>IF(AND(L6=$B$2,A18=$B$3),"●","")</f>
        <v/>
      </c>
      <c r="M18" s="47" t="str">
        <f>IF(AND(M6=$B$2,A18=$B$3),"●","")</f>
        <v/>
      </c>
      <c r="N18" s="47" t="str">
        <f t="shared" si="1"/>
        <v/>
      </c>
      <c r="O18" s="47" t="str">
        <f t="shared" si="1"/>
        <v/>
      </c>
      <c r="P18" s="47" t="str">
        <f t="shared" si="1"/>
        <v/>
      </c>
      <c r="Q18" s="47" t="str">
        <f t="shared" si="1"/>
        <v/>
      </c>
      <c r="R18" s="47" t="str">
        <f t="shared" si="1"/>
        <v/>
      </c>
      <c r="S18" s="47" t="str">
        <f t="shared" si="1"/>
        <v/>
      </c>
      <c r="T18" s="47" t="str">
        <f t="shared" si="1"/>
        <v/>
      </c>
      <c r="U18" s="47" t="str">
        <f t="shared" si="1"/>
        <v/>
      </c>
    </row>
    <row r="19" spans="1:21" ht="15.75">
      <c r="A19" s="46">
        <v>13</v>
      </c>
      <c r="B19" s="47" t="str">
        <f>IF(AND(B6=$B$2,A19=$B$3),"●","")</f>
        <v/>
      </c>
      <c r="C19" s="47" t="str">
        <f>IF(AND(C6=$B$2,A19=$B$3),"●","")</f>
        <v/>
      </c>
      <c r="D19" s="47" t="str">
        <f>IF(AND(D6=$B$2,A19=$B$3),"●","")</f>
        <v/>
      </c>
      <c r="E19" s="47" t="str">
        <f>IF(AND(E6=$B$2,A19=$B$3),"●","")</f>
        <v/>
      </c>
      <c r="F19" s="47" t="str">
        <f>IF(AND(F6=$B$2,A19=$B$3),"●","")</f>
        <v/>
      </c>
      <c r="G19" s="47" t="str">
        <f>IF(AND(G6=$B$2,A19=$B$3),"●","")</f>
        <v/>
      </c>
      <c r="H19" s="47" t="str">
        <f>IF(AND(H6=$B$2,A19=$B$3),"●","")</f>
        <v/>
      </c>
      <c r="I19" s="47" t="str">
        <f>IF(AND(I6=$B$2,A19=$B$3),"●","")</f>
        <v/>
      </c>
      <c r="J19" s="47" t="str">
        <f>IF(AND(J6=$B$2,A19=$B$3),"●","")</f>
        <v/>
      </c>
      <c r="K19" s="47" t="str">
        <f>IF(AND(K6=$B$2,A19=$B$3),"●","")</f>
        <v/>
      </c>
      <c r="L19" s="47" t="str">
        <f>IF(AND(L6=$B$2,A19=$B$3),"●","")</f>
        <v/>
      </c>
      <c r="M19" s="47" t="str">
        <f>IF(AND(M6=$B$2,A19=$B$3),"●","")</f>
        <v/>
      </c>
      <c r="N19" s="47" t="str">
        <f t="shared" si="1"/>
        <v/>
      </c>
      <c r="O19" s="47" t="str">
        <f t="shared" si="1"/>
        <v/>
      </c>
      <c r="P19" s="47" t="str">
        <f t="shared" si="1"/>
        <v/>
      </c>
      <c r="Q19" s="47" t="str">
        <f t="shared" si="1"/>
        <v/>
      </c>
      <c r="R19" s="47" t="str">
        <f t="shared" si="1"/>
        <v/>
      </c>
      <c r="S19" s="47" t="str">
        <f t="shared" si="1"/>
        <v/>
      </c>
      <c r="T19" s="47" t="str">
        <f t="shared" si="1"/>
        <v/>
      </c>
      <c r="U19" s="47" t="str">
        <f t="shared" si="1"/>
        <v/>
      </c>
    </row>
    <row r="20" spans="1:21" ht="15.75">
      <c r="A20" s="46">
        <v>14</v>
      </c>
      <c r="B20" s="47" t="str">
        <f>IF(AND(B6=$B$2,A20=$B$3),"●","")</f>
        <v/>
      </c>
      <c r="C20" s="47" t="str">
        <f>IF(AND(C6=$B$2,A20=$B$3),"●","")</f>
        <v/>
      </c>
      <c r="D20" s="47" t="str">
        <f>IF(AND(D6=$B$2,A20=$B$3),"●","")</f>
        <v/>
      </c>
      <c r="E20" s="47" t="str">
        <f>IF(AND(E6=$B$2,A20=$B$3),"●","")</f>
        <v/>
      </c>
      <c r="F20" s="47" t="str">
        <f>IF(AND(F6=$B$2,A20=$B$3),"●","")</f>
        <v/>
      </c>
      <c r="G20" s="47" t="str">
        <f>IF(AND(G6=$B$2,A20=$B$3),"●","")</f>
        <v/>
      </c>
      <c r="H20" s="47" t="str">
        <f>IF(AND(H6=$B$2,A20=$B$3),"●","")</f>
        <v/>
      </c>
      <c r="I20" s="47" t="str">
        <f>IF(AND(I6=$B$2,A20=$B$3),"●","")</f>
        <v/>
      </c>
      <c r="J20" s="47" t="str">
        <f>IF(AND(J6=$B$2,A20=$B$3),"●","")</f>
        <v/>
      </c>
      <c r="K20" s="47" t="str">
        <f>IF(AND(K6=$B$2,A20=$B$3),"●","")</f>
        <v/>
      </c>
      <c r="L20" s="47" t="str">
        <f>IF(AND(L6=$B$2,A20=$B$3),"●","")</f>
        <v/>
      </c>
      <c r="M20" s="47" t="str">
        <f>IF(AND(M6=$B$2,A20=$B$3),"●","")</f>
        <v/>
      </c>
      <c r="N20" s="47" t="str">
        <f t="shared" si="1"/>
        <v/>
      </c>
      <c r="O20" s="47" t="str">
        <f t="shared" si="1"/>
        <v/>
      </c>
      <c r="P20" s="47" t="str">
        <f t="shared" si="1"/>
        <v/>
      </c>
      <c r="Q20" s="47" t="str">
        <f t="shared" si="1"/>
        <v/>
      </c>
      <c r="R20" s="47" t="str">
        <f t="shared" si="1"/>
        <v/>
      </c>
      <c r="S20" s="47" t="str">
        <f t="shared" si="1"/>
        <v/>
      </c>
      <c r="T20" s="47" t="str">
        <f t="shared" si="1"/>
        <v/>
      </c>
      <c r="U20" s="47" t="str">
        <f t="shared" si="1"/>
        <v/>
      </c>
    </row>
    <row r="21" spans="1:21" ht="15.75">
      <c r="A21" s="46">
        <v>15</v>
      </c>
      <c r="B21" s="47" t="str">
        <f>IF(AND(B6=$B$2,A21=$B$3),"●","")</f>
        <v/>
      </c>
      <c r="C21" s="47" t="str">
        <f>IF(AND(C6=$B$2,A21=$B$3),"●","")</f>
        <v/>
      </c>
      <c r="D21" s="47" t="str">
        <f>IF(AND(D6=$B$2,A21=$B$3),"●","")</f>
        <v/>
      </c>
      <c r="E21" s="47" t="str">
        <f>IF(AND(E6=$B$2,A21=$B$3),"●","")</f>
        <v/>
      </c>
      <c r="F21" s="47" t="str">
        <f>IF(AND(F6=$B$2,A21=$B$3),"●","")</f>
        <v/>
      </c>
      <c r="G21" s="47" t="str">
        <f>IF(AND(G6=$B$2,A21=$B$3),"●","")</f>
        <v/>
      </c>
      <c r="H21" s="47" t="str">
        <f>IF(AND(H6=$B$2,A21=$B$3),"●","")</f>
        <v/>
      </c>
      <c r="I21" s="47" t="str">
        <f>IF(AND(I6=$B$2,A21=$B$3),"●","")</f>
        <v/>
      </c>
      <c r="J21" s="47" t="str">
        <f>IF(AND(J6=$B$2,A21=$B$3),"●","")</f>
        <v/>
      </c>
      <c r="K21" s="47" t="str">
        <f>IF(AND(K6=$B$2,A21=$B$3),"●","")</f>
        <v/>
      </c>
      <c r="L21" s="47" t="str">
        <f>IF(AND(L6=$B$2,A21=$B$3),"●","")</f>
        <v/>
      </c>
      <c r="M21" s="47" t="str">
        <f>IF(AND(M6=$B$2,A21=$B$3),"●","")</f>
        <v/>
      </c>
      <c r="N21" s="47" t="str">
        <f t="shared" si="1"/>
        <v/>
      </c>
      <c r="O21" s="47" t="str">
        <f t="shared" si="1"/>
        <v/>
      </c>
      <c r="P21" s="47" t="str">
        <f t="shared" si="1"/>
        <v/>
      </c>
      <c r="Q21" s="47" t="str">
        <f t="shared" si="1"/>
        <v/>
      </c>
      <c r="R21" s="47" t="str">
        <f t="shared" si="1"/>
        <v/>
      </c>
      <c r="S21" s="47" t="str">
        <f t="shared" si="1"/>
        <v/>
      </c>
      <c r="T21" s="47" t="str">
        <f t="shared" si="1"/>
        <v/>
      </c>
      <c r="U21" s="47" t="str">
        <f t="shared" si="1"/>
        <v/>
      </c>
    </row>
    <row r="22" spans="1:21" ht="15.75">
      <c r="A22" s="46">
        <v>16</v>
      </c>
      <c r="B22" s="47" t="str">
        <f>IF(AND(B6=$B$2,A22=$B$3),"●","")</f>
        <v/>
      </c>
      <c r="C22" s="47" t="str">
        <f>IF(AND(C6=$B$2,A22=$B$3),"●","")</f>
        <v/>
      </c>
      <c r="D22" s="47" t="str">
        <f>IF(AND(D6=$B$2,A22=$B$3),"●","")</f>
        <v/>
      </c>
      <c r="E22" s="47" t="str">
        <f>IF(AND(E6=$B$2,A22=$B$3),"●","")</f>
        <v/>
      </c>
      <c r="F22" s="47" t="str">
        <f>IF(AND(F6=$B$2,A22=$B$3),"●","")</f>
        <v/>
      </c>
      <c r="G22" s="47" t="str">
        <f>IF(AND(G6=$B$2,A22=$B$3),"●","")</f>
        <v/>
      </c>
      <c r="H22" s="47" t="str">
        <f>IF(AND(H6=$B$2,A22=$B$3),"●","")</f>
        <v/>
      </c>
      <c r="I22" s="47" t="str">
        <f>IF(AND(I6=$B$2,A22=$B$3),"●","")</f>
        <v/>
      </c>
      <c r="J22" s="47" t="str">
        <f>IF(AND(J6=$B$2,A22=$B$3),"●","")</f>
        <v/>
      </c>
      <c r="K22" s="47" t="str">
        <f>IF(AND(K6=$B$2,A22=$B$3),"●","")</f>
        <v/>
      </c>
      <c r="L22" s="47" t="str">
        <f>IF(AND(L6=$B$2,A22=$B$3),"●","")</f>
        <v/>
      </c>
      <c r="M22" s="47" t="str">
        <f>IF(AND(M6=$B$2,A22=$B$3),"●","")</f>
        <v/>
      </c>
      <c r="N22" s="47" t="str">
        <f t="shared" si="1"/>
        <v/>
      </c>
      <c r="O22" s="47" t="str">
        <f t="shared" si="1"/>
        <v/>
      </c>
      <c r="P22" s="47" t="str">
        <f t="shared" si="1"/>
        <v/>
      </c>
      <c r="Q22" s="47" t="str">
        <f t="shared" si="1"/>
        <v/>
      </c>
      <c r="R22" s="47" t="str">
        <f t="shared" si="1"/>
        <v/>
      </c>
      <c r="S22" s="47" t="str">
        <f t="shared" si="1"/>
        <v/>
      </c>
      <c r="T22" s="47" t="str">
        <f t="shared" si="1"/>
        <v/>
      </c>
      <c r="U22" s="47" t="str">
        <f t="shared" si="1"/>
        <v/>
      </c>
    </row>
    <row r="23" spans="1:21" ht="15.75">
      <c r="A23" s="46">
        <v>17</v>
      </c>
      <c r="B23" s="47" t="str">
        <f>IF(AND(B6=$B$2,A23=$B$3),"●","")</f>
        <v/>
      </c>
      <c r="C23" s="47" t="str">
        <f>IF(AND(C6=$B$2,A23=$B$3),"●","")</f>
        <v/>
      </c>
      <c r="D23" s="47" t="str">
        <f>IF(AND(D6=$B$2,A23=$B$3),"●","")</f>
        <v/>
      </c>
      <c r="E23" s="47" t="str">
        <f>IF(AND(E6=$B$2,A23=$B$3),"●","")</f>
        <v/>
      </c>
      <c r="F23" s="47" t="str">
        <f>IF(AND(F6=$B$2,A23=$B$3),"●","")</f>
        <v/>
      </c>
      <c r="G23" s="47" t="str">
        <f>IF(AND(G6=$B$2,A23=$B$3),"●","")</f>
        <v/>
      </c>
      <c r="H23" s="47" t="str">
        <f>IF(AND(H6=$B$2,A23=$B$3),"●","")</f>
        <v/>
      </c>
      <c r="I23" s="47" t="str">
        <f>IF(AND(I6=$B$2,A23=$B$3),"●","")</f>
        <v/>
      </c>
      <c r="J23" s="47" t="str">
        <f>IF(AND(J6=$B$2,A23=$B$3),"●","")</f>
        <v/>
      </c>
      <c r="K23" s="47" t="str">
        <f>IF(AND(K6=$B$2,A23=$B$3),"●","")</f>
        <v/>
      </c>
      <c r="L23" s="47" t="str">
        <f>IF(AND(L6=$B$2,A23=$B$3),"●","")</f>
        <v/>
      </c>
      <c r="M23" s="47" t="str">
        <f>IF(AND(M6=$B$2,A23=$B$3),"●","")</f>
        <v/>
      </c>
      <c r="N23" s="47" t="str">
        <f t="shared" si="1"/>
        <v/>
      </c>
      <c r="O23" s="47" t="str">
        <f t="shared" si="1"/>
        <v/>
      </c>
      <c r="P23" s="47" t="str">
        <f t="shared" si="1"/>
        <v/>
      </c>
      <c r="Q23" s="47" t="str">
        <f t="shared" si="1"/>
        <v/>
      </c>
      <c r="R23" s="47" t="str">
        <f t="shared" si="1"/>
        <v/>
      </c>
      <c r="S23" s="47" t="str">
        <f t="shared" si="1"/>
        <v/>
      </c>
      <c r="T23" s="47" t="str">
        <f t="shared" si="1"/>
        <v/>
      </c>
      <c r="U23" s="47" t="str">
        <f t="shared" si="1"/>
        <v/>
      </c>
    </row>
    <row r="24" spans="1:21" ht="15.75">
      <c r="A24" s="46">
        <v>18</v>
      </c>
      <c r="B24" s="47" t="str">
        <f>IF(AND(B6=$B$2,A24=$B$3),"●","")</f>
        <v/>
      </c>
      <c r="C24" s="47" t="str">
        <f>IF(AND(C6=$B$2,A24=$B$3),"●","")</f>
        <v/>
      </c>
      <c r="D24" s="47" t="str">
        <f>IF(AND(D6=$B$2,A24=$B$3),"●","")</f>
        <v/>
      </c>
      <c r="E24" s="47" t="str">
        <f>IF(AND(E6=$B$2,A24=$B$3),"●","")</f>
        <v/>
      </c>
      <c r="F24" s="47" t="str">
        <f>IF(AND(F6=$B$2,A24=$B$3),"●","")</f>
        <v/>
      </c>
      <c r="G24" s="47" t="str">
        <f>IF(AND(G6=$B$2,A24=$B$3),"●","")</f>
        <v/>
      </c>
      <c r="H24" s="47" t="str">
        <f>IF(AND(H6=$B$2,A24=$B$3),"●","")</f>
        <v/>
      </c>
      <c r="I24" s="47" t="str">
        <f>IF(AND(I6=$B$2,A24=$B$3),"●","")</f>
        <v/>
      </c>
      <c r="J24" s="47" t="str">
        <f>IF(AND(J6=$B$2,A24=$B$3),"●","")</f>
        <v/>
      </c>
      <c r="K24" s="47" t="str">
        <f>IF(AND(K6=$B$2,A24=$B$3),"●","")</f>
        <v/>
      </c>
      <c r="L24" s="47" t="str">
        <f>IF(AND(L6=$B$2,A24=$B$3),"●","")</f>
        <v/>
      </c>
      <c r="M24" s="47" t="str">
        <f>IF(AND(M6=$B$2,A24=$B$3),"●","")</f>
        <v/>
      </c>
      <c r="N24" s="47" t="str">
        <f t="shared" si="1"/>
        <v/>
      </c>
      <c r="O24" s="47" t="str">
        <f t="shared" si="1"/>
        <v/>
      </c>
      <c r="P24" s="47" t="str">
        <f t="shared" si="1"/>
        <v/>
      </c>
      <c r="Q24" s="47" t="str">
        <f t="shared" si="1"/>
        <v/>
      </c>
      <c r="R24" s="47" t="str">
        <f t="shared" si="1"/>
        <v/>
      </c>
      <c r="S24" s="47" t="str">
        <f t="shared" si="1"/>
        <v/>
      </c>
      <c r="T24" s="47" t="str">
        <f t="shared" si="1"/>
        <v/>
      </c>
      <c r="U24" s="47" t="str">
        <f t="shared" si="1"/>
        <v/>
      </c>
    </row>
    <row r="25" spans="1:21" ht="15.75">
      <c r="A25" s="46">
        <v>19</v>
      </c>
      <c r="B25" s="47" t="str">
        <f>IF(AND(B6=$B$2,A25=$B$3),"●","")</f>
        <v/>
      </c>
      <c r="C25" s="47" t="str">
        <f>IF(AND(C6=$B$2,A25=$B$3),"●","")</f>
        <v/>
      </c>
      <c r="D25" s="47" t="str">
        <f>IF(AND(D6=$B$2,A25=$B$3),"●","")</f>
        <v/>
      </c>
      <c r="E25" s="47" t="str">
        <f>IF(AND(E6=$B$2,A25=$B$3),"●","")</f>
        <v/>
      </c>
      <c r="F25" s="47" t="str">
        <f>IF(AND(F6=$B$2,A25=$B$3),"●","")</f>
        <v/>
      </c>
      <c r="G25" s="47" t="str">
        <f>IF(AND(G6=$B$2,A25=$B$3),"●","")</f>
        <v/>
      </c>
      <c r="H25" s="47" t="str">
        <f>IF(AND(H6=$B$2,A25=$B$3),"●","")</f>
        <v/>
      </c>
      <c r="I25" s="47" t="str">
        <f>IF(AND(I6=$B$2,A25=$B$3),"●","")</f>
        <v/>
      </c>
      <c r="J25" s="47" t="str">
        <f>IF(AND(J6=$B$2,A25=$B$3),"●","")</f>
        <v/>
      </c>
      <c r="K25" s="47" t="str">
        <f>IF(AND(K6=$B$2,A25=$B$3),"●","")</f>
        <v/>
      </c>
      <c r="L25" s="47" t="str">
        <f>IF(AND(L6=$B$2,A25=$B$3),"●","")</f>
        <v/>
      </c>
      <c r="M25" s="47" t="str">
        <f>IF(AND(M6=$B$2,A25=$B$3),"●","")</f>
        <v/>
      </c>
      <c r="N25" s="47" t="str">
        <f t="shared" si="1"/>
        <v/>
      </c>
      <c r="O25" s="47" t="str">
        <f t="shared" si="1"/>
        <v/>
      </c>
      <c r="P25" s="47" t="str">
        <f t="shared" si="1"/>
        <v/>
      </c>
      <c r="Q25" s="47" t="str">
        <f t="shared" si="1"/>
        <v/>
      </c>
      <c r="R25" s="47" t="str">
        <f t="shared" si="1"/>
        <v/>
      </c>
      <c r="S25" s="47" t="str">
        <f t="shared" si="1"/>
        <v/>
      </c>
      <c r="T25" s="47" t="str">
        <f t="shared" si="1"/>
        <v/>
      </c>
      <c r="U25" s="47" t="str">
        <f t="shared" si="1"/>
        <v/>
      </c>
    </row>
    <row r="26" spans="1:21" ht="15.75">
      <c r="A26" s="46">
        <v>20</v>
      </c>
      <c r="B26" s="47" t="str">
        <f>IF(AND(B6=$B$2,A26=$B$3),"●","")</f>
        <v/>
      </c>
      <c r="C26" s="47" t="str">
        <f>IF(AND(C6=$B$2,A26=$B$3),"●","")</f>
        <v/>
      </c>
      <c r="D26" s="47" t="str">
        <f>IF(AND(D6=$B$2,A26=$B$3),"●","")</f>
        <v/>
      </c>
      <c r="E26" s="47" t="str">
        <f>IF(AND(E6=$B$2,A26=$B$3),"●","")</f>
        <v/>
      </c>
      <c r="F26" s="47" t="str">
        <f>IF(AND(F6=$B$2,A26=$B$3),"●","")</f>
        <v/>
      </c>
      <c r="G26" s="47" t="str">
        <f>IF(AND(G6=$B$2,A26=$B$3),"●","")</f>
        <v/>
      </c>
      <c r="H26" s="47" t="str">
        <f>IF(AND(H6=$B$2,A26=$B$3),"●","")</f>
        <v/>
      </c>
      <c r="I26" s="47" t="str">
        <f>IF(AND(I6=$B$2,A26=$B$3),"●","")</f>
        <v/>
      </c>
      <c r="J26" s="47" t="str">
        <f>IF(AND(J6=$B$2,A26=$B$3),"●","")</f>
        <v/>
      </c>
      <c r="K26" s="47" t="str">
        <f>IF(AND(K6=$B$2,A26=$B$3),"●","")</f>
        <v/>
      </c>
      <c r="L26" s="47" t="str">
        <f>IF(AND(L6=$B$2,A26=$B$3),"●","")</f>
        <v/>
      </c>
      <c r="M26" s="47" t="str">
        <f>IF(AND(M6=$B$2,A26=$B$3),"●","")</f>
        <v/>
      </c>
      <c r="N26" s="47" t="str">
        <f t="shared" si="1"/>
        <v/>
      </c>
      <c r="O26" s="47" t="str">
        <f t="shared" si="1"/>
        <v/>
      </c>
      <c r="P26" s="47" t="str">
        <f t="shared" si="1"/>
        <v/>
      </c>
      <c r="Q26" s="47" t="str">
        <f t="shared" si="1"/>
        <v/>
      </c>
      <c r="R26" s="47" t="str">
        <f t="shared" si="1"/>
        <v/>
      </c>
      <c r="S26" s="47" t="str">
        <f t="shared" si="1"/>
        <v/>
      </c>
      <c r="T26" s="47" t="str">
        <f t="shared" si="1"/>
        <v/>
      </c>
      <c r="U26" s="47" t="str">
        <f t="shared" si="1"/>
        <v/>
      </c>
    </row>
    <row r="27" spans="1:21" ht="15.75">
      <c r="A27" s="46">
        <v>21</v>
      </c>
      <c r="B27" s="47" t="str">
        <f t="shared" ref="B27:M36" si="2">IF(AND($A27=$B$2,B$6=$B$3),"●","")</f>
        <v/>
      </c>
      <c r="C27" s="47" t="str">
        <f t="shared" si="2"/>
        <v/>
      </c>
      <c r="D27" s="47" t="str">
        <f t="shared" si="2"/>
        <v/>
      </c>
      <c r="E27" s="47" t="str">
        <f t="shared" si="2"/>
        <v/>
      </c>
      <c r="F27" s="47" t="str">
        <f t="shared" si="2"/>
        <v/>
      </c>
      <c r="G27" s="47" t="str">
        <f t="shared" si="2"/>
        <v/>
      </c>
      <c r="H27" s="47" t="str">
        <f t="shared" si="2"/>
        <v/>
      </c>
      <c r="I27" s="47" t="str">
        <f t="shared" si="2"/>
        <v/>
      </c>
      <c r="J27" s="47" t="str">
        <f t="shared" si="2"/>
        <v/>
      </c>
      <c r="K27" s="47" t="str">
        <f t="shared" si="2"/>
        <v/>
      </c>
      <c r="L27" s="47" t="str">
        <f t="shared" si="2"/>
        <v/>
      </c>
      <c r="M27" s="47" t="str">
        <f t="shared" si="2"/>
        <v/>
      </c>
      <c r="N27" s="47" t="str">
        <f t="shared" ref="N27:U36" si="3">IF(AND($A27=$B$2,N$6=$B$3),"●","")</f>
        <v/>
      </c>
      <c r="O27" s="47" t="str">
        <f t="shared" si="3"/>
        <v/>
      </c>
      <c r="P27" s="47" t="str">
        <f t="shared" si="3"/>
        <v/>
      </c>
      <c r="Q27" s="47" t="str">
        <f t="shared" si="3"/>
        <v/>
      </c>
      <c r="R27" s="47" t="str">
        <f t="shared" si="3"/>
        <v/>
      </c>
      <c r="S27" s="47" t="str">
        <f t="shared" si="3"/>
        <v/>
      </c>
      <c r="T27" s="47" t="str">
        <f t="shared" si="3"/>
        <v/>
      </c>
      <c r="U27" s="47" t="str">
        <f t="shared" si="3"/>
        <v/>
      </c>
    </row>
    <row r="28" spans="1:21" ht="15.75">
      <c r="A28" s="46" t="s">
        <v>1288</v>
      </c>
      <c r="B28" s="47" t="str">
        <f t="shared" si="2"/>
        <v/>
      </c>
      <c r="C28" s="47" t="str">
        <f t="shared" si="2"/>
        <v/>
      </c>
      <c r="D28" s="47" t="str">
        <f t="shared" si="2"/>
        <v/>
      </c>
      <c r="E28" s="47" t="str">
        <f t="shared" si="2"/>
        <v/>
      </c>
      <c r="F28" s="47" t="str">
        <f t="shared" si="2"/>
        <v/>
      </c>
      <c r="G28" s="47" t="str">
        <f t="shared" si="2"/>
        <v/>
      </c>
      <c r="H28" s="47" t="str">
        <f t="shared" si="2"/>
        <v/>
      </c>
      <c r="I28" s="47" t="str">
        <f t="shared" si="2"/>
        <v/>
      </c>
      <c r="J28" s="47" t="str">
        <f t="shared" si="2"/>
        <v/>
      </c>
      <c r="K28" s="47" t="str">
        <f t="shared" si="2"/>
        <v/>
      </c>
      <c r="L28" s="47" t="str">
        <f t="shared" si="2"/>
        <v/>
      </c>
      <c r="M28" s="47" t="str">
        <f t="shared" si="2"/>
        <v/>
      </c>
      <c r="N28" s="47" t="str">
        <f t="shared" si="3"/>
        <v/>
      </c>
      <c r="O28" s="47" t="str">
        <f t="shared" si="3"/>
        <v/>
      </c>
      <c r="P28" s="47" t="str">
        <f t="shared" si="3"/>
        <v/>
      </c>
      <c r="Q28" s="47" t="str">
        <f t="shared" si="3"/>
        <v/>
      </c>
      <c r="R28" s="47" t="str">
        <f t="shared" si="3"/>
        <v/>
      </c>
      <c r="S28" s="47" t="str">
        <f t="shared" si="3"/>
        <v/>
      </c>
      <c r="T28" s="47" t="str">
        <f t="shared" si="3"/>
        <v/>
      </c>
      <c r="U28" s="47" t="str">
        <f t="shared" si="3"/>
        <v/>
      </c>
    </row>
    <row r="29" spans="1:21" ht="15.75">
      <c r="A29" s="46">
        <v>23</v>
      </c>
      <c r="B29" s="47" t="str">
        <f t="shared" si="2"/>
        <v/>
      </c>
      <c r="C29" s="47" t="str">
        <f t="shared" si="2"/>
        <v/>
      </c>
      <c r="D29" s="47" t="str">
        <f t="shared" si="2"/>
        <v/>
      </c>
      <c r="E29" s="47" t="str">
        <f t="shared" si="2"/>
        <v/>
      </c>
      <c r="F29" s="47" t="str">
        <f t="shared" si="2"/>
        <v/>
      </c>
      <c r="G29" s="47" t="str">
        <f t="shared" si="2"/>
        <v/>
      </c>
      <c r="H29" s="47" t="str">
        <f t="shared" si="2"/>
        <v/>
      </c>
      <c r="I29" s="47" t="str">
        <f t="shared" si="2"/>
        <v/>
      </c>
      <c r="J29" s="47" t="str">
        <f t="shared" si="2"/>
        <v/>
      </c>
      <c r="K29" s="47" t="str">
        <f t="shared" si="2"/>
        <v/>
      </c>
      <c r="L29" s="47" t="str">
        <f t="shared" si="2"/>
        <v/>
      </c>
      <c r="M29" s="47" t="str">
        <f t="shared" si="2"/>
        <v/>
      </c>
      <c r="N29" s="47" t="str">
        <f t="shared" si="3"/>
        <v/>
      </c>
      <c r="O29" s="47" t="str">
        <f t="shared" si="3"/>
        <v/>
      </c>
      <c r="P29" s="47" t="str">
        <f t="shared" si="3"/>
        <v/>
      </c>
      <c r="Q29" s="47" t="str">
        <f t="shared" si="3"/>
        <v/>
      </c>
      <c r="R29" s="47" t="str">
        <f t="shared" si="3"/>
        <v/>
      </c>
      <c r="S29" s="47" t="str">
        <f t="shared" si="3"/>
        <v/>
      </c>
      <c r="T29" s="47" t="str">
        <f t="shared" si="3"/>
        <v/>
      </c>
      <c r="U29" s="47" t="str">
        <f t="shared" si="3"/>
        <v/>
      </c>
    </row>
    <row r="30" spans="1:21" ht="15.75">
      <c r="A30" s="46">
        <v>24</v>
      </c>
      <c r="B30" s="47" t="str">
        <f t="shared" si="2"/>
        <v/>
      </c>
      <c r="C30" s="47" t="str">
        <f t="shared" si="2"/>
        <v/>
      </c>
      <c r="D30" s="47" t="str">
        <f t="shared" si="2"/>
        <v/>
      </c>
      <c r="E30" s="47" t="str">
        <f t="shared" si="2"/>
        <v/>
      </c>
      <c r="F30" s="47" t="str">
        <f t="shared" si="2"/>
        <v/>
      </c>
      <c r="G30" s="47" t="str">
        <f t="shared" si="2"/>
        <v/>
      </c>
      <c r="H30" s="47" t="str">
        <f t="shared" si="2"/>
        <v/>
      </c>
      <c r="I30" s="47" t="str">
        <f t="shared" si="2"/>
        <v/>
      </c>
      <c r="J30" s="47" t="str">
        <f t="shared" si="2"/>
        <v/>
      </c>
      <c r="K30" s="47" t="str">
        <f t="shared" si="2"/>
        <v/>
      </c>
      <c r="L30" s="47" t="str">
        <f t="shared" si="2"/>
        <v/>
      </c>
      <c r="M30" s="47" t="str">
        <f t="shared" si="2"/>
        <v/>
      </c>
      <c r="N30" s="47" t="str">
        <f t="shared" si="3"/>
        <v/>
      </c>
      <c r="O30" s="47" t="str">
        <f t="shared" si="3"/>
        <v/>
      </c>
      <c r="P30" s="47" t="str">
        <f t="shared" si="3"/>
        <v/>
      </c>
      <c r="Q30" s="47" t="str">
        <f t="shared" si="3"/>
        <v/>
      </c>
      <c r="R30" s="47" t="str">
        <f t="shared" si="3"/>
        <v/>
      </c>
      <c r="S30" s="47" t="str">
        <f t="shared" si="3"/>
        <v/>
      </c>
      <c r="T30" s="47" t="str">
        <f t="shared" si="3"/>
        <v/>
      </c>
      <c r="U30" s="47" t="str">
        <f t="shared" si="3"/>
        <v/>
      </c>
    </row>
    <row r="31" spans="1:21" ht="15.75">
      <c r="A31" s="46">
        <v>25</v>
      </c>
      <c r="B31" s="47" t="str">
        <f t="shared" si="2"/>
        <v/>
      </c>
      <c r="C31" s="47" t="str">
        <f t="shared" si="2"/>
        <v/>
      </c>
      <c r="D31" s="47" t="str">
        <f t="shared" si="2"/>
        <v/>
      </c>
      <c r="E31" s="47" t="str">
        <f t="shared" si="2"/>
        <v/>
      </c>
      <c r="F31" s="47" t="str">
        <f t="shared" si="2"/>
        <v/>
      </c>
      <c r="G31" s="47" t="str">
        <f t="shared" si="2"/>
        <v/>
      </c>
      <c r="H31" s="47" t="str">
        <f t="shared" si="2"/>
        <v/>
      </c>
      <c r="I31" s="47" t="str">
        <f t="shared" si="2"/>
        <v/>
      </c>
      <c r="J31" s="47" t="str">
        <f t="shared" si="2"/>
        <v/>
      </c>
      <c r="K31" s="47" t="str">
        <f t="shared" si="2"/>
        <v/>
      </c>
      <c r="L31" s="47" t="str">
        <f t="shared" si="2"/>
        <v/>
      </c>
      <c r="M31" s="47" t="str">
        <f t="shared" si="2"/>
        <v/>
      </c>
      <c r="N31" s="47" t="str">
        <f t="shared" si="3"/>
        <v/>
      </c>
      <c r="O31" s="47" t="str">
        <f t="shared" si="3"/>
        <v/>
      </c>
      <c r="P31" s="47" t="str">
        <f t="shared" si="3"/>
        <v/>
      </c>
      <c r="Q31" s="47" t="str">
        <f t="shared" si="3"/>
        <v/>
      </c>
      <c r="R31" s="47" t="str">
        <f t="shared" si="3"/>
        <v/>
      </c>
      <c r="S31" s="47" t="str">
        <f t="shared" si="3"/>
        <v/>
      </c>
      <c r="T31" s="47" t="str">
        <f t="shared" si="3"/>
        <v/>
      </c>
      <c r="U31" s="47" t="str">
        <f t="shared" si="3"/>
        <v/>
      </c>
    </row>
    <row r="32" spans="1:21" ht="15.75">
      <c r="A32" s="46">
        <v>26</v>
      </c>
      <c r="B32" s="47" t="str">
        <f t="shared" si="2"/>
        <v/>
      </c>
      <c r="C32" s="47" t="str">
        <f t="shared" si="2"/>
        <v/>
      </c>
      <c r="D32" s="47" t="str">
        <f t="shared" si="2"/>
        <v/>
      </c>
      <c r="E32" s="47" t="str">
        <f t="shared" si="2"/>
        <v/>
      </c>
      <c r="F32" s="47" t="str">
        <f t="shared" si="2"/>
        <v/>
      </c>
      <c r="G32" s="47" t="str">
        <f t="shared" si="2"/>
        <v/>
      </c>
      <c r="H32" s="47" t="str">
        <f t="shared" si="2"/>
        <v/>
      </c>
      <c r="I32" s="47" t="str">
        <f t="shared" si="2"/>
        <v/>
      </c>
      <c r="J32" s="47" t="str">
        <f t="shared" si="2"/>
        <v/>
      </c>
      <c r="K32" s="47" t="str">
        <f t="shared" si="2"/>
        <v/>
      </c>
      <c r="L32" s="47" t="str">
        <f t="shared" si="2"/>
        <v/>
      </c>
      <c r="M32" s="47" t="str">
        <f t="shared" si="2"/>
        <v/>
      </c>
      <c r="N32" s="47" t="str">
        <f t="shared" si="3"/>
        <v/>
      </c>
      <c r="O32" s="47" t="str">
        <f t="shared" si="3"/>
        <v/>
      </c>
      <c r="P32" s="47" t="str">
        <f t="shared" si="3"/>
        <v/>
      </c>
      <c r="Q32" s="47" t="str">
        <f t="shared" si="3"/>
        <v/>
      </c>
      <c r="R32" s="47" t="str">
        <f t="shared" si="3"/>
        <v/>
      </c>
      <c r="S32" s="47" t="str">
        <f t="shared" si="3"/>
        <v/>
      </c>
      <c r="T32" s="47" t="str">
        <f t="shared" si="3"/>
        <v/>
      </c>
      <c r="U32" s="47" t="str">
        <f t="shared" si="3"/>
        <v/>
      </c>
    </row>
    <row r="33" spans="1:21" ht="15.75">
      <c r="A33" s="46">
        <v>27</v>
      </c>
      <c r="B33" s="47" t="str">
        <f t="shared" si="2"/>
        <v/>
      </c>
      <c r="C33" s="47" t="str">
        <f t="shared" si="2"/>
        <v/>
      </c>
      <c r="D33" s="47" t="str">
        <f t="shared" si="2"/>
        <v/>
      </c>
      <c r="E33" s="47" t="str">
        <f t="shared" si="2"/>
        <v/>
      </c>
      <c r="F33" s="47" t="str">
        <f t="shared" si="2"/>
        <v/>
      </c>
      <c r="G33" s="47" t="str">
        <f t="shared" si="2"/>
        <v/>
      </c>
      <c r="H33" s="47" t="str">
        <f t="shared" si="2"/>
        <v/>
      </c>
      <c r="I33" s="47" t="str">
        <f t="shared" si="2"/>
        <v/>
      </c>
      <c r="J33" s="47" t="str">
        <f t="shared" si="2"/>
        <v/>
      </c>
      <c r="K33" s="47" t="str">
        <f t="shared" si="2"/>
        <v/>
      </c>
      <c r="L33" s="47" t="str">
        <f t="shared" si="2"/>
        <v/>
      </c>
      <c r="M33" s="47" t="str">
        <f t="shared" si="2"/>
        <v/>
      </c>
      <c r="N33" s="47" t="str">
        <f t="shared" si="3"/>
        <v/>
      </c>
      <c r="O33" s="47" t="str">
        <f t="shared" si="3"/>
        <v/>
      </c>
      <c r="P33" s="47" t="str">
        <f t="shared" si="3"/>
        <v/>
      </c>
      <c r="Q33" s="47" t="str">
        <f t="shared" si="3"/>
        <v/>
      </c>
      <c r="R33" s="47" t="str">
        <f t="shared" si="3"/>
        <v/>
      </c>
      <c r="S33" s="47" t="str">
        <f t="shared" si="3"/>
        <v/>
      </c>
      <c r="T33" s="47" t="str">
        <f t="shared" si="3"/>
        <v/>
      </c>
      <c r="U33" s="47" t="str">
        <f t="shared" si="3"/>
        <v/>
      </c>
    </row>
    <row r="34" spans="1:21" ht="15.75">
      <c r="A34" s="46">
        <v>28</v>
      </c>
      <c r="B34" s="47" t="str">
        <f t="shared" si="2"/>
        <v/>
      </c>
      <c r="C34" s="47" t="str">
        <f t="shared" si="2"/>
        <v/>
      </c>
      <c r="D34" s="47" t="str">
        <f t="shared" si="2"/>
        <v/>
      </c>
      <c r="E34" s="47" t="str">
        <f t="shared" si="2"/>
        <v/>
      </c>
      <c r="F34" s="47" t="str">
        <f t="shared" si="2"/>
        <v/>
      </c>
      <c r="G34" s="47" t="str">
        <f t="shared" si="2"/>
        <v/>
      </c>
      <c r="H34" s="47" t="str">
        <f t="shared" si="2"/>
        <v/>
      </c>
      <c r="I34" s="47" t="str">
        <f t="shared" si="2"/>
        <v/>
      </c>
      <c r="J34" s="47" t="str">
        <f t="shared" si="2"/>
        <v/>
      </c>
      <c r="K34" s="47" t="str">
        <f t="shared" si="2"/>
        <v/>
      </c>
      <c r="L34" s="47" t="str">
        <f t="shared" si="2"/>
        <v/>
      </c>
      <c r="M34" s="47" t="str">
        <f t="shared" si="2"/>
        <v/>
      </c>
      <c r="N34" s="47" t="str">
        <f t="shared" si="3"/>
        <v/>
      </c>
      <c r="O34" s="47" t="str">
        <f t="shared" si="3"/>
        <v/>
      </c>
      <c r="P34" s="47" t="str">
        <f t="shared" si="3"/>
        <v/>
      </c>
      <c r="Q34" s="47" t="str">
        <f t="shared" si="3"/>
        <v/>
      </c>
      <c r="R34" s="47" t="str">
        <f t="shared" si="3"/>
        <v/>
      </c>
      <c r="S34" s="47" t="str">
        <f t="shared" si="3"/>
        <v/>
      </c>
      <c r="T34" s="47" t="str">
        <f t="shared" si="3"/>
        <v/>
      </c>
      <c r="U34" s="47" t="str">
        <f t="shared" si="3"/>
        <v/>
      </c>
    </row>
    <row r="35" spans="1:21" ht="15.75">
      <c r="A35" s="46">
        <v>29</v>
      </c>
      <c r="B35" s="47" t="str">
        <f t="shared" si="2"/>
        <v/>
      </c>
      <c r="C35" s="47" t="str">
        <f t="shared" si="2"/>
        <v/>
      </c>
      <c r="D35" s="47" t="str">
        <f t="shared" si="2"/>
        <v/>
      </c>
      <c r="E35" s="47" t="str">
        <f t="shared" si="2"/>
        <v/>
      </c>
      <c r="F35" s="47" t="str">
        <f t="shared" si="2"/>
        <v/>
      </c>
      <c r="G35" s="47" t="str">
        <f t="shared" si="2"/>
        <v/>
      </c>
      <c r="H35" s="47" t="str">
        <f t="shared" si="2"/>
        <v/>
      </c>
      <c r="I35" s="47" t="str">
        <f t="shared" si="2"/>
        <v/>
      </c>
      <c r="J35" s="47" t="str">
        <f t="shared" si="2"/>
        <v/>
      </c>
      <c r="K35" s="47" t="str">
        <f t="shared" si="2"/>
        <v/>
      </c>
      <c r="L35" s="47" t="str">
        <f t="shared" si="2"/>
        <v/>
      </c>
      <c r="M35" s="47" t="str">
        <f t="shared" si="2"/>
        <v/>
      </c>
      <c r="N35" s="47" t="str">
        <f t="shared" si="3"/>
        <v/>
      </c>
      <c r="O35" s="47" t="str">
        <f t="shared" si="3"/>
        <v/>
      </c>
      <c r="P35" s="47" t="str">
        <f t="shared" si="3"/>
        <v/>
      </c>
      <c r="Q35" s="47" t="str">
        <f t="shared" si="3"/>
        <v/>
      </c>
      <c r="R35" s="47" t="str">
        <f t="shared" si="3"/>
        <v/>
      </c>
      <c r="S35" s="47" t="str">
        <f t="shared" si="3"/>
        <v/>
      </c>
      <c r="T35" s="47" t="str">
        <f t="shared" si="3"/>
        <v/>
      </c>
      <c r="U35" s="47" t="str">
        <f t="shared" si="3"/>
        <v/>
      </c>
    </row>
    <row r="36" spans="1:21" ht="15.75">
      <c r="A36" s="46">
        <v>30</v>
      </c>
      <c r="B36" s="47" t="str">
        <f t="shared" si="2"/>
        <v/>
      </c>
      <c r="C36" s="47" t="str">
        <f t="shared" si="2"/>
        <v/>
      </c>
      <c r="D36" s="47" t="str">
        <f t="shared" si="2"/>
        <v/>
      </c>
      <c r="E36" s="47" t="str">
        <f t="shared" si="2"/>
        <v/>
      </c>
      <c r="F36" s="47" t="str">
        <f t="shared" si="2"/>
        <v/>
      </c>
      <c r="G36" s="47" t="str">
        <f t="shared" si="2"/>
        <v/>
      </c>
      <c r="H36" s="47" t="str">
        <f t="shared" si="2"/>
        <v/>
      </c>
      <c r="I36" s="47" t="str">
        <f t="shared" si="2"/>
        <v/>
      </c>
      <c r="J36" s="47" t="str">
        <f t="shared" si="2"/>
        <v/>
      </c>
      <c r="K36" s="47" t="str">
        <f t="shared" si="2"/>
        <v/>
      </c>
      <c r="L36" s="47" t="str">
        <f t="shared" si="2"/>
        <v/>
      </c>
      <c r="M36" s="47" t="str">
        <f t="shared" si="2"/>
        <v/>
      </c>
      <c r="N36" s="47" t="str">
        <f t="shared" si="3"/>
        <v/>
      </c>
      <c r="O36" s="47" t="str">
        <f t="shared" si="3"/>
        <v/>
      </c>
      <c r="P36" s="47" t="str">
        <f t="shared" si="3"/>
        <v/>
      </c>
      <c r="Q36" s="47" t="str">
        <f t="shared" si="3"/>
        <v/>
      </c>
      <c r="R36" s="47" t="str">
        <f t="shared" si="3"/>
        <v/>
      </c>
      <c r="S36" s="47" t="str">
        <f t="shared" si="3"/>
        <v/>
      </c>
      <c r="T36" s="47" t="str">
        <f t="shared" si="3"/>
        <v/>
      </c>
      <c r="U36" s="47" t="str">
        <f t="shared" si="3"/>
        <v/>
      </c>
    </row>
    <row r="38" spans="1:21">
      <c r="A38" s="10" t="s">
        <v>1289</v>
      </c>
    </row>
    <row r="39" spans="1:21">
      <c r="A39" s="40" t="s">
        <v>1290</v>
      </c>
    </row>
    <row r="40" spans="1:21">
      <c r="A40" s="40" t="s">
        <v>1290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76" t="s">
        <v>191</v>
      </c>
      <c r="B1" s="76" t="s">
        <v>1291</v>
      </c>
      <c r="C1" s="76" t="s">
        <v>1292</v>
      </c>
      <c r="D1" s="76" t="s">
        <v>1068</v>
      </c>
      <c r="E1" s="76" t="s">
        <v>1293</v>
      </c>
      <c r="F1" s="76" t="s">
        <v>1294</v>
      </c>
      <c r="G1" s="76" t="s">
        <v>1295</v>
      </c>
      <c r="H1" s="76" t="s">
        <v>21</v>
      </c>
      <c r="I1" s="76" t="s">
        <v>1296</v>
      </c>
      <c r="J1" s="76" t="s">
        <v>1297</v>
      </c>
      <c r="L1" s="76" t="s">
        <v>1298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5" bestFit="1" customWidth="1"/>
    <col min="5" max="5" width="20.7109375" style="15" customWidth="1"/>
    <col min="6" max="6" width="30.7109375" style="15" customWidth="1"/>
    <col min="7" max="7" width="54.85546875" style="15" bestFit="1" customWidth="1"/>
    <col min="8" max="8" width="50.5703125" bestFit="1" customWidth="1"/>
  </cols>
  <sheetData>
    <row r="1" spans="1:8" s="17" customFormat="1" ht="20.25" customHeight="1">
      <c r="A1" s="17" t="s">
        <v>1299</v>
      </c>
      <c r="B1" s="17" t="s">
        <v>1300</v>
      </c>
      <c r="C1" s="17" t="s">
        <v>1301</v>
      </c>
      <c r="D1" s="17" t="s">
        <v>1302</v>
      </c>
      <c r="E1" s="17" t="s">
        <v>1303</v>
      </c>
      <c r="F1" s="17" t="s">
        <v>1304</v>
      </c>
      <c r="G1" s="17" t="s">
        <v>1305</v>
      </c>
      <c r="H1" s="17" t="s">
        <v>21</v>
      </c>
    </row>
    <row r="2" spans="1:8" ht="20.25" customHeight="1">
      <c r="B2" t="s">
        <v>1306</v>
      </c>
      <c r="C2" t="s">
        <v>1307</v>
      </c>
      <c r="D2" s="15">
        <v>56</v>
      </c>
      <c r="E2" s="15" t="s">
        <v>1308</v>
      </c>
      <c r="F2" s="15" t="s">
        <v>1309</v>
      </c>
      <c r="G2" s="15" t="s">
        <v>1310</v>
      </c>
    </row>
    <row r="3" spans="1:8" ht="20.25" customHeight="1">
      <c r="B3" t="s">
        <v>1306</v>
      </c>
      <c r="C3" t="s">
        <v>1311</v>
      </c>
      <c r="D3" s="15">
        <v>35</v>
      </c>
      <c r="E3" s="15" t="s">
        <v>1308</v>
      </c>
      <c r="F3" s="15" t="s">
        <v>1309</v>
      </c>
      <c r="G3" s="15" t="s">
        <v>1310</v>
      </c>
    </row>
    <row r="4" spans="1:8" s="67" customFormat="1" ht="20.25" customHeight="1">
      <c r="B4" s="67" t="s">
        <v>1306</v>
      </c>
      <c r="C4" s="67" t="s">
        <v>1312</v>
      </c>
      <c r="D4" s="68">
        <v>28</v>
      </c>
      <c r="E4" s="68" t="s">
        <v>1308</v>
      </c>
      <c r="F4" s="68" t="s">
        <v>1309</v>
      </c>
      <c r="G4" s="68" t="s">
        <v>1310</v>
      </c>
    </row>
    <row r="5" spans="1:8" s="67" customFormat="1" ht="20.25" customHeight="1">
      <c r="B5" s="67" t="s">
        <v>1306</v>
      </c>
      <c r="C5" s="67" t="s">
        <v>1313</v>
      </c>
      <c r="D5" s="68">
        <v>52</v>
      </c>
      <c r="E5" s="68" t="s">
        <v>1308</v>
      </c>
      <c r="F5" s="68" t="s">
        <v>1309</v>
      </c>
      <c r="G5" s="68" t="s">
        <v>1310</v>
      </c>
    </row>
    <row r="6" spans="1:8" s="67" customFormat="1" ht="20.25" customHeight="1">
      <c r="B6" s="67" t="s">
        <v>1306</v>
      </c>
      <c r="C6" s="67" t="s">
        <v>1314</v>
      </c>
      <c r="D6" s="68">
        <v>50</v>
      </c>
      <c r="E6" s="68" t="s">
        <v>1308</v>
      </c>
      <c r="F6" s="68" t="s">
        <v>1309</v>
      </c>
      <c r="G6" s="68" t="s">
        <v>1310</v>
      </c>
    </row>
    <row r="7" spans="1:8" ht="20.25" customHeight="1">
      <c r="B7" t="s">
        <v>1306</v>
      </c>
      <c r="C7" t="s">
        <v>1315</v>
      </c>
      <c r="D7" s="15">
        <v>29</v>
      </c>
      <c r="E7" s="15" t="s">
        <v>1308</v>
      </c>
      <c r="F7" s="15" t="s">
        <v>1309</v>
      </c>
      <c r="G7" s="15" t="s">
        <v>1310</v>
      </c>
    </row>
    <row r="8" spans="1:8" s="67" customFormat="1" ht="20.25" customHeight="1">
      <c r="B8" s="67" t="s">
        <v>1306</v>
      </c>
      <c r="C8" s="67" t="s">
        <v>1316</v>
      </c>
      <c r="D8" s="68">
        <v>13</v>
      </c>
      <c r="E8" s="68" t="s">
        <v>1308</v>
      </c>
      <c r="F8" s="68" t="s">
        <v>1309</v>
      </c>
      <c r="G8" s="68" t="s">
        <v>1310</v>
      </c>
    </row>
    <row r="9" spans="1:8" s="69" customFormat="1" ht="20.25" customHeight="1">
      <c r="B9" s="69" t="s">
        <v>1306</v>
      </c>
      <c r="C9" s="69" t="s">
        <v>1317</v>
      </c>
      <c r="D9" s="70">
        <v>4</v>
      </c>
      <c r="E9" s="70" t="s">
        <v>1308</v>
      </c>
      <c r="F9" s="70" t="s">
        <v>1309</v>
      </c>
      <c r="G9" s="70" t="s">
        <v>1310</v>
      </c>
    </row>
    <row r="10" spans="1:8" ht="20.25" customHeight="1">
      <c r="B10" t="s">
        <v>1306</v>
      </c>
      <c r="C10" t="s">
        <v>1318</v>
      </c>
      <c r="D10" s="15">
        <v>2</v>
      </c>
      <c r="E10" s="15" t="s">
        <v>1308</v>
      </c>
      <c r="F10" s="15" t="s">
        <v>1309</v>
      </c>
      <c r="G10" s="15" t="s">
        <v>1310</v>
      </c>
    </row>
    <row r="11" spans="1:8" s="67" customFormat="1" ht="20.25" customHeight="1">
      <c r="B11" s="67" t="s">
        <v>1306</v>
      </c>
      <c r="C11" s="67" t="s">
        <v>1319</v>
      </c>
      <c r="D11" s="68">
        <v>2</v>
      </c>
      <c r="E11" s="68" t="s">
        <v>1308</v>
      </c>
      <c r="F11" s="68" t="s">
        <v>1309</v>
      </c>
      <c r="G11" s="68" t="s">
        <v>1310</v>
      </c>
    </row>
    <row r="12" spans="1:8" ht="20.25" customHeight="1">
      <c r="B12" t="s">
        <v>1306</v>
      </c>
      <c r="C12" t="s">
        <v>1320</v>
      </c>
      <c r="D12" s="15">
        <v>117</v>
      </c>
      <c r="E12" s="15" t="s">
        <v>1308</v>
      </c>
      <c r="F12" s="15" t="s">
        <v>1309</v>
      </c>
      <c r="G12" s="15" t="s">
        <v>1310</v>
      </c>
    </row>
    <row r="13" spans="1:8" s="67" customFormat="1" ht="20.25" customHeight="1">
      <c r="B13" s="67" t="s">
        <v>1306</v>
      </c>
      <c r="C13" s="67" t="s">
        <v>1321</v>
      </c>
      <c r="D13" s="68">
        <v>73</v>
      </c>
      <c r="E13" s="68" t="s">
        <v>1308</v>
      </c>
      <c r="F13" s="68" t="s">
        <v>1309</v>
      </c>
      <c r="G13" s="68" t="s">
        <v>1310</v>
      </c>
    </row>
    <row r="14" spans="1:8" ht="20.25" customHeight="1">
      <c r="B14" t="s">
        <v>1306</v>
      </c>
      <c r="C14" t="s">
        <v>1322</v>
      </c>
      <c r="D14" s="15">
        <v>35</v>
      </c>
      <c r="E14" s="15" t="s">
        <v>1308</v>
      </c>
      <c r="F14" s="15" t="s">
        <v>1309</v>
      </c>
      <c r="G14" s="15" t="s">
        <v>1310</v>
      </c>
    </row>
    <row r="15" spans="1:8" ht="20.25" customHeight="1">
      <c r="B15" t="s">
        <v>1306</v>
      </c>
      <c r="C15" t="s">
        <v>1323</v>
      </c>
      <c r="D15" s="15">
        <v>16</v>
      </c>
      <c r="E15" s="15" t="s">
        <v>1308</v>
      </c>
      <c r="F15" s="15" t="s">
        <v>1309</v>
      </c>
      <c r="G15" s="15" t="s">
        <v>1310</v>
      </c>
    </row>
    <row r="16" spans="1:8" ht="20.25" customHeight="1">
      <c r="B16" t="s">
        <v>1306</v>
      </c>
      <c r="C16" t="s">
        <v>1324</v>
      </c>
      <c r="D16" s="15">
        <v>122</v>
      </c>
      <c r="E16" s="15" t="s">
        <v>1308</v>
      </c>
      <c r="F16" s="15" t="s">
        <v>1325</v>
      </c>
      <c r="G16" s="15" t="s">
        <v>1325</v>
      </c>
    </row>
    <row r="17" spans="2:8" ht="20.25" customHeight="1">
      <c r="B17" t="s">
        <v>1306</v>
      </c>
      <c r="C17" t="s">
        <v>1326</v>
      </c>
      <c r="D17" s="15">
        <v>26</v>
      </c>
      <c r="E17" s="15" t="s">
        <v>1327</v>
      </c>
      <c r="F17" s="15" t="s">
        <v>1328</v>
      </c>
      <c r="G17" s="15" t="s">
        <v>1329</v>
      </c>
      <c r="H17" t="s">
        <v>1330</v>
      </c>
    </row>
    <row r="18" spans="2:8" ht="20.25" customHeight="1">
      <c r="B18" t="s">
        <v>1331</v>
      </c>
      <c r="C18" t="s">
        <v>1332</v>
      </c>
      <c r="D18" s="15">
        <v>55</v>
      </c>
      <c r="E18" s="15" t="s">
        <v>1327</v>
      </c>
      <c r="F18" s="15" t="s">
        <v>1328</v>
      </c>
      <c r="G18" s="15" t="s">
        <v>1329</v>
      </c>
      <c r="H18" t="s">
        <v>1330</v>
      </c>
    </row>
    <row r="19" spans="2:8" ht="20.25" customHeight="1">
      <c r="B19" t="s">
        <v>1331</v>
      </c>
      <c r="C19" t="s">
        <v>1333</v>
      </c>
      <c r="D19" s="15">
        <v>98</v>
      </c>
      <c r="E19" s="15" t="s">
        <v>1327</v>
      </c>
      <c r="F19" s="15" t="s">
        <v>1328</v>
      </c>
      <c r="G19" s="15" t="s">
        <v>1329</v>
      </c>
      <c r="H19" t="s">
        <v>1330</v>
      </c>
    </row>
    <row r="20" spans="2:8" ht="20.25" customHeight="1">
      <c r="B20" t="s">
        <v>1331</v>
      </c>
      <c r="C20" t="s">
        <v>1334</v>
      </c>
      <c r="D20" s="15">
        <v>45</v>
      </c>
      <c r="E20" s="15" t="s">
        <v>1327</v>
      </c>
      <c r="F20" s="15" t="s">
        <v>1328</v>
      </c>
      <c r="G20" s="15" t="s">
        <v>1335</v>
      </c>
      <c r="H20" t="s">
        <v>1336</v>
      </c>
    </row>
    <row r="21" spans="2:8" ht="20.25" customHeight="1">
      <c r="B21" t="s">
        <v>1337</v>
      </c>
      <c r="C21" t="s">
        <v>1337</v>
      </c>
      <c r="D21" s="15">
        <v>53</v>
      </c>
      <c r="E21" s="15" t="s">
        <v>1327</v>
      </c>
      <c r="F21" s="15" t="s">
        <v>1328</v>
      </c>
      <c r="G21" s="15" t="s">
        <v>1329</v>
      </c>
      <c r="H21" t="s">
        <v>1330</v>
      </c>
    </row>
    <row r="22" spans="2:8" ht="20.25" customHeight="1">
      <c r="B22" t="s">
        <v>1338</v>
      </c>
      <c r="C22" t="s">
        <v>1339</v>
      </c>
      <c r="D22" s="15">
        <v>25</v>
      </c>
      <c r="E22" s="15" t="s">
        <v>1327</v>
      </c>
      <c r="F22" s="15" t="s">
        <v>1328</v>
      </c>
      <c r="G22" s="15" t="s">
        <v>1329</v>
      </c>
      <c r="H22" t="s">
        <v>1330</v>
      </c>
    </row>
    <row r="23" spans="2:8" ht="20.25" customHeight="1">
      <c r="B23" t="s">
        <v>1340</v>
      </c>
      <c r="C23" t="s">
        <v>1340</v>
      </c>
      <c r="D23" s="15">
        <v>25</v>
      </c>
      <c r="E23" s="15" t="s">
        <v>1327</v>
      </c>
      <c r="F23" s="15" t="s">
        <v>1328</v>
      </c>
      <c r="G23" s="15" t="s">
        <v>1329</v>
      </c>
      <c r="H23" t="s">
        <v>1330</v>
      </c>
    </row>
    <row r="24" spans="2:8" ht="20.25" customHeight="1">
      <c r="B24" t="s">
        <v>1341</v>
      </c>
      <c r="C24" t="s">
        <v>1342</v>
      </c>
      <c r="D24" s="15">
        <v>45</v>
      </c>
      <c r="E24" s="15" t="s">
        <v>1327</v>
      </c>
      <c r="F24" s="15" t="s">
        <v>1328</v>
      </c>
      <c r="G24" s="15" t="s">
        <v>1343</v>
      </c>
      <c r="H24" t="s">
        <v>1336</v>
      </c>
    </row>
    <row r="25" spans="2:8" ht="20.25" customHeight="1">
      <c r="B25" t="s">
        <v>1344</v>
      </c>
      <c r="C25" t="s">
        <v>1345</v>
      </c>
      <c r="D25" s="15">
        <v>28</v>
      </c>
      <c r="E25" s="15" t="s">
        <v>1327</v>
      </c>
      <c r="F25" s="15" t="s">
        <v>1328</v>
      </c>
      <c r="G25" s="15" t="s">
        <v>1329</v>
      </c>
    </row>
    <row r="26" spans="2:8" ht="20.25" customHeight="1">
      <c r="B26" t="s">
        <v>1346</v>
      </c>
      <c r="C26" t="s">
        <v>1347</v>
      </c>
      <c r="D26" s="15">
        <v>25</v>
      </c>
      <c r="E26" s="15" t="s">
        <v>1308</v>
      </c>
      <c r="F26" s="15" t="s">
        <v>1309</v>
      </c>
      <c r="G26" s="15" t="s">
        <v>1348</v>
      </c>
    </row>
    <row r="27" spans="2:8" ht="20.25" customHeight="1">
      <c r="B27" t="s">
        <v>1331</v>
      </c>
      <c r="C27" t="s">
        <v>1349</v>
      </c>
      <c r="D27" s="15">
        <v>25</v>
      </c>
      <c r="E27" s="15" t="s">
        <v>1308</v>
      </c>
      <c r="F27" s="15" t="s">
        <v>1309</v>
      </c>
      <c r="G27" s="15" t="s">
        <v>1348</v>
      </c>
      <c r="H27" t="s">
        <v>1350</v>
      </c>
    </row>
    <row r="28" spans="2:8" ht="20.25" customHeight="1">
      <c r="B28" t="s">
        <v>1331</v>
      </c>
      <c r="C28" t="s">
        <v>1351</v>
      </c>
      <c r="D28" s="15">
        <v>4</v>
      </c>
      <c r="E28" s="15" t="s">
        <v>1308</v>
      </c>
      <c r="F28" s="15" t="s">
        <v>1309</v>
      </c>
      <c r="G28" s="15" t="s">
        <v>1329</v>
      </c>
    </row>
    <row r="29" spans="2:8" ht="20.25" customHeight="1">
      <c r="B29" t="s">
        <v>1344</v>
      </c>
      <c r="C29" s="18" t="s">
        <v>1352</v>
      </c>
      <c r="D29" s="15">
        <v>0</v>
      </c>
      <c r="E29" s="15" t="s">
        <v>1353</v>
      </c>
    </row>
    <row r="30" spans="2:8" ht="20.25" customHeight="1">
      <c r="C30" t="s">
        <v>1354</v>
      </c>
      <c r="D30" s="15">
        <v>1</v>
      </c>
    </row>
    <row r="31" spans="2:8" s="67" customFormat="1" ht="20.25" customHeight="1">
      <c r="B31" s="67" t="s">
        <v>1340</v>
      </c>
      <c r="C31" s="67" t="s">
        <v>1355</v>
      </c>
      <c r="D31" s="68">
        <v>69</v>
      </c>
      <c r="E31" s="68" t="s">
        <v>1308</v>
      </c>
      <c r="F31" s="68" t="s">
        <v>1356</v>
      </c>
      <c r="G31" s="68" t="s">
        <v>1357</v>
      </c>
      <c r="H31" s="67" t="s">
        <v>1358</v>
      </c>
    </row>
    <row r="32" spans="2:8" s="67" customFormat="1" ht="20.25" customHeight="1">
      <c r="B32" s="67" t="s">
        <v>1338</v>
      </c>
      <c r="C32" s="67" t="s">
        <v>1359</v>
      </c>
      <c r="D32" s="68">
        <v>60</v>
      </c>
      <c r="E32" s="68" t="s">
        <v>1308</v>
      </c>
      <c r="F32" s="68" t="s">
        <v>1356</v>
      </c>
      <c r="G32" s="68" t="s">
        <v>1357</v>
      </c>
      <c r="H32" s="67" t="s">
        <v>1358</v>
      </c>
    </row>
    <row r="33" spans="2:8" ht="20.25" customHeight="1">
      <c r="B33" t="s">
        <v>1331</v>
      </c>
      <c r="C33" s="67" t="s">
        <v>1360</v>
      </c>
      <c r="D33" s="15">
        <v>211</v>
      </c>
      <c r="E33" s="15" t="s">
        <v>1308</v>
      </c>
      <c r="F33" s="15" t="s">
        <v>1361</v>
      </c>
      <c r="G33" s="15" t="s">
        <v>1357</v>
      </c>
      <c r="H33" t="s">
        <v>1362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59999389629810485"/>
  </sheetPr>
  <dimension ref="A1:CK528"/>
  <sheetViews>
    <sheetView topLeftCell="BG1" workbookViewId="0"/>
  </sheetViews>
  <sheetFormatPr defaultColWidth="9.140625" defaultRowHeight="15"/>
  <cols>
    <col min="1" max="2" width="18" customWidth="1"/>
    <col min="3" max="5" width="18" style="15" customWidth="1"/>
    <col min="6" max="8" width="20.140625" customWidth="1"/>
    <col min="9" max="17" width="27.7109375" customWidth="1"/>
    <col min="18" max="26" width="42.85546875" customWidth="1"/>
    <col min="27" max="32" width="28.28515625" customWidth="1"/>
    <col min="33" max="33" width="28.28515625" style="15" customWidth="1"/>
    <col min="34" max="47" width="28.28515625" customWidth="1"/>
    <col min="48" max="51" width="13" hidden="1" customWidth="1"/>
    <col min="52" max="69" width="28.28515625" customWidth="1"/>
    <col min="70" max="74" width="13" hidden="1" customWidth="1"/>
    <col min="75" max="77" width="28.28515625" customWidth="1"/>
    <col min="78" max="79" width="20" customWidth="1"/>
    <col min="80" max="80" width="28.28515625" customWidth="1"/>
    <col min="81" max="89" width="13" customWidth="1"/>
  </cols>
  <sheetData>
    <row r="1" spans="1:89" ht="30.75" customHeight="1">
      <c r="A1" s="76" t="s">
        <v>1</v>
      </c>
      <c r="B1" s="76" t="s">
        <v>2</v>
      </c>
      <c r="C1" s="76" t="s">
        <v>3</v>
      </c>
      <c r="D1" s="76" t="s">
        <v>1363</v>
      </c>
      <c r="E1" s="76" t="s">
        <v>1364</v>
      </c>
      <c r="F1" s="76" t="s">
        <v>1365</v>
      </c>
      <c r="G1" s="76" t="s">
        <v>51</v>
      </c>
      <c r="H1" s="76" t="s">
        <v>52</v>
      </c>
      <c r="I1" s="76" t="s">
        <v>55</v>
      </c>
      <c r="J1" s="76" t="s">
        <v>1366</v>
      </c>
      <c r="K1" s="76" t="s">
        <v>1367</v>
      </c>
      <c r="L1" s="76" t="s">
        <v>1368</v>
      </c>
      <c r="M1" s="76" t="s">
        <v>1369</v>
      </c>
      <c r="N1" s="76" t="s">
        <v>1370</v>
      </c>
      <c r="O1" s="76" t="s">
        <v>1371</v>
      </c>
      <c r="P1" s="76" t="s">
        <v>1372</v>
      </c>
      <c r="Q1" s="76" t="s">
        <v>1373</v>
      </c>
      <c r="R1" s="76" t="s">
        <v>4</v>
      </c>
      <c r="S1" s="76" t="s">
        <v>5</v>
      </c>
      <c r="T1" s="76" t="s">
        <v>1374</v>
      </c>
      <c r="U1" s="76" t="s">
        <v>1375</v>
      </c>
      <c r="V1" s="76" t="s">
        <v>1376</v>
      </c>
      <c r="W1" s="76" t="s">
        <v>1377</v>
      </c>
      <c r="X1" s="76" t="s">
        <v>1378</v>
      </c>
      <c r="Y1" s="76" t="s">
        <v>1379</v>
      </c>
      <c r="Z1" s="76" t="s">
        <v>1380</v>
      </c>
      <c r="AA1" s="76" t="s">
        <v>1381</v>
      </c>
      <c r="AB1" s="76" t="s">
        <v>1382</v>
      </c>
      <c r="AC1" s="76" t="s">
        <v>1383</v>
      </c>
      <c r="AD1" s="76" t="s">
        <v>1384</v>
      </c>
      <c r="AE1" s="76" t="s">
        <v>1385</v>
      </c>
      <c r="AF1" s="76" t="s">
        <v>1386</v>
      </c>
      <c r="AG1" s="76" t="s">
        <v>1387</v>
      </c>
      <c r="AH1" s="76" t="s">
        <v>1388</v>
      </c>
      <c r="AI1" s="76" t="s">
        <v>1389</v>
      </c>
      <c r="AJ1" s="76" t="s">
        <v>1390</v>
      </c>
      <c r="AK1" s="76" t="s">
        <v>1391</v>
      </c>
      <c r="AL1" s="76" t="s">
        <v>1392</v>
      </c>
      <c r="AM1" s="76" t="s">
        <v>1393</v>
      </c>
      <c r="AN1" s="76" t="s">
        <v>1394</v>
      </c>
      <c r="AO1" s="76" t="s">
        <v>1395</v>
      </c>
      <c r="AP1" s="76" t="s">
        <v>1396</v>
      </c>
      <c r="AQ1" s="76" t="s">
        <v>1397</v>
      </c>
      <c r="AR1" s="76" t="s">
        <v>1398</v>
      </c>
      <c r="AS1" s="76" t="s">
        <v>1399</v>
      </c>
      <c r="AT1" s="76" t="s">
        <v>1400</v>
      </c>
      <c r="AU1" s="76" t="s">
        <v>1401</v>
      </c>
      <c r="AV1" s="76" t="s">
        <v>1402</v>
      </c>
      <c r="AW1" s="76" t="s">
        <v>1403</v>
      </c>
      <c r="AX1" s="76" t="s">
        <v>1404</v>
      </c>
      <c r="AY1" s="76" t="s">
        <v>1405</v>
      </c>
      <c r="AZ1" s="76" t="s">
        <v>1406</v>
      </c>
      <c r="BA1" s="76" t="s">
        <v>1407</v>
      </c>
      <c r="BB1" s="76" t="s">
        <v>21</v>
      </c>
      <c r="BC1" s="76" t="s">
        <v>1408</v>
      </c>
      <c r="BD1" s="76" t="s">
        <v>1409</v>
      </c>
      <c r="BE1" s="76" t="s">
        <v>1410</v>
      </c>
      <c r="BF1" s="76" t="s">
        <v>1411</v>
      </c>
      <c r="BG1" s="76" t="s">
        <v>1412</v>
      </c>
      <c r="BH1" s="76" t="s">
        <v>6</v>
      </c>
      <c r="BI1" s="76" t="s">
        <v>1413</v>
      </c>
      <c r="BJ1" s="76" t="s">
        <v>1414</v>
      </c>
      <c r="BK1" s="76" t="s">
        <v>1415</v>
      </c>
      <c r="BL1" s="76" t="s">
        <v>1416</v>
      </c>
      <c r="BM1" s="76" t="s">
        <v>1417</v>
      </c>
      <c r="BN1" s="76" t="s">
        <v>1418</v>
      </c>
      <c r="BO1" s="76" t="s">
        <v>1419</v>
      </c>
      <c r="BP1" s="76" t="s">
        <v>1420</v>
      </c>
      <c r="BQ1" s="76" t="s">
        <v>1421</v>
      </c>
      <c r="BR1" s="48" t="s">
        <v>1422</v>
      </c>
      <c r="BS1" s="48" t="s">
        <v>1423</v>
      </c>
      <c r="BT1" s="48" t="s">
        <v>1424</v>
      </c>
      <c r="BU1" s="48" t="s">
        <v>1425</v>
      </c>
      <c r="BV1" s="48" t="s">
        <v>1426</v>
      </c>
      <c r="BW1" s="48" t="s">
        <v>1427</v>
      </c>
      <c r="BX1" s="48" t="s">
        <v>1428</v>
      </c>
      <c r="BY1" s="48" t="s">
        <v>1429</v>
      </c>
      <c r="BZ1" s="48" t="s">
        <v>1430</v>
      </c>
      <c r="CA1" s="48" t="s">
        <v>1431</v>
      </c>
      <c r="CB1" s="48" t="s">
        <v>45</v>
      </c>
      <c r="CC1" s="48" t="s">
        <v>1432</v>
      </c>
      <c r="CD1" s="48" t="s">
        <v>1433</v>
      </c>
      <c r="CE1" s="48" t="s">
        <v>1434</v>
      </c>
      <c r="CF1" s="48" t="s">
        <v>1435</v>
      </c>
      <c r="CG1" s="48" t="s">
        <v>1436</v>
      </c>
      <c r="CH1" s="48" t="s">
        <v>1437</v>
      </c>
      <c r="CI1" s="48" t="s">
        <v>1438</v>
      </c>
      <c r="CJ1" s="48" t="s">
        <v>1439</v>
      </c>
      <c r="CK1" s="48" t="s">
        <v>1440</v>
      </c>
    </row>
    <row r="2" spans="1:81" ht="106.5">
      <c r="A2" s="8" t="s">
        <v>1341</v>
      </c>
      <c r="B2" s="8" t="s">
        <v>1441</v>
      </c>
      <c r="C2" s="15" t="s">
        <v>1441</v>
      </c>
      <c r="D2" s="15" t="str">
        <f t="shared" ref="D2:D65" si="0">IF($B2&lt;&gt;"Yes","",IF($C2="No","Yes",IF($C2="Yes","No","")))</f>
        <v>No</v>
      </c>
      <c r="E2" s="15" t="str">
        <f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L2&lt;&gt;"",LOWER(TRIM($AL2))&lt;&gt;"n/a",COUNTIF($AL$2:$AL$528,$AL2)&gt;1),"Yes","No"))))</f>
        <v>No</v>
      </c>
      <c r="F2" t="str">
        <f>IF($B2&lt;&gt;"Yes","",
IF($A2="Neuron",
IF(OR(
AND($S2&lt;&gt;"",LOWER(TRIM($S2))&lt;&gt;"n/a",COUNTIFS($B$2:$B$528,"Yes",$A$2:$A$528,"Neuron",$S$2:$S$528,$S2)&gt;1),
AND($T2&lt;&gt;"",LOWER(TRIM($T2))&lt;&gt;"n/a",COUNTIFS($B$2:$B$528,"Yes",$A$2:$A$528,"Neuron",$T$2:$T$528,$T2)&gt;1),
AND($W2&lt;&gt;"",LOWER(TRIM($W2))&lt;&gt;"n/a",COUNTIFS($B$2:$B$528,"Yes",$A$2:$A$528,"Neuron",$W$2:$W$528,$W2)&gt;1)
),"Yes","No"),
IF($A2="Cybernet",
IF(OR(
AND($Y2&lt;&gt;"",LOWER(TRIM($Y2))&lt;&gt;"n/a",COUNTIFS($B$2:$B$528,"Yes",$A$2:$A$528,"Cybernet",$Y$2:$Y$528,$Y2)&gt;1),
AND($Z2&lt;&gt;"",LOWER(TRIM($Z2))&lt;&gt;"n/a",COUNTIFS($B$2:$B$528,"Yes",$A$2:$A$528,"Cybernet",$Z$2:$Z$528,$Z2)&gt;1)
),"Yes","No"),
IF(AND($AL2&lt;&gt;"",LOWER(TRIM($AL2))&lt;&gt;"n/a"),
IF(COUNTIFS($B$2:$B$528,"Yes",$A$2:$A$528,$A2,$AL$2:$AL$528,$AL2)&gt;1,"Yes","No"),
"No")
)
)
)</f>
        <v>No</v>
      </c>
      <c r="G2" s="4" t="s">
        <v>1442</v>
      </c>
      <c r="H2" s="4" t="s">
        <v>1442</v>
      </c>
      <c r="I2" s="4" t="s">
        <v>1443</v>
      </c>
      <c r="J2" s="4" t="s">
        <v>1444</v>
      </c>
      <c r="K2" s="4" t="s">
        <v>1444</v>
      </c>
      <c r="L2" s="4" t="s">
        <v>1444</v>
      </c>
      <c r="M2" s="4"/>
      <c r="N2" s="4"/>
      <c r="O2" s="4"/>
      <c r="P2" s="4"/>
      <c r="Q2" s="4"/>
      <c r="R2" s="4"/>
      <c r="S2" s="4" t="s">
        <v>1445</v>
      </c>
      <c r="T2" s="4" t="s">
        <v>1446</v>
      </c>
      <c r="U2" s="4" t="s">
        <v>1447</v>
      </c>
      <c r="V2" s="4" t="s">
        <v>1441</v>
      </c>
      <c r="W2" s="4" t="s">
        <v>1448</v>
      </c>
      <c r="X2" s="4" t="s">
        <v>1449</v>
      </c>
      <c r="Y2" s="4" t="s">
        <v>1450</v>
      </c>
      <c r="Z2" s="4"/>
      <c r="AA2" s="4" t="s">
        <v>1451</v>
      </c>
      <c r="AB2" s="4"/>
      <c r="AC2" s="4" t="s">
        <v>1452</v>
      </c>
      <c r="AD2" s="4" t="s">
        <v>1450</v>
      </c>
      <c r="AE2" s="8"/>
      <c r="AF2" s="4" t="s">
        <v>1453</v>
      </c>
      <c r="AG2" s="4" t="s">
        <v>1454</v>
      </c>
      <c r="AH2" s="14">
        <v>1</v>
      </c>
      <c r="AI2" s="16" t="s">
        <v>1455</v>
      </c>
      <c r="AJ2" s="4" t="s">
        <v>1456</v>
      </c>
      <c r="AK2" s="4" t="s">
        <v>1457</v>
      </c>
      <c r="AL2" s="4" t="s">
        <v>1452</v>
      </c>
      <c r="AM2" t="s">
        <v>1345</v>
      </c>
      <c r="AN2" s="4"/>
      <c r="AO2" s="4"/>
      <c r="AP2" s="4"/>
      <c r="AQ2" s="4"/>
      <c r="AR2" s="4" t="s">
        <v>1450</v>
      </c>
      <c r="AS2" s="4" t="s">
        <v>1458</v>
      </c>
      <c r="AT2" s="4" t="s">
        <v>1450</v>
      </c>
      <c r="AU2" s="4" t="s">
        <v>1450</v>
      </c>
      <c r="AV2" s="4" t="s">
        <v>1450</v>
      </c>
      <c r="AW2" s="8" t="s">
        <v>1441</v>
      </c>
      <c r="AX2" s="8" t="s">
        <v>1441</v>
      </c>
      <c r="AY2" s="8"/>
      <c r="AZ2" s="8"/>
      <c r="BA2" s="12">
        <v>46027</v>
      </c>
      <c r="BB2" s="8" t="s">
        <v>1441</v>
      </c>
      <c r="BC2" s="4"/>
      <c r="BD2" s="4" t="s">
        <v>1410</v>
      </c>
      <c r="BE2" s="8" t="s">
        <v>1441</v>
      </c>
      <c r="BF2" s="8" t="s">
        <v>1441</v>
      </c>
      <c r="BG2" s="8" t="s">
        <v>1441</v>
      </c>
      <c r="BH2" s="8" t="s">
        <v>1441</v>
      </c>
      <c r="BI2" s="8" t="s">
        <v>1459</v>
      </c>
      <c r="BJ2" s="8" t="s">
        <v>1441</v>
      </c>
      <c r="BK2" s="8" t="s">
        <v>1460</v>
      </c>
      <c r="BL2" s="4" t="str">
        <f t="shared" ref="BL2:BL45" si="1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s="8" t="str">
        <f t="shared" ref="BM2:BM45" si="2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s="8" t="s">
        <v>1341</v>
      </c>
      <c r="B3" s="8" t="s">
        <v>1441</v>
      </c>
      <c r="C3" s="15" t="s">
        <v>1441</v>
      </c>
      <c r="D3" s="15" t="str">
        <f t="shared" si="0"/>
        <v>No</v>
      </c>
      <c r="E3" s="15" t="str">
        <f>IF($A3="","",IF($A3="Neuron",IF(OR(AND($S3&lt;&gt;"",LOWER(TRIM($S3))&lt;&gt;"n/a",COUNTIF($S$2:$S$528,$S3)&gt;1),AND($T3&lt;&gt;"",LOWER(TRIM($T3))&lt;&gt;"n/a",COUNTIF($T$2:$T$528,$T3)&gt;1),AND($W3&lt;&gt;"",LOWER(TRIM($W3))&lt;&gt;"n/a",COUNTIF($W$2:$W$528,$W3)&gt;1)),"Yes","No"),IF($A3="Cybernet",IF(OR(AND($Y3&lt;&gt;"",LOWER(TRIM($Y3))&lt;&gt;"n/a",COUNTIF($Y$2:$Y$528,$Y3)&gt;1),AND($Z3&lt;&gt;"",LOWER(TRIM($Z3))&lt;&gt;"n/a",COUNTIF($Z$2:$Z$528,$Z3)&gt;1)),"Yes","No"),IF(AND($AL3&lt;&gt;"",LOWER(TRIM($AL3))&lt;&gt;"n/a",COUNTIF($AL$2:$AL$528,$AL3)&gt;1),"Yes","No"))))</f>
        <v>No</v>
      </c>
      <c r="F3" t="str">
        <f>IF($B3&lt;&gt;"Yes","",
IF($A3="Neuron",
IF(OR(
AND($S3&lt;&gt;"",LOWER(TRIM($S3))&lt;&gt;"n/a",COUNTIFS($B$2:$B$528,"Yes",$A$2:$A$528,"Neuron",$S$2:$S$528,$S3)&gt;1),
AND($T3&lt;&gt;"",LOWER(TRIM($T3))&lt;&gt;"n/a",COUNTIFS($B$2:$B$528,"Yes",$A$2:$A$528,"Neuron",$T$2:$T$528,$T3)&gt;1),
AND($W3&lt;&gt;"",LOWER(TRIM($W3))&lt;&gt;"n/a",COUNTIFS($B$2:$B$528,"Yes",$A$2:$A$528,"Neuron",$W$2:$W$528,$W3)&gt;1)
),"Yes","No"),
IF($A3="Cybernet",
IF(OR(
AND($Y3&lt;&gt;"",LOWER(TRIM($Y3))&lt;&gt;"n/a",COUNTIFS($B$2:$B$528,"Yes",$A$2:$A$528,"Cybernet",$Y$2:$Y$528,$Y3)&gt;1),
AND($Z3&lt;&gt;"",LOWER(TRIM($Z3))&lt;&gt;"n/a",COUNTIFS($B$2:$B$528,"Yes",$A$2:$A$528,"Cybernet",$Z$2:$Z$528,$Z3)&gt;1)
),"Yes","No"),
IF(AND($AL3&lt;&gt;"",LOWER(TRIM($AL3))&lt;&gt;"n/a"),
IF(COUNTIFS($B$2:$B$528,"Yes",$A$2:$A$528,$A3,$AL$2:$AL$528,$AL3)&gt;1,"Yes","No"),
"No")
)
)
)</f>
        <v>No</v>
      </c>
      <c r="G3" s="4" t="s">
        <v>1442</v>
      </c>
      <c r="H3" s="4" t="s">
        <v>1442</v>
      </c>
      <c r="I3" s="4"/>
      <c r="J3" s="4" t="s">
        <v>1444</v>
      </c>
      <c r="K3" s="4" t="s">
        <v>1444</v>
      </c>
      <c r="L3" s="4" t="s">
        <v>1444</v>
      </c>
      <c r="M3" s="4"/>
      <c r="N3" s="4"/>
      <c r="O3" s="4"/>
      <c r="P3" s="4"/>
      <c r="Q3" s="4"/>
      <c r="R3" s="4"/>
      <c r="S3" s="4" t="s">
        <v>1461</v>
      </c>
      <c r="T3" s="4" t="s">
        <v>1462</v>
      </c>
      <c r="U3" s="4" t="s">
        <v>1463</v>
      </c>
      <c r="V3" s="4" t="s">
        <v>1441</v>
      </c>
      <c r="W3" s="4" t="s">
        <v>1464</v>
      </c>
      <c r="X3" s="4" t="s">
        <v>1449</v>
      </c>
      <c r="Y3" s="4" t="s">
        <v>1450</v>
      </c>
      <c r="Z3" s="4"/>
      <c r="AA3" s="4" t="s">
        <v>1451</v>
      </c>
      <c r="AB3" s="4"/>
      <c r="AC3" s="4" t="s">
        <v>1465</v>
      </c>
      <c r="AD3" s="4" t="s">
        <v>1450</v>
      </c>
      <c r="AE3" s="8"/>
      <c r="AF3" s="4" t="s">
        <v>1453</v>
      </c>
      <c r="AG3" s="4" t="s">
        <v>1454</v>
      </c>
      <c r="AH3" s="14">
        <v>2</v>
      </c>
      <c r="AI3" s="16" t="s">
        <v>1466</v>
      </c>
      <c r="AJ3" s="4" t="s">
        <v>1456</v>
      </c>
      <c r="AK3" s="4" t="s">
        <v>1457</v>
      </c>
      <c r="AL3" s="4" t="s">
        <v>1465</v>
      </c>
      <c r="AM3" s="4" t="s">
        <v>1345</v>
      </c>
      <c r="AN3" s="4"/>
      <c r="AO3" s="4"/>
      <c r="AP3" s="4"/>
      <c r="AQ3" s="4"/>
      <c r="AR3" s="4" t="s">
        <v>1450</v>
      </c>
      <c r="AS3" s="4" t="s">
        <v>1458</v>
      </c>
      <c r="AT3" s="4" t="s">
        <v>1450</v>
      </c>
      <c r="AU3" s="4" t="s">
        <v>1450</v>
      </c>
      <c r="AV3" s="4" t="s">
        <v>1450</v>
      </c>
      <c r="AW3" s="8" t="s">
        <v>1441</v>
      </c>
      <c r="AX3" s="8" t="s">
        <v>1441</v>
      </c>
      <c r="AY3" s="8"/>
      <c r="AZ3" s="8"/>
      <c r="BA3" s="12">
        <v>46027</v>
      </c>
      <c r="BB3" s="8" t="s">
        <v>1441</v>
      </c>
      <c r="BC3" s="4"/>
      <c r="BD3" s="4" t="s">
        <v>1410</v>
      </c>
      <c r="BE3" s="8" t="s">
        <v>1441</v>
      </c>
      <c r="BF3" s="8" t="s">
        <v>1441</v>
      </c>
      <c r="BG3" s="8" t="s">
        <v>1441</v>
      </c>
      <c r="BH3" s="8" t="s">
        <v>1441</v>
      </c>
      <c r="BI3" s="8"/>
      <c r="BJ3" s="8" t="s">
        <v>1441</v>
      </c>
      <c r="BK3" s="8" t="s">
        <v>1460</v>
      </c>
      <c r="BL3" s="4" t="str">
        <f t="shared" si="1"/>
        <v>Epic Beans Relay</v>
      </c>
      <c r="BM3" s="8" t="str">
        <f t="shared" si="2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s="8" t="s">
        <v>1341</v>
      </c>
      <c r="B4" s="8" t="s">
        <v>1441</v>
      </c>
      <c r="C4" s="15" t="s">
        <v>1441</v>
      </c>
      <c r="D4" s="15" t="str">
        <f t="shared" si="0"/>
        <v>No</v>
      </c>
      <c r="E4" s="15" t="str">
        <f>IF($A4="","",IF($A4="Neuron",IF(OR(AND($S4&lt;&gt;"",LOWER(TRIM($S4))&lt;&gt;"n/a",COUNTIF($S$2:$S$528,$S4)&gt;1),AND($T4&lt;&gt;"",LOWER(TRIM($T4))&lt;&gt;"n/a",COUNTIF($T$2:$T$528,$T4)&gt;1),AND($W4&lt;&gt;"",LOWER(TRIM($W4))&lt;&gt;"n/a",COUNTIF($W$2:$W$528,$W4)&gt;1)),"Yes","No"),IF($A4="Cybernet",IF(OR(AND($Y4&lt;&gt;"",LOWER(TRIM($Y4))&lt;&gt;"n/a",COUNTIF($Y$2:$Y$528,$Y4)&gt;1),AND($Z4&lt;&gt;"",LOWER(TRIM($Z4))&lt;&gt;"n/a",COUNTIF($Z$2:$Z$528,$Z4)&gt;1)),"Yes","No"),IF(AND($AL4&lt;&gt;"",LOWER(TRIM($AL4))&lt;&gt;"n/a",COUNTIF($AL$2:$AL$528,$AL4)&gt;1),"Yes","No"))))</f>
        <v>No</v>
      </c>
      <c r="F4" t="str">
        <f>IF($B4&lt;&gt;"Yes","",
IF($A4="Neuron",
IF(OR(
AND($S4&lt;&gt;"",LOWER(TRIM($S4))&lt;&gt;"n/a",COUNTIFS($B$2:$B$528,"Yes",$A$2:$A$528,"Neuron",$S$2:$S$528,$S4)&gt;1),
AND($T4&lt;&gt;"",LOWER(TRIM($T4))&lt;&gt;"n/a",COUNTIFS($B$2:$B$528,"Yes",$A$2:$A$528,"Neuron",$T$2:$T$528,$T4)&gt;1),
AND($W4&lt;&gt;"",LOWER(TRIM($W4))&lt;&gt;"n/a",COUNTIFS($B$2:$B$528,"Yes",$A$2:$A$528,"Neuron",$W$2:$W$528,$W4)&gt;1)
),"Yes","No"),
IF($A4="Cybernet",
IF(OR(
AND($Y4&lt;&gt;"",LOWER(TRIM($Y4))&lt;&gt;"n/a",COUNTIFS($B$2:$B$528,"Yes",$A$2:$A$528,"Cybernet",$Y$2:$Y$528,$Y4)&gt;1),
AND($Z4&lt;&gt;"",LOWER(TRIM($Z4))&lt;&gt;"n/a",COUNTIFS($B$2:$B$528,"Yes",$A$2:$A$528,"Cybernet",$Z$2:$Z$528,$Z4)&gt;1)
),"Yes","No"),
IF(AND($AL4&lt;&gt;"",LOWER(TRIM($AL4))&lt;&gt;"n/a"),
IF(COUNTIFS($B$2:$B$528,"Yes",$A$2:$A$528,$A4,$AL$2:$AL$528,$AL4)&gt;1,"Yes","No"),
"No")
)
)
)</f>
        <v>No</v>
      </c>
      <c r="G4" s="4" t="s">
        <v>1442</v>
      </c>
      <c r="H4" s="4" t="s">
        <v>1442</v>
      </c>
      <c r="I4" s="4"/>
      <c r="J4" s="4" t="s">
        <v>1444</v>
      </c>
      <c r="K4" s="4" t="s">
        <v>1444</v>
      </c>
      <c r="L4" s="4" t="s">
        <v>1444</v>
      </c>
      <c r="M4" s="4"/>
      <c r="N4" s="4"/>
      <c r="O4" s="4"/>
      <c r="P4" s="4"/>
      <c r="Q4" s="4"/>
      <c r="R4" s="4"/>
      <c r="S4" s="4" t="s">
        <v>1467</v>
      </c>
      <c r="T4" s="4" t="s">
        <v>1468</v>
      </c>
      <c r="U4" s="4" t="s">
        <v>1469</v>
      </c>
      <c r="V4" s="4" t="s">
        <v>1441</v>
      </c>
      <c r="W4" s="4" t="s">
        <v>1470</v>
      </c>
      <c r="X4" s="4" t="s">
        <v>1449</v>
      </c>
      <c r="Y4" s="4" t="s">
        <v>1450</v>
      </c>
      <c r="Z4" s="4"/>
      <c r="AA4" s="4" t="s">
        <v>1451</v>
      </c>
      <c r="AB4" s="4"/>
      <c r="AC4" s="4" t="s">
        <v>1471</v>
      </c>
      <c r="AD4" s="4" t="s">
        <v>1450</v>
      </c>
      <c r="AE4" s="8"/>
      <c r="AF4" s="4" t="s">
        <v>1453</v>
      </c>
      <c r="AG4" s="4" t="s">
        <v>1454</v>
      </c>
      <c r="AH4" s="14">
        <v>3</v>
      </c>
      <c r="AI4" s="16" t="s">
        <v>1472</v>
      </c>
      <c r="AJ4" s="4" t="s">
        <v>1456</v>
      </c>
      <c r="AK4" s="4" t="s">
        <v>1457</v>
      </c>
      <c r="AL4" s="4" t="s">
        <v>1471</v>
      </c>
      <c r="AM4" s="4" t="s">
        <v>1345</v>
      </c>
      <c r="AN4" s="4"/>
      <c r="AO4" s="4"/>
      <c r="AP4" s="4"/>
      <c r="AQ4" s="4"/>
      <c r="AR4" s="4" t="s">
        <v>1450</v>
      </c>
      <c r="AS4" s="4" t="s">
        <v>1458</v>
      </c>
      <c r="AT4" s="4" t="s">
        <v>1450</v>
      </c>
      <c r="AU4" s="4" t="s">
        <v>1450</v>
      </c>
      <c r="AV4" s="4" t="s">
        <v>1450</v>
      </c>
      <c r="AW4" s="8" t="s">
        <v>1441</v>
      </c>
      <c r="AX4" s="8" t="s">
        <v>1441</v>
      </c>
      <c r="AY4" s="8"/>
      <c r="AZ4" s="8"/>
      <c r="BA4" s="12">
        <v>46027</v>
      </c>
      <c r="BB4" s="8" t="s">
        <v>1441</v>
      </c>
      <c r="BC4" s="4"/>
      <c r="BD4" s="4" t="s">
        <v>1410</v>
      </c>
      <c r="BE4" s="8" t="s">
        <v>1441</v>
      </c>
      <c r="BF4" s="8" t="s">
        <v>1441</v>
      </c>
      <c r="BG4" s="8" t="s">
        <v>1441</v>
      </c>
      <c r="BH4" s="8" t="s">
        <v>1441</v>
      </c>
      <c r="BI4" s="8"/>
      <c r="BJ4" s="8" t="s">
        <v>1441</v>
      </c>
      <c r="BK4" s="8" t="s">
        <v>1460</v>
      </c>
      <c r="BL4" s="4" t="str">
        <f t="shared" si="1"/>
        <v>Epic Beans Relay</v>
      </c>
      <c r="BM4" s="8" t="str">
        <f t="shared" si="2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s="8" t="s">
        <v>1341</v>
      </c>
      <c r="B5" s="8" t="s">
        <v>1441</v>
      </c>
      <c r="C5" s="15" t="s">
        <v>1441</v>
      </c>
      <c r="D5" s="15" t="str">
        <f t="shared" si="0"/>
        <v>No</v>
      </c>
      <c r="E5" s="15" t="str">
        <f>IF($A5="","",IF($A5="Neuron",IF(OR(AND($S5&lt;&gt;"",LOWER(TRIM($S5))&lt;&gt;"n/a",COUNTIF($S$2:$S$528,$S5)&gt;1),AND($T5&lt;&gt;"",LOWER(TRIM($T5))&lt;&gt;"n/a",COUNTIF($T$2:$T$528,$T5)&gt;1),AND($W5&lt;&gt;"",LOWER(TRIM($W5))&lt;&gt;"n/a",COUNTIF($W$2:$W$528,$W5)&gt;1)),"Yes","No"),IF($A5="Cybernet",IF(OR(AND($Y5&lt;&gt;"",LOWER(TRIM($Y5))&lt;&gt;"n/a",COUNTIF($Y$2:$Y$528,$Y5)&gt;1),AND($Z5&lt;&gt;"",LOWER(TRIM($Z5))&lt;&gt;"n/a",COUNTIF($Z$2:$Z$528,$Z5)&gt;1)),"Yes","No"),IF(AND($AL5&lt;&gt;"",LOWER(TRIM($AL5))&lt;&gt;"n/a",COUNTIF($AL$2:$AL$528,$AL5)&gt;1),"Yes","No"))))</f>
        <v>No</v>
      </c>
      <c r="F5" t="str">
        <f>IF($B5&lt;&gt;"Yes","",
IF($A5="Neuron",
IF(OR(
AND($S5&lt;&gt;"",LOWER(TRIM($S5))&lt;&gt;"n/a",COUNTIFS($B$2:$B$528,"Yes",$A$2:$A$528,"Neuron",$S$2:$S$528,$S5)&gt;1),
AND($T5&lt;&gt;"",LOWER(TRIM($T5))&lt;&gt;"n/a",COUNTIFS($B$2:$B$528,"Yes",$A$2:$A$528,"Neuron",$T$2:$T$528,$T5)&gt;1),
AND($W5&lt;&gt;"",LOWER(TRIM($W5))&lt;&gt;"n/a",COUNTIFS($B$2:$B$528,"Yes",$A$2:$A$528,"Neuron",$W$2:$W$528,$W5)&gt;1)
),"Yes","No"),
IF($A5="Cybernet",
IF(OR(
AND($Y5&lt;&gt;"",LOWER(TRIM($Y5))&lt;&gt;"n/a",COUNTIFS($B$2:$B$528,"Yes",$A$2:$A$528,"Cybernet",$Y$2:$Y$528,$Y5)&gt;1),
AND($Z5&lt;&gt;"",LOWER(TRIM($Z5))&lt;&gt;"n/a",COUNTIFS($B$2:$B$528,"Yes",$A$2:$A$528,"Cybernet",$Z$2:$Z$528,$Z5)&gt;1)
),"Yes","No"),
IF(AND($AL5&lt;&gt;"",LOWER(TRIM($AL5))&lt;&gt;"n/a"),
IF(COUNTIFS($B$2:$B$528,"Yes",$A$2:$A$528,$A5,$AL$2:$AL$528,$AL5)&gt;1,"Yes","No"),
"No")
)
)
)</f>
        <v>No</v>
      </c>
      <c r="G5" s="4" t="s">
        <v>1442</v>
      </c>
      <c r="H5" s="4" t="s">
        <v>1442</v>
      </c>
      <c r="I5" s="4"/>
      <c r="J5" s="4" t="s">
        <v>1444</v>
      </c>
      <c r="K5" s="4" t="s">
        <v>1444</v>
      </c>
      <c r="L5" s="4" t="s">
        <v>1444</v>
      </c>
      <c r="M5" s="4"/>
      <c r="N5" s="4"/>
      <c r="O5" s="4"/>
      <c r="P5" s="4"/>
      <c r="Q5" s="4"/>
      <c r="R5" s="4"/>
      <c r="S5" s="4" t="s">
        <v>1473</v>
      </c>
      <c r="T5" s="4" t="s">
        <v>1474</v>
      </c>
      <c r="U5" s="4" t="s">
        <v>1475</v>
      </c>
      <c r="V5" s="4" t="s">
        <v>1441</v>
      </c>
      <c r="W5" s="4" t="s">
        <v>1476</v>
      </c>
      <c r="X5" s="4" t="s">
        <v>1449</v>
      </c>
      <c r="Y5" s="4" t="s">
        <v>1450</v>
      </c>
      <c r="Z5" s="4"/>
      <c r="AA5" s="4" t="s">
        <v>1451</v>
      </c>
      <c r="AB5" s="4"/>
      <c r="AC5" s="4" t="s">
        <v>1477</v>
      </c>
      <c r="AD5" s="4" t="s">
        <v>1450</v>
      </c>
      <c r="AE5" s="8"/>
      <c r="AF5" s="4" t="s">
        <v>1453</v>
      </c>
      <c r="AG5" s="4" t="s">
        <v>1454</v>
      </c>
      <c r="AH5" s="14">
        <v>4</v>
      </c>
      <c r="AI5" s="16" t="s">
        <v>1478</v>
      </c>
      <c r="AJ5" s="4" t="s">
        <v>1456</v>
      </c>
      <c r="AK5" s="4" t="s">
        <v>1457</v>
      </c>
      <c r="AL5" s="4" t="s">
        <v>1477</v>
      </c>
      <c r="AM5" s="4" t="s">
        <v>1345</v>
      </c>
      <c r="AN5" s="4"/>
      <c r="AO5" s="4"/>
      <c r="AP5" s="4"/>
      <c r="AQ5" s="4"/>
      <c r="AR5" s="4" t="s">
        <v>1450</v>
      </c>
      <c r="AS5" s="4" t="s">
        <v>1458</v>
      </c>
      <c r="AT5" s="4" t="s">
        <v>1450</v>
      </c>
      <c r="AU5" s="4" t="s">
        <v>1450</v>
      </c>
      <c r="AV5" s="4" t="s">
        <v>1450</v>
      </c>
      <c r="AW5" s="8" t="s">
        <v>1441</v>
      </c>
      <c r="AX5" s="8" t="s">
        <v>1441</v>
      </c>
      <c r="AY5" s="8"/>
      <c r="AZ5" s="8"/>
      <c r="BA5" s="12">
        <v>46027</v>
      </c>
      <c r="BB5" s="8" t="s">
        <v>1441</v>
      </c>
      <c r="BC5" s="4"/>
      <c r="BD5" s="4" t="s">
        <v>1410</v>
      </c>
      <c r="BE5" s="8" t="s">
        <v>1441</v>
      </c>
      <c r="BF5" s="8" t="s">
        <v>1441</v>
      </c>
      <c r="BG5" s="8" t="s">
        <v>1441</v>
      </c>
      <c r="BH5" s="8" t="s">
        <v>1441</v>
      </c>
      <c r="BI5" s="8"/>
      <c r="BJ5" s="8" t="s">
        <v>1441</v>
      </c>
      <c r="BK5" s="8" t="s">
        <v>1460</v>
      </c>
      <c r="BL5" s="4" t="str">
        <f t="shared" si="1"/>
        <v>Epic Beans Relay</v>
      </c>
      <c r="BM5" s="8" t="str">
        <f t="shared" si="2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s="8" t="s">
        <v>1341</v>
      </c>
      <c r="B6" s="8" t="s">
        <v>1441</v>
      </c>
      <c r="C6" s="15" t="s">
        <v>1441</v>
      </c>
      <c r="D6" s="15" t="str">
        <f t="shared" si="0"/>
        <v>No</v>
      </c>
      <c r="E6" s="15" t="str">
        <f>IF($A6="","",IF($A6="Neuron",IF(OR(AND($S6&lt;&gt;"",LOWER(TRIM($S6))&lt;&gt;"n/a",COUNTIF($S$2:$S$528,$S6)&gt;1),AND($T6&lt;&gt;"",LOWER(TRIM($T6))&lt;&gt;"n/a",COUNTIF($T$2:$T$528,$T6)&gt;1),AND($W6&lt;&gt;"",LOWER(TRIM($W6))&lt;&gt;"n/a",COUNTIF($W$2:$W$528,$W6)&gt;1)),"Yes","No"),IF($A6="Cybernet",IF(OR(AND($Y6&lt;&gt;"",LOWER(TRIM($Y6))&lt;&gt;"n/a",COUNTIF($Y$2:$Y$528,$Y6)&gt;1),AND($Z6&lt;&gt;"",LOWER(TRIM($Z6))&lt;&gt;"n/a",COUNTIF($Z$2:$Z$528,$Z6)&gt;1)),"Yes","No"),IF(AND($AL6&lt;&gt;"",LOWER(TRIM($AL6))&lt;&gt;"n/a",COUNTIF($AL$2:$AL$528,$AL6)&gt;1),"Yes","No"))))</f>
        <v>No</v>
      </c>
      <c r="F6" t="str">
        <f>IF($B6&lt;&gt;"Yes","",
IF($A6="Neuron",
IF(OR(
AND($S6&lt;&gt;"",LOWER(TRIM($S6))&lt;&gt;"n/a",COUNTIFS($B$2:$B$528,"Yes",$A$2:$A$528,"Neuron",$S$2:$S$528,$S6)&gt;1),
AND($T6&lt;&gt;"",LOWER(TRIM($T6))&lt;&gt;"n/a",COUNTIFS($B$2:$B$528,"Yes",$A$2:$A$528,"Neuron",$T$2:$T$528,$T6)&gt;1),
AND($W6&lt;&gt;"",LOWER(TRIM($W6))&lt;&gt;"n/a",COUNTIFS($B$2:$B$528,"Yes",$A$2:$A$528,"Neuron",$W$2:$W$528,$W6)&gt;1)
),"Yes","No"),
IF($A6="Cybernet",
IF(OR(
AND($Y6&lt;&gt;"",LOWER(TRIM($Y6))&lt;&gt;"n/a",COUNTIFS($B$2:$B$528,"Yes",$A$2:$A$528,"Cybernet",$Y$2:$Y$528,$Y6)&gt;1),
AND($Z6&lt;&gt;"",LOWER(TRIM($Z6))&lt;&gt;"n/a",COUNTIFS($B$2:$B$528,"Yes",$A$2:$A$528,"Cybernet",$Z$2:$Z$528,$Z6)&gt;1)
),"Yes","No"),
IF(AND($AL6&lt;&gt;"",LOWER(TRIM($AL6))&lt;&gt;"n/a"),
IF(COUNTIFS($B$2:$B$528,"Yes",$A$2:$A$528,$A6,$AL$2:$AL$528,$AL6)&gt;1,"Yes","No"),
"No")
)
)
)</f>
        <v>No</v>
      </c>
      <c r="G6" s="4" t="s">
        <v>1442</v>
      </c>
      <c r="H6" s="4" t="s">
        <v>1442</v>
      </c>
      <c r="I6" s="4"/>
      <c r="J6" s="4" t="s">
        <v>1444</v>
      </c>
      <c r="K6" s="4" t="s">
        <v>1444</v>
      </c>
      <c r="L6" s="4" t="s">
        <v>1444</v>
      </c>
      <c r="M6" s="4"/>
      <c r="N6" s="4"/>
      <c r="O6" s="4"/>
      <c r="P6" s="4"/>
      <c r="Q6" s="4"/>
      <c r="R6" s="4"/>
      <c r="S6" s="4" t="s">
        <v>1479</v>
      </c>
      <c r="T6" s="4" t="s">
        <v>1480</v>
      </c>
      <c r="U6" s="4" t="s">
        <v>1481</v>
      </c>
      <c r="V6" s="4" t="s">
        <v>1441</v>
      </c>
      <c r="W6" s="4" t="s">
        <v>1482</v>
      </c>
      <c r="X6" s="4" t="s">
        <v>1449</v>
      </c>
      <c r="Y6" s="4" t="s">
        <v>1450</v>
      </c>
      <c r="Z6" s="4"/>
      <c r="AA6" s="4" t="s">
        <v>1451</v>
      </c>
      <c r="AB6" s="4"/>
      <c r="AC6" s="4" t="s">
        <v>1483</v>
      </c>
      <c r="AD6" s="4" t="s">
        <v>1450</v>
      </c>
      <c r="AE6" s="8"/>
      <c r="AF6" s="4" t="s">
        <v>1453</v>
      </c>
      <c r="AG6" s="4" t="s">
        <v>1454</v>
      </c>
      <c r="AH6" s="14">
        <v>5</v>
      </c>
      <c r="AI6" s="16" t="s">
        <v>1484</v>
      </c>
      <c r="AJ6" s="4" t="s">
        <v>1456</v>
      </c>
      <c r="AK6" s="4" t="s">
        <v>1457</v>
      </c>
      <c r="AL6" s="4" t="s">
        <v>1483</v>
      </c>
      <c r="AM6" s="4" t="s">
        <v>1345</v>
      </c>
      <c r="AN6" s="4"/>
      <c r="AO6" s="4"/>
      <c r="AP6" s="4"/>
      <c r="AQ6" s="4"/>
      <c r="AR6" s="4" t="s">
        <v>1450</v>
      </c>
      <c r="AS6" s="4" t="s">
        <v>1458</v>
      </c>
      <c r="AT6" s="4" t="s">
        <v>1450</v>
      </c>
      <c r="AU6" s="4" t="s">
        <v>1450</v>
      </c>
      <c r="AV6" s="4" t="s">
        <v>1450</v>
      </c>
      <c r="AW6" s="8" t="s">
        <v>1441</v>
      </c>
      <c r="AX6" s="8" t="s">
        <v>1441</v>
      </c>
      <c r="AY6" s="8"/>
      <c r="AZ6" s="8"/>
      <c r="BA6" s="12">
        <v>46027</v>
      </c>
      <c r="BB6" s="8" t="s">
        <v>1441</v>
      </c>
      <c r="BC6" s="4"/>
      <c r="BD6" s="4" t="s">
        <v>1410</v>
      </c>
      <c r="BE6" s="8" t="s">
        <v>1441</v>
      </c>
      <c r="BF6" s="8" t="s">
        <v>1441</v>
      </c>
      <c r="BG6" s="8" t="s">
        <v>1441</v>
      </c>
      <c r="BH6" s="8" t="s">
        <v>1441</v>
      </c>
      <c r="BI6" s="8"/>
      <c r="BJ6" s="8" t="s">
        <v>1441</v>
      </c>
      <c r="BK6" s="8" t="s">
        <v>1460</v>
      </c>
      <c r="BL6" s="4" t="str">
        <f t="shared" si="1"/>
        <v>Epic Beans Relay</v>
      </c>
      <c r="BM6" s="8" t="str">
        <f t="shared" si="2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s="8" t="s">
        <v>1341</v>
      </c>
      <c r="B7" s="8" t="s">
        <v>1441</v>
      </c>
      <c r="C7" s="15" t="s">
        <v>1441</v>
      </c>
      <c r="D7" s="15" t="str">
        <f t="shared" si="0"/>
        <v>No</v>
      </c>
      <c r="E7" s="15" t="str">
        <f>IF($A7="","",IF($A7="Neuron",IF(OR(AND($S7&lt;&gt;"",LOWER(TRIM($S7))&lt;&gt;"n/a",COUNTIF($S$2:$S$528,$S7)&gt;1),AND($T7&lt;&gt;"",LOWER(TRIM($T7))&lt;&gt;"n/a",COUNTIF($T$2:$T$528,$T7)&gt;1),AND($W7&lt;&gt;"",LOWER(TRIM($W7))&lt;&gt;"n/a",COUNTIF($W$2:$W$528,$W7)&gt;1)),"Yes","No"),IF($A7="Cybernet",IF(OR(AND($Y7&lt;&gt;"",LOWER(TRIM($Y7))&lt;&gt;"n/a",COUNTIF($Y$2:$Y$528,$Y7)&gt;1),AND($Z7&lt;&gt;"",LOWER(TRIM($Z7))&lt;&gt;"n/a",COUNTIF($Z$2:$Z$528,$Z7)&gt;1)),"Yes","No"),IF(AND($AL7&lt;&gt;"",LOWER(TRIM($AL7))&lt;&gt;"n/a",COUNTIF($AL$2:$AL$528,$AL7)&gt;1),"Yes","No"))))</f>
        <v>No</v>
      </c>
      <c r="F7" t="str">
        <f>IF($B7&lt;&gt;"Yes","",
IF($A7="Neuron",
IF(OR(
AND($S7&lt;&gt;"",LOWER(TRIM($S7))&lt;&gt;"n/a",COUNTIFS($B$2:$B$528,"Yes",$A$2:$A$528,"Neuron",$S$2:$S$528,$S7)&gt;1),
AND($T7&lt;&gt;"",LOWER(TRIM($T7))&lt;&gt;"n/a",COUNTIFS($B$2:$B$528,"Yes",$A$2:$A$528,"Neuron",$T$2:$T$528,$T7)&gt;1),
AND($W7&lt;&gt;"",LOWER(TRIM($W7))&lt;&gt;"n/a",COUNTIFS($B$2:$B$528,"Yes",$A$2:$A$528,"Neuron",$W$2:$W$528,$W7)&gt;1)
),"Yes","No"),
IF($A7="Cybernet",
IF(OR(
AND($Y7&lt;&gt;"",LOWER(TRIM($Y7))&lt;&gt;"n/a",COUNTIFS($B$2:$B$528,"Yes",$A$2:$A$528,"Cybernet",$Y$2:$Y$528,$Y7)&gt;1),
AND($Z7&lt;&gt;"",LOWER(TRIM($Z7))&lt;&gt;"n/a",COUNTIFS($B$2:$B$528,"Yes",$A$2:$A$528,"Cybernet",$Z$2:$Z$528,$Z7)&gt;1)
),"Yes","No"),
IF(AND($AL7&lt;&gt;"",LOWER(TRIM($AL7))&lt;&gt;"n/a"),
IF(COUNTIFS($B$2:$B$528,"Yes",$A$2:$A$528,$A7,$AL$2:$AL$528,$AL7)&gt;1,"Yes","No"),
"No")
)
)
)</f>
        <v>No</v>
      </c>
      <c r="G7" s="4" t="s">
        <v>1442</v>
      </c>
      <c r="H7" s="4" t="s">
        <v>1442</v>
      </c>
      <c r="I7" s="4"/>
      <c r="J7" s="4" t="s">
        <v>1444</v>
      </c>
      <c r="K7" s="4" t="s">
        <v>1444</v>
      </c>
      <c r="L7" s="4" t="s">
        <v>1444</v>
      </c>
      <c r="M7" s="4"/>
      <c r="N7" s="4"/>
      <c r="O7" s="4"/>
      <c r="P7" s="4"/>
      <c r="Q7" s="4"/>
      <c r="R7" s="4"/>
      <c r="S7" s="4" t="s">
        <v>1485</v>
      </c>
      <c r="T7" s="4" t="s">
        <v>1486</v>
      </c>
      <c r="U7" s="4" t="s">
        <v>1487</v>
      </c>
      <c r="V7" s="4" t="s">
        <v>1441</v>
      </c>
      <c r="W7" s="4" t="s">
        <v>1488</v>
      </c>
      <c r="X7" s="4" t="s">
        <v>1449</v>
      </c>
      <c r="Y7" s="4" t="s">
        <v>1450</v>
      </c>
      <c r="Z7" s="4"/>
      <c r="AA7" s="4" t="s">
        <v>1451</v>
      </c>
      <c r="AB7" s="4"/>
      <c r="AC7" s="4" t="s">
        <v>1489</v>
      </c>
      <c r="AD7" s="4" t="s">
        <v>1450</v>
      </c>
      <c r="AE7" s="8"/>
      <c r="AF7" s="4" t="s">
        <v>1453</v>
      </c>
      <c r="AG7" s="4" t="s">
        <v>1454</v>
      </c>
      <c r="AH7" s="14">
        <v>6</v>
      </c>
      <c r="AI7" s="16" t="s">
        <v>1490</v>
      </c>
      <c r="AJ7" s="4" t="s">
        <v>1456</v>
      </c>
      <c r="AK7" s="4" t="s">
        <v>1457</v>
      </c>
      <c r="AL7" s="4" t="s">
        <v>1489</v>
      </c>
      <c r="AM7" s="4" t="s">
        <v>1345</v>
      </c>
      <c r="AN7" s="4"/>
      <c r="AO7" s="4"/>
      <c r="AP7" s="4"/>
      <c r="AQ7" s="4"/>
      <c r="AR7" s="4" t="s">
        <v>1450</v>
      </c>
      <c r="AS7" s="4" t="s">
        <v>1458</v>
      </c>
      <c r="AT7" s="4" t="s">
        <v>1450</v>
      </c>
      <c r="AU7" s="4" t="s">
        <v>1450</v>
      </c>
      <c r="AV7" s="4" t="s">
        <v>1450</v>
      </c>
      <c r="AW7" s="8" t="s">
        <v>1441</v>
      </c>
      <c r="AX7" s="8" t="s">
        <v>1441</v>
      </c>
      <c r="AY7" s="8"/>
      <c r="AZ7" s="8"/>
      <c r="BA7" s="12">
        <v>46027</v>
      </c>
      <c r="BB7" s="8" t="s">
        <v>1441</v>
      </c>
      <c r="BC7" s="4"/>
      <c r="BD7" s="4" t="s">
        <v>1410</v>
      </c>
      <c r="BE7" s="8" t="s">
        <v>1441</v>
      </c>
      <c r="BF7" s="8" t="s">
        <v>1441</v>
      </c>
      <c r="BG7" s="8" t="s">
        <v>1441</v>
      </c>
      <c r="BH7" s="8" t="s">
        <v>1441</v>
      </c>
      <c r="BI7" s="8"/>
      <c r="BJ7" s="8" t="s">
        <v>1441</v>
      </c>
      <c r="BK7" s="8" t="s">
        <v>1460</v>
      </c>
      <c r="BL7" s="4" t="str">
        <f t="shared" si="1"/>
        <v>Epic Beans Relay</v>
      </c>
      <c r="BM7" s="8" t="str">
        <f t="shared" si="2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s="8" t="s">
        <v>1341</v>
      </c>
      <c r="B8" s="8" t="s">
        <v>1441</v>
      </c>
      <c r="C8" s="15" t="s">
        <v>1441</v>
      </c>
      <c r="D8" s="15" t="str">
        <f t="shared" si="0"/>
        <v>No</v>
      </c>
      <c r="E8" s="15" t="str">
        <f>IF($A8="","",IF($A8="Neuron",IF(OR(AND($S8&lt;&gt;"",LOWER(TRIM($S8))&lt;&gt;"n/a",COUNTIF($S$2:$S$528,$S8)&gt;1),AND($T8&lt;&gt;"",LOWER(TRIM($T8))&lt;&gt;"n/a",COUNTIF($T$2:$T$528,$T8)&gt;1),AND($W8&lt;&gt;"",LOWER(TRIM($W8))&lt;&gt;"n/a",COUNTIF($W$2:$W$528,$W8)&gt;1)),"Yes","No"),IF($A8="Cybernet",IF(OR(AND($Y8&lt;&gt;"",LOWER(TRIM($Y8))&lt;&gt;"n/a",COUNTIF($Y$2:$Y$528,$Y8)&gt;1),AND($Z8&lt;&gt;"",LOWER(TRIM($Z8))&lt;&gt;"n/a",COUNTIF($Z$2:$Z$528,$Z8)&gt;1)),"Yes","No"),IF(AND($AL8&lt;&gt;"",LOWER(TRIM($AL8))&lt;&gt;"n/a",COUNTIF($AL$2:$AL$528,$AL8)&gt;1),"Yes","No"))))</f>
        <v>No</v>
      </c>
      <c r="F8" t="str">
        <f>IF($B8&lt;&gt;"Yes","",
IF($A8="Neuron",
IF(OR(
AND($S8&lt;&gt;"",LOWER(TRIM($S8))&lt;&gt;"n/a",COUNTIFS($B$2:$B$528,"Yes",$A$2:$A$528,"Neuron",$S$2:$S$528,$S8)&gt;1),
AND($T8&lt;&gt;"",LOWER(TRIM($T8))&lt;&gt;"n/a",COUNTIFS($B$2:$B$528,"Yes",$A$2:$A$528,"Neuron",$T$2:$T$528,$T8)&gt;1),
AND($W8&lt;&gt;"",LOWER(TRIM($W8))&lt;&gt;"n/a",COUNTIFS($B$2:$B$528,"Yes",$A$2:$A$528,"Neuron",$W$2:$W$528,$W8)&gt;1)
),"Yes","No"),
IF($A8="Cybernet",
IF(OR(
AND($Y8&lt;&gt;"",LOWER(TRIM($Y8))&lt;&gt;"n/a",COUNTIFS($B$2:$B$528,"Yes",$A$2:$A$528,"Cybernet",$Y$2:$Y$528,$Y8)&gt;1),
AND($Z8&lt;&gt;"",LOWER(TRIM($Z8))&lt;&gt;"n/a",COUNTIFS($B$2:$B$528,"Yes",$A$2:$A$528,"Cybernet",$Z$2:$Z$528,$Z8)&gt;1)
),"Yes","No"),
IF(AND($AL8&lt;&gt;"",LOWER(TRIM($AL8))&lt;&gt;"n/a"),
IF(COUNTIFS($B$2:$B$528,"Yes",$A$2:$A$528,$A8,$AL$2:$AL$528,$AL8)&gt;1,"Yes","No"),
"No")
)
)
)</f>
        <v>No</v>
      </c>
      <c r="G8" s="4" t="s">
        <v>1442</v>
      </c>
      <c r="H8" s="4" t="s">
        <v>1442</v>
      </c>
      <c r="I8" s="4"/>
      <c r="J8" s="4" t="s">
        <v>1444</v>
      </c>
      <c r="K8" s="4" t="s">
        <v>1444</v>
      </c>
      <c r="L8" s="4" t="s">
        <v>1444</v>
      </c>
      <c r="M8" s="4"/>
      <c r="N8" s="4"/>
      <c r="O8" s="4"/>
      <c r="P8" s="4"/>
      <c r="Q8" s="4"/>
      <c r="R8" s="4"/>
      <c r="S8" s="4" t="s">
        <v>1491</v>
      </c>
      <c r="T8" s="4" t="s">
        <v>1492</v>
      </c>
      <c r="U8" s="4" t="s">
        <v>1493</v>
      </c>
      <c r="V8" s="4" t="s">
        <v>1441</v>
      </c>
      <c r="W8" s="4" t="s">
        <v>1494</v>
      </c>
      <c r="X8" s="4" t="s">
        <v>1449</v>
      </c>
      <c r="Y8" s="4" t="s">
        <v>1450</v>
      </c>
      <c r="Z8" s="4"/>
      <c r="AA8" s="4" t="s">
        <v>1451</v>
      </c>
      <c r="AB8" s="4"/>
      <c r="AC8" s="4" t="s">
        <v>1495</v>
      </c>
      <c r="AD8" s="4" t="s">
        <v>1450</v>
      </c>
      <c r="AE8" s="8"/>
      <c r="AF8" s="4" t="s">
        <v>1453</v>
      </c>
      <c r="AG8" s="4" t="s">
        <v>1454</v>
      </c>
      <c r="AH8" s="14">
        <v>7</v>
      </c>
      <c r="AI8" s="16" t="s">
        <v>1496</v>
      </c>
      <c r="AJ8" s="4" t="s">
        <v>1456</v>
      </c>
      <c r="AK8" s="4" t="s">
        <v>1457</v>
      </c>
      <c r="AL8" s="4" t="s">
        <v>1495</v>
      </c>
      <c r="AM8" s="4" t="s">
        <v>1345</v>
      </c>
      <c r="AN8" s="4"/>
      <c r="AO8" s="4"/>
      <c r="AP8" s="4"/>
      <c r="AQ8" s="4"/>
      <c r="AR8" s="4" t="s">
        <v>1450</v>
      </c>
      <c r="AS8" s="4" t="s">
        <v>1458</v>
      </c>
      <c r="AT8" s="4" t="s">
        <v>1450</v>
      </c>
      <c r="AU8" s="4" t="s">
        <v>1450</v>
      </c>
      <c r="AV8" s="4" t="s">
        <v>1450</v>
      </c>
      <c r="AW8" s="8" t="s">
        <v>1441</v>
      </c>
      <c r="AX8" s="8" t="s">
        <v>1441</v>
      </c>
      <c r="AY8" s="8"/>
      <c r="AZ8" s="8"/>
      <c r="BA8" s="12">
        <v>46027</v>
      </c>
      <c r="BB8" s="8" t="s">
        <v>1441</v>
      </c>
      <c r="BC8" s="4"/>
      <c r="BD8" s="4" t="s">
        <v>1410</v>
      </c>
      <c r="BE8" s="8" t="s">
        <v>1441</v>
      </c>
      <c r="BF8" s="8" t="s">
        <v>1441</v>
      </c>
      <c r="BG8" s="8" t="s">
        <v>1441</v>
      </c>
      <c r="BH8" s="8" t="s">
        <v>1441</v>
      </c>
      <c r="BI8" s="8"/>
      <c r="BJ8" s="8" t="s">
        <v>1441</v>
      </c>
      <c r="BK8" s="8" t="s">
        <v>1460</v>
      </c>
      <c r="BL8" s="4" t="str">
        <f t="shared" si="1"/>
        <v>Epic Beans Relay</v>
      </c>
      <c r="BM8" s="8" t="str">
        <f t="shared" si="2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s="8" t="s">
        <v>1341</v>
      </c>
      <c r="B9" s="8" t="s">
        <v>1441</v>
      </c>
      <c r="C9" s="15" t="s">
        <v>1441</v>
      </c>
      <c r="D9" s="15" t="str">
        <f t="shared" si="0"/>
        <v>No</v>
      </c>
      <c r="E9" s="15" t="str">
        <f>IF($A9="","",IF($A9="Neuron",IF(OR(AND($S9&lt;&gt;"",LOWER(TRIM($S9))&lt;&gt;"n/a",COUNTIF($S$2:$S$528,$S9)&gt;1),AND($T9&lt;&gt;"",LOWER(TRIM($T9))&lt;&gt;"n/a",COUNTIF($T$2:$T$528,$T9)&gt;1),AND($W9&lt;&gt;"",LOWER(TRIM($W9))&lt;&gt;"n/a",COUNTIF($W$2:$W$528,$W9)&gt;1)),"Yes","No"),IF($A9="Cybernet",IF(OR(AND($Y9&lt;&gt;"",LOWER(TRIM($Y9))&lt;&gt;"n/a",COUNTIF($Y$2:$Y$528,$Y9)&gt;1),AND($Z9&lt;&gt;"",LOWER(TRIM($Z9))&lt;&gt;"n/a",COUNTIF($Z$2:$Z$528,$Z9)&gt;1)),"Yes","No"),IF(AND($AL9&lt;&gt;"",LOWER(TRIM($AL9))&lt;&gt;"n/a",COUNTIF($AL$2:$AL$528,$AL9)&gt;1),"Yes","No"))))</f>
        <v>No</v>
      </c>
      <c r="F9" t="str">
        <f>IF($B9&lt;&gt;"Yes","",
IF($A9="Neuron",
IF(OR(
AND($S9&lt;&gt;"",LOWER(TRIM($S9))&lt;&gt;"n/a",COUNTIFS($B$2:$B$528,"Yes",$A$2:$A$528,"Neuron",$S$2:$S$528,$S9)&gt;1),
AND($T9&lt;&gt;"",LOWER(TRIM($T9))&lt;&gt;"n/a",COUNTIFS($B$2:$B$528,"Yes",$A$2:$A$528,"Neuron",$T$2:$T$528,$T9)&gt;1),
AND($W9&lt;&gt;"",LOWER(TRIM($W9))&lt;&gt;"n/a",COUNTIFS($B$2:$B$528,"Yes",$A$2:$A$528,"Neuron",$W$2:$W$528,$W9)&gt;1)
),"Yes","No"),
IF($A9="Cybernet",
IF(OR(
AND($Y9&lt;&gt;"",LOWER(TRIM($Y9))&lt;&gt;"n/a",COUNTIFS($B$2:$B$528,"Yes",$A$2:$A$528,"Cybernet",$Y$2:$Y$528,$Y9)&gt;1),
AND($Z9&lt;&gt;"",LOWER(TRIM($Z9))&lt;&gt;"n/a",COUNTIFS($B$2:$B$528,"Yes",$A$2:$A$528,"Cybernet",$Z$2:$Z$528,$Z9)&gt;1)
),"Yes","No"),
IF(AND($AL9&lt;&gt;"",LOWER(TRIM($AL9))&lt;&gt;"n/a"),
IF(COUNTIFS($B$2:$B$528,"Yes",$A$2:$A$528,$A9,$AL$2:$AL$528,$AL9)&gt;1,"Yes","No"),
"No")
)
)
)</f>
        <v>No</v>
      </c>
      <c r="G9" s="4" t="s">
        <v>1442</v>
      </c>
      <c r="H9" s="4" t="s">
        <v>1442</v>
      </c>
      <c r="I9" s="4"/>
      <c r="J9" s="4" t="s">
        <v>1444</v>
      </c>
      <c r="K9" s="4" t="s">
        <v>1444</v>
      </c>
      <c r="L9" s="4" t="s">
        <v>1444</v>
      </c>
      <c r="M9" s="4"/>
      <c r="N9" s="4"/>
      <c r="O9" s="4"/>
      <c r="P9" s="4"/>
      <c r="Q9" s="4"/>
      <c r="R9" s="4"/>
      <c r="S9" s="4" t="s">
        <v>1497</v>
      </c>
      <c r="T9" s="4" t="s">
        <v>1498</v>
      </c>
      <c r="U9" s="4" t="s">
        <v>1499</v>
      </c>
      <c r="V9" s="4" t="s">
        <v>1441</v>
      </c>
      <c r="W9" s="4" t="s">
        <v>1500</v>
      </c>
      <c r="X9" s="4" t="s">
        <v>1449</v>
      </c>
      <c r="Y9" s="4" t="s">
        <v>1450</v>
      </c>
      <c r="Z9" s="4"/>
      <c r="AA9" s="4" t="s">
        <v>1451</v>
      </c>
      <c r="AB9" s="4"/>
      <c r="AC9" s="4" t="s">
        <v>1501</v>
      </c>
      <c r="AD9" s="4" t="s">
        <v>1450</v>
      </c>
      <c r="AE9" s="8"/>
      <c r="AF9" s="4" t="s">
        <v>1453</v>
      </c>
      <c r="AG9" s="4" t="s">
        <v>1454</v>
      </c>
      <c r="AH9" s="14">
        <v>8</v>
      </c>
      <c r="AI9" s="16" t="s">
        <v>1502</v>
      </c>
      <c r="AJ9" s="4" t="s">
        <v>1456</v>
      </c>
      <c r="AK9" s="4" t="s">
        <v>1457</v>
      </c>
      <c r="AL9" s="4" t="s">
        <v>1501</v>
      </c>
      <c r="AM9" s="4" t="s">
        <v>1345</v>
      </c>
      <c r="AN9" s="4"/>
      <c r="AO9" s="4"/>
      <c r="AP9" s="4"/>
      <c r="AQ9" s="4"/>
      <c r="AR9" s="4" t="s">
        <v>1450</v>
      </c>
      <c r="AS9" s="4" t="s">
        <v>1458</v>
      </c>
      <c r="AT9" s="4" t="s">
        <v>1450</v>
      </c>
      <c r="AU9" s="4" t="s">
        <v>1450</v>
      </c>
      <c r="AV9" s="4" t="s">
        <v>1450</v>
      </c>
      <c r="AW9" s="8" t="s">
        <v>1441</v>
      </c>
      <c r="AX9" s="8" t="s">
        <v>1441</v>
      </c>
      <c r="AY9" s="8"/>
      <c r="AZ9" s="8"/>
      <c r="BA9" s="12">
        <v>46027</v>
      </c>
      <c r="BB9" s="8" t="s">
        <v>1441</v>
      </c>
      <c r="BC9" s="4"/>
      <c r="BD9" s="4" t="s">
        <v>1410</v>
      </c>
      <c r="BE9" s="8" t="s">
        <v>1441</v>
      </c>
      <c r="BF9" s="8" t="s">
        <v>1441</v>
      </c>
      <c r="BG9" s="8" t="s">
        <v>1441</v>
      </c>
      <c r="BH9" s="8" t="s">
        <v>1441</v>
      </c>
      <c r="BI9" s="8"/>
      <c r="BJ9" s="8" t="s">
        <v>1441</v>
      </c>
      <c r="BK9" s="8" t="s">
        <v>1460</v>
      </c>
      <c r="BL9" s="4" t="str">
        <f t="shared" si="1"/>
        <v>Epic Beans Relay</v>
      </c>
      <c r="BM9" s="8" t="str">
        <f t="shared" si="2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s="8" t="s">
        <v>1341</v>
      </c>
      <c r="B10" s="8" t="s">
        <v>1441</v>
      </c>
      <c r="C10" s="15" t="s">
        <v>1441</v>
      </c>
      <c r="D10" s="15" t="str">
        <f t="shared" si="0"/>
        <v>No</v>
      </c>
      <c r="E10" s="15" t="str">
        <f>IF($A10="","",IF($A10="Neuron",IF(OR(AND($S10&lt;&gt;"",LOWER(TRIM($S10))&lt;&gt;"n/a",COUNTIF($S$2:$S$528,$S10)&gt;1),AND($T10&lt;&gt;"",LOWER(TRIM($T10))&lt;&gt;"n/a",COUNTIF($T$2:$T$528,$T10)&gt;1),AND($W10&lt;&gt;"",LOWER(TRIM($W10))&lt;&gt;"n/a",COUNTIF($W$2:$W$528,$W10)&gt;1)),"Yes","No"),IF($A10="Cybernet",IF(OR(AND($Y10&lt;&gt;"",LOWER(TRIM($Y10))&lt;&gt;"n/a",COUNTIF($Y$2:$Y$528,$Y10)&gt;1),AND($Z10&lt;&gt;"",LOWER(TRIM($Z10))&lt;&gt;"n/a",COUNTIF($Z$2:$Z$528,$Z10)&gt;1)),"Yes","No"),IF(AND($AL10&lt;&gt;"",LOWER(TRIM($AL10))&lt;&gt;"n/a",COUNTIF($AL$2:$AL$528,$AL10)&gt;1),"Yes","No"))))</f>
        <v>No</v>
      </c>
      <c r="F10" t="str">
        <f>IF($B10&lt;&gt;"Yes","",
IF($A10="Neuron",
IF(OR(
AND($S10&lt;&gt;"",LOWER(TRIM($S10))&lt;&gt;"n/a",COUNTIFS($B$2:$B$528,"Yes",$A$2:$A$528,"Neuron",$S$2:$S$528,$S10)&gt;1),
AND($T10&lt;&gt;"",LOWER(TRIM($T10))&lt;&gt;"n/a",COUNTIFS($B$2:$B$528,"Yes",$A$2:$A$528,"Neuron",$T$2:$T$528,$T10)&gt;1),
AND($W10&lt;&gt;"",LOWER(TRIM($W10))&lt;&gt;"n/a",COUNTIFS($B$2:$B$528,"Yes",$A$2:$A$528,"Neuron",$W$2:$W$528,$W10)&gt;1)
),"Yes","No"),
IF($A10="Cybernet",
IF(OR(
AND($Y10&lt;&gt;"",LOWER(TRIM($Y10))&lt;&gt;"n/a",COUNTIFS($B$2:$B$528,"Yes",$A$2:$A$528,"Cybernet",$Y$2:$Y$528,$Y10)&gt;1),
AND($Z10&lt;&gt;"",LOWER(TRIM($Z10))&lt;&gt;"n/a",COUNTIFS($B$2:$B$528,"Yes",$A$2:$A$528,"Cybernet",$Z$2:$Z$528,$Z10)&gt;1)
),"Yes","No"),
IF(AND($AL10&lt;&gt;"",LOWER(TRIM($AL10))&lt;&gt;"n/a"),
IF(COUNTIFS($B$2:$B$528,"Yes",$A$2:$A$528,$A10,$AL$2:$AL$528,$AL10)&gt;1,"Yes","No"),
"No")
)
)
)</f>
        <v>No</v>
      </c>
      <c r="G10" s="4" t="s">
        <v>1442</v>
      </c>
      <c r="H10" s="4" t="s">
        <v>1442</v>
      </c>
      <c r="I10" s="4"/>
      <c r="J10" s="4" t="s">
        <v>1444</v>
      </c>
      <c r="K10" s="4" t="s">
        <v>1444</v>
      </c>
      <c r="L10" s="4" t="s">
        <v>1444</v>
      </c>
      <c r="M10" s="4"/>
      <c r="N10" s="4"/>
      <c r="O10" s="4"/>
      <c r="P10" s="4"/>
      <c r="Q10" s="4"/>
      <c r="R10" s="4"/>
      <c r="S10" s="4" t="s">
        <v>1503</v>
      </c>
      <c r="T10" s="4" t="s">
        <v>1504</v>
      </c>
      <c r="U10" s="4" t="s">
        <v>1505</v>
      </c>
      <c r="V10" s="4" t="s">
        <v>1441</v>
      </c>
      <c r="W10" s="4" t="s">
        <v>1506</v>
      </c>
      <c r="X10" s="4" t="s">
        <v>1449</v>
      </c>
      <c r="Y10" s="4" t="s">
        <v>1450</v>
      </c>
      <c r="Z10" s="4"/>
      <c r="AA10" s="4" t="s">
        <v>1451</v>
      </c>
      <c r="AB10" s="4"/>
      <c r="AC10" s="4" t="s">
        <v>1507</v>
      </c>
      <c r="AD10" s="4" t="s">
        <v>1450</v>
      </c>
      <c r="AE10" s="8"/>
      <c r="AF10" s="4" t="s">
        <v>1453</v>
      </c>
      <c r="AG10" s="4" t="s">
        <v>1454</v>
      </c>
      <c r="AH10" s="14">
        <v>9</v>
      </c>
      <c r="AI10" s="16" t="s">
        <v>1508</v>
      </c>
      <c r="AJ10" s="4" t="s">
        <v>1456</v>
      </c>
      <c r="AK10" s="4" t="s">
        <v>1457</v>
      </c>
      <c r="AL10" s="4" t="s">
        <v>1507</v>
      </c>
      <c r="AM10" s="4" t="s">
        <v>1345</v>
      </c>
      <c r="AN10" s="4"/>
      <c r="AO10" s="4"/>
      <c r="AP10" s="4"/>
      <c r="AQ10" s="4"/>
      <c r="AR10" s="4" t="s">
        <v>1450</v>
      </c>
      <c r="AS10" s="4" t="s">
        <v>1458</v>
      </c>
      <c r="AT10" s="4" t="s">
        <v>1450</v>
      </c>
      <c r="AU10" s="4" t="s">
        <v>1450</v>
      </c>
      <c r="AV10" s="4" t="s">
        <v>1450</v>
      </c>
      <c r="AW10" s="8" t="s">
        <v>1441</v>
      </c>
      <c r="AX10" s="8" t="s">
        <v>1441</v>
      </c>
      <c r="AY10" s="8"/>
      <c r="AZ10" s="8"/>
      <c r="BA10" s="12">
        <v>46027</v>
      </c>
      <c r="BB10" s="8" t="s">
        <v>1441</v>
      </c>
      <c r="BC10" s="4"/>
      <c r="BD10" s="4" t="s">
        <v>1410</v>
      </c>
      <c r="BE10" s="8" t="s">
        <v>1441</v>
      </c>
      <c r="BF10" s="8" t="s">
        <v>1441</v>
      </c>
      <c r="BG10" s="8" t="s">
        <v>1441</v>
      </c>
      <c r="BH10" s="8" t="s">
        <v>1441</v>
      </c>
      <c r="BI10" s="8"/>
      <c r="BJ10" s="8" t="s">
        <v>1441</v>
      </c>
      <c r="BK10" s="8" t="s">
        <v>1460</v>
      </c>
      <c r="BL10" s="4" t="str">
        <f t="shared" si="1"/>
        <v>Epic Beans Relay</v>
      </c>
      <c r="BM10" s="8" t="str">
        <f t="shared" si="2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s="8" t="s">
        <v>1341</v>
      </c>
      <c r="B11" s="8" t="s">
        <v>1441</v>
      </c>
      <c r="C11" s="15" t="s">
        <v>1441</v>
      </c>
      <c r="D11" s="15" t="str">
        <f t="shared" si="0"/>
        <v>No</v>
      </c>
      <c r="E11" s="15" t="str">
        <f>IF($A11="","",IF($A11="Neuron",IF(OR(AND($S11&lt;&gt;"",LOWER(TRIM($S11))&lt;&gt;"n/a",COUNTIF($S$2:$S$528,$S11)&gt;1),AND($T11&lt;&gt;"",LOWER(TRIM($T11))&lt;&gt;"n/a",COUNTIF($T$2:$T$528,$T11)&gt;1),AND($W11&lt;&gt;"",LOWER(TRIM($W11))&lt;&gt;"n/a",COUNTIF($W$2:$W$528,$W11)&gt;1)),"Yes","No"),IF($A11="Cybernet",IF(OR(AND($Y11&lt;&gt;"",LOWER(TRIM($Y11))&lt;&gt;"n/a",COUNTIF($Y$2:$Y$528,$Y11)&gt;1),AND($Z11&lt;&gt;"",LOWER(TRIM($Z11))&lt;&gt;"n/a",COUNTIF($Z$2:$Z$528,$Z11)&gt;1)),"Yes","No"),IF(AND($AL11&lt;&gt;"",LOWER(TRIM($AL11))&lt;&gt;"n/a",COUNTIF($AL$2:$AL$528,$AL11)&gt;1),"Yes","No"))))</f>
        <v>No</v>
      </c>
      <c r="F11" t="str">
        <f>IF($B11&lt;&gt;"Yes","",
IF($A11="Neuron",
IF(OR(
AND($S11&lt;&gt;"",LOWER(TRIM($S11))&lt;&gt;"n/a",COUNTIFS($B$2:$B$528,"Yes",$A$2:$A$528,"Neuron",$S$2:$S$528,$S11)&gt;1),
AND($T11&lt;&gt;"",LOWER(TRIM($T11))&lt;&gt;"n/a",COUNTIFS($B$2:$B$528,"Yes",$A$2:$A$528,"Neuron",$T$2:$T$528,$T11)&gt;1),
AND($W11&lt;&gt;"",LOWER(TRIM($W11))&lt;&gt;"n/a",COUNTIFS($B$2:$B$528,"Yes",$A$2:$A$528,"Neuron",$W$2:$W$528,$W11)&gt;1)
),"Yes","No"),
IF($A11="Cybernet",
IF(OR(
AND($Y11&lt;&gt;"",LOWER(TRIM($Y11))&lt;&gt;"n/a",COUNTIFS($B$2:$B$528,"Yes",$A$2:$A$528,"Cybernet",$Y$2:$Y$528,$Y11)&gt;1),
AND($Z11&lt;&gt;"",LOWER(TRIM($Z11))&lt;&gt;"n/a",COUNTIFS($B$2:$B$528,"Yes",$A$2:$A$528,"Cybernet",$Z$2:$Z$528,$Z11)&gt;1)
),"Yes","No"),
IF(AND($AL11&lt;&gt;"",LOWER(TRIM($AL11))&lt;&gt;"n/a"),
IF(COUNTIFS($B$2:$B$528,"Yes",$A$2:$A$528,$A11,$AL$2:$AL$528,$AL11)&gt;1,"Yes","No"),
"No")
)
)
)</f>
        <v>No</v>
      </c>
      <c r="G11" s="4" t="s">
        <v>1442</v>
      </c>
      <c r="H11" s="4" t="s">
        <v>1442</v>
      </c>
      <c r="I11" s="4"/>
      <c r="J11" s="4" t="s">
        <v>1444</v>
      </c>
      <c r="K11" s="4" t="s">
        <v>1444</v>
      </c>
      <c r="L11" s="4" t="s">
        <v>1444</v>
      </c>
      <c r="M11" s="4"/>
      <c r="N11" s="4"/>
      <c r="O11" s="4"/>
      <c r="P11" s="4"/>
      <c r="Q11" s="4"/>
      <c r="R11" s="4"/>
      <c r="S11" s="4" t="s">
        <v>1509</v>
      </c>
      <c r="T11" s="4" t="s">
        <v>1510</v>
      </c>
      <c r="U11" s="4" t="s">
        <v>1511</v>
      </c>
      <c r="V11" s="4" t="s">
        <v>1441</v>
      </c>
      <c r="W11" s="4" t="s">
        <v>1512</v>
      </c>
      <c r="X11" s="4" t="s">
        <v>1449</v>
      </c>
      <c r="Y11" s="4" t="s">
        <v>1450</v>
      </c>
      <c r="Z11" s="4"/>
      <c r="AA11" s="4" t="s">
        <v>1451</v>
      </c>
      <c r="AB11" s="4"/>
      <c r="AC11" s="4" t="s">
        <v>1513</v>
      </c>
      <c r="AD11" s="4" t="s">
        <v>1450</v>
      </c>
      <c r="AE11" s="8"/>
      <c r="AF11" s="4" t="s">
        <v>1453</v>
      </c>
      <c r="AG11" s="4" t="s">
        <v>1454</v>
      </c>
      <c r="AH11" s="14">
        <v>10</v>
      </c>
      <c r="AI11" s="16" t="s">
        <v>1514</v>
      </c>
      <c r="AJ11" s="4" t="s">
        <v>1456</v>
      </c>
      <c r="AK11" s="4" t="s">
        <v>1457</v>
      </c>
      <c r="AL11" s="4" t="s">
        <v>1513</v>
      </c>
      <c r="AM11" s="4" t="s">
        <v>1345</v>
      </c>
      <c r="AN11" s="4"/>
      <c r="AO11" s="4"/>
      <c r="AP11" s="4"/>
      <c r="AQ11" s="4"/>
      <c r="AR11" s="4" t="s">
        <v>1450</v>
      </c>
      <c r="AS11" s="4" t="s">
        <v>1458</v>
      </c>
      <c r="AT11" s="4" t="s">
        <v>1450</v>
      </c>
      <c r="AU11" s="4" t="s">
        <v>1450</v>
      </c>
      <c r="AV11" s="4" t="s">
        <v>1450</v>
      </c>
      <c r="AW11" s="8" t="s">
        <v>1441</v>
      </c>
      <c r="AX11" s="8" t="s">
        <v>1441</v>
      </c>
      <c r="AY11" s="8"/>
      <c r="AZ11" s="8"/>
      <c r="BA11" s="12">
        <v>46027</v>
      </c>
      <c r="BB11" s="8" t="s">
        <v>1441</v>
      </c>
      <c r="BC11" s="4"/>
      <c r="BD11" s="4" t="s">
        <v>1410</v>
      </c>
      <c r="BE11" s="8" t="s">
        <v>1441</v>
      </c>
      <c r="BF11" s="8" t="s">
        <v>1441</v>
      </c>
      <c r="BG11" s="8" t="s">
        <v>1441</v>
      </c>
      <c r="BH11" s="8" t="s">
        <v>1441</v>
      </c>
      <c r="BI11" s="8"/>
      <c r="BJ11" s="8" t="s">
        <v>1441</v>
      </c>
      <c r="BK11" s="8" t="s">
        <v>1460</v>
      </c>
      <c r="BL11" s="4" t="str">
        <f t="shared" si="1"/>
        <v>Epic Beans Relay</v>
      </c>
      <c r="BM11" s="8" t="str">
        <f t="shared" si="2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s="8" t="s">
        <v>1341</v>
      </c>
      <c r="B12" s="8" t="s">
        <v>1441</v>
      </c>
      <c r="C12" s="15" t="s">
        <v>1441</v>
      </c>
      <c r="D12" s="15" t="str">
        <f t="shared" si="0"/>
        <v>No</v>
      </c>
      <c r="E12" s="15" t="str">
        <f>IF($A12="","",IF($A12="Neuron",IF(OR(AND($S12&lt;&gt;"",LOWER(TRIM($S12))&lt;&gt;"n/a",COUNTIF($S$2:$S$528,$S12)&gt;1),AND($T12&lt;&gt;"",LOWER(TRIM($T12))&lt;&gt;"n/a",COUNTIF($T$2:$T$528,$T12)&gt;1),AND($W12&lt;&gt;"",LOWER(TRIM($W12))&lt;&gt;"n/a",COUNTIF($W$2:$W$528,$W12)&gt;1)),"Yes","No"),IF($A12="Cybernet",IF(OR(AND($Y12&lt;&gt;"",LOWER(TRIM($Y12))&lt;&gt;"n/a",COUNTIF($Y$2:$Y$528,$Y12)&gt;1),AND($Z12&lt;&gt;"",LOWER(TRIM($Z12))&lt;&gt;"n/a",COUNTIF($Z$2:$Z$528,$Z12)&gt;1)),"Yes","No"),IF(AND($AL12&lt;&gt;"",LOWER(TRIM($AL12))&lt;&gt;"n/a",COUNTIF($AL$2:$AL$528,$AL12)&gt;1),"Yes","No"))))</f>
        <v>No</v>
      </c>
      <c r="F12" t="str">
        <f>IF($B12&lt;&gt;"Yes","",
IF($A12="Neuron",
IF(OR(
AND($S12&lt;&gt;"",LOWER(TRIM($S12))&lt;&gt;"n/a",COUNTIFS($B$2:$B$528,"Yes",$A$2:$A$528,"Neuron",$S$2:$S$528,$S12)&gt;1),
AND($T12&lt;&gt;"",LOWER(TRIM($T12))&lt;&gt;"n/a",COUNTIFS($B$2:$B$528,"Yes",$A$2:$A$528,"Neuron",$T$2:$T$528,$T12)&gt;1),
AND($W12&lt;&gt;"",LOWER(TRIM($W12))&lt;&gt;"n/a",COUNTIFS($B$2:$B$528,"Yes",$A$2:$A$528,"Neuron",$W$2:$W$528,$W12)&gt;1)
),"Yes","No"),
IF($A12="Cybernet",
IF(OR(
AND($Y12&lt;&gt;"",LOWER(TRIM($Y12))&lt;&gt;"n/a",COUNTIFS($B$2:$B$528,"Yes",$A$2:$A$528,"Cybernet",$Y$2:$Y$528,$Y12)&gt;1),
AND($Z12&lt;&gt;"",LOWER(TRIM($Z12))&lt;&gt;"n/a",COUNTIFS($B$2:$B$528,"Yes",$A$2:$A$528,"Cybernet",$Z$2:$Z$528,$Z12)&gt;1)
),"Yes","No"),
IF(AND($AL12&lt;&gt;"",LOWER(TRIM($AL12))&lt;&gt;"n/a"),
IF(COUNTIFS($B$2:$B$528,"Yes",$A$2:$A$528,$A12,$AL$2:$AL$528,$AL12)&gt;1,"Yes","No"),
"No")
)
)
)</f>
        <v>No</v>
      </c>
      <c r="G12" s="4" t="s">
        <v>1442</v>
      </c>
      <c r="H12" s="4" t="s">
        <v>1442</v>
      </c>
      <c r="I12" s="4"/>
      <c r="J12" s="4" t="s">
        <v>1444</v>
      </c>
      <c r="K12" s="4" t="s">
        <v>1444</v>
      </c>
      <c r="L12" s="4" t="s">
        <v>1444</v>
      </c>
      <c r="M12" s="4"/>
      <c r="N12" s="4"/>
      <c r="O12" s="4"/>
      <c r="P12" s="4"/>
      <c r="Q12" s="4"/>
      <c r="R12" s="4"/>
      <c r="S12" s="4" t="s">
        <v>1515</v>
      </c>
      <c r="T12" s="4" t="s">
        <v>1516</v>
      </c>
      <c r="U12" s="4" t="s">
        <v>1517</v>
      </c>
      <c r="V12" s="4" t="s">
        <v>1441</v>
      </c>
      <c r="W12" s="4" t="s">
        <v>1518</v>
      </c>
      <c r="X12" s="4" t="s">
        <v>1449</v>
      </c>
      <c r="Y12" s="4" t="s">
        <v>1450</v>
      </c>
      <c r="Z12" s="4"/>
      <c r="AA12" s="4" t="s">
        <v>1451</v>
      </c>
      <c r="AB12" s="4"/>
      <c r="AC12" s="4" t="s">
        <v>1519</v>
      </c>
      <c r="AD12" s="4" t="s">
        <v>1450</v>
      </c>
      <c r="AE12" s="8"/>
      <c r="AF12" s="4" t="s">
        <v>1453</v>
      </c>
      <c r="AG12" s="4" t="s">
        <v>1454</v>
      </c>
      <c r="AH12" s="14">
        <v>11</v>
      </c>
      <c r="AI12" s="4" t="s">
        <v>1520</v>
      </c>
      <c r="AJ12" s="4" t="s">
        <v>1456</v>
      </c>
      <c r="AK12" s="4" t="s">
        <v>1457</v>
      </c>
      <c r="AL12" s="4" t="s">
        <v>1519</v>
      </c>
      <c r="AM12" s="4" t="s">
        <v>1345</v>
      </c>
      <c r="AN12" s="4"/>
      <c r="AO12" s="4"/>
      <c r="AP12" s="4"/>
      <c r="AQ12" s="4"/>
      <c r="AR12" s="4" t="s">
        <v>1450</v>
      </c>
      <c r="AS12" s="4" t="s">
        <v>1458</v>
      </c>
      <c r="AT12" s="4" t="s">
        <v>1450</v>
      </c>
      <c r="AU12" s="4" t="s">
        <v>1450</v>
      </c>
      <c r="AV12" s="4" t="s">
        <v>1450</v>
      </c>
      <c r="AW12" s="8" t="s">
        <v>1441</v>
      </c>
      <c r="AX12" s="8" t="s">
        <v>1441</v>
      </c>
      <c r="AY12" s="8"/>
      <c r="AZ12" s="8"/>
      <c r="BA12" s="12">
        <v>46027</v>
      </c>
      <c r="BB12" s="8" t="s">
        <v>1441</v>
      </c>
      <c r="BC12" s="4" t="s">
        <v>1521</v>
      </c>
      <c r="BD12" s="4" t="s">
        <v>1410</v>
      </c>
      <c r="BE12" s="8" t="s">
        <v>1441</v>
      </c>
      <c r="BF12" s="8" t="s">
        <v>1441</v>
      </c>
      <c r="BG12" s="8" t="s">
        <v>1441</v>
      </c>
      <c r="BH12" s="8" t="s">
        <v>1441</v>
      </c>
      <c r="BI12" s="8"/>
      <c r="BJ12" s="8" t="s">
        <v>1441</v>
      </c>
      <c r="BK12" s="8" t="s">
        <v>1460</v>
      </c>
      <c r="BL12" s="4" t="str">
        <f t="shared" si="1"/>
        <v>Epic Beans Relay</v>
      </c>
      <c r="BM12" s="8" t="str">
        <f t="shared" si="2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s="8" t="s">
        <v>1341</v>
      </c>
      <c r="B13" s="8" t="s">
        <v>1441</v>
      </c>
      <c r="C13" s="15" t="s">
        <v>1441</v>
      </c>
      <c r="D13" s="15" t="str">
        <f t="shared" si="0"/>
        <v>No</v>
      </c>
      <c r="E13" s="15" t="str">
        <f>IF($A13="","",IF($A13="Neuron",IF(OR(AND($S13&lt;&gt;"",LOWER(TRIM($S13))&lt;&gt;"n/a",COUNTIF($S$2:$S$528,$S13)&gt;1),AND($T13&lt;&gt;"",LOWER(TRIM($T13))&lt;&gt;"n/a",COUNTIF($T$2:$T$528,$T13)&gt;1),AND($W13&lt;&gt;"",LOWER(TRIM($W13))&lt;&gt;"n/a",COUNTIF($W$2:$W$528,$W13)&gt;1)),"Yes","No"),IF($A13="Cybernet",IF(OR(AND($Y13&lt;&gt;"",LOWER(TRIM($Y13))&lt;&gt;"n/a",COUNTIF($Y$2:$Y$528,$Y13)&gt;1),AND($Z13&lt;&gt;"",LOWER(TRIM($Z13))&lt;&gt;"n/a",COUNTIF($Z$2:$Z$528,$Z13)&gt;1)),"Yes","No"),IF(AND($AL13&lt;&gt;"",LOWER(TRIM($AL13))&lt;&gt;"n/a",COUNTIF($AL$2:$AL$528,$AL13)&gt;1),"Yes","No"))))</f>
        <v>No</v>
      </c>
      <c r="F13" t="str">
        <f>IF($B13&lt;&gt;"Yes","",
IF($A13="Neuron",
IF(OR(
AND($S13&lt;&gt;"",LOWER(TRIM($S13))&lt;&gt;"n/a",COUNTIFS($B$2:$B$528,"Yes",$A$2:$A$528,"Neuron",$S$2:$S$528,$S13)&gt;1),
AND($T13&lt;&gt;"",LOWER(TRIM($T13))&lt;&gt;"n/a",COUNTIFS($B$2:$B$528,"Yes",$A$2:$A$528,"Neuron",$T$2:$T$528,$T13)&gt;1),
AND($W13&lt;&gt;"",LOWER(TRIM($W13))&lt;&gt;"n/a",COUNTIFS($B$2:$B$528,"Yes",$A$2:$A$528,"Neuron",$W$2:$W$528,$W13)&gt;1)
),"Yes","No"),
IF($A13="Cybernet",
IF(OR(
AND($Y13&lt;&gt;"",LOWER(TRIM($Y13))&lt;&gt;"n/a",COUNTIFS($B$2:$B$528,"Yes",$A$2:$A$528,"Cybernet",$Y$2:$Y$528,$Y13)&gt;1),
AND($Z13&lt;&gt;"",LOWER(TRIM($Z13))&lt;&gt;"n/a",COUNTIFS($B$2:$B$528,"Yes",$A$2:$A$528,"Cybernet",$Z$2:$Z$528,$Z13)&gt;1)
),"Yes","No"),
IF(AND($AL13&lt;&gt;"",LOWER(TRIM($AL13))&lt;&gt;"n/a"),
IF(COUNTIFS($B$2:$B$528,"Yes",$A$2:$A$528,$A13,$AL$2:$AL$528,$AL13)&gt;1,"Yes","No"),
"No")
)
)
)</f>
        <v>No</v>
      </c>
      <c r="G13" s="4" t="s">
        <v>1442</v>
      </c>
      <c r="H13" s="4" t="s">
        <v>1442</v>
      </c>
      <c r="I13" s="4"/>
      <c r="J13" s="4" t="s">
        <v>1444</v>
      </c>
      <c r="K13" s="4" t="s">
        <v>1444</v>
      </c>
      <c r="L13" s="4" t="s">
        <v>1444</v>
      </c>
      <c r="M13" s="4"/>
      <c r="N13" s="4"/>
      <c r="O13" s="4"/>
      <c r="P13" s="4"/>
      <c r="Q13" s="4"/>
      <c r="R13" s="4"/>
      <c r="S13" s="4" t="s">
        <v>1522</v>
      </c>
      <c r="T13" s="4" t="s">
        <v>1523</v>
      </c>
      <c r="U13" s="4" t="s">
        <v>1524</v>
      </c>
      <c r="V13" s="4" t="s">
        <v>1441</v>
      </c>
      <c r="W13" s="4" t="s">
        <v>1525</v>
      </c>
      <c r="X13" s="4" t="s">
        <v>1449</v>
      </c>
      <c r="Y13" s="4" t="s">
        <v>1450</v>
      </c>
      <c r="Z13" s="4"/>
      <c r="AA13" s="4" t="s">
        <v>1451</v>
      </c>
      <c r="AB13" s="4"/>
      <c r="AC13" s="4" t="s">
        <v>1526</v>
      </c>
      <c r="AD13" s="4" t="s">
        <v>1450</v>
      </c>
      <c r="AE13" s="8"/>
      <c r="AF13" s="4" t="s">
        <v>1453</v>
      </c>
      <c r="AG13" s="4" t="s">
        <v>1454</v>
      </c>
      <c r="AH13" s="14">
        <v>12</v>
      </c>
      <c r="AI13" s="4" t="s">
        <v>1527</v>
      </c>
      <c r="AJ13" s="4" t="s">
        <v>1456</v>
      </c>
      <c r="AK13" s="4" t="s">
        <v>1457</v>
      </c>
      <c r="AL13" s="4" t="s">
        <v>1526</v>
      </c>
      <c r="AM13" s="4" t="s">
        <v>1345</v>
      </c>
      <c r="AN13" s="4"/>
      <c r="AO13" s="4"/>
      <c r="AP13" s="4"/>
      <c r="AQ13" s="4"/>
      <c r="AR13" s="4" t="s">
        <v>1450</v>
      </c>
      <c r="AS13" s="4" t="s">
        <v>1458</v>
      </c>
      <c r="AT13" s="4" t="s">
        <v>1450</v>
      </c>
      <c r="AU13" s="4" t="s">
        <v>1450</v>
      </c>
      <c r="AV13" s="4" t="s">
        <v>1450</v>
      </c>
      <c r="AW13" s="8" t="s">
        <v>1441</v>
      </c>
      <c r="AX13" s="8" t="s">
        <v>1441</v>
      </c>
      <c r="AY13" s="8"/>
      <c r="AZ13" s="8"/>
      <c r="BA13" s="12">
        <v>46027</v>
      </c>
      <c r="BB13" s="8" t="s">
        <v>1441</v>
      </c>
      <c r="BC13" s="4"/>
      <c r="BD13" s="4" t="s">
        <v>1410</v>
      </c>
      <c r="BE13" s="8" t="s">
        <v>1441</v>
      </c>
      <c r="BF13" s="8" t="s">
        <v>1441</v>
      </c>
      <c r="BG13" s="8" t="s">
        <v>1441</v>
      </c>
      <c r="BH13" s="8" t="s">
        <v>1441</v>
      </c>
      <c r="BI13" s="8"/>
      <c r="BJ13" s="8" t="s">
        <v>1441</v>
      </c>
      <c r="BK13" s="8" t="s">
        <v>1460</v>
      </c>
      <c r="BL13" s="4" t="str">
        <f t="shared" si="1"/>
        <v>Epic Beans Relay</v>
      </c>
      <c r="BM13" s="8" t="str">
        <f t="shared" si="2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s="8" t="s">
        <v>1341</v>
      </c>
      <c r="B14" s="8" t="s">
        <v>1441</v>
      </c>
      <c r="C14" s="15" t="s">
        <v>1441</v>
      </c>
      <c r="D14" s="15" t="str">
        <f t="shared" si="0"/>
        <v>No</v>
      </c>
      <c r="E14" s="15" t="str">
        <f>IF($A14="","",IF($A14="Neuron",IF(OR(AND($S14&lt;&gt;"",LOWER(TRIM($S14))&lt;&gt;"n/a",COUNTIF($S$2:$S$528,$S14)&gt;1),AND($T14&lt;&gt;"",LOWER(TRIM($T14))&lt;&gt;"n/a",COUNTIF($T$2:$T$528,$T14)&gt;1),AND($W14&lt;&gt;"",LOWER(TRIM($W14))&lt;&gt;"n/a",COUNTIF($W$2:$W$528,$W14)&gt;1)),"Yes","No"),IF($A14="Cybernet",IF(OR(AND($Y14&lt;&gt;"",LOWER(TRIM($Y14))&lt;&gt;"n/a",COUNTIF($Y$2:$Y$528,$Y14)&gt;1),AND($Z14&lt;&gt;"",LOWER(TRIM($Z14))&lt;&gt;"n/a",COUNTIF($Z$2:$Z$528,$Z14)&gt;1)),"Yes","No"),IF(AND($AL14&lt;&gt;"",LOWER(TRIM($AL14))&lt;&gt;"n/a",COUNTIF($AL$2:$AL$528,$AL14)&gt;1),"Yes","No"))))</f>
        <v>No</v>
      </c>
      <c r="F14" t="str">
        <f>IF($B14&lt;&gt;"Yes","",
IF($A14="Neuron",
IF(OR(
AND($S14&lt;&gt;"",LOWER(TRIM($S14))&lt;&gt;"n/a",COUNTIFS($B$2:$B$528,"Yes",$A$2:$A$528,"Neuron",$S$2:$S$528,$S14)&gt;1),
AND($T14&lt;&gt;"",LOWER(TRIM($T14))&lt;&gt;"n/a",COUNTIFS($B$2:$B$528,"Yes",$A$2:$A$528,"Neuron",$T$2:$T$528,$T14)&gt;1),
AND($W14&lt;&gt;"",LOWER(TRIM($W14))&lt;&gt;"n/a",COUNTIFS($B$2:$B$528,"Yes",$A$2:$A$528,"Neuron",$W$2:$W$528,$W14)&gt;1)
),"Yes","No"),
IF($A14="Cybernet",
IF(OR(
AND($Y14&lt;&gt;"",LOWER(TRIM($Y14))&lt;&gt;"n/a",COUNTIFS($B$2:$B$528,"Yes",$A$2:$A$528,"Cybernet",$Y$2:$Y$528,$Y14)&gt;1),
AND($Z14&lt;&gt;"",LOWER(TRIM($Z14))&lt;&gt;"n/a",COUNTIFS($B$2:$B$528,"Yes",$A$2:$A$528,"Cybernet",$Z$2:$Z$528,$Z14)&gt;1)
),"Yes","No"),
IF(AND($AL14&lt;&gt;"",LOWER(TRIM($AL14))&lt;&gt;"n/a"),
IF(COUNTIFS($B$2:$B$528,"Yes",$A$2:$A$528,$A14,$AL$2:$AL$528,$AL14)&gt;1,"Yes","No"),
"No")
)
)
)</f>
        <v>No</v>
      </c>
      <c r="G14" s="4" t="s">
        <v>1442</v>
      </c>
      <c r="H14" s="4" t="s">
        <v>1442</v>
      </c>
      <c r="I14" s="4"/>
      <c r="J14" s="4" t="s">
        <v>1444</v>
      </c>
      <c r="K14" s="4" t="s">
        <v>1444</v>
      </c>
      <c r="L14" s="4" t="s">
        <v>1444</v>
      </c>
      <c r="M14" s="4"/>
      <c r="N14" s="4"/>
      <c r="O14" s="4"/>
      <c r="P14" s="4"/>
      <c r="Q14" s="4"/>
      <c r="R14" s="4"/>
      <c r="S14" s="4" t="s">
        <v>1528</v>
      </c>
      <c r="T14" s="4" t="s">
        <v>1529</v>
      </c>
      <c r="U14" s="4" t="s">
        <v>1530</v>
      </c>
      <c r="V14" s="4" t="s">
        <v>1441</v>
      </c>
      <c r="W14" s="4" t="s">
        <v>1531</v>
      </c>
      <c r="X14" s="4" t="s">
        <v>1449</v>
      </c>
      <c r="Y14" s="4" t="s">
        <v>1450</v>
      </c>
      <c r="Z14" s="4"/>
      <c r="AA14" s="4" t="s">
        <v>1451</v>
      </c>
      <c r="AB14" s="4"/>
      <c r="AC14" s="4" t="s">
        <v>1532</v>
      </c>
      <c r="AD14" s="4" t="s">
        <v>1450</v>
      </c>
      <c r="AE14" s="8"/>
      <c r="AF14" s="4" t="s">
        <v>1453</v>
      </c>
      <c r="AG14" s="4" t="s">
        <v>1454</v>
      </c>
      <c r="AH14" s="14">
        <v>13</v>
      </c>
      <c r="AI14" s="4" t="s">
        <v>1533</v>
      </c>
      <c r="AJ14" s="4" t="s">
        <v>1456</v>
      </c>
      <c r="AK14" s="4" t="s">
        <v>1457</v>
      </c>
      <c r="AL14" s="4" t="s">
        <v>1532</v>
      </c>
      <c r="AM14" s="4" t="s">
        <v>1345</v>
      </c>
      <c r="AN14" s="4"/>
      <c r="AO14" s="4"/>
      <c r="AP14" s="4"/>
      <c r="AQ14" s="4"/>
      <c r="AR14" s="4" t="s">
        <v>1450</v>
      </c>
      <c r="AS14" s="4" t="s">
        <v>1458</v>
      </c>
      <c r="AT14" s="4" t="s">
        <v>1450</v>
      </c>
      <c r="AU14" s="4" t="s">
        <v>1450</v>
      </c>
      <c r="AV14" s="4" t="s">
        <v>1450</v>
      </c>
      <c r="AW14" s="8" t="s">
        <v>1441</v>
      </c>
      <c r="AX14" s="8" t="s">
        <v>1441</v>
      </c>
      <c r="AY14" s="8"/>
      <c r="AZ14" s="8"/>
      <c r="BA14" s="12">
        <v>46027</v>
      </c>
      <c r="BB14" s="8" t="s">
        <v>1441</v>
      </c>
      <c r="BC14" s="4"/>
      <c r="BD14" s="4" t="s">
        <v>1410</v>
      </c>
      <c r="BE14" s="8" t="s">
        <v>1441</v>
      </c>
      <c r="BF14" s="8" t="s">
        <v>1441</v>
      </c>
      <c r="BG14" s="8" t="s">
        <v>1441</v>
      </c>
      <c r="BH14" s="8" t="s">
        <v>1441</v>
      </c>
      <c r="BI14" s="8"/>
      <c r="BJ14" s="8" t="s">
        <v>1441</v>
      </c>
      <c r="BK14" s="8" t="s">
        <v>1460</v>
      </c>
      <c r="BL14" s="4" t="str">
        <f t="shared" si="1"/>
        <v>Epic Beans Relay</v>
      </c>
      <c r="BM14" s="8" t="str">
        <f t="shared" si="2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s="8" t="s">
        <v>1341</v>
      </c>
      <c r="B15" s="8" t="s">
        <v>1441</v>
      </c>
      <c r="C15" s="15" t="s">
        <v>1441</v>
      </c>
      <c r="D15" s="15" t="str">
        <f t="shared" si="0"/>
        <v>No</v>
      </c>
      <c r="E15" s="15" t="str">
        <f>IF($A15="","",IF($A15="Neuron",IF(OR(AND($S15&lt;&gt;"",LOWER(TRIM($S15))&lt;&gt;"n/a",COUNTIF($S$2:$S$528,$S15)&gt;1),AND($T15&lt;&gt;"",LOWER(TRIM($T15))&lt;&gt;"n/a",COUNTIF($T$2:$T$528,$T15)&gt;1),AND($W15&lt;&gt;"",LOWER(TRIM($W15))&lt;&gt;"n/a",COUNTIF($W$2:$W$528,$W15)&gt;1)),"Yes","No"),IF($A15="Cybernet",IF(OR(AND($Y15&lt;&gt;"",LOWER(TRIM($Y15))&lt;&gt;"n/a",COUNTIF($Y$2:$Y$528,$Y15)&gt;1),AND($Z15&lt;&gt;"",LOWER(TRIM($Z15))&lt;&gt;"n/a",COUNTIF($Z$2:$Z$528,$Z15)&gt;1)),"Yes","No"),IF(AND($AL15&lt;&gt;"",LOWER(TRIM($AL15))&lt;&gt;"n/a",COUNTIF($AL$2:$AL$528,$AL15)&gt;1),"Yes","No"))))</f>
        <v>No</v>
      </c>
      <c r="F15" t="str">
        <f>IF($B15&lt;&gt;"Yes","",
IF($A15="Neuron",
IF(OR(
AND($S15&lt;&gt;"",LOWER(TRIM($S15))&lt;&gt;"n/a",COUNTIFS($B$2:$B$528,"Yes",$A$2:$A$528,"Neuron",$S$2:$S$528,$S15)&gt;1),
AND($T15&lt;&gt;"",LOWER(TRIM($T15))&lt;&gt;"n/a",COUNTIFS($B$2:$B$528,"Yes",$A$2:$A$528,"Neuron",$T$2:$T$528,$T15)&gt;1),
AND($W15&lt;&gt;"",LOWER(TRIM($W15))&lt;&gt;"n/a",COUNTIFS($B$2:$B$528,"Yes",$A$2:$A$528,"Neuron",$W$2:$W$528,$W15)&gt;1)
),"Yes","No"),
IF($A15="Cybernet",
IF(OR(
AND($Y15&lt;&gt;"",LOWER(TRIM($Y15))&lt;&gt;"n/a",COUNTIFS($B$2:$B$528,"Yes",$A$2:$A$528,"Cybernet",$Y$2:$Y$528,$Y15)&gt;1),
AND($Z15&lt;&gt;"",LOWER(TRIM($Z15))&lt;&gt;"n/a",COUNTIFS($B$2:$B$528,"Yes",$A$2:$A$528,"Cybernet",$Z$2:$Z$528,$Z15)&gt;1)
),"Yes","No"),
IF(AND($AL15&lt;&gt;"",LOWER(TRIM($AL15))&lt;&gt;"n/a"),
IF(COUNTIFS($B$2:$B$528,"Yes",$A$2:$A$528,$A15,$AL$2:$AL$528,$AL15)&gt;1,"Yes","No"),
"No")
)
)
)</f>
        <v>No</v>
      </c>
      <c r="G15" s="4" t="s">
        <v>1442</v>
      </c>
      <c r="H15" s="4" t="s">
        <v>1442</v>
      </c>
      <c r="I15" s="4"/>
      <c r="J15" s="4" t="s">
        <v>1444</v>
      </c>
      <c r="K15" s="4" t="s">
        <v>1444</v>
      </c>
      <c r="L15" s="4" t="s">
        <v>1444</v>
      </c>
      <c r="M15" s="4"/>
      <c r="N15" s="4"/>
      <c r="O15" s="4"/>
      <c r="P15" s="4"/>
      <c r="Q15" s="4"/>
      <c r="R15" s="4"/>
      <c r="S15" s="4" t="s">
        <v>1534</v>
      </c>
      <c r="T15" s="4" t="s">
        <v>1535</v>
      </c>
      <c r="U15" s="4" t="s">
        <v>1536</v>
      </c>
      <c r="V15" s="4" t="s">
        <v>1441</v>
      </c>
      <c r="W15" s="4" t="s">
        <v>1537</v>
      </c>
      <c r="X15" s="4" t="s">
        <v>1449</v>
      </c>
      <c r="Y15" s="4" t="s">
        <v>1450</v>
      </c>
      <c r="Z15" s="4"/>
      <c r="AA15" s="4" t="s">
        <v>1451</v>
      </c>
      <c r="AB15" s="4"/>
      <c r="AC15" s="4" t="s">
        <v>1538</v>
      </c>
      <c r="AD15" s="4" t="s">
        <v>1450</v>
      </c>
      <c r="AE15" s="8"/>
      <c r="AF15" s="4" t="s">
        <v>1453</v>
      </c>
      <c r="AG15" s="4" t="s">
        <v>1454</v>
      </c>
      <c r="AH15" s="14">
        <v>14</v>
      </c>
      <c r="AI15" s="4" t="s">
        <v>1539</v>
      </c>
      <c r="AJ15" s="4" t="s">
        <v>1456</v>
      </c>
      <c r="AK15" s="2" t="s">
        <v>1457</v>
      </c>
      <c r="AL15" t="s">
        <v>1538</v>
      </c>
      <c r="AM15" t="s">
        <v>1345</v>
      </c>
      <c r="AR15" t="s">
        <v>1450</v>
      </c>
      <c r="AS15" t="s">
        <v>1458</v>
      </c>
      <c r="AT15" t="s">
        <v>1450</v>
      </c>
      <c r="AU15" t="s">
        <v>1450</v>
      </c>
      <c r="AV15" t="s">
        <v>1450</v>
      </c>
      <c r="AW15" s="8" t="s">
        <v>1441</v>
      </c>
      <c r="AX15" s="8" t="s">
        <v>1441</v>
      </c>
      <c r="AY15" s="8"/>
      <c r="AZ15" s="8"/>
      <c r="BA15" s="12">
        <v>46027</v>
      </c>
      <c r="BB15" s="8" t="s">
        <v>1441</v>
      </c>
      <c r="BC15" s="4"/>
      <c r="BD15" s="4" t="s">
        <v>1410</v>
      </c>
      <c r="BE15" s="8" t="s">
        <v>1441</v>
      </c>
      <c r="BF15" s="8" t="s">
        <v>1441</v>
      </c>
      <c r="BG15" s="8" t="s">
        <v>1441</v>
      </c>
      <c r="BH15" s="8" t="s">
        <v>1441</v>
      </c>
      <c r="BI15" s="8"/>
      <c r="BJ15" s="8" t="s">
        <v>1441</v>
      </c>
      <c r="BK15" s="8" t="s">
        <v>1460</v>
      </c>
      <c r="BL15" s="4" t="str">
        <f t="shared" si="1"/>
        <v>Epic Beans Relay</v>
      </c>
      <c r="BM15" s="8" t="str">
        <f t="shared" si="2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s="8" t="s">
        <v>1341</v>
      </c>
      <c r="B16" s="8" t="s">
        <v>1441</v>
      </c>
      <c r="C16" s="15" t="s">
        <v>1441</v>
      </c>
      <c r="D16" s="15" t="str">
        <f t="shared" si="0"/>
        <v>No</v>
      </c>
      <c r="E16" s="15" t="str">
        <f>IF($A16="","",IF($A16="Neuron",IF(OR(AND($S16&lt;&gt;"",LOWER(TRIM($S16))&lt;&gt;"n/a",COUNTIF($S$2:$S$528,$S16)&gt;1),AND($T16&lt;&gt;"",LOWER(TRIM($T16))&lt;&gt;"n/a",COUNTIF($T$2:$T$528,$T16)&gt;1),AND($W16&lt;&gt;"",LOWER(TRIM($W16))&lt;&gt;"n/a",COUNTIF($W$2:$W$528,$W16)&gt;1)),"Yes","No"),IF($A16="Cybernet",IF(OR(AND($Y16&lt;&gt;"",LOWER(TRIM($Y16))&lt;&gt;"n/a",COUNTIF($Y$2:$Y$528,$Y16)&gt;1),AND($Z16&lt;&gt;"",LOWER(TRIM($Z16))&lt;&gt;"n/a",COUNTIF($Z$2:$Z$528,$Z16)&gt;1)),"Yes","No"),IF(AND($AL16&lt;&gt;"",LOWER(TRIM($AL16))&lt;&gt;"n/a",COUNTIF($AL$2:$AL$528,$AL16)&gt;1),"Yes","No"))))</f>
        <v>No</v>
      </c>
      <c r="F16" t="str">
        <f>IF($B16&lt;&gt;"Yes","",
IF($A16="Neuron",
IF(OR(
AND($S16&lt;&gt;"",LOWER(TRIM($S16))&lt;&gt;"n/a",COUNTIFS($B$2:$B$528,"Yes",$A$2:$A$528,"Neuron",$S$2:$S$528,$S16)&gt;1),
AND($T16&lt;&gt;"",LOWER(TRIM($T16))&lt;&gt;"n/a",COUNTIFS($B$2:$B$528,"Yes",$A$2:$A$528,"Neuron",$T$2:$T$528,$T16)&gt;1),
AND($W16&lt;&gt;"",LOWER(TRIM($W16))&lt;&gt;"n/a",COUNTIFS($B$2:$B$528,"Yes",$A$2:$A$528,"Neuron",$W$2:$W$528,$W16)&gt;1)
),"Yes","No"),
IF($A16="Cybernet",
IF(OR(
AND($Y16&lt;&gt;"",LOWER(TRIM($Y16))&lt;&gt;"n/a",COUNTIFS($B$2:$B$528,"Yes",$A$2:$A$528,"Cybernet",$Y$2:$Y$528,$Y16)&gt;1),
AND($Z16&lt;&gt;"",LOWER(TRIM($Z16))&lt;&gt;"n/a",COUNTIFS($B$2:$B$528,"Yes",$A$2:$A$528,"Cybernet",$Z$2:$Z$528,$Z16)&gt;1)
),"Yes","No"),
IF(AND($AL16&lt;&gt;"",LOWER(TRIM($AL16))&lt;&gt;"n/a"),
IF(COUNTIFS($B$2:$B$528,"Yes",$A$2:$A$528,$A16,$AL$2:$AL$528,$AL16)&gt;1,"Yes","No"),
"No")
)
)
)</f>
        <v>No</v>
      </c>
      <c r="G16" s="4" t="s">
        <v>1442</v>
      </c>
      <c r="H16" s="4" t="s">
        <v>1442</v>
      </c>
      <c r="I16" s="4"/>
      <c r="J16" s="4" t="s">
        <v>1444</v>
      </c>
      <c r="K16" s="4" t="s">
        <v>1444</v>
      </c>
      <c r="L16" s="4" t="s">
        <v>1444</v>
      </c>
      <c r="M16" s="4"/>
      <c r="N16" s="4"/>
      <c r="O16" s="4"/>
      <c r="P16" s="4"/>
      <c r="Q16" s="4"/>
      <c r="R16" s="4"/>
      <c r="S16" s="4" t="s">
        <v>1540</v>
      </c>
      <c r="T16" s="4" t="s">
        <v>1541</v>
      </c>
      <c r="U16" s="4" t="s">
        <v>1542</v>
      </c>
      <c r="V16" s="4" t="s">
        <v>1441</v>
      </c>
      <c r="W16" s="4" t="s">
        <v>1543</v>
      </c>
      <c r="X16" s="4" t="s">
        <v>1449</v>
      </c>
      <c r="Y16" s="4" t="s">
        <v>1450</v>
      </c>
      <c r="Z16" s="4"/>
      <c r="AA16" s="4" t="s">
        <v>1451</v>
      </c>
      <c r="AB16" s="4"/>
      <c r="AC16" s="4" t="s">
        <v>1544</v>
      </c>
      <c r="AD16" s="4" t="s">
        <v>1450</v>
      </c>
      <c r="AE16" s="8"/>
      <c r="AF16" s="4" t="s">
        <v>1453</v>
      </c>
      <c r="AG16" s="4" t="s">
        <v>1454</v>
      </c>
      <c r="AH16" s="14">
        <v>15</v>
      </c>
      <c r="AI16" s="4" t="s">
        <v>1545</v>
      </c>
      <c r="AJ16" s="4" t="s">
        <v>1456</v>
      </c>
      <c r="AK16" s="4" t="s">
        <v>1457</v>
      </c>
      <c r="AL16" s="4" t="s">
        <v>1544</v>
      </c>
      <c r="AM16" s="4" t="s">
        <v>1345</v>
      </c>
      <c r="AN16" s="4"/>
      <c r="AO16" s="4"/>
      <c r="AP16" s="4"/>
      <c r="AQ16" s="4"/>
      <c r="AR16" s="4" t="s">
        <v>1450</v>
      </c>
      <c r="AS16" s="4" t="s">
        <v>1458</v>
      </c>
      <c r="AT16" s="4" t="s">
        <v>1450</v>
      </c>
      <c r="AU16" s="4" t="s">
        <v>1450</v>
      </c>
      <c r="AV16" s="4" t="s">
        <v>1450</v>
      </c>
      <c r="AW16" s="8" t="s">
        <v>1441</v>
      </c>
      <c r="AX16" s="8" t="s">
        <v>1441</v>
      </c>
      <c r="AY16" s="8"/>
      <c r="AZ16" s="8"/>
      <c r="BA16" s="12">
        <v>46027</v>
      </c>
      <c r="BB16" s="8" t="s">
        <v>1441</v>
      </c>
      <c r="BC16" s="4"/>
      <c r="BD16" s="4" t="s">
        <v>1410</v>
      </c>
      <c r="BE16" s="8" t="s">
        <v>1441</v>
      </c>
      <c r="BF16" s="8" t="s">
        <v>1441</v>
      </c>
      <c r="BG16" s="8" t="s">
        <v>1441</v>
      </c>
      <c r="BH16" s="8" t="s">
        <v>1441</v>
      </c>
      <c r="BI16" s="8"/>
      <c r="BJ16" s="8" t="s">
        <v>1441</v>
      </c>
      <c r="BK16" s="8" t="s">
        <v>1460</v>
      </c>
      <c r="BL16" s="4" t="str">
        <f t="shared" si="1"/>
        <v>Epic Beans Relay</v>
      </c>
      <c r="BM16" s="8" t="str">
        <f t="shared" si="2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s="8" t="s">
        <v>1341</v>
      </c>
      <c r="B17" s="8" t="s">
        <v>1441</v>
      </c>
      <c r="C17" s="15" t="s">
        <v>1441</v>
      </c>
      <c r="D17" s="15" t="str">
        <f t="shared" si="0"/>
        <v>No</v>
      </c>
      <c r="E17" s="15" t="str">
        <f>IF($A17="","",IF($A17="Neuron",IF(OR(AND($S17&lt;&gt;"",LOWER(TRIM($S17))&lt;&gt;"n/a",COUNTIF($S$2:$S$528,$S17)&gt;1),AND($T17&lt;&gt;"",LOWER(TRIM($T17))&lt;&gt;"n/a",COUNTIF($T$2:$T$528,$T17)&gt;1),AND($W17&lt;&gt;"",LOWER(TRIM($W17))&lt;&gt;"n/a",COUNTIF($W$2:$W$528,$W17)&gt;1)),"Yes","No"),IF($A17="Cybernet",IF(OR(AND($Y17&lt;&gt;"",LOWER(TRIM($Y17))&lt;&gt;"n/a",COUNTIF($Y$2:$Y$528,$Y17)&gt;1),AND($Z17&lt;&gt;"",LOWER(TRIM($Z17))&lt;&gt;"n/a",COUNTIF($Z$2:$Z$528,$Z17)&gt;1)),"Yes","No"),IF(AND($AL17&lt;&gt;"",LOWER(TRIM($AL17))&lt;&gt;"n/a",COUNTIF($AL$2:$AL$528,$AL17)&gt;1),"Yes","No"))))</f>
        <v>No</v>
      </c>
      <c r="F17" t="str">
        <f>IF($B17&lt;&gt;"Yes","",
IF($A17="Neuron",
IF(OR(
AND($S17&lt;&gt;"",LOWER(TRIM($S17))&lt;&gt;"n/a",COUNTIFS($B$2:$B$528,"Yes",$A$2:$A$528,"Neuron",$S$2:$S$528,$S17)&gt;1),
AND($T17&lt;&gt;"",LOWER(TRIM($T17))&lt;&gt;"n/a",COUNTIFS($B$2:$B$528,"Yes",$A$2:$A$528,"Neuron",$T$2:$T$528,$T17)&gt;1),
AND($W17&lt;&gt;"",LOWER(TRIM($W17))&lt;&gt;"n/a",COUNTIFS($B$2:$B$528,"Yes",$A$2:$A$528,"Neuron",$W$2:$W$528,$W17)&gt;1)
),"Yes","No"),
IF($A17="Cybernet",
IF(OR(
AND($Y17&lt;&gt;"",LOWER(TRIM($Y17))&lt;&gt;"n/a",COUNTIFS($B$2:$B$528,"Yes",$A$2:$A$528,"Cybernet",$Y$2:$Y$528,$Y17)&gt;1),
AND($Z17&lt;&gt;"",LOWER(TRIM($Z17))&lt;&gt;"n/a",COUNTIFS($B$2:$B$528,"Yes",$A$2:$A$528,"Cybernet",$Z$2:$Z$528,$Z17)&gt;1)
),"Yes","No"),
IF(AND($AL17&lt;&gt;"",LOWER(TRIM($AL17))&lt;&gt;"n/a"),
IF(COUNTIFS($B$2:$B$528,"Yes",$A$2:$A$528,$A17,$AL$2:$AL$528,$AL17)&gt;1,"Yes","No"),
"No")
)
)
)</f>
        <v>No</v>
      </c>
      <c r="G17" s="4" t="s">
        <v>1442</v>
      </c>
      <c r="H17" s="4" t="s">
        <v>1442</v>
      </c>
      <c r="I17" s="4"/>
      <c r="J17" s="4" t="s">
        <v>1444</v>
      </c>
      <c r="K17" s="4" t="s">
        <v>1444</v>
      </c>
      <c r="L17" s="4" t="s">
        <v>1444</v>
      </c>
      <c r="M17" s="4"/>
      <c r="N17" s="4"/>
      <c r="O17" s="4"/>
      <c r="P17" s="4"/>
      <c r="Q17" s="4"/>
      <c r="R17" s="4"/>
      <c r="S17" s="4" t="s">
        <v>1546</v>
      </c>
      <c r="T17" s="4" t="s">
        <v>1547</v>
      </c>
      <c r="U17" s="4" t="s">
        <v>1548</v>
      </c>
      <c r="V17" s="4" t="s">
        <v>1441</v>
      </c>
      <c r="W17" s="4" t="s">
        <v>1549</v>
      </c>
      <c r="X17" s="4" t="s">
        <v>1449</v>
      </c>
      <c r="Y17" s="4" t="s">
        <v>1450</v>
      </c>
      <c r="Z17" s="4"/>
      <c r="AA17" s="4" t="s">
        <v>1451</v>
      </c>
      <c r="AB17" s="4"/>
      <c r="AC17" s="4" t="s">
        <v>1550</v>
      </c>
      <c r="AD17" s="4" t="s">
        <v>1450</v>
      </c>
      <c r="AE17" s="8"/>
      <c r="AF17" s="4" t="s">
        <v>1453</v>
      </c>
      <c r="AG17" s="4" t="s">
        <v>1454</v>
      </c>
      <c r="AH17" s="14">
        <v>16</v>
      </c>
      <c r="AI17" s="4" t="s">
        <v>1551</v>
      </c>
      <c r="AJ17" s="4" t="s">
        <v>1456</v>
      </c>
      <c r="AK17" s="4" t="s">
        <v>1457</v>
      </c>
      <c r="AL17" s="4" t="s">
        <v>1550</v>
      </c>
      <c r="AM17" s="4" t="s">
        <v>1345</v>
      </c>
      <c r="AN17" s="4"/>
      <c r="AO17" s="4"/>
      <c r="AP17" s="4"/>
      <c r="AQ17" s="4"/>
      <c r="AR17" s="4" t="s">
        <v>1450</v>
      </c>
      <c r="AS17" s="4" t="s">
        <v>1458</v>
      </c>
      <c r="AT17" s="4" t="s">
        <v>1450</v>
      </c>
      <c r="AU17" s="4" t="s">
        <v>1450</v>
      </c>
      <c r="AV17" s="4" t="s">
        <v>1450</v>
      </c>
      <c r="AW17" s="8" t="s">
        <v>1441</v>
      </c>
      <c r="AX17" s="8" t="s">
        <v>1441</v>
      </c>
      <c r="AY17" s="8"/>
      <c r="AZ17" s="8"/>
      <c r="BA17" s="12">
        <v>46027</v>
      </c>
      <c r="BB17" s="8" t="s">
        <v>1441</v>
      </c>
      <c r="BC17" s="4"/>
      <c r="BD17" s="4" t="s">
        <v>1410</v>
      </c>
      <c r="BE17" s="8" t="s">
        <v>1441</v>
      </c>
      <c r="BF17" s="8" t="s">
        <v>1441</v>
      </c>
      <c r="BG17" s="8" t="s">
        <v>1441</v>
      </c>
      <c r="BH17" s="8" t="s">
        <v>1441</v>
      </c>
      <c r="BI17" s="8"/>
      <c r="BJ17" s="8" t="s">
        <v>1441</v>
      </c>
      <c r="BK17" s="8" t="s">
        <v>1460</v>
      </c>
      <c r="BL17" s="4" t="str">
        <f t="shared" si="1"/>
        <v>Epic Beans Relay</v>
      </c>
      <c r="BM17" s="8" t="str">
        <f t="shared" si="2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s="8" t="s">
        <v>1341</v>
      </c>
      <c r="B18" s="8" t="s">
        <v>1441</v>
      </c>
      <c r="C18" s="15" t="s">
        <v>1441</v>
      </c>
      <c r="D18" s="15" t="str">
        <f t="shared" si="0"/>
        <v>No</v>
      </c>
      <c r="E18" s="15" t="str">
        <f>IF($A18="","",IF($A18="Neuron",IF(OR(AND($S18&lt;&gt;"",LOWER(TRIM($S18))&lt;&gt;"n/a",COUNTIF($S$2:$S$528,$S18)&gt;1),AND($T18&lt;&gt;"",LOWER(TRIM($T18))&lt;&gt;"n/a",COUNTIF($T$2:$T$528,$T18)&gt;1),AND($W18&lt;&gt;"",LOWER(TRIM($W18))&lt;&gt;"n/a",COUNTIF($W$2:$W$528,$W18)&gt;1)),"Yes","No"),IF($A18="Cybernet",IF(OR(AND($Y18&lt;&gt;"",LOWER(TRIM($Y18))&lt;&gt;"n/a",COUNTIF($Y$2:$Y$528,$Y18)&gt;1),AND($Z18&lt;&gt;"",LOWER(TRIM($Z18))&lt;&gt;"n/a",COUNTIF($Z$2:$Z$528,$Z18)&gt;1)),"Yes","No"),IF(AND($AL18&lt;&gt;"",LOWER(TRIM($AL18))&lt;&gt;"n/a",COUNTIF($AL$2:$AL$528,$AL18)&gt;1),"Yes","No"))))</f>
        <v>No</v>
      </c>
      <c r="F18" t="str">
        <f>IF($B18&lt;&gt;"Yes","",
IF($A18="Neuron",
IF(OR(
AND($S18&lt;&gt;"",LOWER(TRIM($S18))&lt;&gt;"n/a",COUNTIFS($B$2:$B$528,"Yes",$A$2:$A$528,"Neuron",$S$2:$S$528,$S18)&gt;1),
AND($T18&lt;&gt;"",LOWER(TRIM($T18))&lt;&gt;"n/a",COUNTIFS($B$2:$B$528,"Yes",$A$2:$A$528,"Neuron",$T$2:$T$528,$T18)&gt;1),
AND($W18&lt;&gt;"",LOWER(TRIM($W18))&lt;&gt;"n/a",COUNTIFS($B$2:$B$528,"Yes",$A$2:$A$528,"Neuron",$W$2:$W$528,$W18)&gt;1)
),"Yes","No"),
IF($A18="Cybernet",
IF(OR(
AND($Y18&lt;&gt;"",LOWER(TRIM($Y18))&lt;&gt;"n/a",COUNTIFS($B$2:$B$528,"Yes",$A$2:$A$528,"Cybernet",$Y$2:$Y$528,$Y18)&gt;1),
AND($Z18&lt;&gt;"",LOWER(TRIM($Z18))&lt;&gt;"n/a",COUNTIFS($B$2:$B$528,"Yes",$A$2:$A$528,"Cybernet",$Z$2:$Z$528,$Z18)&gt;1)
),"Yes","No"),
IF(AND($AL18&lt;&gt;"",LOWER(TRIM($AL18))&lt;&gt;"n/a"),
IF(COUNTIFS($B$2:$B$528,"Yes",$A$2:$A$528,$A18,$AL$2:$AL$528,$AL18)&gt;1,"Yes","No"),
"No")
)
)
)</f>
        <v>No</v>
      </c>
      <c r="G18" s="4" t="s">
        <v>1442</v>
      </c>
      <c r="H18" s="4" t="s">
        <v>1442</v>
      </c>
      <c r="I18" s="4"/>
      <c r="J18" s="4" t="s">
        <v>1444</v>
      </c>
      <c r="K18" s="4" t="s">
        <v>1444</v>
      </c>
      <c r="L18" s="4" t="s">
        <v>1444</v>
      </c>
      <c r="M18" s="4"/>
      <c r="N18" s="4"/>
      <c r="O18" s="4"/>
      <c r="P18" s="4"/>
      <c r="Q18" s="4"/>
      <c r="R18" s="4"/>
      <c r="S18" s="4" t="s">
        <v>1552</v>
      </c>
      <c r="T18" s="4" t="s">
        <v>1553</v>
      </c>
      <c r="U18" s="4" t="s">
        <v>1554</v>
      </c>
      <c r="V18" s="4" t="s">
        <v>1441</v>
      </c>
      <c r="W18" s="4" t="s">
        <v>1555</v>
      </c>
      <c r="X18" s="4" t="s">
        <v>1449</v>
      </c>
      <c r="Y18" s="4" t="s">
        <v>1450</v>
      </c>
      <c r="Z18" s="4"/>
      <c r="AA18" s="4" t="s">
        <v>1451</v>
      </c>
      <c r="AB18" s="4"/>
      <c r="AC18" s="4" t="s">
        <v>1556</v>
      </c>
      <c r="AD18" s="4" t="s">
        <v>1450</v>
      </c>
      <c r="AE18" s="8"/>
      <c r="AF18" s="4" t="s">
        <v>1453</v>
      </c>
      <c r="AG18" s="4" t="s">
        <v>1454</v>
      </c>
      <c r="AH18" s="14">
        <v>17</v>
      </c>
      <c r="AI18" s="4" t="s">
        <v>1557</v>
      </c>
      <c r="AJ18" s="4" t="s">
        <v>1456</v>
      </c>
      <c r="AK18" s="4" t="s">
        <v>1457</v>
      </c>
      <c r="AL18" s="4" t="s">
        <v>1556</v>
      </c>
      <c r="AM18" s="4" t="s">
        <v>1345</v>
      </c>
      <c r="AN18" s="4"/>
      <c r="AO18" s="4"/>
      <c r="AP18" s="4"/>
      <c r="AQ18" s="4"/>
      <c r="AR18" s="4" t="s">
        <v>1450</v>
      </c>
      <c r="AS18" s="4" t="s">
        <v>1458</v>
      </c>
      <c r="AT18" s="4" t="s">
        <v>1450</v>
      </c>
      <c r="AU18" s="4" t="s">
        <v>1450</v>
      </c>
      <c r="AV18" s="4" t="s">
        <v>1450</v>
      </c>
      <c r="AW18" s="8" t="s">
        <v>1441</v>
      </c>
      <c r="AX18" s="8" t="s">
        <v>1441</v>
      </c>
      <c r="AY18" s="8"/>
      <c r="AZ18" s="8"/>
      <c r="BA18" s="12">
        <v>46027</v>
      </c>
      <c r="BB18" s="8" t="s">
        <v>1441</v>
      </c>
      <c r="BC18" s="4"/>
      <c r="BD18" s="4" t="s">
        <v>1410</v>
      </c>
      <c r="BE18" s="8" t="s">
        <v>1441</v>
      </c>
      <c r="BF18" s="8" t="s">
        <v>1441</v>
      </c>
      <c r="BG18" s="8" t="s">
        <v>1441</v>
      </c>
      <c r="BH18" s="8" t="s">
        <v>1441</v>
      </c>
      <c r="BI18" s="8"/>
      <c r="BJ18" s="8" t="s">
        <v>1441</v>
      </c>
      <c r="BK18" s="8" t="s">
        <v>1460</v>
      </c>
      <c r="BL18" s="4" t="str">
        <f t="shared" si="1"/>
        <v>Epic Beans Relay</v>
      </c>
      <c r="BM18" s="8" t="str">
        <f t="shared" si="2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s="8" t="s">
        <v>1341</v>
      </c>
      <c r="B19" s="8" t="s">
        <v>1441</v>
      </c>
      <c r="C19" s="15" t="s">
        <v>1441</v>
      </c>
      <c r="D19" s="15" t="str">
        <f t="shared" si="0"/>
        <v>No</v>
      </c>
      <c r="E19" s="15" t="str">
        <f>IF($A19="","",IF($A19="Neuron",IF(OR(AND($S19&lt;&gt;"",LOWER(TRIM($S19))&lt;&gt;"n/a",COUNTIF($S$2:$S$528,$S19)&gt;1),AND($T19&lt;&gt;"",LOWER(TRIM($T19))&lt;&gt;"n/a",COUNTIF($T$2:$T$528,$T19)&gt;1),AND($W19&lt;&gt;"",LOWER(TRIM($W19))&lt;&gt;"n/a",COUNTIF($W$2:$W$528,$W19)&gt;1)),"Yes","No"),IF($A19="Cybernet",IF(OR(AND($Y19&lt;&gt;"",LOWER(TRIM($Y19))&lt;&gt;"n/a",COUNTIF($Y$2:$Y$528,$Y19)&gt;1),AND($Z19&lt;&gt;"",LOWER(TRIM($Z19))&lt;&gt;"n/a",COUNTIF($Z$2:$Z$528,$Z19)&gt;1)),"Yes","No"),IF(AND($AL19&lt;&gt;"",LOWER(TRIM($AL19))&lt;&gt;"n/a",COUNTIF($AL$2:$AL$528,$AL19)&gt;1),"Yes","No"))))</f>
        <v>No</v>
      </c>
      <c r="F19" t="str">
        <f>IF($B19&lt;&gt;"Yes","",
IF($A19="Neuron",
IF(OR(
AND($S19&lt;&gt;"",LOWER(TRIM($S19))&lt;&gt;"n/a",COUNTIFS($B$2:$B$528,"Yes",$A$2:$A$528,"Neuron",$S$2:$S$528,$S19)&gt;1),
AND($T19&lt;&gt;"",LOWER(TRIM($T19))&lt;&gt;"n/a",COUNTIFS($B$2:$B$528,"Yes",$A$2:$A$528,"Neuron",$T$2:$T$528,$T19)&gt;1),
AND($W19&lt;&gt;"",LOWER(TRIM($W19))&lt;&gt;"n/a",COUNTIFS($B$2:$B$528,"Yes",$A$2:$A$528,"Neuron",$W$2:$W$528,$W19)&gt;1)
),"Yes","No"),
IF($A19="Cybernet",
IF(OR(
AND($Y19&lt;&gt;"",LOWER(TRIM($Y19))&lt;&gt;"n/a",COUNTIFS($B$2:$B$528,"Yes",$A$2:$A$528,"Cybernet",$Y$2:$Y$528,$Y19)&gt;1),
AND($Z19&lt;&gt;"",LOWER(TRIM($Z19))&lt;&gt;"n/a",COUNTIFS($B$2:$B$528,"Yes",$A$2:$A$528,"Cybernet",$Z$2:$Z$528,$Z19)&gt;1)
),"Yes","No"),
IF(AND($AL19&lt;&gt;"",LOWER(TRIM($AL19))&lt;&gt;"n/a"),
IF(COUNTIFS($B$2:$B$528,"Yes",$A$2:$A$528,$A19,$AL$2:$AL$528,$AL19)&gt;1,"Yes","No"),
"No")
)
)
)</f>
        <v>No</v>
      </c>
      <c r="G19" s="4" t="s">
        <v>1442</v>
      </c>
      <c r="H19" s="4" t="s">
        <v>1442</v>
      </c>
      <c r="I19" s="4"/>
      <c r="J19" s="4" t="s">
        <v>1444</v>
      </c>
      <c r="K19" s="4" t="s">
        <v>1444</v>
      </c>
      <c r="L19" s="4" t="s">
        <v>1444</v>
      </c>
      <c r="M19" s="4"/>
      <c r="N19" s="4"/>
      <c r="O19" s="4"/>
      <c r="P19" s="4"/>
      <c r="Q19" s="4"/>
      <c r="R19" s="4"/>
      <c r="S19" s="4" t="s">
        <v>1558</v>
      </c>
      <c r="T19" s="4" t="s">
        <v>1559</v>
      </c>
      <c r="U19" s="4" t="s">
        <v>1560</v>
      </c>
      <c r="V19" s="4" t="s">
        <v>1441</v>
      </c>
      <c r="W19" s="4" t="s">
        <v>1561</v>
      </c>
      <c r="X19" s="4" t="s">
        <v>1449</v>
      </c>
      <c r="Y19" s="4" t="s">
        <v>1450</v>
      </c>
      <c r="Z19" s="4"/>
      <c r="AA19" s="4" t="s">
        <v>1451</v>
      </c>
      <c r="AB19" s="4"/>
      <c r="AC19" s="4" t="s">
        <v>1562</v>
      </c>
      <c r="AD19" s="4" t="s">
        <v>1450</v>
      </c>
      <c r="AE19" s="8"/>
      <c r="AF19" s="4" t="s">
        <v>1453</v>
      </c>
      <c r="AG19" s="4" t="s">
        <v>1454</v>
      </c>
      <c r="AH19" s="14">
        <v>18</v>
      </c>
      <c r="AI19" s="4" t="s">
        <v>1563</v>
      </c>
      <c r="AJ19" s="4" t="s">
        <v>1456</v>
      </c>
      <c r="AK19" s="4" t="s">
        <v>1457</v>
      </c>
      <c r="AL19" s="4" t="s">
        <v>1562</v>
      </c>
      <c r="AM19" s="4" t="s">
        <v>1345</v>
      </c>
      <c r="AN19" s="4"/>
      <c r="AO19" s="4"/>
      <c r="AP19" s="4"/>
      <c r="AQ19" s="4"/>
      <c r="AR19" s="4" t="s">
        <v>1450</v>
      </c>
      <c r="AS19" s="4" t="s">
        <v>1458</v>
      </c>
      <c r="AT19" s="4" t="s">
        <v>1450</v>
      </c>
      <c r="AU19" s="4" t="s">
        <v>1450</v>
      </c>
      <c r="AV19" s="4" t="s">
        <v>1450</v>
      </c>
      <c r="AW19" s="8" t="s">
        <v>1441</v>
      </c>
      <c r="AX19" s="8" t="s">
        <v>1441</v>
      </c>
      <c r="AY19" s="8"/>
      <c r="AZ19" s="8"/>
      <c r="BA19" s="12">
        <v>46027</v>
      </c>
      <c r="BB19" s="8" t="s">
        <v>1441</v>
      </c>
      <c r="BC19" s="4"/>
      <c r="BD19" s="4" t="s">
        <v>1410</v>
      </c>
      <c r="BE19" s="8" t="s">
        <v>1441</v>
      </c>
      <c r="BF19" s="8" t="s">
        <v>1441</v>
      </c>
      <c r="BG19" s="8" t="s">
        <v>1441</v>
      </c>
      <c r="BH19" s="8" t="s">
        <v>1441</v>
      </c>
      <c r="BI19" s="8"/>
      <c r="BJ19" s="8" t="s">
        <v>1441</v>
      </c>
      <c r="BK19" s="8" t="s">
        <v>1460</v>
      </c>
      <c r="BL19" s="4" t="str">
        <f t="shared" si="1"/>
        <v>Epic Beans Relay</v>
      </c>
      <c r="BM19" s="8" t="str">
        <f t="shared" si="2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s="8" t="s">
        <v>1341</v>
      </c>
      <c r="B20" s="8" t="s">
        <v>1441</v>
      </c>
      <c r="C20" s="15" t="s">
        <v>1441</v>
      </c>
      <c r="D20" s="15" t="str">
        <f t="shared" si="0"/>
        <v>No</v>
      </c>
      <c r="E20" s="15" t="str">
        <f>IF($A20="","",IF($A20="Neuron",IF(OR(AND($S20&lt;&gt;"",LOWER(TRIM($S20))&lt;&gt;"n/a",COUNTIF($S$2:$S$528,$S20)&gt;1),AND($T20&lt;&gt;"",LOWER(TRIM($T20))&lt;&gt;"n/a",COUNTIF($T$2:$T$528,$T20)&gt;1),AND($W20&lt;&gt;"",LOWER(TRIM($W20))&lt;&gt;"n/a",COUNTIF($W$2:$W$528,$W20)&gt;1)),"Yes","No"),IF($A20="Cybernet",IF(OR(AND($Y20&lt;&gt;"",LOWER(TRIM($Y20))&lt;&gt;"n/a",COUNTIF($Y$2:$Y$528,$Y20)&gt;1),AND($Z20&lt;&gt;"",LOWER(TRIM($Z20))&lt;&gt;"n/a",COUNTIF($Z$2:$Z$528,$Z20)&gt;1)),"Yes","No"),IF(AND($AL20&lt;&gt;"",LOWER(TRIM($AL20))&lt;&gt;"n/a",COUNTIF($AL$2:$AL$528,$AL20)&gt;1),"Yes","No"))))</f>
        <v>No</v>
      </c>
      <c r="F20" t="str">
        <f>IF($B20&lt;&gt;"Yes","",
IF($A20="Neuron",
IF(OR(
AND($S20&lt;&gt;"",LOWER(TRIM($S20))&lt;&gt;"n/a",COUNTIFS($B$2:$B$528,"Yes",$A$2:$A$528,"Neuron",$S$2:$S$528,$S20)&gt;1),
AND($T20&lt;&gt;"",LOWER(TRIM($T20))&lt;&gt;"n/a",COUNTIFS($B$2:$B$528,"Yes",$A$2:$A$528,"Neuron",$T$2:$T$528,$T20)&gt;1),
AND($W20&lt;&gt;"",LOWER(TRIM($W20))&lt;&gt;"n/a",COUNTIFS($B$2:$B$528,"Yes",$A$2:$A$528,"Neuron",$W$2:$W$528,$W20)&gt;1)
),"Yes","No"),
IF($A20="Cybernet",
IF(OR(
AND($Y20&lt;&gt;"",LOWER(TRIM($Y20))&lt;&gt;"n/a",COUNTIFS($B$2:$B$528,"Yes",$A$2:$A$528,"Cybernet",$Y$2:$Y$528,$Y20)&gt;1),
AND($Z20&lt;&gt;"",LOWER(TRIM($Z20))&lt;&gt;"n/a",COUNTIFS($B$2:$B$528,"Yes",$A$2:$A$528,"Cybernet",$Z$2:$Z$528,$Z20)&gt;1)
),"Yes","No"),
IF(AND($AL20&lt;&gt;"",LOWER(TRIM($AL20))&lt;&gt;"n/a"),
IF(COUNTIFS($B$2:$B$528,"Yes",$A$2:$A$528,$A20,$AL$2:$AL$528,$AL20)&gt;1,"Yes","No"),
"No")
)
)
)</f>
        <v>No</v>
      </c>
      <c r="G20" s="4" t="s">
        <v>1442</v>
      </c>
      <c r="H20" s="4" t="s">
        <v>1442</v>
      </c>
      <c r="I20" s="4"/>
      <c r="J20" s="4" t="s">
        <v>1444</v>
      </c>
      <c r="K20" s="4" t="s">
        <v>1444</v>
      </c>
      <c r="L20" s="4" t="s">
        <v>1444</v>
      </c>
      <c r="M20" s="4"/>
      <c r="N20" s="4"/>
      <c r="O20" s="4"/>
      <c r="P20" s="4"/>
      <c r="Q20" s="4"/>
      <c r="R20" s="4"/>
      <c r="S20" s="4" t="s">
        <v>1564</v>
      </c>
      <c r="T20" s="4" t="s">
        <v>1565</v>
      </c>
      <c r="U20" s="4" t="s">
        <v>1566</v>
      </c>
      <c r="V20" s="4" t="s">
        <v>1441</v>
      </c>
      <c r="W20" s="4" t="s">
        <v>1567</v>
      </c>
      <c r="X20" s="4" t="s">
        <v>1449</v>
      </c>
      <c r="Y20" s="4" t="s">
        <v>1450</v>
      </c>
      <c r="Z20" s="4"/>
      <c r="AA20" s="4" t="s">
        <v>1451</v>
      </c>
      <c r="AB20" s="4"/>
      <c r="AC20" s="4" t="s">
        <v>1568</v>
      </c>
      <c r="AD20" s="4" t="s">
        <v>1450</v>
      </c>
      <c r="AE20" s="8"/>
      <c r="AF20" s="4" t="s">
        <v>1453</v>
      </c>
      <c r="AG20" s="4" t="s">
        <v>1454</v>
      </c>
      <c r="AH20" s="14">
        <v>19</v>
      </c>
      <c r="AI20" s="4" t="s">
        <v>1569</v>
      </c>
      <c r="AJ20" s="4" t="s">
        <v>1456</v>
      </c>
      <c r="AK20" s="4" t="s">
        <v>1457</v>
      </c>
      <c r="AL20" s="4" t="s">
        <v>1568</v>
      </c>
      <c r="AM20" s="4" t="s">
        <v>1345</v>
      </c>
      <c r="AN20" s="4"/>
      <c r="AO20" s="4"/>
      <c r="AP20" s="4"/>
      <c r="AQ20" s="4"/>
      <c r="AR20" s="4" t="s">
        <v>1450</v>
      </c>
      <c r="AS20" s="4" t="s">
        <v>1458</v>
      </c>
      <c r="AT20" s="4" t="s">
        <v>1450</v>
      </c>
      <c r="AU20" s="4" t="s">
        <v>1450</v>
      </c>
      <c r="AV20" s="4" t="s">
        <v>1450</v>
      </c>
      <c r="AW20" s="8" t="s">
        <v>1441</v>
      </c>
      <c r="AX20" s="8" t="s">
        <v>1441</v>
      </c>
      <c r="AY20" s="8"/>
      <c r="AZ20" s="8"/>
      <c r="BA20" s="12">
        <v>46027</v>
      </c>
      <c r="BB20" s="8" t="s">
        <v>1441</v>
      </c>
      <c r="BC20" s="4"/>
      <c r="BD20" s="4" t="s">
        <v>1410</v>
      </c>
      <c r="BE20" s="8" t="s">
        <v>1441</v>
      </c>
      <c r="BF20" s="8" t="s">
        <v>1441</v>
      </c>
      <c r="BG20" s="8" t="s">
        <v>1441</v>
      </c>
      <c r="BH20" s="8" t="s">
        <v>1441</v>
      </c>
      <c r="BI20" s="8"/>
      <c r="BJ20" s="8" t="s">
        <v>1441</v>
      </c>
      <c r="BK20" s="8" t="s">
        <v>1460</v>
      </c>
      <c r="BL20" s="4" t="str">
        <f t="shared" si="1"/>
        <v>Epic Beans Relay</v>
      </c>
      <c r="BM20" s="8" t="str">
        <f t="shared" si="2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s="8" t="s">
        <v>1341</v>
      </c>
      <c r="B21" s="8" t="s">
        <v>1441</v>
      </c>
      <c r="C21" s="15" t="s">
        <v>1441</v>
      </c>
      <c r="D21" s="15" t="str">
        <f t="shared" si="0"/>
        <v>No</v>
      </c>
      <c r="E21" s="15" t="str">
        <f>IF($A21="","",IF($A21="Neuron",IF(OR(AND($S21&lt;&gt;"",LOWER(TRIM($S21))&lt;&gt;"n/a",COUNTIF($S$2:$S$528,$S21)&gt;1),AND($T21&lt;&gt;"",LOWER(TRIM($T21))&lt;&gt;"n/a",COUNTIF($T$2:$T$528,$T21)&gt;1),AND($W21&lt;&gt;"",LOWER(TRIM($W21))&lt;&gt;"n/a",COUNTIF($W$2:$W$528,$W21)&gt;1)),"Yes","No"),IF($A21="Cybernet",IF(OR(AND($Y21&lt;&gt;"",LOWER(TRIM($Y21))&lt;&gt;"n/a",COUNTIF($Y$2:$Y$528,$Y21)&gt;1),AND($Z21&lt;&gt;"",LOWER(TRIM($Z21))&lt;&gt;"n/a",COUNTIF($Z$2:$Z$528,$Z21)&gt;1)),"Yes","No"),IF(AND($AL21&lt;&gt;"",LOWER(TRIM($AL21))&lt;&gt;"n/a",COUNTIF($AL$2:$AL$528,$AL21)&gt;1),"Yes","No"))))</f>
        <v>No</v>
      </c>
      <c r="F21" t="str">
        <f>IF($B21&lt;&gt;"Yes","",
IF($A21="Neuron",
IF(OR(
AND($S21&lt;&gt;"",LOWER(TRIM($S21))&lt;&gt;"n/a",COUNTIFS($B$2:$B$528,"Yes",$A$2:$A$528,"Neuron",$S$2:$S$528,$S21)&gt;1),
AND($T21&lt;&gt;"",LOWER(TRIM($T21))&lt;&gt;"n/a",COUNTIFS($B$2:$B$528,"Yes",$A$2:$A$528,"Neuron",$T$2:$T$528,$T21)&gt;1),
AND($W21&lt;&gt;"",LOWER(TRIM($W21))&lt;&gt;"n/a",COUNTIFS($B$2:$B$528,"Yes",$A$2:$A$528,"Neuron",$W$2:$W$528,$W21)&gt;1)
),"Yes","No"),
IF($A21="Cybernet",
IF(OR(
AND($Y21&lt;&gt;"",LOWER(TRIM($Y21))&lt;&gt;"n/a",COUNTIFS($B$2:$B$528,"Yes",$A$2:$A$528,"Cybernet",$Y$2:$Y$528,$Y21)&gt;1),
AND($Z21&lt;&gt;"",LOWER(TRIM($Z21))&lt;&gt;"n/a",COUNTIFS($B$2:$B$528,"Yes",$A$2:$A$528,"Cybernet",$Z$2:$Z$528,$Z21)&gt;1)
),"Yes","No"),
IF(AND($AL21&lt;&gt;"",LOWER(TRIM($AL21))&lt;&gt;"n/a"),
IF(COUNTIFS($B$2:$B$528,"Yes",$A$2:$A$528,$A21,$AL$2:$AL$528,$AL21)&gt;1,"Yes","No"),
"No")
)
)
)</f>
        <v>No</v>
      </c>
      <c r="G21" s="4" t="s">
        <v>1442</v>
      </c>
      <c r="H21" s="4" t="s">
        <v>1442</v>
      </c>
      <c r="I21" s="4"/>
      <c r="J21" s="4" t="s">
        <v>1444</v>
      </c>
      <c r="K21" s="4" t="s">
        <v>1444</v>
      </c>
      <c r="L21" s="4" t="s">
        <v>1444</v>
      </c>
      <c r="M21" s="4"/>
      <c r="N21" s="4"/>
      <c r="O21" s="4"/>
      <c r="P21" s="4"/>
      <c r="Q21" s="4"/>
      <c r="R21" s="4"/>
      <c r="S21" s="4" t="s">
        <v>1570</v>
      </c>
      <c r="T21" s="4" t="s">
        <v>1571</v>
      </c>
      <c r="U21" s="4" t="s">
        <v>1572</v>
      </c>
      <c r="V21" s="4" t="s">
        <v>1441</v>
      </c>
      <c r="W21" s="4" t="s">
        <v>1573</v>
      </c>
      <c r="X21" s="4" t="s">
        <v>1449</v>
      </c>
      <c r="Y21" s="4" t="s">
        <v>1450</v>
      </c>
      <c r="Z21" s="4"/>
      <c r="AA21" s="4" t="s">
        <v>1451</v>
      </c>
      <c r="AB21" s="4"/>
      <c r="AC21" s="4" t="s">
        <v>1574</v>
      </c>
      <c r="AD21" s="4" t="s">
        <v>1450</v>
      </c>
      <c r="AE21" s="8"/>
      <c r="AF21" s="4" t="s">
        <v>1453</v>
      </c>
      <c r="AG21" s="4" t="s">
        <v>1454</v>
      </c>
      <c r="AH21" s="14">
        <v>20</v>
      </c>
      <c r="AI21" s="4" t="s">
        <v>1575</v>
      </c>
      <c r="AJ21" s="4" t="s">
        <v>1456</v>
      </c>
      <c r="AK21" s="4" t="s">
        <v>1457</v>
      </c>
      <c r="AL21" s="4" t="s">
        <v>1574</v>
      </c>
      <c r="AM21" s="4" t="s">
        <v>1345</v>
      </c>
      <c r="AN21" s="4"/>
      <c r="AO21" s="4"/>
      <c r="AP21" s="4"/>
      <c r="AQ21" s="4"/>
      <c r="AR21" s="4" t="s">
        <v>1450</v>
      </c>
      <c r="AS21" s="4" t="s">
        <v>1458</v>
      </c>
      <c r="AT21" s="4" t="s">
        <v>1450</v>
      </c>
      <c r="AU21" s="4" t="s">
        <v>1450</v>
      </c>
      <c r="AV21" s="4" t="s">
        <v>1450</v>
      </c>
      <c r="AW21" s="8" t="s">
        <v>1441</v>
      </c>
      <c r="AX21" s="8" t="s">
        <v>1441</v>
      </c>
      <c r="AY21" s="8"/>
      <c r="AZ21" s="8"/>
      <c r="BA21" s="12">
        <v>46027</v>
      </c>
      <c r="BB21" s="8" t="s">
        <v>1441</v>
      </c>
      <c r="BC21" s="4"/>
      <c r="BD21" s="4" t="s">
        <v>1410</v>
      </c>
      <c r="BE21" s="8" t="s">
        <v>1441</v>
      </c>
      <c r="BF21" s="8" t="s">
        <v>1441</v>
      </c>
      <c r="BG21" s="8" t="s">
        <v>1441</v>
      </c>
      <c r="BH21" s="8" t="s">
        <v>1441</v>
      </c>
      <c r="BI21" s="8"/>
      <c r="BJ21" s="8" t="s">
        <v>1441</v>
      </c>
      <c r="BK21" s="8" t="s">
        <v>1460</v>
      </c>
      <c r="BL21" s="4" t="str">
        <f t="shared" si="1"/>
        <v>Epic Beans Relay</v>
      </c>
      <c r="BM21" s="8" t="str">
        <f t="shared" si="2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s="8" t="s">
        <v>1341</v>
      </c>
      <c r="B22" s="8" t="s">
        <v>1441</v>
      </c>
      <c r="C22" s="15" t="s">
        <v>1441</v>
      </c>
      <c r="D22" s="15" t="str">
        <f t="shared" si="0"/>
        <v>No</v>
      </c>
      <c r="E22" s="15" t="str">
        <f>IF($A22="","",IF($A22="Neuron",IF(OR(AND($S22&lt;&gt;"",LOWER(TRIM($S22))&lt;&gt;"n/a",COUNTIF($S$2:$S$528,$S22)&gt;1),AND($T22&lt;&gt;"",LOWER(TRIM($T22))&lt;&gt;"n/a",COUNTIF($T$2:$T$528,$T22)&gt;1),AND($W22&lt;&gt;"",LOWER(TRIM($W22))&lt;&gt;"n/a",COUNTIF($W$2:$W$528,$W22)&gt;1)),"Yes","No"),IF($A22="Cybernet",IF(OR(AND($Y22&lt;&gt;"",LOWER(TRIM($Y22))&lt;&gt;"n/a",COUNTIF($Y$2:$Y$528,$Y22)&gt;1),AND($Z22&lt;&gt;"",LOWER(TRIM($Z22))&lt;&gt;"n/a",COUNTIF($Z$2:$Z$528,$Z22)&gt;1)),"Yes","No"),IF(AND($AL22&lt;&gt;"",LOWER(TRIM($AL22))&lt;&gt;"n/a",COUNTIF($AL$2:$AL$528,$AL22)&gt;1),"Yes","No"))))</f>
        <v>No</v>
      </c>
      <c r="F22" t="str">
        <f>IF($B22&lt;&gt;"Yes","",
IF($A22="Neuron",
IF(OR(
AND($S22&lt;&gt;"",LOWER(TRIM($S22))&lt;&gt;"n/a",COUNTIFS($B$2:$B$528,"Yes",$A$2:$A$528,"Neuron",$S$2:$S$528,$S22)&gt;1),
AND($T22&lt;&gt;"",LOWER(TRIM($T22))&lt;&gt;"n/a",COUNTIFS($B$2:$B$528,"Yes",$A$2:$A$528,"Neuron",$T$2:$T$528,$T22)&gt;1),
AND($W22&lt;&gt;"",LOWER(TRIM($W22))&lt;&gt;"n/a",COUNTIFS($B$2:$B$528,"Yes",$A$2:$A$528,"Neuron",$W$2:$W$528,$W22)&gt;1)
),"Yes","No"),
IF($A22="Cybernet",
IF(OR(
AND($Y22&lt;&gt;"",LOWER(TRIM($Y22))&lt;&gt;"n/a",COUNTIFS($B$2:$B$528,"Yes",$A$2:$A$528,"Cybernet",$Y$2:$Y$528,$Y22)&gt;1),
AND($Z22&lt;&gt;"",LOWER(TRIM($Z22))&lt;&gt;"n/a",COUNTIFS($B$2:$B$528,"Yes",$A$2:$A$528,"Cybernet",$Z$2:$Z$528,$Z22)&gt;1)
),"Yes","No"),
IF(AND($AL22&lt;&gt;"",LOWER(TRIM($AL22))&lt;&gt;"n/a"),
IF(COUNTIFS($B$2:$B$528,"Yes",$A$2:$A$528,$A22,$AL$2:$AL$528,$AL22)&gt;1,"Yes","No"),
"No")
)
)
)</f>
        <v>No</v>
      </c>
      <c r="G22" s="4" t="s">
        <v>1442</v>
      </c>
      <c r="H22" s="4" t="s">
        <v>1442</v>
      </c>
      <c r="I22" s="4"/>
      <c r="J22" s="4" t="s">
        <v>1444</v>
      </c>
      <c r="K22" s="4" t="s">
        <v>1444</v>
      </c>
      <c r="L22" s="4" t="s">
        <v>1444</v>
      </c>
      <c r="M22" s="4"/>
      <c r="N22" s="4"/>
      <c r="O22" s="4"/>
      <c r="P22" s="4"/>
      <c r="Q22" s="4"/>
      <c r="R22" s="4"/>
      <c r="S22" s="4" t="s">
        <v>1576</v>
      </c>
      <c r="T22" s="4" t="s">
        <v>1577</v>
      </c>
      <c r="U22" s="4" t="s">
        <v>1578</v>
      </c>
      <c r="V22" s="4" t="s">
        <v>1441</v>
      </c>
      <c r="W22" s="4" t="s">
        <v>1579</v>
      </c>
      <c r="X22" s="4" t="s">
        <v>1449</v>
      </c>
      <c r="Y22" s="4" t="s">
        <v>1450</v>
      </c>
      <c r="Z22" s="4"/>
      <c r="AA22" s="4" t="s">
        <v>1451</v>
      </c>
      <c r="AB22" s="4"/>
      <c r="AC22" s="4" t="s">
        <v>1580</v>
      </c>
      <c r="AD22" s="4" t="s">
        <v>1450</v>
      </c>
      <c r="AE22" s="8"/>
      <c r="AF22" s="4" t="s">
        <v>1453</v>
      </c>
      <c r="AG22" s="4" t="s">
        <v>1454</v>
      </c>
      <c r="AH22" s="14">
        <v>21</v>
      </c>
      <c r="AI22" s="4" t="s">
        <v>1581</v>
      </c>
      <c r="AJ22" s="4" t="s">
        <v>1456</v>
      </c>
      <c r="AK22" s="4" t="s">
        <v>1457</v>
      </c>
      <c r="AL22" s="4" t="s">
        <v>1580</v>
      </c>
      <c r="AM22" s="4" t="s">
        <v>1345</v>
      </c>
      <c r="AN22" s="4"/>
      <c r="AO22" s="4"/>
      <c r="AP22" s="4"/>
      <c r="AQ22" s="4"/>
      <c r="AR22" s="4" t="s">
        <v>1450</v>
      </c>
      <c r="AS22" s="4" t="s">
        <v>1458</v>
      </c>
      <c r="AT22" s="4" t="s">
        <v>1450</v>
      </c>
      <c r="AU22" s="4" t="s">
        <v>1450</v>
      </c>
      <c r="AV22" s="4" t="s">
        <v>1450</v>
      </c>
      <c r="AW22" s="8" t="s">
        <v>1441</v>
      </c>
      <c r="AX22" s="8" t="s">
        <v>1441</v>
      </c>
      <c r="AY22" s="8"/>
      <c r="AZ22" s="8"/>
      <c r="BA22" s="12">
        <v>46027</v>
      </c>
      <c r="BB22" s="8" t="s">
        <v>1441</v>
      </c>
      <c r="BC22" s="4"/>
      <c r="BD22" s="4" t="s">
        <v>1410</v>
      </c>
      <c r="BE22" s="8" t="s">
        <v>1441</v>
      </c>
      <c r="BF22" s="8" t="s">
        <v>1441</v>
      </c>
      <c r="BG22" s="8" t="s">
        <v>1441</v>
      </c>
      <c r="BH22" s="8" t="s">
        <v>1441</v>
      </c>
      <c r="BI22" s="8"/>
      <c r="BJ22" s="8" t="s">
        <v>1441</v>
      </c>
      <c r="BK22" s="8" t="s">
        <v>1460</v>
      </c>
      <c r="BL22" s="4" t="str">
        <f t="shared" si="1"/>
        <v>Epic Beans Relay</v>
      </c>
      <c r="BM22" s="8" t="str">
        <f t="shared" si="2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s="8" t="s">
        <v>1341</v>
      </c>
      <c r="B23" s="8" t="s">
        <v>1441</v>
      </c>
      <c r="C23" s="15" t="s">
        <v>1441</v>
      </c>
      <c r="D23" s="15" t="str">
        <f t="shared" si="0"/>
        <v>No</v>
      </c>
      <c r="E23" s="15" t="str">
        <f>IF($A23="","",IF($A23="Neuron",IF(OR(AND($S23&lt;&gt;"",LOWER(TRIM($S23))&lt;&gt;"n/a",COUNTIF($S$2:$S$528,$S23)&gt;1),AND($T23&lt;&gt;"",LOWER(TRIM($T23))&lt;&gt;"n/a",COUNTIF($T$2:$T$528,$T23)&gt;1),AND($W23&lt;&gt;"",LOWER(TRIM($W23))&lt;&gt;"n/a",COUNTIF($W$2:$W$528,$W23)&gt;1)),"Yes","No"),IF($A23="Cybernet",IF(OR(AND($Y23&lt;&gt;"",LOWER(TRIM($Y23))&lt;&gt;"n/a",COUNTIF($Y$2:$Y$528,$Y23)&gt;1),AND($Z23&lt;&gt;"",LOWER(TRIM($Z23))&lt;&gt;"n/a",COUNTIF($Z$2:$Z$528,$Z23)&gt;1)),"Yes","No"),IF(AND($AL23&lt;&gt;"",LOWER(TRIM($AL23))&lt;&gt;"n/a",COUNTIF($AL$2:$AL$528,$AL23)&gt;1),"Yes","No"))))</f>
        <v>No</v>
      </c>
      <c r="F23" t="str">
        <f>IF($B23&lt;&gt;"Yes","",
IF($A23="Neuron",
IF(OR(
AND($S23&lt;&gt;"",LOWER(TRIM($S23))&lt;&gt;"n/a",COUNTIFS($B$2:$B$528,"Yes",$A$2:$A$528,"Neuron",$S$2:$S$528,$S23)&gt;1),
AND($T23&lt;&gt;"",LOWER(TRIM($T23))&lt;&gt;"n/a",COUNTIFS($B$2:$B$528,"Yes",$A$2:$A$528,"Neuron",$T$2:$T$528,$T23)&gt;1),
AND($W23&lt;&gt;"",LOWER(TRIM($W23))&lt;&gt;"n/a",COUNTIFS($B$2:$B$528,"Yes",$A$2:$A$528,"Neuron",$W$2:$W$528,$W23)&gt;1)
),"Yes","No"),
IF($A23="Cybernet",
IF(OR(
AND($Y23&lt;&gt;"",LOWER(TRIM($Y23))&lt;&gt;"n/a",COUNTIFS($B$2:$B$528,"Yes",$A$2:$A$528,"Cybernet",$Y$2:$Y$528,$Y23)&gt;1),
AND($Z23&lt;&gt;"",LOWER(TRIM($Z23))&lt;&gt;"n/a",COUNTIFS($B$2:$B$528,"Yes",$A$2:$A$528,"Cybernet",$Z$2:$Z$528,$Z23)&gt;1)
),"Yes","No"),
IF(AND($AL23&lt;&gt;"",LOWER(TRIM($AL23))&lt;&gt;"n/a"),
IF(COUNTIFS($B$2:$B$528,"Yes",$A$2:$A$528,$A23,$AL$2:$AL$528,$AL23)&gt;1,"Yes","No"),
"No")
)
)
)</f>
        <v>No</v>
      </c>
      <c r="G23" s="4" t="s">
        <v>1442</v>
      </c>
      <c r="H23" s="4" t="s">
        <v>1442</v>
      </c>
      <c r="I23" s="4"/>
      <c r="J23" s="4" t="s">
        <v>1444</v>
      </c>
      <c r="K23" s="4" t="s">
        <v>1444</v>
      </c>
      <c r="L23" s="4" t="s">
        <v>1444</v>
      </c>
      <c r="M23" s="4"/>
      <c r="N23" s="4"/>
      <c r="O23" s="4"/>
      <c r="P23" s="4"/>
      <c r="Q23" s="4"/>
      <c r="R23" s="4"/>
      <c r="S23" s="4" t="s">
        <v>1582</v>
      </c>
      <c r="T23" s="4" t="s">
        <v>1583</v>
      </c>
      <c r="U23" s="4" t="s">
        <v>1584</v>
      </c>
      <c r="V23" s="4" t="s">
        <v>1441</v>
      </c>
      <c r="W23" s="4" t="s">
        <v>1585</v>
      </c>
      <c r="X23" s="4" t="s">
        <v>1449</v>
      </c>
      <c r="Y23" s="4" t="s">
        <v>1450</v>
      </c>
      <c r="Z23" s="4"/>
      <c r="AA23" s="4" t="s">
        <v>1451</v>
      </c>
      <c r="AB23" s="4"/>
      <c r="AC23" s="4" t="s">
        <v>1586</v>
      </c>
      <c r="AD23" s="4" t="s">
        <v>1450</v>
      </c>
      <c r="AE23" s="8"/>
      <c r="AF23" s="4" t="s">
        <v>1453</v>
      </c>
      <c r="AG23" s="4" t="s">
        <v>1454</v>
      </c>
      <c r="AH23" s="14">
        <v>22</v>
      </c>
      <c r="AI23" s="4" t="s">
        <v>1587</v>
      </c>
      <c r="AJ23" s="4" t="s">
        <v>1456</v>
      </c>
      <c r="AK23" s="4" t="s">
        <v>1457</v>
      </c>
      <c r="AL23" s="4" t="s">
        <v>1586</v>
      </c>
      <c r="AM23" s="4" t="s">
        <v>1345</v>
      </c>
      <c r="AN23" s="4"/>
      <c r="AO23" s="4"/>
      <c r="AP23" s="4"/>
      <c r="AQ23" s="4"/>
      <c r="AR23" s="4" t="s">
        <v>1450</v>
      </c>
      <c r="AS23" s="4" t="s">
        <v>1458</v>
      </c>
      <c r="AT23" s="4" t="s">
        <v>1450</v>
      </c>
      <c r="AU23" s="4" t="s">
        <v>1450</v>
      </c>
      <c r="AV23" s="4" t="s">
        <v>1450</v>
      </c>
      <c r="AW23" s="8" t="s">
        <v>1441</v>
      </c>
      <c r="AX23" s="8" t="s">
        <v>1441</v>
      </c>
      <c r="AY23" s="8"/>
      <c r="AZ23" s="8"/>
      <c r="BA23" s="12">
        <v>46027</v>
      </c>
      <c r="BB23" s="8" t="s">
        <v>1441</v>
      </c>
      <c r="BC23" s="4"/>
      <c r="BD23" s="4" t="s">
        <v>1410</v>
      </c>
      <c r="BE23" s="8" t="s">
        <v>1441</v>
      </c>
      <c r="BF23" s="8" t="s">
        <v>1441</v>
      </c>
      <c r="BG23" s="8" t="s">
        <v>1441</v>
      </c>
      <c r="BH23" s="8" t="s">
        <v>1441</v>
      </c>
      <c r="BI23" s="8"/>
      <c r="BJ23" s="8" t="s">
        <v>1441</v>
      </c>
      <c r="BK23" s="8" t="s">
        <v>1460</v>
      </c>
      <c r="BL23" s="4" t="str">
        <f t="shared" si="1"/>
        <v>Epic Beans Relay</v>
      </c>
      <c r="BM23" s="8" t="str">
        <f t="shared" si="2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s="8" t="s">
        <v>1341</v>
      </c>
      <c r="B24" s="8" t="s">
        <v>1441</v>
      </c>
      <c r="C24" s="15" t="s">
        <v>1441</v>
      </c>
      <c r="D24" s="15" t="str">
        <f t="shared" si="0"/>
        <v>No</v>
      </c>
      <c r="E24" s="15" t="str">
        <f>IF($A24="","",IF($A24="Neuron",IF(OR(AND($S24&lt;&gt;"",LOWER(TRIM($S24))&lt;&gt;"n/a",COUNTIF($S$2:$S$528,$S24)&gt;1),AND($T24&lt;&gt;"",LOWER(TRIM($T24))&lt;&gt;"n/a",COUNTIF($T$2:$T$528,$T24)&gt;1),AND($W24&lt;&gt;"",LOWER(TRIM($W24))&lt;&gt;"n/a",COUNTIF($W$2:$W$528,$W24)&gt;1)),"Yes","No"),IF($A24="Cybernet",IF(OR(AND($Y24&lt;&gt;"",LOWER(TRIM($Y24))&lt;&gt;"n/a",COUNTIF($Y$2:$Y$528,$Y24)&gt;1),AND($Z24&lt;&gt;"",LOWER(TRIM($Z24))&lt;&gt;"n/a",COUNTIF($Z$2:$Z$528,$Z24)&gt;1)),"Yes","No"),IF(AND($AL24&lt;&gt;"",LOWER(TRIM($AL24))&lt;&gt;"n/a",COUNTIF($AL$2:$AL$528,$AL24)&gt;1),"Yes","No"))))</f>
        <v>No</v>
      </c>
      <c r="F24" t="str">
        <f>IF($B24&lt;&gt;"Yes","",
IF($A24="Neuron",
IF(OR(
AND($S24&lt;&gt;"",LOWER(TRIM($S24))&lt;&gt;"n/a",COUNTIFS($B$2:$B$528,"Yes",$A$2:$A$528,"Neuron",$S$2:$S$528,$S24)&gt;1),
AND($T24&lt;&gt;"",LOWER(TRIM($T24))&lt;&gt;"n/a",COUNTIFS($B$2:$B$528,"Yes",$A$2:$A$528,"Neuron",$T$2:$T$528,$T24)&gt;1),
AND($W24&lt;&gt;"",LOWER(TRIM($W24))&lt;&gt;"n/a",COUNTIFS($B$2:$B$528,"Yes",$A$2:$A$528,"Neuron",$W$2:$W$528,$W24)&gt;1)
),"Yes","No"),
IF($A24="Cybernet",
IF(OR(
AND($Y24&lt;&gt;"",LOWER(TRIM($Y24))&lt;&gt;"n/a",COUNTIFS($B$2:$B$528,"Yes",$A$2:$A$528,"Cybernet",$Y$2:$Y$528,$Y24)&gt;1),
AND($Z24&lt;&gt;"",LOWER(TRIM($Z24))&lt;&gt;"n/a",COUNTIFS($B$2:$B$528,"Yes",$A$2:$A$528,"Cybernet",$Z$2:$Z$528,$Z24)&gt;1)
),"Yes","No"),
IF(AND($AL24&lt;&gt;"",LOWER(TRIM($AL24))&lt;&gt;"n/a"),
IF(COUNTIFS($B$2:$B$528,"Yes",$A$2:$A$528,$A24,$AL$2:$AL$528,$AL24)&gt;1,"Yes","No"),
"No")
)
)
)</f>
        <v>No</v>
      </c>
      <c r="G24" s="4" t="s">
        <v>1442</v>
      </c>
      <c r="H24" s="4" t="s">
        <v>1442</v>
      </c>
      <c r="I24" s="4"/>
      <c r="J24" s="4" t="s">
        <v>1444</v>
      </c>
      <c r="K24" s="4" t="s">
        <v>1444</v>
      </c>
      <c r="L24" s="4" t="s">
        <v>1444</v>
      </c>
      <c r="M24" s="4"/>
      <c r="N24" s="4"/>
      <c r="O24" s="4"/>
      <c r="P24" s="4"/>
      <c r="Q24" s="4"/>
      <c r="R24" s="4"/>
      <c r="S24" s="4" t="s">
        <v>1588</v>
      </c>
      <c r="T24" s="4" t="s">
        <v>1589</v>
      </c>
      <c r="U24" s="4" t="s">
        <v>1590</v>
      </c>
      <c r="V24" s="4" t="s">
        <v>1441</v>
      </c>
      <c r="W24" s="4" t="s">
        <v>1591</v>
      </c>
      <c r="X24" s="4" t="s">
        <v>1449</v>
      </c>
      <c r="Y24" s="4" t="s">
        <v>1450</v>
      </c>
      <c r="Z24" s="4"/>
      <c r="AA24" s="4" t="s">
        <v>1451</v>
      </c>
      <c r="AB24" s="4"/>
      <c r="AC24" s="4" t="s">
        <v>1592</v>
      </c>
      <c r="AD24" s="4" t="s">
        <v>1450</v>
      </c>
      <c r="AE24" s="8"/>
      <c r="AF24" s="4" t="s">
        <v>1453</v>
      </c>
      <c r="AG24" s="4" t="s">
        <v>1454</v>
      </c>
      <c r="AH24" s="14">
        <v>23</v>
      </c>
      <c r="AI24" s="4" t="s">
        <v>1593</v>
      </c>
      <c r="AJ24" s="4" t="s">
        <v>1456</v>
      </c>
      <c r="AK24" s="4" t="s">
        <v>1457</v>
      </c>
      <c r="AL24" s="4" t="s">
        <v>1592</v>
      </c>
      <c r="AM24" s="4" t="s">
        <v>1345</v>
      </c>
      <c r="AN24" s="4"/>
      <c r="AO24" s="4"/>
      <c r="AP24" s="4"/>
      <c r="AQ24" s="4"/>
      <c r="AR24" s="4" t="s">
        <v>1450</v>
      </c>
      <c r="AS24" s="4" t="s">
        <v>1458</v>
      </c>
      <c r="AT24" s="4" t="s">
        <v>1450</v>
      </c>
      <c r="AU24" s="4" t="s">
        <v>1450</v>
      </c>
      <c r="AV24" s="4" t="s">
        <v>1450</v>
      </c>
      <c r="AW24" s="8" t="s">
        <v>1441</v>
      </c>
      <c r="AX24" s="8" t="s">
        <v>1441</v>
      </c>
      <c r="AY24" s="8"/>
      <c r="AZ24" s="8"/>
      <c r="BA24" s="12">
        <v>46027</v>
      </c>
      <c r="BB24" s="8" t="s">
        <v>1441</v>
      </c>
      <c r="BC24" s="4"/>
      <c r="BD24" s="4" t="s">
        <v>1410</v>
      </c>
      <c r="BE24" s="8" t="s">
        <v>1441</v>
      </c>
      <c r="BF24" s="8" t="s">
        <v>1441</v>
      </c>
      <c r="BG24" s="8" t="s">
        <v>1441</v>
      </c>
      <c r="BH24" s="8" t="s">
        <v>1441</v>
      </c>
      <c r="BI24" s="8"/>
      <c r="BJ24" s="8" t="s">
        <v>1441</v>
      </c>
      <c r="BK24" s="8" t="s">
        <v>1460</v>
      </c>
      <c r="BL24" s="4" t="str">
        <f t="shared" si="1"/>
        <v>Epic Beans Relay</v>
      </c>
      <c r="BM24" s="8" t="str">
        <f t="shared" si="2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s="8" t="s">
        <v>1341</v>
      </c>
      <c r="B25" s="8" t="s">
        <v>1441</v>
      </c>
      <c r="C25" s="15" t="s">
        <v>1441</v>
      </c>
      <c r="D25" s="15" t="str">
        <f t="shared" si="0"/>
        <v>No</v>
      </c>
      <c r="E25" s="15" t="str">
        <f>IF($A25="","",IF($A25="Neuron",IF(OR(AND($S25&lt;&gt;"",LOWER(TRIM($S25))&lt;&gt;"n/a",COUNTIF($S$2:$S$528,$S25)&gt;1),AND($T25&lt;&gt;"",LOWER(TRIM($T25))&lt;&gt;"n/a",COUNTIF($T$2:$T$528,$T25)&gt;1),AND($W25&lt;&gt;"",LOWER(TRIM($W25))&lt;&gt;"n/a",COUNTIF($W$2:$W$528,$W25)&gt;1)),"Yes","No"),IF($A25="Cybernet",IF(OR(AND($Y25&lt;&gt;"",LOWER(TRIM($Y25))&lt;&gt;"n/a",COUNTIF($Y$2:$Y$528,$Y25)&gt;1),AND($Z25&lt;&gt;"",LOWER(TRIM($Z25))&lt;&gt;"n/a",COUNTIF($Z$2:$Z$528,$Z25)&gt;1)),"Yes","No"),IF(AND($AL25&lt;&gt;"",LOWER(TRIM($AL25))&lt;&gt;"n/a",COUNTIF($AL$2:$AL$528,$AL25)&gt;1),"Yes","No"))))</f>
        <v>No</v>
      </c>
      <c r="F25" t="str">
        <f>IF($B25&lt;&gt;"Yes","",
IF($A25="Neuron",
IF(OR(
AND($S25&lt;&gt;"",LOWER(TRIM($S25))&lt;&gt;"n/a",COUNTIFS($B$2:$B$528,"Yes",$A$2:$A$528,"Neuron",$S$2:$S$528,$S25)&gt;1),
AND($T25&lt;&gt;"",LOWER(TRIM($T25))&lt;&gt;"n/a",COUNTIFS($B$2:$B$528,"Yes",$A$2:$A$528,"Neuron",$T$2:$T$528,$T25)&gt;1),
AND($W25&lt;&gt;"",LOWER(TRIM($W25))&lt;&gt;"n/a",COUNTIFS($B$2:$B$528,"Yes",$A$2:$A$528,"Neuron",$W$2:$W$528,$W25)&gt;1)
),"Yes","No"),
IF($A25="Cybernet",
IF(OR(
AND($Y25&lt;&gt;"",LOWER(TRIM($Y25))&lt;&gt;"n/a",COUNTIFS($B$2:$B$528,"Yes",$A$2:$A$528,"Cybernet",$Y$2:$Y$528,$Y25)&gt;1),
AND($Z25&lt;&gt;"",LOWER(TRIM($Z25))&lt;&gt;"n/a",COUNTIFS($B$2:$B$528,"Yes",$A$2:$A$528,"Cybernet",$Z$2:$Z$528,$Z25)&gt;1)
),"Yes","No"),
IF(AND($AL25&lt;&gt;"",LOWER(TRIM($AL25))&lt;&gt;"n/a"),
IF(COUNTIFS($B$2:$B$528,"Yes",$A$2:$A$528,$A25,$AL$2:$AL$528,$AL25)&gt;1,"Yes","No"),
"No")
)
)
)</f>
        <v>No</v>
      </c>
      <c r="G25" s="4" t="s">
        <v>1442</v>
      </c>
      <c r="H25" s="4" t="s">
        <v>1442</v>
      </c>
      <c r="I25" s="4"/>
      <c r="J25" s="4" t="s">
        <v>1444</v>
      </c>
      <c r="K25" s="4" t="s">
        <v>1444</v>
      </c>
      <c r="L25" s="4" t="s">
        <v>1444</v>
      </c>
      <c r="M25" s="4"/>
      <c r="N25" s="4"/>
      <c r="O25" s="4"/>
      <c r="P25" s="4"/>
      <c r="Q25" s="4"/>
      <c r="R25" s="4"/>
      <c r="S25" s="4" t="s">
        <v>1594</v>
      </c>
      <c r="T25" s="4" t="s">
        <v>1595</v>
      </c>
      <c r="U25" s="4" t="s">
        <v>1596</v>
      </c>
      <c r="V25" s="4" t="s">
        <v>1441</v>
      </c>
      <c r="W25" s="4" t="s">
        <v>1597</v>
      </c>
      <c r="X25" s="4" t="s">
        <v>1449</v>
      </c>
      <c r="Y25" s="4" t="s">
        <v>1450</v>
      </c>
      <c r="Z25" s="4"/>
      <c r="AA25" s="4" t="s">
        <v>1451</v>
      </c>
      <c r="AB25" s="4"/>
      <c r="AC25" s="4" t="s">
        <v>1598</v>
      </c>
      <c r="AD25" s="4" t="s">
        <v>1450</v>
      </c>
      <c r="AE25" s="8"/>
      <c r="AF25" s="4" t="s">
        <v>1453</v>
      </c>
      <c r="AG25" s="4" t="s">
        <v>1454</v>
      </c>
      <c r="AH25" s="14">
        <v>24</v>
      </c>
      <c r="AI25" s="4" t="s">
        <v>1599</v>
      </c>
      <c r="AJ25" s="4" t="s">
        <v>1456</v>
      </c>
      <c r="AK25" s="4" t="s">
        <v>1457</v>
      </c>
      <c r="AL25" s="4" t="s">
        <v>1598</v>
      </c>
      <c r="AM25" s="4" t="s">
        <v>1345</v>
      </c>
      <c r="AN25" s="4"/>
      <c r="AO25" s="4"/>
      <c r="AP25" s="4"/>
      <c r="AQ25" s="4"/>
      <c r="AR25" s="4" t="s">
        <v>1450</v>
      </c>
      <c r="AS25" s="4" t="s">
        <v>1458</v>
      </c>
      <c r="AT25" s="4" t="s">
        <v>1450</v>
      </c>
      <c r="AU25" s="4" t="s">
        <v>1450</v>
      </c>
      <c r="AV25" s="4" t="s">
        <v>1450</v>
      </c>
      <c r="AW25" s="8" t="s">
        <v>1441</v>
      </c>
      <c r="AX25" s="8" t="s">
        <v>1441</v>
      </c>
      <c r="AY25" s="8"/>
      <c r="AZ25" s="8"/>
      <c r="BA25" s="12">
        <v>46027</v>
      </c>
      <c r="BB25" s="8" t="s">
        <v>1441</v>
      </c>
      <c r="BC25" s="4"/>
      <c r="BD25" s="4" t="s">
        <v>1410</v>
      </c>
      <c r="BE25" s="8" t="s">
        <v>1441</v>
      </c>
      <c r="BF25" s="8" t="s">
        <v>1441</v>
      </c>
      <c r="BG25" s="8" t="s">
        <v>1441</v>
      </c>
      <c r="BH25" s="8" t="s">
        <v>1441</v>
      </c>
      <c r="BI25" s="8"/>
      <c r="BJ25" s="8" t="s">
        <v>1441</v>
      </c>
      <c r="BK25" s="8" t="s">
        <v>1460</v>
      </c>
      <c r="BL25" s="4" t="str">
        <f t="shared" si="1"/>
        <v>Epic Beans Relay</v>
      </c>
      <c r="BM25" s="8" t="str">
        <f t="shared" si="2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s="8" t="s">
        <v>1341</v>
      </c>
      <c r="B26" s="8" t="s">
        <v>1441</v>
      </c>
      <c r="C26" s="15" t="s">
        <v>1441</v>
      </c>
      <c r="D26" s="15" t="str">
        <f t="shared" si="0"/>
        <v>No</v>
      </c>
      <c r="E26" s="15" t="str">
        <f>IF($A26="","",IF($A26="Neuron",IF(OR(AND($S26&lt;&gt;"",LOWER(TRIM($S26))&lt;&gt;"n/a",COUNTIF($S$2:$S$528,$S26)&gt;1),AND($T26&lt;&gt;"",LOWER(TRIM($T26))&lt;&gt;"n/a",COUNTIF($T$2:$T$528,$T26)&gt;1),AND($W26&lt;&gt;"",LOWER(TRIM($W26))&lt;&gt;"n/a",COUNTIF($W$2:$W$528,$W26)&gt;1)),"Yes","No"),IF($A26="Cybernet",IF(OR(AND($Y26&lt;&gt;"",LOWER(TRIM($Y26))&lt;&gt;"n/a",COUNTIF($Y$2:$Y$528,$Y26)&gt;1),AND($Z26&lt;&gt;"",LOWER(TRIM($Z26))&lt;&gt;"n/a",COUNTIF($Z$2:$Z$528,$Z26)&gt;1)),"Yes","No"),IF(AND($AL26&lt;&gt;"",LOWER(TRIM($AL26))&lt;&gt;"n/a",COUNTIF($AL$2:$AL$528,$AL26)&gt;1),"Yes","No"))))</f>
        <v>No</v>
      </c>
      <c r="F26" t="str">
        <f>IF($B26&lt;&gt;"Yes","",
IF($A26="Neuron",
IF(OR(
AND($S26&lt;&gt;"",LOWER(TRIM($S26))&lt;&gt;"n/a",COUNTIFS($B$2:$B$528,"Yes",$A$2:$A$528,"Neuron",$S$2:$S$528,$S26)&gt;1),
AND($T26&lt;&gt;"",LOWER(TRIM($T26))&lt;&gt;"n/a",COUNTIFS($B$2:$B$528,"Yes",$A$2:$A$528,"Neuron",$T$2:$T$528,$T26)&gt;1),
AND($W26&lt;&gt;"",LOWER(TRIM($W26))&lt;&gt;"n/a",COUNTIFS($B$2:$B$528,"Yes",$A$2:$A$528,"Neuron",$W$2:$W$528,$W26)&gt;1)
),"Yes","No"),
IF($A26="Cybernet",
IF(OR(
AND($Y26&lt;&gt;"",LOWER(TRIM($Y26))&lt;&gt;"n/a",COUNTIFS($B$2:$B$528,"Yes",$A$2:$A$528,"Cybernet",$Y$2:$Y$528,$Y26)&gt;1),
AND($Z26&lt;&gt;"",LOWER(TRIM($Z26))&lt;&gt;"n/a",COUNTIFS($B$2:$B$528,"Yes",$A$2:$A$528,"Cybernet",$Z$2:$Z$528,$Z26)&gt;1)
),"Yes","No"),
IF(AND($AL26&lt;&gt;"",LOWER(TRIM($AL26))&lt;&gt;"n/a"),
IF(COUNTIFS($B$2:$B$528,"Yes",$A$2:$A$528,$A26,$AL$2:$AL$528,$AL26)&gt;1,"Yes","No"),
"No")
)
)
)</f>
        <v>No</v>
      </c>
      <c r="G26" s="4" t="s">
        <v>1442</v>
      </c>
      <c r="H26" s="4" t="s">
        <v>1442</v>
      </c>
      <c r="I26" s="4"/>
      <c r="J26" s="4" t="s">
        <v>1444</v>
      </c>
      <c r="K26" s="4" t="s">
        <v>1444</v>
      </c>
      <c r="L26" s="4" t="s">
        <v>1444</v>
      </c>
      <c r="M26" s="4"/>
      <c r="N26" s="4"/>
      <c r="O26" s="4"/>
      <c r="P26" s="4"/>
      <c r="Q26" s="4"/>
      <c r="R26" s="4"/>
      <c r="S26" s="4" t="s">
        <v>1600</v>
      </c>
      <c r="T26" s="4" t="s">
        <v>1601</v>
      </c>
      <c r="U26" s="4" t="s">
        <v>1602</v>
      </c>
      <c r="V26" s="4" t="s">
        <v>1441</v>
      </c>
      <c r="W26" s="4" t="s">
        <v>1603</v>
      </c>
      <c r="X26" s="4" t="s">
        <v>1449</v>
      </c>
      <c r="Y26" s="4" t="s">
        <v>1450</v>
      </c>
      <c r="Z26" s="4"/>
      <c r="AA26" s="4" t="s">
        <v>1451</v>
      </c>
      <c r="AB26" s="4"/>
      <c r="AC26" s="4" t="s">
        <v>1604</v>
      </c>
      <c r="AD26" s="4" t="s">
        <v>1450</v>
      </c>
      <c r="AE26" s="8"/>
      <c r="AF26" s="4" t="s">
        <v>1453</v>
      </c>
      <c r="AG26" s="4" t="s">
        <v>1454</v>
      </c>
      <c r="AH26" s="14">
        <v>25</v>
      </c>
      <c r="AI26" s="4" t="s">
        <v>1605</v>
      </c>
      <c r="AJ26" s="4" t="s">
        <v>1456</v>
      </c>
      <c r="AK26" s="4" t="s">
        <v>1457</v>
      </c>
      <c r="AL26" s="4" t="s">
        <v>1604</v>
      </c>
      <c r="AM26" s="4" t="s">
        <v>1345</v>
      </c>
      <c r="AN26" s="4"/>
      <c r="AO26" s="4"/>
      <c r="AP26" s="4"/>
      <c r="AQ26" s="4"/>
      <c r="AR26" s="4" t="s">
        <v>1450</v>
      </c>
      <c r="AS26" s="4" t="s">
        <v>1458</v>
      </c>
      <c r="AT26" s="4" t="s">
        <v>1450</v>
      </c>
      <c r="AU26" s="4" t="s">
        <v>1450</v>
      </c>
      <c r="AV26" s="4" t="s">
        <v>1450</v>
      </c>
      <c r="AW26" s="8" t="s">
        <v>1441</v>
      </c>
      <c r="AX26" s="8" t="s">
        <v>1441</v>
      </c>
      <c r="AY26" s="8"/>
      <c r="AZ26" s="8"/>
      <c r="BA26" s="12">
        <v>46027</v>
      </c>
      <c r="BB26" s="8" t="s">
        <v>1441</v>
      </c>
      <c r="BC26" s="4"/>
      <c r="BD26" s="4" t="s">
        <v>1410</v>
      </c>
      <c r="BE26" s="8" t="s">
        <v>1441</v>
      </c>
      <c r="BF26" s="8" t="s">
        <v>1441</v>
      </c>
      <c r="BG26" s="8" t="s">
        <v>1441</v>
      </c>
      <c r="BH26" s="8" t="s">
        <v>1441</v>
      </c>
      <c r="BI26" s="8"/>
      <c r="BJ26" s="8" t="s">
        <v>1441</v>
      </c>
      <c r="BK26" s="8" t="s">
        <v>1460</v>
      </c>
      <c r="BL26" s="4" t="str">
        <f t="shared" si="1"/>
        <v>Epic Beans Relay</v>
      </c>
      <c r="BM26" s="8" t="str">
        <f t="shared" si="2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s="8" t="s">
        <v>1341</v>
      </c>
      <c r="B27" s="8" t="s">
        <v>1441</v>
      </c>
      <c r="C27" s="15" t="s">
        <v>1460</v>
      </c>
      <c r="D27" s="15" t="str">
        <f t="shared" si="0"/>
        <v>Yes</v>
      </c>
      <c r="E27" s="15" t="str">
        <f>IF($A27="","",IF($A27="Neuron",IF(OR(AND($S27&lt;&gt;"",LOWER(TRIM($S27))&lt;&gt;"n/a",COUNTIF($S$2:$S$528,$S27)&gt;1),AND($T27&lt;&gt;"",LOWER(TRIM($T27))&lt;&gt;"n/a",COUNTIF($T$2:$T$528,$T27)&gt;1),AND($W27&lt;&gt;"",LOWER(TRIM($W27))&lt;&gt;"n/a",COUNTIF($W$2:$W$528,$W27)&gt;1)),"Yes","No"),IF($A27="Cybernet",IF(OR(AND($Y27&lt;&gt;"",LOWER(TRIM($Y27))&lt;&gt;"n/a",COUNTIF($Y$2:$Y$528,$Y27)&gt;1),AND($Z27&lt;&gt;"",LOWER(TRIM($Z27))&lt;&gt;"n/a",COUNTIF($Z$2:$Z$528,$Z27)&gt;1)),"Yes","No"),IF(AND($AL27&lt;&gt;"",LOWER(TRIM($AL27))&lt;&gt;"n/a",COUNTIF($AL$2:$AL$528,$AL27)&gt;1),"Yes","No"))))</f>
        <v>No</v>
      </c>
      <c r="F27" t="str">
        <f>IF($B27&lt;&gt;"Yes","",
IF($A27="Neuron",
IF(OR(
AND($S27&lt;&gt;"",LOWER(TRIM($S27))&lt;&gt;"n/a",COUNTIFS($B$2:$B$528,"Yes",$A$2:$A$528,"Neuron",$S$2:$S$528,$S27)&gt;1),
AND($T27&lt;&gt;"",LOWER(TRIM($T27))&lt;&gt;"n/a",COUNTIFS($B$2:$B$528,"Yes",$A$2:$A$528,"Neuron",$T$2:$T$528,$T27)&gt;1),
AND($W27&lt;&gt;"",LOWER(TRIM($W27))&lt;&gt;"n/a",COUNTIFS($B$2:$B$528,"Yes",$A$2:$A$528,"Neuron",$W$2:$W$528,$W27)&gt;1)
),"Yes","No"),
IF($A27="Cybernet",
IF(OR(
AND($Y27&lt;&gt;"",LOWER(TRIM($Y27))&lt;&gt;"n/a",COUNTIFS($B$2:$B$528,"Yes",$A$2:$A$528,"Cybernet",$Y$2:$Y$528,$Y27)&gt;1),
AND($Z27&lt;&gt;"",LOWER(TRIM($Z27))&lt;&gt;"n/a",COUNTIFS($B$2:$B$528,"Yes",$A$2:$A$528,"Cybernet",$Z$2:$Z$528,$Z27)&gt;1)
),"Yes","No"),
IF(AND($AL27&lt;&gt;"",LOWER(TRIM($AL27))&lt;&gt;"n/a"),
IF(COUNTIFS($B$2:$B$528,"Yes",$A$2:$A$528,$A27,$AL$2:$AL$528,$AL27)&gt;1,"Yes","No"),
"No")
)
)
)</f>
        <v>No</v>
      </c>
      <c r="G27" s="4" t="s">
        <v>1442</v>
      </c>
      <c r="H27" s="4" t="s">
        <v>1442</v>
      </c>
      <c r="I27" s="4"/>
      <c r="J27" s="4" t="s">
        <v>1444</v>
      </c>
      <c r="K27" s="4" t="s">
        <v>1444</v>
      </c>
      <c r="L27" s="4" t="s">
        <v>1444</v>
      </c>
      <c r="M27" s="4"/>
      <c r="N27" s="4"/>
      <c r="O27" s="4"/>
      <c r="P27" s="4"/>
      <c r="Q27" s="4"/>
      <c r="R27" s="4"/>
      <c r="S27" s="4" t="s">
        <v>1606</v>
      </c>
      <c r="T27" s="4" t="s">
        <v>1607</v>
      </c>
      <c r="U27" s="4" t="s">
        <v>1608</v>
      </c>
      <c r="V27" s="4" t="s">
        <v>1441</v>
      </c>
      <c r="W27" s="4" t="s">
        <v>1609</v>
      </c>
      <c r="X27" s="4" t="s">
        <v>1449</v>
      </c>
      <c r="Y27" s="4" t="s">
        <v>1450</v>
      </c>
      <c r="Z27" s="4"/>
      <c r="AA27" s="4" t="s">
        <v>1451</v>
      </c>
      <c r="AB27" s="4"/>
      <c r="AC27" s="4"/>
      <c r="AD27" s="4" t="s">
        <v>1450</v>
      </c>
      <c r="AE27" s="8"/>
      <c r="AF27" s="4"/>
      <c r="AG27" s="4"/>
      <c r="AH27" s="1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8" t="s">
        <v>1441</v>
      </c>
      <c r="AX27" s="8" t="s">
        <v>1441</v>
      </c>
      <c r="AY27" s="8"/>
      <c r="AZ27" s="8"/>
      <c r="BA27" s="12">
        <v>46027</v>
      </c>
      <c r="BB27" s="8" t="s">
        <v>1441</v>
      </c>
      <c r="BC27" s="4"/>
      <c r="BD27" s="4" t="s">
        <v>1410</v>
      </c>
      <c r="BE27" s="8" t="s">
        <v>1441</v>
      </c>
      <c r="BF27" s="8" t="s">
        <v>1441</v>
      </c>
      <c r="BG27" s="8" t="s">
        <v>1441</v>
      </c>
      <c r="BH27" s="8" t="s">
        <v>1441</v>
      </c>
      <c r="BI27" s="8"/>
      <c r="BJ27" s="8" t="s">
        <v>1441</v>
      </c>
      <c r="BK27" s="8" t="s">
        <v>1460</v>
      </c>
      <c r="BL27" s="4" t="str">
        <f t="shared" si="1"/>
        <v>Epic Beans Relay</v>
      </c>
      <c r="BM27" s="8" t="str">
        <f t="shared" si="2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s="8" t="s">
        <v>1341</v>
      </c>
      <c r="B28" s="8" t="s">
        <v>1441</v>
      </c>
      <c r="C28" s="15" t="s">
        <v>1460</v>
      </c>
      <c r="D28" s="15" t="str">
        <f t="shared" si="0"/>
        <v>Yes</v>
      </c>
      <c r="E28" s="15" t="str">
        <f>IF($A28="","",IF($A28="Neuron",IF(OR(AND($S28&lt;&gt;"",LOWER(TRIM($S28))&lt;&gt;"n/a",COUNTIF($S$2:$S$528,$S28)&gt;1),AND($T28&lt;&gt;"",LOWER(TRIM($T28))&lt;&gt;"n/a",COUNTIF($T$2:$T$528,$T28)&gt;1),AND($W28&lt;&gt;"",LOWER(TRIM($W28))&lt;&gt;"n/a",COUNTIF($W$2:$W$528,$W28)&gt;1)),"Yes","No"),IF($A28="Cybernet",IF(OR(AND($Y28&lt;&gt;"",LOWER(TRIM($Y28))&lt;&gt;"n/a",COUNTIF($Y$2:$Y$528,$Y28)&gt;1),AND($Z28&lt;&gt;"",LOWER(TRIM($Z28))&lt;&gt;"n/a",COUNTIF($Z$2:$Z$528,$Z28)&gt;1)),"Yes","No"),IF(AND($AL28&lt;&gt;"",LOWER(TRIM($AL28))&lt;&gt;"n/a",COUNTIF($AL$2:$AL$528,$AL28)&gt;1),"Yes","No"))))</f>
        <v>No</v>
      </c>
      <c r="F28" t="str">
        <f>IF($B28&lt;&gt;"Yes","",
IF($A28="Neuron",
IF(OR(
AND($S28&lt;&gt;"",LOWER(TRIM($S28))&lt;&gt;"n/a",COUNTIFS($B$2:$B$528,"Yes",$A$2:$A$528,"Neuron",$S$2:$S$528,$S28)&gt;1),
AND($T28&lt;&gt;"",LOWER(TRIM($T28))&lt;&gt;"n/a",COUNTIFS($B$2:$B$528,"Yes",$A$2:$A$528,"Neuron",$T$2:$T$528,$T28)&gt;1),
AND($W28&lt;&gt;"",LOWER(TRIM($W28))&lt;&gt;"n/a",COUNTIFS($B$2:$B$528,"Yes",$A$2:$A$528,"Neuron",$W$2:$W$528,$W28)&gt;1)
),"Yes","No"),
IF($A28="Cybernet",
IF(OR(
AND($Y28&lt;&gt;"",LOWER(TRIM($Y28))&lt;&gt;"n/a",COUNTIFS($B$2:$B$528,"Yes",$A$2:$A$528,"Cybernet",$Y$2:$Y$528,$Y28)&gt;1),
AND($Z28&lt;&gt;"",LOWER(TRIM($Z28))&lt;&gt;"n/a",COUNTIFS($B$2:$B$528,"Yes",$A$2:$A$528,"Cybernet",$Z$2:$Z$528,$Z28)&gt;1)
),"Yes","No"),
IF(AND($AL28&lt;&gt;"",LOWER(TRIM($AL28))&lt;&gt;"n/a"),
IF(COUNTIFS($B$2:$B$528,"Yes",$A$2:$A$528,$A28,$AL$2:$AL$528,$AL28)&gt;1,"Yes","No"),
"No")
)
)
)</f>
        <v>No</v>
      </c>
      <c r="G28" s="4" t="s">
        <v>1442</v>
      </c>
      <c r="H28" s="4" t="s">
        <v>1442</v>
      </c>
      <c r="I28" s="4"/>
      <c r="J28" s="4" t="s">
        <v>1444</v>
      </c>
      <c r="K28" s="4" t="s">
        <v>1444</v>
      </c>
      <c r="L28" s="4" t="s">
        <v>1444</v>
      </c>
      <c r="M28" s="4"/>
      <c r="N28" s="4"/>
      <c r="O28" s="4"/>
      <c r="P28" s="4"/>
      <c r="Q28" s="4"/>
      <c r="R28" s="4"/>
      <c r="S28" s="4" t="s">
        <v>1610</v>
      </c>
      <c r="T28" s="4" t="s">
        <v>1611</v>
      </c>
      <c r="U28" s="4" t="s">
        <v>1612</v>
      </c>
      <c r="V28" s="4" t="s">
        <v>1441</v>
      </c>
      <c r="W28" s="4" t="s">
        <v>1613</v>
      </c>
      <c r="X28" s="4" t="s">
        <v>1449</v>
      </c>
      <c r="Y28" s="4" t="s">
        <v>1450</v>
      </c>
      <c r="Z28" s="4"/>
      <c r="AA28" s="4" t="s">
        <v>1451</v>
      </c>
      <c r="AB28" s="4"/>
      <c r="AC28" s="4"/>
      <c r="AD28" s="4" t="s">
        <v>1450</v>
      </c>
      <c r="AE28" s="8"/>
      <c r="AF28" s="4"/>
      <c r="AG28" s="4"/>
      <c r="AH28" s="1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8" t="s">
        <v>1441</v>
      </c>
      <c r="AX28" s="8" t="s">
        <v>1441</v>
      </c>
      <c r="AY28" s="8"/>
      <c r="AZ28" s="8"/>
      <c r="BA28" s="12">
        <v>46027</v>
      </c>
      <c r="BB28" s="8" t="s">
        <v>1441</v>
      </c>
      <c r="BC28" s="4"/>
      <c r="BD28" s="4" t="s">
        <v>1410</v>
      </c>
      <c r="BE28" s="8" t="s">
        <v>1441</v>
      </c>
      <c r="BF28" s="8" t="s">
        <v>1441</v>
      </c>
      <c r="BG28" s="8" t="s">
        <v>1441</v>
      </c>
      <c r="BH28" s="8" t="s">
        <v>1441</v>
      </c>
      <c r="BI28" s="8"/>
      <c r="BJ28" s="8" t="s">
        <v>1441</v>
      </c>
      <c r="BK28" s="8" t="s">
        <v>1460</v>
      </c>
      <c r="BL28" s="4" t="str">
        <f t="shared" si="1"/>
        <v>Epic Beans Relay</v>
      </c>
      <c r="BM28" s="8" t="str">
        <f t="shared" si="2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s="8" t="s">
        <v>1341</v>
      </c>
      <c r="B29" s="8" t="s">
        <v>1441</v>
      </c>
      <c r="C29" s="15" t="s">
        <v>1460</v>
      </c>
      <c r="D29" s="15" t="str">
        <f t="shared" si="0"/>
        <v>Yes</v>
      </c>
      <c r="E29" s="15" t="str">
        <f>IF($A29="","",IF($A29="Neuron",IF(OR(AND($S29&lt;&gt;"",LOWER(TRIM($S29))&lt;&gt;"n/a",COUNTIF($S$2:$S$528,$S29)&gt;1),AND($T29&lt;&gt;"",LOWER(TRIM($T29))&lt;&gt;"n/a",COUNTIF($T$2:$T$528,$T29)&gt;1),AND($W29&lt;&gt;"",LOWER(TRIM($W29))&lt;&gt;"n/a",COUNTIF($W$2:$W$528,$W29)&gt;1)),"Yes","No"),IF($A29="Cybernet",IF(OR(AND($Y29&lt;&gt;"",LOWER(TRIM($Y29))&lt;&gt;"n/a",COUNTIF($Y$2:$Y$528,$Y29)&gt;1),AND($Z29&lt;&gt;"",LOWER(TRIM($Z29))&lt;&gt;"n/a",COUNTIF($Z$2:$Z$528,$Z29)&gt;1)),"Yes","No"),IF(AND($AL29&lt;&gt;"",LOWER(TRIM($AL29))&lt;&gt;"n/a",COUNTIF($AL$2:$AL$528,$AL29)&gt;1),"Yes","No"))))</f>
        <v>No</v>
      </c>
      <c r="F29" t="str">
        <f>IF($B29&lt;&gt;"Yes","",
IF($A29="Neuron",
IF(OR(
AND($S29&lt;&gt;"",LOWER(TRIM($S29))&lt;&gt;"n/a",COUNTIFS($B$2:$B$528,"Yes",$A$2:$A$528,"Neuron",$S$2:$S$528,$S29)&gt;1),
AND($T29&lt;&gt;"",LOWER(TRIM($T29))&lt;&gt;"n/a",COUNTIFS($B$2:$B$528,"Yes",$A$2:$A$528,"Neuron",$T$2:$T$528,$T29)&gt;1),
AND($W29&lt;&gt;"",LOWER(TRIM($W29))&lt;&gt;"n/a",COUNTIFS($B$2:$B$528,"Yes",$A$2:$A$528,"Neuron",$W$2:$W$528,$W29)&gt;1)
),"Yes","No"),
IF($A29="Cybernet",
IF(OR(
AND($Y29&lt;&gt;"",LOWER(TRIM($Y29))&lt;&gt;"n/a",COUNTIFS($B$2:$B$528,"Yes",$A$2:$A$528,"Cybernet",$Y$2:$Y$528,$Y29)&gt;1),
AND($Z29&lt;&gt;"",LOWER(TRIM($Z29))&lt;&gt;"n/a",COUNTIFS($B$2:$B$528,"Yes",$A$2:$A$528,"Cybernet",$Z$2:$Z$528,$Z29)&gt;1)
),"Yes","No"),
IF(AND($AL29&lt;&gt;"",LOWER(TRIM($AL29))&lt;&gt;"n/a"),
IF(COUNTIFS($B$2:$B$528,"Yes",$A$2:$A$528,$A29,$AL$2:$AL$528,$AL29)&gt;1,"Yes","No"),
"No")
)
)
)</f>
        <v>No</v>
      </c>
      <c r="G29" s="4" t="s">
        <v>1442</v>
      </c>
      <c r="H29" s="4" t="s">
        <v>1442</v>
      </c>
      <c r="I29" s="4"/>
      <c r="J29" s="4" t="s">
        <v>1444</v>
      </c>
      <c r="K29" s="4" t="s">
        <v>1444</v>
      </c>
      <c r="L29" s="4" t="s">
        <v>1444</v>
      </c>
      <c r="M29" s="4"/>
      <c r="N29" s="4"/>
      <c r="O29" s="4"/>
      <c r="P29" s="4"/>
      <c r="Q29" s="4"/>
      <c r="R29" s="4"/>
      <c r="S29" s="4" t="s">
        <v>1614</v>
      </c>
      <c r="T29" s="4" t="s">
        <v>1615</v>
      </c>
      <c r="U29" s="4" t="s">
        <v>1616</v>
      </c>
      <c r="V29" s="4" t="s">
        <v>1441</v>
      </c>
      <c r="W29" s="4" t="s">
        <v>1617</v>
      </c>
      <c r="X29" s="4" t="s">
        <v>1449</v>
      </c>
      <c r="Y29" s="4" t="s">
        <v>1450</v>
      </c>
      <c r="Z29" s="4"/>
      <c r="AA29" s="4" t="s">
        <v>1451</v>
      </c>
      <c r="AB29" s="4"/>
      <c r="AC29" s="4"/>
      <c r="AD29" s="4" t="s">
        <v>1450</v>
      </c>
      <c r="AE29" s="8"/>
      <c r="AF29" s="4"/>
      <c r="AG29" s="4"/>
      <c r="AH29" s="17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8" t="s">
        <v>1441</v>
      </c>
      <c r="AX29" s="8" t="s">
        <v>1441</v>
      </c>
      <c r="AY29" s="8"/>
      <c r="AZ29" s="8"/>
      <c r="BA29" s="12">
        <v>46027</v>
      </c>
      <c r="BB29" s="8" t="s">
        <v>1441</v>
      </c>
      <c r="BC29" s="4"/>
      <c r="BD29" s="4" t="s">
        <v>1410</v>
      </c>
      <c r="BE29" s="8" t="s">
        <v>1441</v>
      </c>
      <c r="BF29" s="8" t="s">
        <v>1441</v>
      </c>
      <c r="BG29" s="8" t="s">
        <v>1441</v>
      </c>
      <c r="BH29" s="8" t="s">
        <v>1441</v>
      </c>
      <c r="BI29" s="8"/>
      <c r="BJ29" s="8" t="s">
        <v>1441</v>
      </c>
      <c r="BK29" s="8" t="s">
        <v>1460</v>
      </c>
      <c r="BL29" s="4" t="str">
        <f t="shared" si="1"/>
        <v>Epic Beans Relay</v>
      </c>
      <c r="BM29" s="8" t="str">
        <f t="shared" si="2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s="70" t="s">
        <v>1341</v>
      </c>
      <c r="B30" s="70" t="s">
        <v>1460</v>
      </c>
      <c r="C30" s="15" t="s">
        <v>1460</v>
      </c>
      <c r="D30" s="15" t="str">
        <f t="shared" si="0"/>
        <v/>
      </c>
      <c r="E30" s="15" t="str">
        <f>IF($A30="","",IF($A30="Neuron",IF(OR(AND($S30&lt;&gt;"",LOWER(TRIM($S30))&lt;&gt;"n/a",COUNTIF($S$2:$S$528,$S30)&gt;1),AND($T30&lt;&gt;"",LOWER(TRIM($T30))&lt;&gt;"n/a",COUNTIF($T$2:$T$528,$T30)&gt;1),AND($W30&lt;&gt;"",LOWER(TRIM($W30))&lt;&gt;"n/a",COUNTIF($W$2:$W$528,$W30)&gt;1)),"Yes","No"),IF($A30="Cybernet",IF(OR(AND($Y30&lt;&gt;"",LOWER(TRIM($Y30))&lt;&gt;"n/a",COUNTIF($Y$2:$Y$528,$Y30)&gt;1),AND($Z30&lt;&gt;"",LOWER(TRIM($Z30))&lt;&gt;"n/a",COUNTIF($Z$2:$Z$528,$Z30)&gt;1)),"Yes","No"),IF(AND($AL30&lt;&gt;"",LOWER(TRIM($AL30))&lt;&gt;"n/a",COUNTIF($AL$2:$AL$528,$AL30)&gt;1),"Yes","No"))))</f>
        <v>Yes</v>
      </c>
      <c r="F30" t="str">
        <f>IF($B30&lt;&gt;"Yes","",
IF($A30="Neuron",
IF(OR(
AND($S30&lt;&gt;"",LOWER(TRIM($S30))&lt;&gt;"n/a",COUNTIFS($B$2:$B$528,"Yes",$A$2:$A$528,"Neuron",$S$2:$S$528,$S30)&gt;1),
AND($T30&lt;&gt;"",LOWER(TRIM($T30))&lt;&gt;"n/a",COUNTIFS($B$2:$B$528,"Yes",$A$2:$A$528,"Neuron",$T$2:$T$528,$T30)&gt;1),
AND($W30&lt;&gt;"",LOWER(TRIM($W30))&lt;&gt;"n/a",COUNTIFS($B$2:$B$528,"Yes",$A$2:$A$528,"Neuron",$W$2:$W$528,$W30)&gt;1)
),"Yes","No"),
IF($A30="Cybernet",
IF(OR(
AND($Y30&lt;&gt;"",LOWER(TRIM($Y30))&lt;&gt;"n/a",COUNTIFS($B$2:$B$528,"Yes",$A$2:$A$528,"Cybernet",$Y$2:$Y$528,$Y30)&gt;1),
AND($Z30&lt;&gt;"",LOWER(TRIM($Z30))&lt;&gt;"n/a",COUNTIFS($B$2:$B$528,"Yes",$A$2:$A$528,"Cybernet",$Z$2:$Z$528,$Z30)&gt;1)
),"Yes","No"),
IF(AND($AL30&lt;&gt;"",LOWER(TRIM($AL30))&lt;&gt;"n/a"),
IF(COUNTIFS($B$2:$B$528,"Yes",$A$2:$A$528,$A30,$AL$2:$AL$528,$AL30)&gt;1,"Yes","No"),
"No")
)
)
)</f>
        <v/>
      </c>
      <c r="G30" s="71" t="s">
        <v>1327</v>
      </c>
      <c r="H30" s="71" t="s">
        <v>1442</v>
      </c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 t="s">
        <v>1618</v>
      </c>
      <c r="T30" s="71" t="s">
        <v>1619</v>
      </c>
      <c r="U30" s="71" t="s">
        <v>1620</v>
      </c>
      <c r="V30" s="71" t="s">
        <v>1441</v>
      </c>
      <c r="W30" s="71" t="s">
        <v>1621</v>
      </c>
      <c r="X30" s="71" t="s">
        <v>1449</v>
      </c>
      <c r="Y30" s="71" t="s">
        <v>1450</v>
      </c>
      <c r="Z30" s="71"/>
      <c r="AA30" s="71"/>
      <c r="AB30" s="71"/>
      <c r="AC30" s="71"/>
      <c r="AD30" s="71" t="s">
        <v>1450</v>
      </c>
      <c r="AE30" s="70"/>
      <c r="AF30" s="71"/>
      <c r="AG30" s="71"/>
      <c r="AH30" s="72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0" t="s">
        <v>1441</v>
      </c>
      <c r="AX30" s="70" t="s">
        <v>1441</v>
      </c>
      <c r="AY30" s="70"/>
      <c r="AZ30" s="70"/>
      <c r="BA30" s="73">
        <v>46027</v>
      </c>
      <c r="BB30" s="70" t="s">
        <v>1441</v>
      </c>
      <c r="BC30" s="71" t="s">
        <v>1622</v>
      </c>
      <c r="BD30" s="71" t="s">
        <v>1410</v>
      </c>
      <c r="BE30" s="70" t="s">
        <v>1441</v>
      </c>
      <c r="BF30" s="70" t="s">
        <v>1441</v>
      </c>
      <c r="BG30" s="70" t="s">
        <v>1441</v>
      </c>
      <c r="BH30" s="70" t="s">
        <v>1441</v>
      </c>
      <c r="BI30" s="70"/>
      <c r="BJ30" s="70" t="s">
        <v>1441</v>
      </c>
      <c r="BK30" s="70" t="s">
        <v>1460</v>
      </c>
      <c r="BL30" s="71" t="str">
        <f t="shared" si="1"/>
        <v>Epic Beans Relay</v>
      </c>
      <c r="BM30" s="70" t="str">
        <f t="shared" si="2"/>
        <v>Blocked</v>
      </c>
      <c r="BN30" s="69" t="s">
        <v>1623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s="70" t="s">
        <v>1341</v>
      </c>
      <c r="B31" s="70" t="s">
        <v>1460</v>
      </c>
      <c r="C31" s="15" t="s">
        <v>1460</v>
      </c>
      <c r="D31" s="15" t="str">
        <f t="shared" si="0"/>
        <v/>
      </c>
      <c r="E31" s="15" t="str">
        <f>IF($A31="","",IF($A31="Neuron",IF(OR(AND($S31&lt;&gt;"",LOWER(TRIM($S31))&lt;&gt;"n/a",COUNTIF($S$2:$S$528,$S31)&gt;1),AND($T31&lt;&gt;"",LOWER(TRIM($T31))&lt;&gt;"n/a",COUNTIF($T$2:$T$528,$T31)&gt;1),AND($W31&lt;&gt;"",LOWER(TRIM($W31))&lt;&gt;"n/a",COUNTIF($W$2:$W$528,$W31)&gt;1)),"Yes","No"),IF($A31="Cybernet",IF(OR(AND($Y31&lt;&gt;"",LOWER(TRIM($Y31))&lt;&gt;"n/a",COUNTIF($Y$2:$Y$528,$Y31)&gt;1),AND($Z31&lt;&gt;"",LOWER(TRIM($Z31))&lt;&gt;"n/a",COUNTIF($Z$2:$Z$528,$Z31)&gt;1)),"Yes","No"),IF(AND($AL31&lt;&gt;"",LOWER(TRIM($AL31))&lt;&gt;"n/a",COUNTIF($AL$2:$AL$528,$AL31)&gt;1),"Yes","No"))))</f>
        <v>Yes</v>
      </c>
      <c r="F31" t="str">
        <f>IF($B31&lt;&gt;"Yes","",
IF($A31="Neuron",
IF(OR(
AND($S31&lt;&gt;"",LOWER(TRIM($S31))&lt;&gt;"n/a",COUNTIFS($B$2:$B$528,"Yes",$A$2:$A$528,"Neuron",$S$2:$S$528,$S31)&gt;1),
AND($T31&lt;&gt;"",LOWER(TRIM($T31))&lt;&gt;"n/a",COUNTIFS($B$2:$B$528,"Yes",$A$2:$A$528,"Neuron",$T$2:$T$528,$T31)&gt;1),
AND($W31&lt;&gt;"",LOWER(TRIM($W31))&lt;&gt;"n/a",COUNTIFS($B$2:$B$528,"Yes",$A$2:$A$528,"Neuron",$W$2:$W$528,$W31)&gt;1)
),"Yes","No"),
IF($A31="Cybernet",
IF(OR(
AND($Y31&lt;&gt;"",LOWER(TRIM($Y31))&lt;&gt;"n/a",COUNTIFS($B$2:$B$528,"Yes",$A$2:$A$528,"Cybernet",$Y$2:$Y$528,$Y31)&gt;1),
AND($Z31&lt;&gt;"",LOWER(TRIM($Z31))&lt;&gt;"n/a",COUNTIFS($B$2:$B$528,"Yes",$A$2:$A$528,"Cybernet",$Z$2:$Z$528,$Z31)&gt;1)
),"Yes","No"),
IF(AND($AL31&lt;&gt;"",LOWER(TRIM($AL31))&lt;&gt;"n/a"),
IF(COUNTIFS($B$2:$B$528,"Yes",$A$2:$A$528,$A31,$AL$2:$AL$528,$AL31)&gt;1,"Yes","No"),
"No")
)
)
)</f>
        <v/>
      </c>
      <c r="G31" s="71" t="s">
        <v>1327</v>
      </c>
      <c r="H31" s="71" t="s">
        <v>1442</v>
      </c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 t="s">
        <v>1624</v>
      </c>
      <c r="T31" s="71" t="s">
        <v>1625</v>
      </c>
      <c r="U31" s="71" t="s">
        <v>1626</v>
      </c>
      <c r="V31" s="71" t="s">
        <v>1441</v>
      </c>
      <c r="W31" s="71" t="s">
        <v>1627</v>
      </c>
      <c r="X31" s="71" t="s">
        <v>1449</v>
      </c>
      <c r="Y31" s="71" t="s">
        <v>1450</v>
      </c>
      <c r="Z31" s="71"/>
      <c r="AA31" s="71"/>
      <c r="AB31" s="71"/>
      <c r="AC31" s="71"/>
      <c r="AD31" s="71" t="s">
        <v>1450</v>
      </c>
      <c r="AE31" s="70"/>
      <c r="AF31" s="71"/>
      <c r="AG31" s="71"/>
      <c r="AH31" s="72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0" t="s">
        <v>1441</v>
      </c>
      <c r="AX31" s="70" t="s">
        <v>1441</v>
      </c>
      <c r="AY31" s="70"/>
      <c r="AZ31" s="70"/>
      <c r="BA31" s="73">
        <v>46027</v>
      </c>
      <c r="BB31" s="70" t="s">
        <v>1441</v>
      </c>
      <c r="BC31" s="71" t="s">
        <v>1622</v>
      </c>
      <c r="BD31" s="71" t="s">
        <v>1410</v>
      </c>
      <c r="BE31" s="70" t="s">
        <v>1441</v>
      </c>
      <c r="BF31" s="70" t="s">
        <v>1441</v>
      </c>
      <c r="BG31" s="70" t="s">
        <v>1441</v>
      </c>
      <c r="BH31" s="70" t="s">
        <v>1441</v>
      </c>
      <c r="BI31" s="70"/>
      <c r="BJ31" s="70" t="s">
        <v>1441</v>
      </c>
      <c r="BK31" s="70" t="s">
        <v>1460</v>
      </c>
      <c r="BL31" s="71" t="str">
        <f t="shared" si="1"/>
        <v>Epic Beans Relay</v>
      </c>
      <c r="BM31" s="70" t="str">
        <f t="shared" si="2"/>
        <v>Blocked</v>
      </c>
      <c r="BN31" s="69" t="s">
        <v>1628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s="70" t="s">
        <v>1341</v>
      </c>
      <c r="B32" s="70" t="s">
        <v>1460</v>
      </c>
      <c r="C32" s="15" t="s">
        <v>1460</v>
      </c>
      <c r="D32" s="15" t="str">
        <f t="shared" si="0"/>
        <v/>
      </c>
      <c r="E32" s="15" t="str">
        <f>IF($A32="","",IF($A32="Neuron",IF(OR(AND($S32&lt;&gt;"",LOWER(TRIM($S32))&lt;&gt;"n/a",COUNTIF($S$2:$S$528,$S32)&gt;1),AND($T32&lt;&gt;"",LOWER(TRIM($T32))&lt;&gt;"n/a",COUNTIF($T$2:$T$528,$T32)&gt;1),AND($W32&lt;&gt;"",LOWER(TRIM($W32))&lt;&gt;"n/a",COUNTIF($W$2:$W$528,$W32)&gt;1)),"Yes","No"),IF($A32="Cybernet",IF(OR(AND($Y32&lt;&gt;"",LOWER(TRIM($Y32))&lt;&gt;"n/a",COUNTIF($Y$2:$Y$528,$Y32)&gt;1),AND($Z32&lt;&gt;"",LOWER(TRIM($Z32))&lt;&gt;"n/a",COUNTIF($Z$2:$Z$528,$Z32)&gt;1)),"Yes","No"),IF(AND($AL32&lt;&gt;"",LOWER(TRIM($AL32))&lt;&gt;"n/a",COUNTIF($AL$2:$AL$528,$AL32)&gt;1),"Yes","No"))))</f>
        <v>No</v>
      </c>
      <c r="F32" t="str">
        <f>IF($B32&lt;&gt;"Yes","",
IF($A32="Neuron",
IF(OR(
AND($S32&lt;&gt;"",LOWER(TRIM($S32))&lt;&gt;"n/a",COUNTIFS($B$2:$B$528,"Yes",$A$2:$A$528,"Neuron",$S$2:$S$528,$S32)&gt;1),
AND($T32&lt;&gt;"",LOWER(TRIM($T32))&lt;&gt;"n/a",COUNTIFS($B$2:$B$528,"Yes",$A$2:$A$528,"Neuron",$T$2:$T$528,$T32)&gt;1),
AND($W32&lt;&gt;"",LOWER(TRIM($W32))&lt;&gt;"n/a",COUNTIFS($B$2:$B$528,"Yes",$A$2:$A$528,"Neuron",$W$2:$W$528,$W32)&gt;1)
),"Yes","No"),
IF($A32="Cybernet",
IF(OR(
AND($Y32&lt;&gt;"",LOWER(TRIM($Y32))&lt;&gt;"n/a",COUNTIFS($B$2:$B$528,"Yes",$A$2:$A$528,"Cybernet",$Y$2:$Y$528,$Y32)&gt;1),
AND($Z32&lt;&gt;"",LOWER(TRIM($Z32))&lt;&gt;"n/a",COUNTIFS($B$2:$B$528,"Yes",$A$2:$A$528,"Cybernet",$Z$2:$Z$528,$Z32)&gt;1)
),"Yes","No"),
IF(AND($AL32&lt;&gt;"",LOWER(TRIM($AL32))&lt;&gt;"n/a"),
IF(COUNTIFS($B$2:$B$528,"Yes",$A$2:$A$528,$A32,$AL$2:$AL$528,$AL32)&gt;1,"Yes","No"),
"No")
)
)
)</f>
        <v/>
      </c>
      <c r="G32" s="71" t="s">
        <v>1327</v>
      </c>
      <c r="H32" s="71" t="s">
        <v>1442</v>
      </c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 t="s">
        <v>1629</v>
      </c>
      <c r="T32" s="71" t="s">
        <v>1630</v>
      </c>
      <c r="U32" s="71" t="s">
        <v>1631</v>
      </c>
      <c r="V32" s="71" t="s">
        <v>1441</v>
      </c>
      <c r="W32" s="71" t="s">
        <v>1632</v>
      </c>
      <c r="X32" s="71" t="s">
        <v>1449</v>
      </c>
      <c r="Y32" s="71" t="s">
        <v>1450</v>
      </c>
      <c r="Z32" s="71"/>
      <c r="AA32" s="71"/>
      <c r="AB32" s="71"/>
      <c r="AC32" s="71"/>
      <c r="AD32" s="71" t="s">
        <v>1450</v>
      </c>
      <c r="AE32" s="70"/>
      <c r="AF32" s="71"/>
      <c r="AG32" s="71"/>
      <c r="AH32" s="72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0" t="s">
        <v>1441</v>
      </c>
      <c r="AX32" s="70" t="s">
        <v>1441</v>
      </c>
      <c r="AY32" s="70"/>
      <c r="AZ32" s="70"/>
      <c r="BA32" s="73">
        <v>46027</v>
      </c>
      <c r="BB32" s="70" t="s">
        <v>1441</v>
      </c>
      <c r="BC32" s="71" t="s">
        <v>1622</v>
      </c>
      <c r="BD32" s="71" t="s">
        <v>1410</v>
      </c>
      <c r="BE32" s="70" t="s">
        <v>1441</v>
      </c>
      <c r="BF32" s="70" t="s">
        <v>1441</v>
      </c>
      <c r="BG32" s="70" t="s">
        <v>1441</v>
      </c>
      <c r="BH32" s="70" t="s">
        <v>1441</v>
      </c>
      <c r="BI32" s="70"/>
      <c r="BJ32" s="70" t="s">
        <v>1441</v>
      </c>
      <c r="BK32" s="70" t="s">
        <v>1460</v>
      </c>
      <c r="BL32" s="71" t="str">
        <f t="shared" si="1"/>
        <v>Epic Beans Relay</v>
      </c>
      <c r="BM32" s="70" t="str">
        <f t="shared" si="2"/>
        <v>Blocked</v>
      </c>
      <c r="BN32" s="69"/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s="70" t="s">
        <v>1341</v>
      </c>
      <c r="B33" s="70" t="s">
        <v>1460</v>
      </c>
      <c r="C33" s="15" t="s">
        <v>1460</v>
      </c>
      <c r="D33" s="15" t="str">
        <f t="shared" si="0"/>
        <v/>
      </c>
      <c r="E33" s="15" t="str">
        <f>IF($A33="","",IF($A33="Neuron",IF(OR(AND($S33&lt;&gt;"",LOWER(TRIM($S33))&lt;&gt;"n/a",COUNTIF($S$2:$S$528,$S33)&gt;1),AND($T33&lt;&gt;"",LOWER(TRIM($T33))&lt;&gt;"n/a",COUNTIF($T$2:$T$528,$T33)&gt;1),AND($W33&lt;&gt;"",LOWER(TRIM($W33))&lt;&gt;"n/a",COUNTIF($W$2:$W$528,$W33)&gt;1)),"Yes","No"),IF($A33="Cybernet",IF(OR(AND($Y33&lt;&gt;"",LOWER(TRIM($Y33))&lt;&gt;"n/a",COUNTIF($Y$2:$Y$528,$Y33)&gt;1),AND($Z33&lt;&gt;"",LOWER(TRIM($Z33))&lt;&gt;"n/a",COUNTIF($Z$2:$Z$528,$Z33)&gt;1)),"Yes","No"),IF(AND($AL33&lt;&gt;"",LOWER(TRIM($AL33))&lt;&gt;"n/a",COUNTIF($AL$2:$AL$528,$AL33)&gt;1),"Yes","No"))))</f>
        <v>No</v>
      </c>
      <c r="F33" t="str">
        <f>IF($B33&lt;&gt;"Yes","",
IF($A33="Neuron",
IF(OR(
AND($S33&lt;&gt;"",LOWER(TRIM($S33))&lt;&gt;"n/a",COUNTIFS($B$2:$B$528,"Yes",$A$2:$A$528,"Neuron",$S$2:$S$528,$S33)&gt;1),
AND($T33&lt;&gt;"",LOWER(TRIM($T33))&lt;&gt;"n/a",COUNTIFS($B$2:$B$528,"Yes",$A$2:$A$528,"Neuron",$T$2:$T$528,$T33)&gt;1),
AND($W33&lt;&gt;"",LOWER(TRIM($W33))&lt;&gt;"n/a",COUNTIFS($B$2:$B$528,"Yes",$A$2:$A$528,"Neuron",$W$2:$W$528,$W33)&gt;1)
),"Yes","No"),
IF($A33="Cybernet",
IF(OR(
AND($Y33&lt;&gt;"",LOWER(TRIM($Y33))&lt;&gt;"n/a",COUNTIFS($B$2:$B$528,"Yes",$A$2:$A$528,"Cybernet",$Y$2:$Y$528,$Y33)&gt;1),
AND($Z33&lt;&gt;"",LOWER(TRIM($Z33))&lt;&gt;"n/a",COUNTIFS($B$2:$B$528,"Yes",$A$2:$A$528,"Cybernet",$Z$2:$Z$528,$Z33)&gt;1)
),"Yes","No"),
IF(AND($AL33&lt;&gt;"",LOWER(TRIM($AL33))&lt;&gt;"n/a"),
IF(COUNTIFS($B$2:$B$528,"Yes",$A$2:$A$528,$A33,$AL$2:$AL$528,$AL33)&gt;1,"Yes","No"),
"No")
)
)
)</f>
        <v/>
      </c>
      <c r="G33" s="71" t="s">
        <v>1327</v>
      </c>
      <c r="H33" s="71" t="s">
        <v>1442</v>
      </c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 t="s">
        <v>1633</v>
      </c>
      <c r="T33" s="71" t="s">
        <v>1634</v>
      </c>
      <c r="U33" s="71" t="s">
        <v>1635</v>
      </c>
      <c r="V33" s="71" t="s">
        <v>1441</v>
      </c>
      <c r="W33" s="71" t="s">
        <v>1636</v>
      </c>
      <c r="X33" s="71" t="s">
        <v>1449</v>
      </c>
      <c r="Y33" s="71" t="s">
        <v>1450</v>
      </c>
      <c r="Z33" s="71"/>
      <c r="AA33" s="71"/>
      <c r="AB33" s="71"/>
      <c r="AC33" s="71"/>
      <c r="AD33" s="71" t="s">
        <v>1450</v>
      </c>
      <c r="AE33" s="70"/>
      <c r="AF33" s="71"/>
      <c r="AG33" s="71"/>
      <c r="AH33" s="72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0" t="s">
        <v>1441</v>
      </c>
      <c r="AX33" s="70" t="s">
        <v>1441</v>
      </c>
      <c r="AY33" s="70"/>
      <c r="AZ33" s="70"/>
      <c r="BA33" s="73">
        <v>46027</v>
      </c>
      <c r="BB33" s="70" t="s">
        <v>1441</v>
      </c>
      <c r="BC33" s="71" t="s">
        <v>1622</v>
      </c>
      <c r="BD33" s="71" t="s">
        <v>1410</v>
      </c>
      <c r="BE33" s="70" t="s">
        <v>1441</v>
      </c>
      <c r="BF33" s="70" t="s">
        <v>1441</v>
      </c>
      <c r="BG33" s="70" t="s">
        <v>1441</v>
      </c>
      <c r="BH33" s="70" t="s">
        <v>1441</v>
      </c>
      <c r="BI33" s="70"/>
      <c r="BJ33" s="70" t="s">
        <v>1441</v>
      </c>
      <c r="BK33" s="70" t="s">
        <v>1460</v>
      </c>
      <c r="BL33" s="71" t="str">
        <f t="shared" si="1"/>
        <v>Epic Beans Relay</v>
      </c>
      <c r="BM33" s="70" t="str">
        <f t="shared" si="2"/>
        <v>Blocked</v>
      </c>
      <c r="BN33" s="69"/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 ht="30.75" customHeight="1">
      <c r="A34" s="8" t="s">
        <v>1341</v>
      </c>
      <c r="B34" s="8" t="s">
        <v>1441</v>
      </c>
      <c r="C34" s="15" t="s">
        <v>1460</v>
      </c>
      <c r="D34" s="15" t="str">
        <f t="shared" si="0"/>
        <v>Yes</v>
      </c>
      <c r="E34" s="15" t="str">
        <f>IF($A34="","",IF($A34="Neuron",IF(OR(AND($S34&lt;&gt;"",LOWER(TRIM($S34))&lt;&gt;"n/a",COUNTIF($S$2:$S$528,$S34)&gt;1),AND($T34&lt;&gt;"",LOWER(TRIM($T34))&lt;&gt;"n/a",COUNTIF($T$2:$T$528,$T34)&gt;1),AND($W34&lt;&gt;"",LOWER(TRIM($W34))&lt;&gt;"n/a",COUNTIF($W$2:$W$528,$W34)&gt;1)),"Yes","No"),IF($A34="Cybernet",IF(OR(AND($Y34&lt;&gt;"",LOWER(TRIM($Y34))&lt;&gt;"n/a",COUNTIF($Y$2:$Y$528,$Y34)&gt;1),AND($Z34&lt;&gt;"",LOWER(TRIM($Z34))&lt;&gt;"n/a",COUNTIF($Z$2:$Z$528,$Z34)&gt;1)),"Yes","No"),IF(AND($AL34&lt;&gt;"",LOWER(TRIM($AL34))&lt;&gt;"n/a",COUNTIF($AL$2:$AL$528,$AL34)&gt;1),"Yes","No"))))</f>
        <v>No</v>
      </c>
      <c r="F34" t="str">
        <f>IF($B34&lt;&gt;"Yes","",
IF($A34="Neuron",
IF(OR(
AND($S34&lt;&gt;"",LOWER(TRIM($S34))&lt;&gt;"n/a",COUNTIFS($B$2:$B$528,"Yes",$A$2:$A$528,"Neuron",$S$2:$S$528,$S34)&gt;1),
AND($T34&lt;&gt;"",LOWER(TRIM($T34))&lt;&gt;"n/a",COUNTIFS($B$2:$B$528,"Yes",$A$2:$A$528,"Neuron",$T$2:$T$528,$T34)&gt;1),
AND($W34&lt;&gt;"",LOWER(TRIM($W34))&lt;&gt;"n/a",COUNTIFS($B$2:$B$528,"Yes",$A$2:$A$528,"Neuron",$W$2:$W$528,$W34)&gt;1)
),"Yes","No"),
IF($A34="Cybernet",
IF(OR(
AND($Y34&lt;&gt;"",LOWER(TRIM($Y34))&lt;&gt;"n/a",COUNTIFS($B$2:$B$528,"Yes",$A$2:$A$528,"Cybernet",$Y$2:$Y$528,$Y34)&gt;1),
AND($Z34&lt;&gt;"",LOWER(TRIM($Z34))&lt;&gt;"n/a",COUNTIFS($B$2:$B$528,"Yes",$A$2:$A$528,"Cybernet",$Z$2:$Z$528,$Z34)&gt;1)
),"Yes","No"),
IF(AND($AL34&lt;&gt;"",LOWER(TRIM($AL34))&lt;&gt;"n/a"),
IF(COUNTIFS($B$2:$B$528,"Yes",$A$2:$A$528,$A34,$AL$2:$AL$528,$AL34)&gt;1,"Yes","No"),
"No")
)
)
)</f>
        <v>No</v>
      </c>
      <c r="G34" s="4" t="s">
        <v>1637</v>
      </c>
      <c r="H34" s="4" t="s">
        <v>1637</v>
      </c>
      <c r="I34" s="4"/>
      <c r="J34" s="4" t="s">
        <v>1444</v>
      </c>
      <c r="K34" s="4" t="s">
        <v>1444</v>
      </c>
      <c r="L34" s="4" t="s">
        <v>1444</v>
      </c>
      <c r="M34" s="4"/>
      <c r="N34" s="4"/>
      <c r="O34" s="4"/>
      <c r="P34" s="4"/>
      <c r="Q34" s="4"/>
      <c r="R34" s="4"/>
      <c r="S34" s="4" t="s">
        <v>1638</v>
      </c>
      <c r="T34" s="4" t="s">
        <v>1639</v>
      </c>
      <c r="U34" s="4" t="s">
        <v>1640</v>
      </c>
      <c r="V34" s="4" t="s">
        <v>1441</v>
      </c>
      <c r="W34" s="4" t="s">
        <v>1641</v>
      </c>
      <c r="X34" s="4" t="s">
        <v>1449</v>
      </c>
      <c r="Y34" s="4" t="s">
        <v>1450</v>
      </c>
      <c r="Z34" s="4" t="s">
        <v>1450</v>
      </c>
      <c r="AA34" s="4" t="s">
        <v>1642</v>
      </c>
      <c r="AB34" s="4"/>
      <c r="AC34" s="4" t="s">
        <v>1450</v>
      </c>
      <c r="AD34" s="4" t="s">
        <v>1643</v>
      </c>
      <c r="AE34" s="8"/>
      <c r="AF34" s="4" t="s">
        <v>1644</v>
      </c>
      <c r="AG34" s="4" t="s">
        <v>1645</v>
      </c>
      <c r="AH34" s="14" t="s">
        <v>1646</v>
      </c>
      <c r="AI34" s="4"/>
      <c r="AJ34" s="4" t="s">
        <v>1647</v>
      </c>
      <c r="AK34" s="4" t="s">
        <v>1648</v>
      </c>
      <c r="AL34" s="4" t="s">
        <v>1643</v>
      </c>
      <c r="AM34" t="s">
        <v>1345</v>
      </c>
      <c r="AN34" s="4" t="s">
        <v>1317</v>
      </c>
      <c r="AO34" s="4"/>
      <c r="AP34" s="4"/>
      <c r="AQ34" s="4"/>
      <c r="AR34" s="4" t="s">
        <v>1649</v>
      </c>
      <c r="AS34" s="4" t="s">
        <v>1650</v>
      </c>
      <c r="AT34" s="4"/>
      <c r="AU34" s="4"/>
      <c r="AV34" s="4"/>
      <c r="AW34" s="8" t="s">
        <v>1441</v>
      </c>
      <c r="AX34" s="8" t="s">
        <v>1441</v>
      </c>
      <c r="AY34" s="8"/>
      <c r="AZ34" s="8"/>
      <c r="BA34" s="12">
        <v>46030</v>
      </c>
      <c r="BB34" s="8" t="s">
        <v>1441</v>
      </c>
      <c r="BC34" s="4" t="s">
        <v>1637</v>
      </c>
      <c r="BD34" s="4" t="s">
        <v>1410</v>
      </c>
      <c r="BE34" s="8" t="s">
        <v>1441</v>
      </c>
      <c r="BF34" s="8" t="s">
        <v>1441</v>
      </c>
      <c r="BG34" s="8" t="s">
        <v>1441</v>
      </c>
      <c r="BH34" s="8" t="s">
        <v>1441</v>
      </c>
      <c r="BI34" s="8"/>
      <c r="BJ34" s="8" t="s">
        <v>1441</v>
      </c>
      <c r="BK34" s="8" t="s">
        <v>1460</v>
      </c>
      <c r="BL34" s="4" t="str">
        <f t="shared" si="1"/>
        <v>Epic Beans Relay</v>
      </c>
      <c r="BM34" s="8" t="str">
        <f t="shared" si="2"/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s="8" t="s">
        <v>1651</v>
      </c>
      <c r="B35" s="8" t="s">
        <v>1441</v>
      </c>
      <c r="C35" s="15" t="s">
        <v>1460</v>
      </c>
      <c r="D35" s="15" t="str">
        <f t="shared" si="0"/>
        <v>Yes</v>
      </c>
      <c r="E35" s="15" t="str">
        <f>IF($A35="","",IF($A35="Neuron",IF(OR(AND($S35&lt;&gt;"",LOWER(TRIM($S35))&lt;&gt;"n/a",COUNTIF($S$2:$S$528,$S35)&gt;1),AND($T35&lt;&gt;"",LOWER(TRIM($T35))&lt;&gt;"n/a",COUNTIF($T$2:$T$528,$T35)&gt;1),AND($W35&lt;&gt;"",LOWER(TRIM($W35))&lt;&gt;"n/a",COUNTIF($W$2:$W$528,$W35)&gt;1)),"Yes","No"),IF($A35="Cybernet",IF(OR(AND($Y35&lt;&gt;"",LOWER(TRIM($Y35))&lt;&gt;"n/a",COUNTIF($Y$2:$Y$528,$Y35)&gt;1),AND($Z35&lt;&gt;"",LOWER(TRIM($Z35))&lt;&gt;"n/a",COUNTIF($Z$2:$Z$528,$Z35)&gt;1)),"Yes","No"),IF(AND($AL35&lt;&gt;"",LOWER(TRIM($AL35))&lt;&gt;"n/a",COUNTIF($AL$2:$AL$528,$AL35)&gt;1),"Yes","No"))))</f>
        <v>No</v>
      </c>
      <c r="F35" t="str">
        <f>IF($B35&lt;&gt;"Yes","",
IF($A35="Neuron",
IF(OR(
AND($S35&lt;&gt;"",LOWER(TRIM($S35))&lt;&gt;"n/a",COUNTIFS($B$2:$B$528,"Yes",$A$2:$A$528,"Neuron",$S$2:$S$528,$S35)&gt;1),
AND($T35&lt;&gt;"",LOWER(TRIM($T35))&lt;&gt;"n/a",COUNTIFS($B$2:$B$528,"Yes",$A$2:$A$528,"Neuron",$T$2:$T$528,$T35)&gt;1),
AND($W35&lt;&gt;"",LOWER(TRIM($W35))&lt;&gt;"n/a",COUNTIFS($B$2:$B$528,"Yes",$A$2:$A$528,"Neuron",$W$2:$W$528,$W35)&gt;1)
),"Yes","No"),
IF($A35="Cybernet",
IF(OR(
AND($Y35&lt;&gt;"",LOWER(TRIM($Y35))&lt;&gt;"n/a",COUNTIFS($B$2:$B$528,"Yes",$A$2:$A$528,"Cybernet",$Y$2:$Y$528,$Y35)&gt;1),
AND($Z35&lt;&gt;"",LOWER(TRIM($Z35))&lt;&gt;"n/a",COUNTIFS($B$2:$B$528,"Yes",$A$2:$A$528,"Cybernet",$Z$2:$Z$528,$Z35)&gt;1)
),"Yes","No"),
IF(AND($AL35&lt;&gt;"",LOWER(TRIM($AL35))&lt;&gt;"n/a"),
IF(COUNTIFS($B$2:$B$528,"Yes",$A$2:$A$528,$A35,$AL$2:$AL$528,$AL35)&gt;1,"Yes","No"),
"No")
)
)
)</f>
        <v>No</v>
      </c>
      <c r="G35" s="4" t="s">
        <v>1637</v>
      </c>
      <c r="H35" s="4" t="s">
        <v>1637</v>
      </c>
      <c r="I35" s="4" t="s">
        <v>2338</v>
      </c>
      <c r="J35" s="4"/>
      <c r="K35" s="4"/>
      <c r="L35" s="4"/>
      <c r="M35" s="4"/>
      <c r="N35" s="4"/>
      <c r="O35" s="4"/>
      <c r="P35" s="4"/>
      <c r="Q35" s="4"/>
      <c r="R35" s="4" t="s">
        <v>2339</v>
      </c>
      <c r="S35" s="4" t="s">
        <v>1450</v>
      </c>
      <c r="T35" s="4" t="s">
        <v>1450</v>
      </c>
      <c r="U35" s="4" t="s">
        <v>1450</v>
      </c>
      <c r="V35" s="4" t="s">
        <v>1450</v>
      </c>
      <c r="W35" s="4" t="s">
        <v>1450</v>
      </c>
      <c r="X35" s="4" t="s">
        <v>1450</v>
      </c>
      <c r="Y35" s="4" t="s">
        <v>1652</v>
      </c>
      <c r="Z35" s="4" t="s">
        <v>1653</v>
      </c>
      <c r="AA35" s="4" t="s">
        <v>1642</v>
      </c>
      <c r="AB35" s="4"/>
      <c r="AC35" s="4" t="s">
        <v>1450</v>
      </c>
      <c r="AD35" s="4" t="s">
        <v>1654</v>
      </c>
      <c r="AE35" s="8"/>
      <c r="AF35" s="4" t="s">
        <v>1644</v>
      </c>
      <c r="AG35" s="4" t="s">
        <v>1645</v>
      </c>
      <c r="AH35" s="14" t="s">
        <v>1646</v>
      </c>
      <c r="AI35" s="4"/>
      <c r="AJ35" s="4" t="s">
        <v>1647</v>
      </c>
      <c r="AK35" s="4" t="s">
        <v>1648</v>
      </c>
      <c r="AL35" s="4" t="s">
        <v>1654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8" t="s">
        <v>1441</v>
      </c>
      <c r="AX35" s="8" t="s">
        <v>1441</v>
      </c>
      <c r="AY35" s="8" t="s">
        <v>1441</v>
      </c>
      <c r="AZ35" s="8"/>
      <c r="BA35" s="12">
        <v>46030</v>
      </c>
      <c r="BB35" s="8" t="s">
        <v>1441</v>
      </c>
      <c r="BC35" s="4" t="s">
        <v>1637</v>
      </c>
      <c r="BD35" s="4" t="s">
        <v>1410</v>
      </c>
      <c r="BE35" s="8" t="s">
        <v>1441</v>
      </c>
      <c r="BF35" s="8" t="s">
        <v>1441</v>
      </c>
      <c r="BG35" s="8" t="s">
        <v>1441</v>
      </c>
      <c r="BH35" s="8" t="s">
        <v>1441</v>
      </c>
      <c r="BI35" s="8"/>
      <c r="BJ35" s="8" t="s">
        <v>1441</v>
      </c>
      <c r="BK35" s="8"/>
      <c r="BL35" s="4" t="str">
        <f t="shared" si="1"/>
        <v>Epic Beans Relay</v>
      </c>
      <c r="BM35" s="8" t="str">
        <f t="shared" si="2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 ht="30.75" customHeight="1">
      <c r="A36" s="8" t="s">
        <v>1341</v>
      </c>
      <c r="B36" s="8" t="s">
        <v>1460</v>
      </c>
      <c r="C36" s="15" t="s">
        <v>1460</v>
      </c>
      <c r="D36" s="15" t="str">
        <f t="shared" si="0"/>
        <v/>
      </c>
      <c r="E36" s="15" t="str">
        <f>IF($A36="","",IF($A36="Neuron",IF(OR(AND($S36&lt;&gt;"",LOWER(TRIM($S36))&lt;&gt;"n/a",COUNTIF($S$2:$S$528,$S36)&gt;1),AND($T36&lt;&gt;"",LOWER(TRIM($T36))&lt;&gt;"n/a",COUNTIF($T$2:$T$528,$T36)&gt;1),AND($W36&lt;&gt;"",LOWER(TRIM($W36))&lt;&gt;"n/a",COUNTIF($W$2:$W$528,$W36)&gt;1)),"Yes","No"),IF($A36="Cybernet",IF(OR(AND($Y36&lt;&gt;"",LOWER(TRIM($Y36))&lt;&gt;"n/a",COUNTIF($Y$2:$Y$528,$Y36)&gt;1),AND($Z36&lt;&gt;"",LOWER(TRIM($Z36))&lt;&gt;"n/a",COUNTIF($Z$2:$Z$528,$Z36)&gt;1)),"Yes","No"),IF(AND($AL36&lt;&gt;"",LOWER(TRIM($AL36))&lt;&gt;"n/a",COUNTIF($AL$2:$AL$528,$AL36)&gt;1),"Yes","No"))))</f>
        <v>Yes</v>
      </c>
      <c r="F36" t="str">
        <f>IF($B36&lt;&gt;"Yes","",
IF($A36="Neuron",
IF(OR(
AND($S36&lt;&gt;"",LOWER(TRIM($S36))&lt;&gt;"n/a",COUNTIFS($B$2:$B$528,"Yes",$A$2:$A$528,"Neuron",$S$2:$S$528,$S36)&gt;1),
AND($T36&lt;&gt;"",LOWER(TRIM($T36))&lt;&gt;"n/a",COUNTIFS($B$2:$B$528,"Yes",$A$2:$A$528,"Neuron",$T$2:$T$528,$T36)&gt;1),
AND($W36&lt;&gt;"",LOWER(TRIM($W36))&lt;&gt;"n/a",COUNTIFS($B$2:$B$528,"Yes",$A$2:$A$528,"Neuron",$W$2:$W$528,$W36)&gt;1)
),"Yes","No"),
IF($A36="Cybernet",
IF(OR(
AND($Y36&lt;&gt;"",LOWER(TRIM($Y36))&lt;&gt;"n/a",COUNTIFS($B$2:$B$528,"Yes",$A$2:$A$528,"Cybernet",$Y$2:$Y$528,$Y36)&gt;1),
AND($Z36&lt;&gt;"",LOWER(TRIM($Z36))&lt;&gt;"n/a",COUNTIFS($B$2:$B$528,"Yes",$A$2:$A$528,"Cybernet",$Z$2:$Z$528,$Z36)&gt;1)
),"Yes","No"),
IF(AND($AL36&lt;&gt;"",LOWER(TRIM($AL36))&lt;&gt;"n/a"),
IF(COUNTIFS($B$2:$B$528,"Yes",$A$2:$A$528,$A36,$AL$2:$AL$528,$AL36)&gt;1,"Yes","No"),
"No")
)
)
)</f>
        <v/>
      </c>
      <c r="G36" s="4" t="s">
        <v>1327</v>
      </c>
      <c r="H36" s="4" t="s">
        <v>1655</v>
      </c>
      <c r="I36" s="4"/>
      <c r="J36" s="4" t="s">
        <v>1444</v>
      </c>
      <c r="K36" s="4" t="s">
        <v>1444</v>
      </c>
      <c r="L36" s="4" t="s">
        <v>1444</v>
      </c>
      <c r="M36" s="4"/>
      <c r="N36" s="4"/>
      <c r="O36" s="4"/>
      <c r="P36" s="4"/>
      <c r="Q36" s="4"/>
      <c r="R36" s="4"/>
      <c r="S36" s="4" t="s">
        <v>1656</v>
      </c>
      <c r="T36" s="4" t="s">
        <v>1625</v>
      </c>
      <c r="U36" s="4"/>
      <c r="V36" s="4"/>
      <c r="W36" s="4" t="s">
        <v>1627</v>
      </c>
      <c r="X36" s="4"/>
      <c r="Y36" s="4"/>
      <c r="Z36" s="4"/>
      <c r="AA36" s="4"/>
      <c r="AB36" s="4"/>
      <c r="AC36" s="4"/>
      <c r="AD36" s="4"/>
      <c r="AE36" s="8"/>
      <c r="AF36" s="4"/>
      <c r="AG36" s="4"/>
      <c r="AH36" s="1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8"/>
      <c r="AX36" s="8"/>
      <c r="AY36" s="8"/>
      <c r="AZ36" s="8"/>
      <c r="BA36" s="12"/>
      <c r="BB36" s="8"/>
      <c r="BC36" s="4"/>
      <c r="BD36" s="4" t="s">
        <v>1657</v>
      </c>
      <c r="BE36" s="8"/>
      <c r="BF36" s="8"/>
      <c r="BG36" s="8"/>
      <c r="BH36" s="8"/>
      <c r="BI36" s="8"/>
      <c r="BJ36" s="8"/>
      <c r="BK36" s="8"/>
      <c r="BL36" s="4" t="str">
        <f t="shared" si="1"/>
        <v>Power Cable, Battery, Firmware Download, Device ID, Epic Beans Relay</v>
      </c>
      <c r="BM36" s="8" t="str">
        <f t="shared" si="2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 ht="30.75" customHeight="1">
      <c r="A37" s="8" t="s">
        <v>1341</v>
      </c>
      <c r="B37" s="8" t="s">
        <v>1460</v>
      </c>
      <c r="C37" s="15" t="s">
        <v>1460</v>
      </c>
      <c r="D37" s="15" t="str">
        <f t="shared" si="0"/>
        <v/>
      </c>
      <c r="E37" s="15" t="str">
        <f>IF($A37="","",IF($A37="Neuron",IF(OR(AND($S37&lt;&gt;"",LOWER(TRIM($S37))&lt;&gt;"n/a",COUNTIF($S$2:$S$528,$S37)&gt;1),AND($T37&lt;&gt;"",LOWER(TRIM($T37))&lt;&gt;"n/a",COUNTIF($T$2:$T$528,$T37)&gt;1),AND($W37&lt;&gt;"",LOWER(TRIM($W37))&lt;&gt;"n/a",COUNTIF($W$2:$W$528,$W37)&gt;1)),"Yes","No"),IF($A37="Cybernet",IF(OR(AND($Y37&lt;&gt;"",LOWER(TRIM($Y37))&lt;&gt;"n/a",COUNTIF($Y$2:$Y$528,$Y37)&gt;1),AND($Z37&lt;&gt;"",LOWER(TRIM($Z37))&lt;&gt;"n/a",COUNTIF($Z$2:$Z$528,$Z37)&gt;1)),"Yes","No"),IF(AND($AL37&lt;&gt;"",LOWER(TRIM($AL37))&lt;&gt;"n/a",COUNTIF($AL$2:$AL$528,$AL37)&gt;1),"Yes","No"))))</f>
        <v>No</v>
      </c>
      <c r="F37" t="str">
        <f>IF($B37&lt;&gt;"Yes","",
IF($A37="Neuron",
IF(OR(
AND($S37&lt;&gt;"",LOWER(TRIM($S37))&lt;&gt;"n/a",COUNTIFS($B$2:$B$528,"Yes",$A$2:$A$528,"Neuron",$S$2:$S$528,$S37)&gt;1),
AND($T37&lt;&gt;"",LOWER(TRIM($T37))&lt;&gt;"n/a",COUNTIFS($B$2:$B$528,"Yes",$A$2:$A$528,"Neuron",$T$2:$T$528,$T37)&gt;1),
AND($W37&lt;&gt;"",LOWER(TRIM($W37))&lt;&gt;"n/a",COUNTIFS($B$2:$B$528,"Yes",$A$2:$A$528,"Neuron",$W$2:$W$528,$W37)&gt;1)
),"Yes","No"),
IF($A37="Cybernet",
IF(OR(
AND($Y37&lt;&gt;"",LOWER(TRIM($Y37))&lt;&gt;"n/a",COUNTIFS($B$2:$B$528,"Yes",$A$2:$A$528,"Cybernet",$Y$2:$Y$528,$Y37)&gt;1),
AND($Z37&lt;&gt;"",LOWER(TRIM($Z37))&lt;&gt;"n/a",COUNTIFS($B$2:$B$528,"Yes",$A$2:$A$528,"Cybernet",$Z$2:$Z$528,$Z37)&gt;1)
),"Yes","No"),
IF(AND($AL37&lt;&gt;"",LOWER(TRIM($AL37))&lt;&gt;"n/a"),
IF(COUNTIFS($B$2:$B$528,"Yes",$A$2:$A$528,$A37,$AL$2:$AL$528,$AL37)&gt;1,"Yes","No"),
"No")
)
)
)</f>
        <v/>
      </c>
      <c r="G37" s="4" t="s">
        <v>1327</v>
      </c>
      <c r="H37" s="4" t="s">
        <v>1655</v>
      </c>
      <c r="I37" s="4"/>
      <c r="J37" s="4" t="s">
        <v>1444</v>
      </c>
      <c r="K37" s="4" t="s">
        <v>1444</v>
      </c>
      <c r="L37" s="4" t="s">
        <v>1444</v>
      </c>
      <c r="M37" s="4"/>
      <c r="N37" s="4"/>
      <c r="O37" s="4"/>
      <c r="P37" s="4"/>
      <c r="Q37" s="4"/>
      <c r="R37" s="4"/>
      <c r="S37" s="4" t="s">
        <v>1658</v>
      </c>
      <c r="T37" s="4" t="s">
        <v>1659</v>
      </c>
      <c r="U37" s="4"/>
      <c r="V37" s="4"/>
      <c r="W37" s="4" t="s">
        <v>1660</v>
      </c>
      <c r="X37" s="4"/>
      <c r="Y37" s="4"/>
      <c r="Z37" s="4"/>
      <c r="AA37" s="4"/>
      <c r="AB37" s="4"/>
      <c r="AC37" s="4"/>
      <c r="AD37" s="4"/>
      <c r="AE37" s="8"/>
      <c r="AF37" s="4"/>
      <c r="AG37" s="4"/>
      <c r="AH37" s="1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8"/>
      <c r="AX37" s="8"/>
      <c r="AY37" s="8"/>
      <c r="AZ37" s="8"/>
      <c r="BA37" s="12"/>
      <c r="BB37" s="8"/>
      <c r="BC37" s="4"/>
      <c r="BD37" s="4" t="s">
        <v>1657</v>
      </c>
      <c r="BE37" s="8"/>
      <c r="BF37" s="8"/>
      <c r="BG37" s="8"/>
      <c r="BH37" s="8"/>
      <c r="BI37" s="8"/>
      <c r="BJ37" s="8"/>
      <c r="BK37" s="8"/>
      <c r="BL37" s="4" t="str">
        <f t="shared" si="1"/>
        <v>Power Cable, Battery, Firmware Download, Device ID, Epic Beans Relay</v>
      </c>
      <c r="BM37" s="8" t="str">
        <f t="shared" si="2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 ht="30.75" customHeight="1">
      <c r="A38" s="8" t="s">
        <v>1341</v>
      </c>
      <c r="B38" s="8" t="s">
        <v>1460</v>
      </c>
      <c r="C38" s="15" t="s">
        <v>1460</v>
      </c>
      <c r="D38" s="15" t="str">
        <f t="shared" si="0"/>
        <v/>
      </c>
      <c r="E38" s="15" t="str">
        <f>IF($A38="","",IF($A38="Neuron",IF(OR(AND($S38&lt;&gt;"",LOWER(TRIM($S38))&lt;&gt;"n/a",COUNTIF($S$2:$S$528,$S38)&gt;1),AND($T38&lt;&gt;"",LOWER(TRIM($T38))&lt;&gt;"n/a",COUNTIF($T$2:$T$528,$T38)&gt;1),AND($W38&lt;&gt;"",LOWER(TRIM($W38))&lt;&gt;"n/a",COUNTIF($W$2:$W$528,$W38)&gt;1)),"Yes","No"),IF($A38="Cybernet",IF(OR(AND($Y38&lt;&gt;"",LOWER(TRIM($Y38))&lt;&gt;"n/a",COUNTIF($Y$2:$Y$528,$Y38)&gt;1),AND($Z38&lt;&gt;"",LOWER(TRIM($Z38))&lt;&gt;"n/a",COUNTIF($Z$2:$Z$528,$Z38)&gt;1)),"Yes","No"),IF(AND($AL38&lt;&gt;"",LOWER(TRIM($AL38))&lt;&gt;"n/a",COUNTIF($AL$2:$AL$528,$AL38)&gt;1),"Yes","No"))))</f>
        <v>No</v>
      </c>
      <c r="F38" t="str">
        <f>IF($B38&lt;&gt;"Yes","",
IF($A38="Neuron",
IF(OR(
AND($S38&lt;&gt;"",LOWER(TRIM($S38))&lt;&gt;"n/a",COUNTIFS($B$2:$B$528,"Yes",$A$2:$A$528,"Neuron",$S$2:$S$528,$S38)&gt;1),
AND($T38&lt;&gt;"",LOWER(TRIM($T38))&lt;&gt;"n/a",COUNTIFS($B$2:$B$528,"Yes",$A$2:$A$528,"Neuron",$T$2:$T$528,$T38)&gt;1),
AND($W38&lt;&gt;"",LOWER(TRIM($W38))&lt;&gt;"n/a",COUNTIFS($B$2:$B$528,"Yes",$A$2:$A$528,"Neuron",$W$2:$W$528,$W38)&gt;1)
),"Yes","No"),
IF($A38="Cybernet",
IF(OR(
AND($Y38&lt;&gt;"",LOWER(TRIM($Y38))&lt;&gt;"n/a",COUNTIFS($B$2:$B$528,"Yes",$A$2:$A$528,"Cybernet",$Y$2:$Y$528,$Y38)&gt;1),
AND($Z38&lt;&gt;"",LOWER(TRIM($Z38))&lt;&gt;"n/a",COUNTIFS($B$2:$B$528,"Yes",$A$2:$A$528,"Cybernet",$Z$2:$Z$528,$Z38)&gt;1)
),"Yes","No"),
IF(AND($AL38&lt;&gt;"",LOWER(TRIM($AL38))&lt;&gt;"n/a"),
IF(COUNTIFS($B$2:$B$528,"Yes",$A$2:$A$528,$A38,$AL$2:$AL$528,$AL38)&gt;1,"Yes","No"),
"No")
)
)
)</f>
        <v/>
      </c>
      <c r="G38" s="4" t="s">
        <v>1327</v>
      </c>
      <c r="H38" s="4" t="s">
        <v>1655</v>
      </c>
      <c r="I38" s="4"/>
      <c r="J38" s="4" t="s">
        <v>1444</v>
      </c>
      <c r="K38" s="4" t="s">
        <v>1444</v>
      </c>
      <c r="L38" s="4" t="s">
        <v>1444</v>
      </c>
      <c r="M38" s="4"/>
      <c r="N38" s="4"/>
      <c r="O38" s="4"/>
      <c r="P38" s="4"/>
      <c r="Q38" s="4"/>
      <c r="R38" s="4"/>
      <c r="S38" s="4" t="s">
        <v>1661</v>
      </c>
      <c r="T38" s="4" t="s">
        <v>1662</v>
      </c>
      <c r="U38" s="4"/>
      <c r="V38" s="4"/>
      <c r="W38" s="4" t="s">
        <v>1663</v>
      </c>
      <c r="X38" s="4"/>
      <c r="Y38" s="4"/>
      <c r="Z38" s="4"/>
      <c r="AA38" s="4"/>
      <c r="AB38" s="4"/>
      <c r="AC38" s="4"/>
      <c r="AD38" s="4"/>
      <c r="AE38" s="8"/>
      <c r="AF38" s="4"/>
      <c r="AG38" s="4"/>
      <c r="AH38" s="1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8"/>
      <c r="AX38" s="8"/>
      <c r="AY38" s="8"/>
      <c r="AZ38" s="8"/>
      <c r="BA38" s="12"/>
      <c r="BB38" s="8"/>
      <c r="BC38" s="4"/>
      <c r="BD38" s="4" t="s">
        <v>1657</v>
      </c>
      <c r="BE38" s="8"/>
      <c r="BF38" s="8"/>
      <c r="BG38" s="8"/>
      <c r="BH38" s="8"/>
      <c r="BI38" s="8"/>
      <c r="BJ38" s="8"/>
      <c r="BK38" s="8"/>
      <c r="BL38" s="4" t="str">
        <f t="shared" si="1"/>
        <v>Power Cable, Battery, Firmware Download, Device ID, Epic Beans Relay</v>
      </c>
      <c r="BM38" s="8" t="str">
        <f t="shared" si="2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 ht="30.75" customHeight="1">
      <c r="A39" s="8" t="s">
        <v>1341</v>
      </c>
      <c r="B39" s="8" t="s">
        <v>1460</v>
      </c>
      <c r="C39" s="15" t="s">
        <v>1460</v>
      </c>
      <c r="D39" s="15" t="str">
        <f t="shared" si="0"/>
        <v/>
      </c>
      <c r="E39" s="15" t="str">
        <f>IF($A39="","",IF($A39="Neuron",IF(OR(AND($S39&lt;&gt;"",LOWER(TRIM($S39))&lt;&gt;"n/a",COUNTIF($S$2:$S$528,$S39)&gt;1),AND($T39&lt;&gt;"",LOWER(TRIM($T39))&lt;&gt;"n/a",COUNTIF($T$2:$T$528,$T39)&gt;1),AND($W39&lt;&gt;"",LOWER(TRIM($W39))&lt;&gt;"n/a",COUNTIF($W$2:$W$528,$W39)&gt;1)),"Yes","No"),IF($A39="Cybernet",IF(OR(AND($Y39&lt;&gt;"",LOWER(TRIM($Y39))&lt;&gt;"n/a",COUNTIF($Y$2:$Y$528,$Y39)&gt;1),AND($Z39&lt;&gt;"",LOWER(TRIM($Z39))&lt;&gt;"n/a",COUNTIF($Z$2:$Z$528,$Z39)&gt;1)),"Yes","No"),IF(AND($AL39&lt;&gt;"",LOWER(TRIM($AL39))&lt;&gt;"n/a",COUNTIF($AL$2:$AL$528,$AL39)&gt;1),"Yes","No"))))</f>
        <v>No</v>
      </c>
      <c r="F39" t="str">
        <f>IF($B39&lt;&gt;"Yes","",
IF($A39="Neuron",
IF(OR(
AND($S39&lt;&gt;"",LOWER(TRIM($S39))&lt;&gt;"n/a",COUNTIFS($B$2:$B$528,"Yes",$A$2:$A$528,"Neuron",$S$2:$S$528,$S39)&gt;1),
AND($T39&lt;&gt;"",LOWER(TRIM($T39))&lt;&gt;"n/a",COUNTIFS($B$2:$B$528,"Yes",$A$2:$A$528,"Neuron",$T$2:$T$528,$T39)&gt;1),
AND($W39&lt;&gt;"",LOWER(TRIM($W39))&lt;&gt;"n/a",COUNTIFS($B$2:$B$528,"Yes",$A$2:$A$528,"Neuron",$W$2:$W$528,$W39)&gt;1)
),"Yes","No"),
IF($A39="Cybernet",
IF(OR(
AND($Y39&lt;&gt;"",LOWER(TRIM($Y39))&lt;&gt;"n/a",COUNTIFS($B$2:$B$528,"Yes",$A$2:$A$528,"Cybernet",$Y$2:$Y$528,$Y39)&gt;1),
AND($Z39&lt;&gt;"",LOWER(TRIM($Z39))&lt;&gt;"n/a",COUNTIFS($B$2:$B$528,"Yes",$A$2:$A$528,"Cybernet",$Z$2:$Z$528,$Z39)&gt;1)
),"Yes","No"),
IF(AND($AL39&lt;&gt;"",LOWER(TRIM($AL39))&lt;&gt;"n/a"),
IF(COUNTIFS($B$2:$B$528,"Yes",$A$2:$A$528,$A39,$AL$2:$AL$528,$AL39)&gt;1,"Yes","No"),
"No")
)
)
)</f>
        <v/>
      </c>
      <c r="G39" s="4" t="s">
        <v>1327</v>
      </c>
      <c r="H39" s="4" t="s">
        <v>1664</v>
      </c>
      <c r="I39" s="4"/>
      <c r="J39" s="4" t="s">
        <v>1444</v>
      </c>
      <c r="K39" s="4" t="s">
        <v>1444</v>
      </c>
      <c r="L39" s="4" t="s">
        <v>1444</v>
      </c>
      <c r="M39" s="4"/>
      <c r="N39" s="4"/>
      <c r="O39" s="4"/>
      <c r="P39" s="4"/>
      <c r="Q39" s="4"/>
      <c r="R39" s="20"/>
      <c r="S39" s="20" t="s">
        <v>1665</v>
      </c>
      <c r="T39" s="4" t="s">
        <v>1666</v>
      </c>
      <c r="U39" s="4"/>
      <c r="V39" s="4"/>
      <c r="W39" s="4" t="s">
        <v>1667</v>
      </c>
      <c r="X39" s="4"/>
      <c r="Y39" s="4"/>
      <c r="Z39" s="4"/>
      <c r="AA39" s="4"/>
      <c r="AB39" s="4"/>
      <c r="AC39" s="4"/>
      <c r="AD39" s="4"/>
      <c r="AE39" s="8"/>
      <c r="AF39" s="4"/>
      <c r="AG39" s="4"/>
      <c r="AH39" s="1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8"/>
      <c r="AX39" s="8"/>
      <c r="AY39" s="8"/>
      <c r="AZ39" s="8"/>
      <c r="BA39" s="12"/>
      <c r="BB39" s="8"/>
      <c r="BC39" s="4"/>
      <c r="BD39" s="4" t="s">
        <v>1657</v>
      </c>
      <c r="BE39" s="8"/>
      <c r="BF39" s="8"/>
      <c r="BG39" s="8"/>
      <c r="BH39" s="8"/>
      <c r="BI39" s="8"/>
      <c r="BJ39" s="8"/>
      <c r="BK39" s="8"/>
      <c r="BL39" s="4" t="str">
        <f t="shared" si="1"/>
        <v>Power Cable, Battery, Firmware Download, Device ID, Epic Beans Relay</v>
      </c>
      <c r="BM39" s="8" t="str">
        <f t="shared" si="2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 ht="30.75" customHeight="1">
      <c r="A40" s="8" t="s">
        <v>1341</v>
      </c>
      <c r="B40" s="8" t="s">
        <v>1460</v>
      </c>
      <c r="C40" s="15" t="s">
        <v>1460</v>
      </c>
      <c r="D40" s="15" t="str">
        <f t="shared" si="0"/>
        <v/>
      </c>
      <c r="E40" s="15" t="str">
        <f>IF($A40="","",IF($A40="Neuron",IF(OR(AND($S40&lt;&gt;"",LOWER(TRIM($S40))&lt;&gt;"n/a",COUNTIF($S$2:$S$528,$S40)&gt;1),AND($T40&lt;&gt;"",LOWER(TRIM($T40))&lt;&gt;"n/a",COUNTIF($T$2:$T$528,$T40)&gt;1),AND($W40&lt;&gt;"",LOWER(TRIM($W40))&lt;&gt;"n/a",COUNTIF($W$2:$W$528,$W40)&gt;1)),"Yes","No"),IF($A40="Cybernet",IF(OR(AND($Y40&lt;&gt;"",LOWER(TRIM($Y40))&lt;&gt;"n/a",COUNTIF($Y$2:$Y$528,$Y40)&gt;1),AND($Z40&lt;&gt;"",LOWER(TRIM($Z40))&lt;&gt;"n/a",COUNTIF($Z$2:$Z$528,$Z40)&gt;1)),"Yes","No"),IF(AND($AL40&lt;&gt;"",LOWER(TRIM($AL40))&lt;&gt;"n/a",COUNTIF($AL$2:$AL$528,$AL40)&gt;1),"Yes","No"))))</f>
        <v>No</v>
      </c>
      <c r="F40" t="str">
        <f>IF($B40&lt;&gt;"Yes","",
IF($A40="Neuron",
IF(OR(
AND($S40&lt;&gt;"",LOWER(TRIM($S40))&lt;&gt;"n/a",COUNTIFS($B$2:$B$528,"Yes",$A$2:$A$528,"Neuron",$S$2:$S$528,$S40)&gt;1),
AND($T40&lt;&gt;"",LOWER(TRIM($T40))&lt;&gt;"n/a",COUNTIFS($B$2:$B$528,"Yes",$A$2:$A$528,"Neuron",$T$2:$T$528,$T40)&gt;1),
AND($W40&lt;&gt;"",LOWER(TRIM($W40))&lt;&gt;"n/a",COUNTIFS($B$2:$B$528,"Yes",$A$2:$A$528,"Neuron",$W$2:$W$528,$W40)&gt;1)
),"Yes","No"),
IF($A40="Cybernet",
IF(OR(
AND($Y40&lt;&gt;"",LOWER(TRIM($Y40))&lt;&gt;"n/a",COUNTIFS($B$2:$B$528,"Yes",$A$2:$A$528,"Cybernet",$Y$2:$Y$528,$Y40)&gt;1),
AND($Z40&lt;&gt;"",LOWER(TRIM($Z40))&lt;&gt;"n/a",COUNTIFS($B$2:$B$528,"Yes",$A$2:$A$528,"Cybernet",$Z$2:$Z$528,$Z40)&gt;1)
),"Yes","No"),
IF(AND($AL40&lt;&gt;"",LOWER(TRIM($AL40))&lt;&gt;"n/a"),
IF(COUNTIFS($B$2:$B$528,"Yes",$A$2:$A$528,$A40,$AL$2:$AL$528,$AL40)&gt;1,"Yes","No"),
"No")
)
)
)</f>
        <v/>
      </c>
      <c r="G40" s="4" t="s">
        <v>1327</v>
      </c>
      <c r="H40" s="4" t="s">
        <v>1664</v>
      </c>
      <c r="I40" s="4"/>
      <c r="J40" s="4" t="s">
        <v>1444</v>
      </c>
      <c r="K40" s="4" t="s">
        <v>1444</v>
      </c>
      <c r="L40" s="4" t="s">
        <v>1444</v>
      </c>
      <c r="M40" s="4"/>
      <c r="N40" s="4"/>
      <c r="O40" s="4"/>
      <c r="P40" s="4"/>
      <c r="Q40" s="4"/>
      <c r="R40" s="20"/>
      <c r="S40" s="20" t="s">
        <v>1668</v>
      </c>
      <c r="T40" s="4" t="s">
        <v>1669</v>
      </c>
      <c r="U40" s="4"/>
      <c r="V40" s="4"/>
      <c r="W40" s="4" t="s">
        <v>1670</v>
      </c>
      <c r="X40" s="4"/>
      <c r="Y40" s="4"/>
      <c r="Z40" s="4"/>
      <c r="AA40" s="4"/>
      <c r="AB40" s="4"/>
      <c r="AC40" s="4"/>
      <c r="AD40" s="4"/>
      <c r="AE40" s="8"/>
      <c r="AF40" s="4"/>
      <c r="AG40" s="4"/>
      <c r="AH40" s="1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8"/>
      <c r="AX40" s="8"/>
      <c r="AY40" s="8"/>
      <c r="AZ40" s="8"/>
      <c r="BA40" s="12"/>
      <c r="BB40" s="8"/>
      <c r="BC40" s="4"/>
      <c r="BD40" s="4" t="s">
        <v>1657</v>
      </c>
      <c r="BE40" s="8"/>
      <c r="BF40" s="8"/>
      <c r="BG40" s="8"/>
      <c r="BH40" s="8"/>
      <c r="BI40" s="8"/>
      <c r="BJ40" s="8"/>
      <c r="BK40" s="8"/>
      <c r="BL40" s="4" t="str">
        <f t="shared" si="1"/>
        <v>Power Cable, Battery, Firmware Download, Device ID, Epic Beans Relay</v>
      </c>
      <c r="BM40" s="8" t="str">
        <f t="shared" si="2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 ht="30.75" customHeight="1">
      <c r="A41" s="8" t="s">
        <v>1341</v>
      </c>
      <c r="B41" s="8" t="s">
        <v>1460</v>
      </c>
      <c r="C41" s="15" t="s">
        <v>1460</v>
      </c>
      <c r="D41" s="15" t="str">
        <f t="shared" si="0"/>
        <v/>
      </c>
      <c r="E41" s="15" t="str">
        <f>IF($A41="","",IF($A41="Neuron",IF(OR(AND($S41&lt;&gt;"",LOWER(TRIM($S41))&lt;&gt;"n/a",COUNTIF($S$2:$S$528,$S41)&gt;1),AND($T41&lt;&gt;"",LOWER(TRIM($T41))&lt;&gt;"n/a",COUNTIF($T$2:$T$528,$T41)&gt;1),AND($W41&lt;&gt;"",LOWER(TRIM($W41))&lt;&gt;"n/a",COUNTIF($W$2:$W$528,$W41)&gt;1)),"Yes","No"),IF($A41="Cybernet",IF(OR(AND($Y41&lt;&gt;"",LOWER(TRIM($Y41))&lt;&gt;"n/a",COUNTIF($Y$2:$Y$528,$Y41)&gt;1),AND($Z41&lt;&gt;"",LOWER(TRIM($Z41))&lt;&gt;"n/a",COUNTIF($Z$2:$Z$528,$Z41)&gt;1)),"Yes","No"),IF(AND($AL41&lt;&gt;"",LOWER(TRIM($AL41))&lt;&gt;"n/a",COUNTIF($AL$2:$AL$528,$AL41)&gt;1),"Yes","No"))))</f>
        <v>No</v>
      </c>
      <c r="F41" t="str">
        <f>IF($B41&lt;&gt;"Yes","",
IF($A41="Neuron",
IF(OR(
AND($S41&lt;&gt;"",LOWER(TRIM($S41))&lt;&gt;"n/a",COUNTIFS($B$2:$B$528,"Yes",$A$2:$A$528,"Neuron",$S$2:$S$528,$S41)&gt;1),
AND($T41&lt;&gt;"",LOWER(TRIM($T41))&lt;&gt;"n/a",COUNTIFS($B$2:$B$528,"Yes",$A$2:$A$528,"Neuron",$T$2:$T$528,$T41)&gt;1),
AND($W41&lt;&gt;"",LOWER(TRIM($W41))&lt;&gt;"n/a",COUNTIFS($B$2:$B$528,"Yes",$A$2:$A$528,"Neuron",$W$2:$W$528,$W41)&gt;1)
),"Yes","No"),
IF($A41="Cybernet",
IF(OR(
AND($Y41&lt;&gt;"",LOWER(TRIM($Y41))&lt;&gt;"n/a",COUNTIFS($B$2:$B$528,"Yes",$A$2:$A$528,"Cybernet",$Y$2:$Y$528,$Y41)&gt;1),
AND($Z41&lt;&gt;"",LOWER(TRIM($Z41))&lt;&gt;"n/a",COUNTIFS($B$2:$B$528,"Yes",$A$2:$A$528,"Cybernet",$Z$2:$Z$528,$Z41)&gt;1)
),"Yes","No"),
IF(AND($AL41&lt;&gt;"",LOWER(TRIM($AL41))&lt;&gt;"n/a"),
IF(COUNTIFS($B$2:$B$528,"Yes",$A$2:$A$528,$A41,$AL$2:$AL$528,$AL41)&gt;1,"Yes","No"),
"No")
)
)
)</f>
        <v/>
      </c>
      <c r="G41" s="4" t="s">
        <v>1327</v>
      </c>
      <c r="H41" s="4" t="s">
        <v>1664</v>
      </c>
      <c r="I41" s="4"/>
      <c r="J41" s="4" t="s">
        <v>1444</v>
      </c>
      <c r="K41" s="4" t="s">
        <v>1444</v>
      </c>
      <c r="L41" s="4" t="s">
        <v>1444</v>
      </c>
      <c r="M41" s="4"/>
      <c r="N41" s="4"/>
      <c r="O41" s="4"/>
      <c r="P41" s="4"/>
      <c r="Q41" s="4"/>
      <c r="R41" s="4"/>
      <c r="S41" s="4" t="s">
        <v>1671</v>
      </c>
      <c r="T41" s="4" t="s">
        <v>1672</v>
      </c>
      <c r="U41" s="4"/>
      <c r="V41" s="4"/>
      <c r="W41" s="4" t="s">
        <v>1673</v>
      </c>
      <c r="X41" s="4"/>
      <c r="Y41" s="4"/>
      <c r="Z41" s="4"/>
      <c r="AA41" s="4"/>
      <c r="AB41" s="4"/>
      <c r="AC41" s="4"/>
      <c r="AD41" s="4"/>
      <c r="AE41" s="8"/>
      <c r="AF41" s="4"/>
      <c r="AG41" s="4"/>
      <c r="AH41" s="1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8"/>
      <c r="AX41" s="8"/>
      <c r="AY41" s="8"/>
      <c r="AZ41" s="8"/>
      <c r="BA41" s="12"/>
      <c r="BB41" s="8"/>
      <c r="BC41" s="4"/>
      <c r="BD41" s="4" t="s">
        <v>1657</v>
      </c>
      <c r="BE41" s="8"/>
      <c r="BF41" s="8"/>
      <c r="BG41" s="8"/>
      <c r="BH41" s="8"/>
      <c r="BI41" s="8"/>
      <c r="BJ41" s="8"/>
      <c r="BK41" s="8"/>
      <c r="BL41" s="4" t="str">
        <f t="shared" si="1"/>
        <v>Power Cable, Battery, Firmware Download, Device ID, Epic Beans Relay</v>
      </c>
      <c r="BM41" s="8" t="str">
        <f t="shared" si="2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 ht="30.75" customHeight="1">
      <c r="A42" s="8" t="s">
        <v>1341</v>
      </c>
      <c r="B42" s="8" t="s">
        <v>1460</v>
      </c>
      <c r="C42" s="15" t="s">
        <v>1460</v>
      </c>
      <c r="D42" s="15" t="str">
        <f t="shared" si="0"/>
        <v/>
      </c>
      <c r="E42" s="15" t="str">
        <f>IF($A42="","",IF($A42="Neuron",IF(OR(AND($S42&lt;&gt;"",LOWER(TRIM($S42))&lt;&gt;"n/a",COUNTIF($S$2:$S$528,$S42)&gt;1),AND($T42&lt;&gt;"",LOWER(TRIM($T42))&lt;&gt;"n/a",COUNTIF($T$2:$T$528,$T42)&gt;1),AND($W42&lt;&gt;"",LOWER(TRIM($W42))&lt;&gt;"n/a",COUNTIF($W$2:$W$528,$W42)&gt;1)),"Yes","No"),IF($A42="Cybernet",IF(OR(AND($Y42&lt;&gt;"",LOWER(TRIM($Y42))&lt;&gt;"n/a",COUNTIF($Y$2:$Y$528,$Y42)&gt;1),AND($Z42&lt;&gt;"",LOWER(TRIM($Z42))&lt;&gt;"n/a",COUNTIF($Z$2:$Z$528,$Z42)&gt;1)),"Yes","No"),IF(AND($AL42&lt;&gt;"",LOWER(TRIM($AL42))&lt;&gt;"n/a",COUNTIF($AL$2:$AL$528,$AL42)&gt;1),"Yes","No"))))</f>
        <v>No</v>
      </c>
      <c r="F42" t="str">
        <f>IF($B42&lt;&gt;"Yes","",
IF($A42="Neuron",
IF(OR(
AND($S42&lt;&gt;"",LOWER(TRIM($S42))&lt;&gt;"n/a",COUNTIFS($B$2:$B$528,"Yes",$A$2:$A$528,"Neuron",$S$2:$S$528,$S42)&gt;1),
AND($T42&lt;&gt;"",LOWER(TRIM($T42))&lt;&gt;"n/a",COUNTIFS($B$2:$B$528,"Yes",$A$2:$A$528,"Neuron",$T$2:$T$528,$T42)&gt;1),
AND($W42&lt;&gt;"",LOWER(TRIM($W42))&lt;&gt;"n/a",COUNTIFS($B$2:$B$528,"Yes",$A$2:$A$528,"Neuron",$W$2:$W$528,$W42)&gt;1)
),"Yes","No"),
IF($A42="Cybernet",
IF(OR(
AND($Y42&lt;&gt;"",LOWER(TRIM($Y42))&lt;&gt;"n/a",COUNTIFS($B$2:$B$528,"Yes",$A$2:$A$528,"Cybernet",$Y$2:$Y$528,$Y42)&gt;1),
AND($Z42&lt;&gt;"",LOWER(TRIM($Z42))&lt;&gt;"n/a",COUNTIFS($B$2:$B$528,"Yes",$A$2:$A$528,"Cybernet",$Z$2:$Z$528,$Z42)&gt;1)
),"Yes","No"),
IF(AND($AL42&lt;&gt;"",LOWER(TRIM($AL42))&lt;&gt;"n/a"),
IF(COUNTIFS($B$2:$B$528,"Yes",$A$2:$A$528,$A42,$AL$2:$AL$528,$AL42)&gt;1,"Yes","No"),
"No")
)
)
)</f>
        <v/>
      </c>
      <c r="G42" s="4" t="s">
        <v>1327</v>
      </c>
      <c r="H42" s="4" t="s">
        <v>1674</v>
      </c>
      <c r="I42" s="4"/>
      <c r="J42" s="4" t="s">
        <v>1444</v>
      </c>
      <c r="K42" s="4" t="s">
        <v>1444</v>
      </c>
      <c r="L42" s="4" t="s">
        <v>1444</v>
      </c>
      <c r="M42" s="4"/>
      <c r="N42" s="4"/>
      <c r="O42" s="4"/>
      <c r="P42" s="4"/>
      <c r="Q42" s="4"/>
      <c r="R42" s="4"/>
      <c r="S42" s="4" t="s">
        <v>1675</v>
      </c>
      <c r="T42" s="4" t="s">
        <v>1676</v>
      </c>
      <c r="U42" s="4"/>
      <c r="V42" s="4"/>
      <c r="W42" s="4" t="s">
        <v>1677</v>
      </c>
      <c r="X42" s="4"/>
      <c r="Y42" s="4"/>
      <c r="Z42" s="4"/>
      <c r="AA42" s="4"/>
      <c r="AB42" s="4"/>
      <c r="AC42" s="4"/>
      <c r="AD42" s="4"/>
      <c r="AE42" s="8"/>
      <c r="AF42" s="4"/>
      <c r="AG42" s="4"/>
      <c r="AH42" s="1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8"/>
      <c r="AX42" s="8"/>
      <c r="AY42" s="8"/>
      <c r="AZ42" s="8"/>
      <c r="BA42" s="12"/>
      <c r="BB42" s="8"/>
      <c r="BC42" s="4"/>
      <c r="BD42" s="4" t="s">
        <v>1657</v>
      </c>
      <c r="BE42" s="8"/>
      <c r="BF42" s="8"/>
      <c r="BG42" s="8"/>
      <c r="BH42" s="8"/>
      <c r="BI42" s="8"/>
      <c r="BJ42" s="8"/>
      <c r="BK42" s="8"/>
      <c r="BL42" s="4" t="str">
        <f t="shared" si="1"/>
        <v>Power Cable, Battery, Firmware Download, Device ID, Epic Beans Relay</v>
      </c>
      <c r="BM42" s="8" t="str">
        <f t="shared" si="2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 ht="30.75" customHeight="1">
      <c r="A43" s="8" t="s">
        <v>1341</v>
      </c>
      <c r="B43" s="8" t="s">
        <v>1460</v>
      </c>
      <c r="C43" s="15" t="s">
        <v>1460</v>
      </c>
      <c r="D43" s="15" t="str">
        <f t="shared" si="0"/>
        <v/>
      </c>
      <c r="E43" s="15" t="str">
        <f>IF($A43="","",IF($A43="Neuron",IF(OR(AND($S43&lt;&gt;"",LOWER(TRIM($S43))&lt;&gt;"n/a",COUNTIF($S$2:$S$528,$S43)&gt;1),AND($T43&lt;&gt;"",LOWER(TRIM($T43))&lt;&gt;"n/a",COUNTIF($T$2:$T$528,$T43)&gt;1),AND($W43&lt;&gt;"",LOWER(TRIM($W43))&lt;&gt;"n/a",COUNTIF($W$2:$W$528,$W43)&gt;1)),"Yes","No"),IF($A43="Cybernet",IF(OR(AND($Y43&lt;&gt;"",LOWER(TRIM($Y43))&lt;&gt;"n/a",COUNTIF($Y$2:$Y$528,$Y43)&gt;1),AND($Z43&lt;&gt;"",LOWER(TRIM($Z43))&lt;&gt;"n/a",COUNTIF($Z$2:$Z$528,$Z43)&gt;1)),"Yes","No"),IF(AND($AL43&lt;&gt;"",LOWER(TRIM($AL43))&lt;&gt;"n/a",COUNTIF($AL$2:$AL$528,$AL43)&gt;1),"Yes","No"))))</f>
        <v>No</v>
      </c>
      <c r="F43" t="str">
        <f>IF($B43&lt;&gt;"Yes","",
IF($A43="Neuron",
IF(OR(
AND($S43&lt;&gt;"",LOWER(TRIM($S43))&lt;&gt;"n/a",COUNTIFS($B$2:$B$528,"Yes",$A$2:$A$528,"Neuron",$S$2:$S$528,$S43)&gt;1),
AND($T43&lt;&gt;"",LOWER(TRIM($T43))&lt;&gt;"n/a",COUNTIFS($B$2:$B$528,"Yes",$A$2:$A$528,"Neuron",$T$2:$T$528,$T43)&gt;1),
AND($W43&lt;&gt;"",LOWER(TRIM($W43))&lt;&gt;"n/a",COUNTIFS($B$2:$B$528,"Yes",$A$2:$A$528,"Neuron",$W$2:$W$528,$W43)&gt;1)
),"Yes","No"),
IF($A43="Cybernet",
IF(OR(
AND($Y43&lt;&gt;"",LOWER(TRIM($Y43))&lt;&gt;"n/a",COUNTIFS($B$2:$B$528,"Yes",$A$2:$A$528,"Cybernet",$Y$2:$Y$528,$Y43)&gt;1),
AND($Z43&lt;&gt;"",LOWER(TRIM($Z43))&lt;&gt;"n/a",COUNTIFS($B$2:$B$528,"Yes",$A$2:$A$528,"Cybernet",$Z$2:$Z$528,$Z43)&gt;1)
),"Yes","No"),
IF(AND($AL43&lt;&gt;"",LOWER(TRIM($AL43))&lt;&gt;"n/a"),
IF(COUNTIFS($B$2:$B$528,"Yes",$A$2:$A$528,$A43,$AL$2:$AL$528,$AL43)&gt;1,"Yes","No"),
"No")
)
)
)</f>
        <v/>
      </c>
      <c r="G43" s="4" t="s">
        <v>1327</v>
      </c>
      <c r="H43" s="4" t="s">
        <v>1678</v>
      </c>
      <c r="I43" s="4"/>
      <c r="J43" s="4" t="s">
        <v>1444</v>
      </c>
      <c r="K43" s="4" t="s">
        <v>1444</v>
      </c>
      <c r="L43" s="4" t="s">
        <v>1444</v>
      </c>
      <c r="M43" s="4"/>
      <c r="N43" s="4"/>
      <c r="O43" s="4"/>
      <c r="P43" s="4"/>
      <c r="Q43" s="4"/>
      <c r="R43" s="4"/>
      <c r="S43" s="4" t="s">
        <v>1679</v>
      </c>
      <c r="T43" s="4" t="s">
        <v>1680</v>
      </c>
      <c r="U43" s="4"/>
      <c r="V43" s="4"/>
      <c r="W43" s="4" t="s">
        <v>1681</v>
      </c>
      <c r="X43" s="4"/>
      <c r="Y43" s="4"/>
      <c r="Z43" s="4"/>
      <c r="AA43" s="4"/>
      <c r="AB43" s="4"/>
      <c r="AC43" s="4"/>
      <c r="AD43" s="4"/>
      <c r="AE43" s="8"/>
      <c r="AF43" s="4"/>
      <c r="AG43" s="4"/>
      <c r="AH43" s="1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8"/>
      <c r="AX43" s="8"/>
      <c r="AY43" s="8"/>
      <c r="AZ43" s="8"/>
      <c r="BA43" s="12"/>
      <c r="BB43" s="8"/>
      <c r="BC43" s="4"/>
      <c r="BD43" s="4" t="s">
        <v>1657</v>
      </c>
      <c r="BE43" s="8"/>
      <c r="BF43" s="8"/>
      <c r="BG43" s="8"/>
      <c r="BH43" s="8"/>
      <c r="BI43" s="8"/>
      <c r="BJ43" s="8"/>
      <c r="BK43" s="8"/>
      <c r="BL43" s="4" t="str">
        <f t="shared" si="1"/>
        <v>Power Cable, Battery, Firmware Download, Device ID, Epic Beans Relay</v>
      </c>
      <c r="BM43" s="8" t="str">
        <f t="shared" si="2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 ht="30.75" customHeight="1">
      <c r="A44" s="8" t="s">
        <v>1341</v>
      </c>
      <c r="B44" s="8" t="s">
        <v>1460</v>
      </c>
      <c r="C44" s="15" t="s">
        <v>1460</v>
      </c>
      <c r="D44" s="15" t="str">
        <f t="shared" si="0"/>
        <v/>
      </c>
      <c r="E44" s="15" t="str">
        <f>IF($A44="","",IF($A44="Neuron",IF(OR(AND($S44&lt;&gt;"",LOWER(TRIM($S44))&lt;&gt;"n/a",COUNTIF($S$2:$S$528,$S44)&gt;1),AND($T44&lt;&gt;"",LOWER(TRIM($T44))&lt;&gt;"n/a",COUNTIF($T$2:$T$528,$T44)&gt;1),AND($W44&lt;&gt;"",LOWER(TRIM($W44))&lt;&gt;"n/a",COUNTIF($W$2:$W$528,$W44)&gt;1)),"Yes","No"),IF($A44="Cybernet",IF(OR(AND($Y44&lt;&gt;"",LOWER(TRIM($Y44))&lt;&gt;"n/a",COUNTIF($Y$2:$Y$528,$Y44)&gt;1),AND($Z44&lt;&gt;"",LOWER(TRIM($Z44))&lt;&gt;"n/a",COUNTIF($Z$2:$Z$528,$Z44)&gt;1)),"Yes","No"),IF(AND($AL44&lt;&gt;"",LOWER(TRIM($AL44))&lt;&gt;"n/a",COUNTIF($AL$2:$AL$528,$AL44)&gt;1),"Yes","No"))))</f>
        <v>No</v>
      </c>
      <c r="F44" t="str">
        <f>IF($B44&lt;&gt;"Yes","",
IF($A44="Neuron",
IF(OR(
AND($S44&lt;&gt;"",LOWER(TRIM($S44))&lt;&gt;"n/a",COUNTIFS($B$2:$B$528,"Yes",$A$2:$A$528,"Neuron",$S$2:$S$528,$S44)&gt;1),
AND($T44&lt;&gt;"",LOWER(TRIM($T44))&lt;&gt;"n/a",COUNTIFS($B$2:$B$528,"Yes",$A$2:$A$528,"Neuron",$T$2:$T$528,$T44)&gt;1),
AND($W44&lt;&gt;"",LOWER(TRIM($W44))&lt;&gt;"n/a",COUNTIFS($B$2:$B$528,"Yes",$A$2:$A$528,"Neuron",$W$2:$W$528,$W44)&gt;1)
),"Yes","No"),
IF($A44="Cybernet",
IF(OR(
AND($Y44&lt;&gt;"",LOWER(TRIM($Y44))&lt;&gt;"n/a",COUNTIFS($B$2:$B$528,"Yes",$A$2:$A$528,"Cybernet",$Y$2:$Y$528,$Y44)&gt;1),
AND($Z44&lt;&gt;"",LOWER(TRIM($Z44))&lt;&gt;"n/a",COUNTIFS($B$2:$B$528,"Yes",$A$2:$A$528,"Cybernet",$Z$2:$Z$528,$Z44)&gt;1)
),"Yes","No"),
IF(AND($AL44&lt;&gt;"",LOWER(TRIM($AL44))&lt;&gt;"n/a"),
IF(COUNTIFS($B$2:$B$528,"Yes",$A$2:$A$528,$A44,$AL$2:$AL$528,$AL44)&gt;1,"Yes","No"),
"No")
)
)
)</f>
        <v/>
      </c>
      <c r="G44" s="4" t="s">
        <v>1327</v>
      </c>
      <c r="H44" s="4" t="s">
        <v>1678</v>
      </c>
      <c r="I44" s="4"/>
      <c r="J44" s="4" t="s">
        <v>1444</v>
      </c>
      <c r="K44" s="4" t="s">
        <v>1444</v>
      </c>
      <c r="L44" s="4" t="s">
        <v>1444</v>
      </c>
      <c r="M44" s="4"/>
      <c r="N44" s="4"/>
      <c r="O44" s="4"/>
      <c r="P44" s="4"/>
      <c r="Q44" s="4"/>
      <c r="R44" s="4"/>
      <c r="S44" s="4" t="s">
        <v>1682</v>
      </c>
      <c r="T44" s="4" t="s">
        <v>1683</v>
      </c>
      <c r="U44" s="4"/>
      <c r="V44" s="4"/>
      <c r="W44" s="4" t="s">
        <v>1684</v>
      </c>
      <c r="X44" s="4"/>
      <c r="Y44" s="4"/>
      <c r="Z44" s="4"/>
      <c r="AA44" s="4"/>
      <c r="AB44" s="4"/>
      <c r="AC44" s="4"/>
      <c r="AD44" s="4"/>
      <c r="AE44" s="8"/>
      <c r="AF44" s="4"/>
      <c r="AG44" s="4"/>
      <c r="AH44" s="1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8"/>
      <c r="AX44" s="8"/>
      <c r="AY44" s="8"/>
      <c r="AZ44" s="8"/>
      <c r="BA44" s="12"/>
      <c r="BB44" s="8"/>
      <c r="BC44" s="4"/>
      <c r="BD44" s="4" t="s">
        <v>1657</v>
      </c>
      <c r="BE44" s="8"/>
      <c r="BF44" s="8"/>
      <c r="BG44" s="8"/>
      <c r="BH44" s="8"/>
      <c r="BI44" s="8"/>
      <c r="BJ44" s="8"/>
      <c r="BK44" s="8"/>
      <c r="BL44" s="4" t="str">
        <f t="shared" si="1"/>
        <v>Power Cable, Battery, Firmware Download, Device ID, Epic Beans Relay</v>
      </c>
      <c r="BM44" s="8" t="str">
        <f t="shared" si="2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 ht="30.75" customHeight="1">
      <c r="A45" s="8" t="s">
        <v>1341</v>
      </c>
      <c r="B45" s="8" t="s">
        <v>1460</v>
      </c>
      <c r="C45" s="15" t="s">
        <v>1460</v>
      </c>
      <c r="D45" s="15" t="str">
        <f t="shared" si="0"/>
        <v/>
      </c>
      <c r="E45" s="15" t="str">
        <f>IF($A45="","",IF($A45="Neuron",IF(OR(AND($S45&lt;&gt;"",LOWER(TRIM($S45))&lt;&gt;"n/a",COUNTIF($S$2:$S$528,$S45)&gt;1),AND($T45&lt;&gt;"",LOWER(TRIM($T45))&lt;&gt;"n/a",COUNTIF($T$2:$T$528,$T45)&gt;1),AND($W45&lt;&gt;"",LOWER(TRIM($W45))&lt;&gt;"n/a",COUNTIF($W$2:$W$528,$W45)&gt;1)),"Yes","No"),IF($A45="Cybernet",IF(OR(AND($Y45&lt;&gt;"",LOWER(TRIM($Y45))&lt;&gt;"n/a",COUNTIF($Y$2:$Y$528,$Y45)&gt;1),AND($Z45&lt;&gt;"",LOWER(TRIM($Z45))&lt;&gt;"n/a",COUNTIF($Z$2:$Z$528,$Z45)&gt;1)),"Yes","No"),IF(AND($AL45&lt;&gt;"",LOWER(TRIM($AL45))&lt;&gt;"n/a",COUNTIF($AL$2:$AL$528,$AL45)&gt;1),"Yes","No"))))</f>
        <v>No</v>
      </c>
      <c r="F45" t="str">
        <f>IF($B45&lt;&gt;"Yes","",
IF($A45="Neuron",
IF(OR(
AND($S45&lt;&gt;"",LOWER(TRIM($S45))&lt;&gt;"n/a",COUNTIFS($B$2:$B$528,"Yes",$A$2:$A$528,"Neuron",$S$2:$S$528,$S45)&gt;1),
AND($T45&lt;&gt;"",LOWER(TRIM($T45))&lt;&gt;"n/a",COUNTIFS($B$2:$B$528,"Yes",$A$2:$A$528,"Neuron",$T$2:$T$528,$T45)&gt;1),
AND($W45&lt;&gt;"",LOWER(TRIM($W45))&lt;&gt;"n/a",COUNTIFS($B$2:$B$528,"Yes",$A$2:$A$528,"Neuron",$W$2:$W$528,$W45)&gt;1)
),"Yes","No"),
IF($A45="Cybernet",
IF(OR(
AND($Y45&lt;&gt;"",LOWER(TRIM($Y45))&lt;&gt;"n/a",COUNTIFS($B$2:$B$528,"Yes",$A$2:$A$528,"Cybernet",$Y$2:$Y$528,$Y45)&gt;1),
AND($Z45&lt;&gt;"",LOWER(TRIM($Z45))&lt;&gt;"n/a",COUNTIFS($B$2:$B$528,"Yes",$A$2:$A$528,"Cybernet",$Z$2:$Z$528,$Z45)&gt;1)
),"Yes","No"),
IF(AND($AL45&lt;&gt;"",LOWER(TRIM($AL45))&lt;&gt;"n/a"),
IF(COUNTIFS($B$2:$B$528,"Yes",$A$2:$A$528,$A45,$AL$2:$AL$528,$AL45)&gt;1,"Yes","No"),
"No")
)
)
)</f>
        <v/>
      </c>
      <c r="G45" s="4" t="s">
        <v>1327</v>
      </c>
      <c r="H45" s="4" t="s">
        <v>1678</v>
      </c>
      <c r="I45" s="4"/>
      <c r="J45" s="4" t="s">
        <v>1444</v>
      </c>
      <c r="K45" s="4" t="s">
        <v>1444</v>
      </c>
      <c r="L45" s="4" t="s">
        <v>1444</v>
      </c>
      <c r="M45" s="4"/>
      <c r="N45" s="4"/>
      <c r="O45" s="4"/>
      <c r="P45" s="4"/>
      <c r="Q45" s="4"/>
      <c r="R45" s="4"/>
      <c r="S45" s="4" t="s">
        <v>1685</v>
      </c>
      <c r="T45" s="4" t="s">
        <v>1686</v>
      </c>
      <c r="U45" s="4"/>
      <c r="V45" s="4"/>
      <c r="W45" s="4" t="s">
        <v>1687</v>
      </c>
      <c r="X45" s="4"/>
      <c r="Y45" s="4"/>
      <c r="Z45" s="4"/>
      <c r="AA45" s="4"/>
      <c r="AB45" s="4"/>
      <c r="AC45" s="4"/>
      <c r="AD45" s="4"/>
      <c r="AE45" s="8"/>
      <c r="AF45" s="4"/>
      <c r="AG45" s="4"/>
      <c r="AH45" s="1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8"/>
      <c r="AX45" s="8"/>
      <c r="AY45" s="8"/>
      <c r="AZ45" s="8"/>
      <c r="BA45" s="12"/>
      <c r="BB45" s="8"/>
      <c r="BC45" s="4"/>
      <c r="BD45" s="4" t="s">
        <v>1657</v>
      </c>
      <c r="BE45" s="8"/>
      <c r="BF45" s="8"/>
      <c r="BG45" s="8"/>
      <c r="BH45" s="8"/>
      <c r="BI45" s="8"/>
      <c r="BJ45" s="8"/>
      <c r="BK45" s="8"/>
      <c r="BL45" s="4" t="str">
        <f t="shared" si="1"/>
        <v>Power Cable, Battery, Firmware Download, Device ID, Epic Beans Relay</v>
      </c>
      <c r="BM45" s="8" t="str">
        <f t="shared" si="2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 ht="45.75">
      <c r="A46" s="8" t="s">
        <v>1341</v>
      </c>
      <c r="B46" s="8" t="s">
        <v>1460</v>
      </c>
      <c r="C46" s="15" t="s">
        <v>1460</v>
      </c>
      <c r="D46" s="15" t="str">
        <f t="shared" si="0"/>
        <v/>
      </c>
      <c r="E46" s="15" t="str">
        <f>IF($A46="","",IF($A46="Neuron",IF(OR(AND($S46&lt;&gt;"",LOWER(TRIM($S46))&lt;&gt;"n/a",COUNTIF($S$2:$S$528,$S46)&gt;1),AND($T46&lt;&gt;"",LOWER(TRIM($T46))&lt;&gt;"n/a",COUNTIF($T$2:$T$528,$T46)&gt;1),AND($W46&lt;&gt;"",LOWER(TRIM($W46))&lt;&gt;"n/a",COUNTIF($W$2:$W$528,$W46)&gt;1)),"Yes","No"),IF($A46="Cybernet",IF(OR(AND($Y46&lt;&gt;"",LOWER(TRIM($Y46))&lt;&gt;"n/a",COUNTIF($Y$2:$Y$528,$Y46)&gt;1),AND($Z46&lt;&gt;"",LOWER(TRIM($Z46))&lt;&gt;"n/a",COUNTIF($Z$2:$Z$528,$Z46)&gt;1)),"Yes","No"),IF(AND($AL46&lt;&gt;"",LOWER(TRIM($AL46))&lt;&gt;"n/a",COUNTIF($AL$2:$AL$528,$AL46)&gt;1),"Yes","No"))))</f>
        <v>No</v>
      </c>
      <c r="F46" t="str">
        <f>IF($B46&lt;&gt;"Yes","",
IF($A46="Neuron",
IF(OR(
AND($S46&lt;&gt;"",LOWER(TRIM($S46))&lt;&gt;"n/a",COUNTIFS($B$2:$B$528,"Yes",$A$2:$A$528,"Neuron",$S$2:$S$528,$S46)&gt;1),
AND($T46&lt;&gt;"",LOWER(TRIM($T46))&lt;&gt;"n/a",COUNTIFS($B$2:$B$528,"Yes",$A$2:$A$528,"Neuron",$T$2:$T$528,$T46)&gt;1),
AND($W46&lt;&gt;"",LOWER(TRIM($W46))&lt;&gt;"n/a",COUNTIFS($B$2:$B$528,"Yes",$A$2:$A$528,"Neuron",$W$2:$W$528,$W46)&gt;1)
),"Yes","No"),
IF($A46="Cybernet",
IF(OR(
AND($Y46&lt;&gt;"",LOWER(TRIM($Y46))&lt;&gt;"n/a",COUNTIFS($B$2:$B$528,"Yes",$A$2:$A$528,"Cybernet",$Y$2:$Y$528,$Y46)&gt;1),
AND($Z46&lt;&gt;"",LOWER(TRIM($Z46))&lt;&gt;"n/a",COUNTIFS($B$2:$B$528,"Yes",$A$2:$A$528,"Cybernet",$Z$2:$Z$528,$Z46)&gt;1)
),"Yes","No"),
IF(AND($AL46&lt;&gt;"",LOWER(TRIM($AL46))&lt;&gt;"n/a"),
IF(COUNTIFS($B$2:$B$528,"Yes",$A$2:$A$528,$A46,$AL$2:$AL$528,$AL46)&gt;1,"Yes","No"),
"No")
)
)
)</f>
        <v/>
      </c>
      <c r="G46" s="4" t="s">
        <v>1327</v>
      </c>
      <c r="H46" s="4" t="s">
        <v>1678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 t="s">
        <v>1688</v>
      </c>
      <c r="T46" s="4" t="s">
        <v>1689</v>
      </c>
      <c r="U46" s="4"/>
      <c r="V46" s="4"/>
      <c r="W46" s="4" t="s">
        <v>1690</v>
      </c>
      <c r="X46" s="4"/>
      <c r="Y46" s="4"/>
      <c r="Z46" s="4"/>
      <c r="AA46" s="4"/>
      <c r="AB46" s="4"/>
      <c r="AC46" s="4"/>
      <c r="AD46" s="4"/>
      <c r="AE46" s="8"/>
      <c r="AF46" s="4"/>
      <c r="AG46" s="4"/>
      <c r="AH46" s="1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8"/>
      <c r="AX46" s="8"/>
      <c r="AY46" s="8"/>
      <c r="AZ46" s="8"/>
      <c r="BA46" s="12"/>
      <c r="BB46" s="8"/>
      <c r="BC46" s="4"/>
      <c r="BD46" s="4"/>
      <c r="BE46" s="8"/>
      <c r="BF46" s="8"/>
      <c r="BG46" s="8"/>
      <c r="BH46" s="8"/>
      <c r="BI46" s="8"/>
      <c r="BJ46" s="8"/>
      <c r="BK46" s="8"/>
      <c r="BL46" s="4" t="str">
        <f>IF($T46="","",IF((IF(AND($AW46&lt;&gt;"Yes",$AW46&lt;&gt;"N/A"),"Power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",""))="","",LEFT(IF(AND($AW46&lt;&gt;"Yes",$AW46&lt;&gt;"N/A"),"Power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",""),LEN(IF(AND($AW46&lt;&gt;"Yes",$AW46&lt;&gt;"N/A"),"Power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",""))-2)))</f>
        <v>Power Cable, Battery, Firmware Download, Device ID, Epic Beans Relay</v>
      </c>
      <c r="BM46" s="8" t="str">
        <f>IF($T46="","",IF($BL46="","Yes","Blocked"))</f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 ht="30.75" customHeight="1">
      <c r="A47" s="8" t="s">
        <v>1341</v>
      </c>
      <c r="B47" s="8" t="s">
        <v>1460</v>
      </c>
      <c r="C47" s="15" t="s">
        <v>1460</v>
      </c>
      <c r="D47" s="15" t="str">
        <f t="shared" si="0"/>
        <v/>
      </c>
      <c r="E47" s="15" t="str">
        <f>IF($A47="","",IF($A47="Neuron",IF(OR(AND($S47&lt;&gt;"",LOWER(TRIM($S47))&lt;&gt;"n/a",COUNTIF($S$2:$S$528,$S47)&gt;1),AND($T47&lt;&gt;"",LOWER(TRIM($T47))&lt;&gt;"n/a",COUNTIF($T$2:$T$528,$T47)&gt;1),AND($W47&lt;&gt;"",LOWER(TRIM($W47))&lt;&gt;"n/a",COUNTIF($W$2:$W$528,$W47)&gt;1)),"Yes","No"),IF($A47="Cybernet",IF(OR(AND($Y47&lt;&gt;"",LOWER(TRIM($Y47))&lt;&gt;"n/a",COUNTIF($Y$2:$Y$528,$Y47)&gt;1),AND($Z47&lt;&gt;"",LOWER(TRIM($Z47))&lt;&gt;"n/a",COUNTIF($Z$2:$Z$528,$Z47)&gt;1)),"Yes","No"),IF(AND($AL47&lt;&gt;"",LOWER(TRIM($AL47))&lt;&gt;"n/a",COUNTIF($AL$2:$AL$528,$AL47)&gt;1),"Yes","No"))))</f>
        <v>No</v>
      </c>
      <c r="F47" t="str">
        <f>IF($B47&lt;&gt;"Yes","",
IF($A47="Neuron",
IF(OR(
AND($S47&lt;&gt;"",LOWER(TRIM($S47))&lt;&gt;"n/a",COUNTIFS($B$2:$B$528,"Yes",$A$2:$A$528,"Neuron",$S$2:$S$528,$S47)&gt;1),
AND($T47&lt;&gt;"",LOWER(TRIM($T47))&lt;&gt;"n/a",COUNTIFS($B$2:$B$528,"Yes",$A$2:$A$528,"Neuron",$T$2:$T$528,$T47)&gt;1),
AND($W47&lt;&gt;"",LOWER(TRIM($W47))&lt;&gt;"n/a",COUNTIFS($B$2:$B$528,"Yes",$A$2:$A$528,"Neuron",$W$2:$W$528,$W47)&gt;1)
),"Yes","No"),
IF($A47="Cybernet",
IF(OR(
AND($Y47&lt;&gt;"",LOWER(TRIM($Y47))&lt;&gt;"n/a",COUNTIFS($B$2:$B$528,"Yes",$A$2:$A$528,"Cybernet",$Y$2:$Y$528,$Y47)&gt;1),
AND($Z47&lt;&gt;"",LOWER(TRIM($Z47))&lt;&gt;"n/a",COUNTIFS($B$2:$B$528,"Yes",$A$2:$A$528,"Cybernet",$Z$2:$Z$528,$Z47)&gt;1)
),"Yes","No"),
IF(AND($AL47&lt;&gt;"",LOWER(TRIM($AL47))&lt;&gt;"n/a"),
IF(COUNTIFS($B$2:$B$528,"Yes",$A$2:$A$528,$A47,$AL$2:$AL$528,$AL47)&gt;1,"Yes","No"),
"No")
)
)
)</f>
        <v/>
      </c>
      <c r="G47" s="4" t="s">
        <v>1327</v>
      </c>
      <c r="H47" s="4" t="s">
        <v>1678</v>
      </c>
      <c r="I47" s="4"/>
      <c r="J47" s="4" t="s">
        <v>1444</v>
      </c>
      <c r="K47" s="4" t="s">
        <v>1444</v>
      </c>
      <c r="L47" s="4" t="s">
        <v>1444</v>
      </c>
      <c r="M47" s="4"/>
      <c r="N47" s="4"/>
      <c r="O47" s="4"/>
      <c r="P47" s="4"/>
      <c r="Q47" s="4"/>
      <c r="R47" s="4"/>
      <c r="S47" s="4" t="s">
        <v>1691</v>
      </c>
      <c r="T47" s="4" t="s">
        <v>1692</v>
      </c>
      <c r="U47" s="4"/>
      <c r="V47" s="4"/>
      <c r="W47" s="4" t="s">
        <v>1693</v>
      </c>
      <c r="X47" s="4"/>
      <c r="Y47" s="4"/>
      <c r="Z47" s="4"/>
      <c r="AA47" s="4"/>
      <c r="AB47" s="4"/>
      <c r="AC47" s="4"/>
      <c r="AD47" s="4"/>
      <c r="AE47" s="8"/>
      <c r="AF47" s="4"/>
      <c r="AG47" s="4"/>
      <c r="AH47" s="1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8"/>
      <c r="AX47" s="8"/>
      <c r="AY47" s="8"/>
      <c r="AZ47" s="8"/>
      <c r="BA47" s="12"/>
      <c r="BB47" s="8"/>
      <c r="BC47" s="4"/>
      <c r="BD47" s="4" t="s">
        <v>1657</v>
      </c>
      <c r="BE47" s="8"/>
      <c r="BF47" s="8"/>
      <c r="BG47" s="8"/>
      <c r="BH47" s="8"/>
      <c r="BI47" s="8"/>
      <c r="BJ47" s="8"/>
      <c r="BK47" s="8"/>
      <c r="BL47" s="4" t="str">
        <f>IF($T47="","",IF((IF(AND($AW47&lt;&gt;"Yes",$AW47&lt;&gt;"N/A"),"Power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",""))="","",LEFT(IF(AND($AW47&lt;&gt;"Yes",$AW47&lt;&gt;"N/A"),"Power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",""),LEN(IF(AND($AW47&lt;&gt;"Yes",$AW47&lt;&gt;"N/A"),"Power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",""))-2)))</f>
        <v>Power Cable, Battery, Firmware Download, Device ID, Epic Beans Relay</v>
      </c>
      <c r="BM47" s="8" t="str">
        <f>IF($T47="","",IF($BL47="","Yes","Blocked"))</f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 ht="30.75" customHeight="1">
      <c r="A48" s="8" t="s">
        <v>1341</v>
      </c>
      <c r="B48" s="8" t="s">
        <v>1460</v>
      </c>
      <c r="C48" s="15" t="s">
        <v>1460</v>
      </c>
      <c r="D48" s="15" t="str">
        <f t="shared" si="0"/>
        <v/>
      </c>
      <c r="E48" s="15" t="str">
        <f>IF($A48="","",IF($A48="Neuron",IF(OR(AND($S48&lt;&gt;"",LOWER(TRIM($S48))&lt;&gt;"n/a",COUNTIF($S$2:$S$528,$S48)&gt;1),AND($T48&lt;&gt;"",LOWER(TRIM($T48))&lt;&gt;"n/a",COUNTIF($T$2:$T$528,$T48)&gt;1),AND($W48&lt;&gt;"",LOWER(TRIM($W48))&lt;&gt;"n/a",COUNTIF($W$2:$W$528,$W48)&gt;1)),"Yes","No"),IF($A48="Cybernet",IF(OR(AND($Y48&lt;&gt;"",LOWER(TRIM($Y48))&lt;&gt;"n/a",COUNTIF($Y$2:$Y$528,$Y48)&gt;1),AND($Z48&lt;&gt;"",LOWER(TRIM($Z48))&lt;&gt;"n/a",COUNTIF($Z$2:$Z$528,$Z48)&gt;1)),"Yes","No"),IF(AND($AL48&lt;&gt;"",LOWER(TRIM($AL48))&lt;&gt;"n/a",COUNTIF($AL$2:$AL$528,$AL48)&gt;1),"Yes","No"))))</f>
        <v>No</v>
      </c>
      <c r="F48" t="str">
        <f>IF($B48&lt;&gt;"Yes","",
IF($A48="Neuron",
IF(OR(
AND($S48&lt;&gt;"",LOWER(TRIM($S48))&lt;&gt;"n/a",COUNTIFS($B$2:$B$528,"Yes",$A$2:$A$528,"Neuron",$S$2:$S$528,$S48)&gt;1),
AND($T48&lt;&gt;"",LOWER(TRIM($T48))&lt;&gt;"n/a",COUNTIFS($B$2:$B$528,"Yes",$A$2:$A$528,"Neuron",$T$2:$T$528,$T48)&gt;1),
AND($W48&lt;&gt;"",LOWER(TRIM($W48))&lt;&gt;"n/a",COUNTIFS($B$2:$B$528,"Yes",$A$2:$A$528,"Neuron",$W$2:$W$528,$W48)&gt;1)
),"Yes","No"),
IF($A48="Cybernet",
IF(OR(
AND($Y48&lt;&gt;"",LOWER(TRIM($Y48))&lt;&gt;"n/a",COUNTIFS($B$2:$B$528,"Yes",$A$2:$A$528,"Cybernet",$Y$2:$Y$528,$Y48)&gt;1),
AND($Z48&lt;&gt;"",LOWER(TRIM($Z48))&lt;&gt;"n/a",COUNTIFS($B$2:$B$528,"Yes",$A$2:$A$528,"Cybernet",$Z$2:$Z$528,$Z48)&gt;1)
),"Yes","No"),
IF(AND($AL48&lt;&gt;"",LOWER(TRIM($AL48))&lt;&gt;"n/a"),
IF(COUNTIFS($B$2:$B$528,"Yes",$A$2:$A$528,$A48,$AL$2:$AL$528,$AL48)&gt;1,"Yes","No"),
"No")
)
)
)</f>
        <v/>
      </c>
      <c r="G48" s="4" t="s">
        <v>1327</v>
      </c>
      <c r="H48" s="4" t="s">
        <v>1678</v>
      </c>
      <c r="I48" s="4"/>
      <c r="J48" s="4" t="s">
        <v>1444</v>
      </c>
      <c r="K48" s="4" t="s">
        <v>1444</v>
      </c>
      <c r="L48" s="4" t="s">
        <v>1444</v>
      </c>
      <c r="M48" s="4"/>
      <c r="N48" s="4"/>
      <c r="O48" s="4"/>
      <c r="P48" s="4"/>
      <c r="Q48" s="4"/>
      <c r="R48" s="4"/>
      <c r="S48" s="4" t="s">
        <v>1694</v>
      </c>
      <c r="T48" s="4" t="s">
        <v>1695</v>
      </c>
      <c r="U48" s="4"/>
      <c r="V48" s="4"/>
      <c r="W48" s="4" t="s">
        <v>1696</v>
      </c>
      <c r="X48" s="4"/>
      <c r="Y48" s="4"/>
      <c r="Z48" s="4"/>
      <c r="AA48" s="4"/>
      <c r="AB48" s="4"/>
      <c r="AC48" s="4"/>
      <c r="AD48" s="4"/>
      <c r="AE48" s="8"/>
      <c r="AF48" s="4"/>
      <c r="AG48" s="4"/>
      <c r="AH48" s="1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8"/>
      <c r="AX48" s="8"/>
      <c r="AY48" s="8"/>
      <c r="AZ48" s="8"/>
      <c r="BA48" s="12"/>
      <c r="BB48" s="8"/>
      <c r="BC48" s="4"/>
      <c r="BD48" s="4" t="s">
        <v>1657</v>
      </c>
      <c r="BE48" s="8"/>
      <c r="BF48" s="8"/>
      <c r="BG48" s="8"/>
      <c r="BH48" s="8"/>
      <c r="BI48" s="8"/>
      <c r="BJ48" s="8"/>
      <c r="BK48" s="8"/>
      <c r="BL48" s="4" t="str">
        <f>IF($T48="","",IF((IF(AND($AW48&lt;&gt;"Yes",$AW48&lt;&gt;"N/A"),"Power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",""))="","",LEFT(IF(AND($AW48&lt;&gt;"Yes",$AW48&lt;&gt;"N/A"),"Power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",""),LEN(IF(AND($AW48&lt;&gt;"Yes",$AW48&lt;&gt;"N/A"),"Power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",""))-2)))</f>
        <v>Power Cable, Battery, Firmware Download, Device ID, Epic Beans Relay</v>
      </c>
      <c r="BM48" s="8" t="str">
        <f>IF($T48="","",IF($BL48="","Yes","Blocked"))</f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 ht="30.75" customHeight="1">
      <c r="A49" s="8" t="s">
        <v>1341</v>
      </c>
      <c r="B49" s="8" t="s">
        <v>1460</v>
      </c>
      <c r="C49" s="15" t="s">
        <v>1460</v>
      </c>
      <c r="D49" s="15" t="str">
        <f t="shared" si="0"/>
        <v/>
      </c>
      <c r="E49" s="15" t="str">
        <f>IF($A49="","",IF($A49="Neuron",IF(OR(AND($S49&lt;&gt;"",LOWER(TRIM($S49))&lt;&gt;"n/a",COUNTIF($S$2:$S$528,$S49)&gt;1),AND($T49&lt;&gt;"",LOWER(TRIM($T49))&lt;&gt;"n/a",COUNTIF($T$2:$T$528,$T49)&gt;1),AND($W49&lt;&gt;"",LOWER(TRIM($W49))&lt;&gt;"n/a",COUNTIF($W$2:$W$528,$W49)&gt;1)),"Yes","No"),IF($A49="Cybernet",IF(OR(AND($Y49&lt;&gt;"",LOWER(TRIM($Y49))&lt;&gt;"n/a",COUNTIF($Y$2:$Y$528,$Y49)&gt;1),AND($Z49&lt;&gt;"",LOWER(TRIM($Z49))&lt;&gt;"n/a",COUNTIF($Z$2:$Z$528,$Z49)&gt;1)),"Yes","No"),IF(AND($AL49&lt;&gt;"",LOWER(TRIM($AL49))&lt;&gt;"n/a",COUNTIF($AL$2:$AL$528,$AL49)&gt;1),"Yes","No"))))</f>
        <v>Yes</v>
      </c>
      <c r="F49" t="str">
        <f>IF($B49&lt;&gt;"Yes","",
IF($A49="Neuron",
IF(OR(
AND($S49&lt;&gt;"",LOWER(TRIM($S49))&lt;&gt;"n/a",COUNTIFS($B$2:$B$528,"Yes",$A$2:$A$528,"Neuron",$S$2:$S$528,$S49)&gt;1),
AND($T49&lt;&gt;"",LOWER(TRIM($T49))&lt;&gt;"n/a",COUNTIFS($B$2:$B$528,"Yes",$A$2:$A$528,"Neuron",$T$2:$T$528,$T49)&gt;1),
AND($W49&lt;&gt;"",LOWER(TRIM($W49))&lt;&gt;"n/a",COUNTIFS($B$2:$B$528,"Yes",$A$2:$A$528,"Neuron",$W$2:$W$528,$W49)&gt;1)
),"Yes","No"),
IF($A49="Cybernet",
IF(OR(
AND($Y49&lt;&gt;"",LOWER(TRIM($Y49))&lt;&gt;"n/a",COUNTIFS($B$2:$B$528,"Yes",$A$2:$A$528,"Cybernet",$Y$2:$Y$528,$Y49)&gt;1),
AND($Z49&lt;&gt;"",LOWER(TRIM($Z49))&lt;&gt;"n/a",COUNTIFS($B$2:$B$528,"Yes",$A$2:$A$528,"Cybernet",$Z$2:$Z$528,$Z49)&gt;1)
),"Yes","No"),
IF(AND($AL49&lt;&gt;"",LOWER(TRIM($AL49))&lt;&gt;"n/a"),
IF(COUNTIFS($B$2:$B$528,"Yes",$A$2:$A$528,$A49,$AL$2:$AL$528,$AL49)&gt;1,"Yes","No"),
"No")
)
)
)</f>
        <v/>
      </c>
      <c r="G49" s="4" t="s">
        <v>1327</v>
      </c>
      <c r="H49" s="4" t="s">
        <v>1678</v>
      </c>
      <c r="I49" s="4"/>
      <c r="J49" s="4" t="s">
        <v>1444</v>
      </c>
      <c r="K49" s="4" t="s">
        <v>1444</v>
      </c>
      <c r="L49" s="4" t="s">
        <v>1444</v>
      </c>
      <c r="M49" s="4"/>
      <c r="N49" s="4"/>
      <c r="O49" s="4"/>
      <c r="P49" s="4"/>
      <c r="Q49" s="4"/>
      <c r="R49" s="2"/>
      <c r="S49" s="4" t="s">
        <v>1697</v>
      </c>
      <c r="T49" t="s">
        <v>1619</v>
      </c>
      <c r="W49" t="s">
        <v>1621</v>
      </c>
      <c r="X49" s="4"/>
      <c r="Y49" s="4"/>
      <c r="Z49" s="4"/>
      <c r="AA49" s="4"/>
      <c r="AB49" s="4"/>
      <c r="AC49" s="4"/>
      <c r="AD49" s="4"/>
      <c r="AE49" s="8"/>
      <c r="AF49" s="4"/>
      <c r="AG49" s="4"/>
      <c r="AH49" s="1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8"/>
      <c r="AX49" s="8"/>
      <c r="AY49" s="8"/>
      <c r="AZ49" s="8"/>
      <c r="BA49" s="12"/>
      <c r="BB49" s="8"/>
      <c r="BC49" s="4"/>
      <c r="BD49" s="4" t="s">
        <v>1657</v>
      </c>
      <c r="BE49" s="8"/>
      <c r="BF49" s="8"/>
      <c r="BG49" s="8"/>
      <c r="BH49" s="8"/>
      <c r="BI49" s="8"/>
      <c r="BJ49" s="8"/>
      <c r="BK49" s="8"/>
      <c r="BL49" s="4" t="str">
        <f>IF($T49="","",IF((IF(AND($AW49&lt;&gt;"Yes",$AW49&lt;&gt;"N/A"),"Power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",""))="","",LEFT(IF(AND($AW49&lt;&gt;"Yes",$AW49&lt;&gt;"N/A"),"Power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",""),LEN(IF(AND($AW49&lt;&gt;"Yes",$AW49&lt;&gt;"N/A"),"Power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",""))-2)))</f>
        <v>Power Cable, Battery, Firmware Download, Device ID, Epic Beans Relay</v>
      </c>
      <c r="BM49" s="8" t="str">
        <f>IF($T49="","",IF($BL49="","Yes","Blocked"))</f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 ht="30.75" customHeight="1">
      <c r="A50" s="8" t="s">
        <v>1651</v>
      </c>
      <c r="B50" s="8" t="s">
        <v>1460</v>
      </c>
      <c r="C50" s="15" t="s">
        <v>1460</v>
      </c>
      <c r="D50" s="15" t="str">
        <f t="shared" si="0"/>
        <v/>
      </c>
      <c r="E50" s="15" t="str">
        <f>IF($A50="","",IF($A50="Neuron",IF(OR(AND($R50&lt;&gt;"",LOWER(TRIM($R50))&lt;&gt;"n/a",COUNTIF($S$2:$S$528,$R50)&gt;1),AND($T50&lt;&gt;"",LOWER(TRIM($T50))&lt;&gt;"n/a",COUNTIF($T$2:$T$528,$T50)&gt;1),AND($W50&lt;&gt;"",LOWER(TRIM($W50))&lt;&gt;"n/a",COUNTIF($W$2:$W$528,$W50)&gt;1)),"Yes","No"),IF($A50="Cybernet",IF(OR(AND($Y50&lt;&gt;"",LOWER(TRIM($Y50))&lt;&gt;"n/a",COUNTIF($Y$2:$Y$528,$Y50)&gt;1),AND($Z50&lt;&gt;"",LOWER(TRIM($Z50))&lt;&gt;"n/a",COUNTIF($Z$2:$Z$528,$Z50)&gt;1)),"Yes","No"),IF(AND($AL50&lt;&gt;"",LOWER(TRIM($AL50))&lt;&gt;"n/a",COUNTIF($AL$2:$AL$528,$AL50)&gt;1),"Yes","No"))))</f>
        <v>No</v>
      </c>
      <c r="F50" t="str">
        <f>IF($B50&lt;&gt;"Yes","",
IF($A50="Neuron",
IF(OR(
AND($R50&lt;&gt;"",LOWER(TRIM($R50))&lt;&gt;"n/a",COUNTIFS($B$2:$B$528,"Yes",$A$2:$A$528,"Neuron",$S$2:$S$528,$R50)&gt;1),
AND($T50&lt;&gt;"",LOWER(TRIM($T50))&lt;&gt;"n/a",COUNTIFS($B$2:$B$528,"Yes",$A$2:$A$528,"Neuron",$T$2:$T$528,$T50)&gt;1),
AND($W50&lt;&gt;"",LOWER(TRIM($W50))&lt;&gt;"n/a",COUNTIFS($B$2:$B$528,"Yes",$A$2:$A$528,"Neuron",$W$2:$W$528,$W50)&gt;1)
),"Yes","No"),
IF($A50="Cybernet",
IF(OR(
AND($Y50&lt;&gt;"",LOWER(TRIM($Y50))&lt;&gt;"n/a",COUNTIFS($B$2:$B$528,"Yes",$A$2:$A$528,"Cybernet",$Y$2:$Y$528,$Y50)&gt;1),
AND($Z50&lt;&gt;"",LOWER(TRIM($Z50))&lt;&gt;"n/a",COUNTIFS($B$2:$B$528,"Yes",$A$2:$A$528,"Cybernet",$Z$2:$Z$528,$Z50)&gt;1)
),"Yes","No"),
IF(AND($AL50&lt;&gt;"",LOWER(TRIM($AL50))&lt;&gt;"n/a"),
IF(COUNTIFS($B$2:$B$528,"Yes",$A$2:$A$528,$A50,$AL$2:$AL$528,$AL50)&gt;1,"Yes","No"),
"No")
)
)
)</f>
        <v/>
      </c>
      <c r="G50" s="21" t="s">
        <v>1698</v>
      </c>
      <c r="H50" s="4" t="s">
        <v>1699</v>
      </c>
      <c r="I50" s="2"/>
      <c r="J50" s="2" t="s">
        <v>1441</v>
      </c>
      <c r="K50" s="2" t="s">
        <v>1460</v>
      </c>
      <c r="L50" s="2" t="s">
        <v>1460</v>
      </c>
      <c r="M50" s="2"/>
      <c r="N50" s="2"/>
      <c r="O50" s="2"/>
      <c r="P50" s="2"/>
      <c r="Q50" s="21"/>
      <c r="R50" s="4" t="s">
        <v>1700</v>
      </c>
      <c r="T50" s="4"/>
      <c r="U50" s="4"/>
      <c r="V50" s="4"/>
      <c r="W50" s="4"/>
      <c r="X50" s="4"/>
      <c r="Y50" s="22" t="s">
        <v>1701</v>
      </c>
      <c r="Z50" s="24" t="s">
        <v>1702</v>
      </c>
      <c r="AA50" s="4"/>
      <c r="AB50" s="4"/>
      <c r="AC50" s="4"/>
      <c r="AD50" s="4"/>
      <c r="AE50" s="8"/>
      <c r="AF50" s="4"/>
      <c r="AG50" s="4"/>
      <c r="AH50" s="14"/>
      <c r="AI50" s="4"/>
      <c r="AJ50" s="4" t="s">
        <v>1703</v>
      </c>
      <c r="AK50" s="4" t="s">
        <v>1704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8"/>
      <c r="AX50" s="8"/>
      <c r="AY50" s="8"/>
      <c r="AZ50" s="8"/>
      <c r="BA50" s="12"/>
      <c r="BB50" s="8"/>
      <c r="BC50" s="4" t="s">
        <v>1705</v>
      </c>
      <c r="BD50" s="4" t="s">
        <v>1657</v>
      </c>
      <c r="BE50" s="8"/>
      <c r="BF50" s="8"/>
      <c r="BG50" s="8"/>
      <c r="BH50" s="8"/>
      <c r="BI50" s="8"/>
      <c r="BJ50" s="8"/>
      <c r="BK50" s="8"/>
      <c r="BL50" s="4" t="str">
        <f t="shared" ref="BL50:BL113" si="3">IF($T50="","",IF((IF(AND($AW50&lt;&gt;"Yes",$AW50&lt;&gt;"N/A"),"Power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",""))="","",LEFT(IF(AND($AW50&lt;&gt;"Yes",$AW50&lt;&gt;"N/A"),"Power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",""),LEN(IF(AND($AW50&lt;&gt;"Yes",$AW50&lt;&gt;"N/A"),"Power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",""))-2)))</f>
        <v/>
      </c>
      <c r="BM50" s="8" t="str">
        <f t="shared" ref="BM50:BM113" si="4">IF($T50="","",IF($BL50="","Yes","Blocked"))</f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 ht="30.75" customHeight="1">
      <c r="A51" s="8" t="s">
        <v>1651</v>
      </c>
      <c r="B51" s="8" t="s">
        <v>1460</v>
      </c>
      <c r="C51" s="15" t="s">
        <v>1460</v>
      </c>
      <c r="D51" s="15" t="str">
        <f t="shared" si="0"/>
        <v/>
      </c>
      <c r="E51" s="15" t="str">
        <f>IF($A51="","",IF($A51="Neuron",IF(OR(AND($R51&lt;&gt;"",LOWER(TRIM($R51))&lt;&gt;"n/a",COUNTIF($S$2:$S$528,$R51)&gt;1),AND($T51&lt;&gt;"",LOWER(TRIM($T51))&lt;&gt;"n/a",COUNTIF($T$2:$T$528,$T51)&gt;1),AND($W51&lt;&gt;"",LOWER(TRIM($W51))&lt;&gt;"n/a",COUNTIF($W$2:$W$528,$W51)&gt;1)),"Yes","No"),IF($A51="Cybernet",IF(OR(AND($Y51&lt;&gt;"",LOWER(TRIM($Y51))&lt;&gt;"n/a",COUNTIF($Y$2:$Y$528,$Y51)&gt;1),AND($Z51&lt;&gt;"",LOWER(TRIM($Z51))&lt;&gt;"n/a",COUNTIF($Z$2:$Z$528,$Z51)&gt;1)),"Yes","No"),IF(AND($AL51&lt;&gt;"",LOWER(TRIM($AL51))&lt;&gt;"n/a",COUNTIF($AL$2:$AL$528,$AL51)&gt;1),"Yes","No"))))</f>
        <v>No</v>
      </c>
      <c r="F51" t="str">
        <f>IF($B51&lt;&gt;"Yes","",
IF($A51="Neuron",
IF(OR(
AND($R51&lt;&gt;"",LOWER(TRIM($R51))&lt;&gt;"n/a",COUNTIFS($B$2:$B$528,"Yes",$A$2:$A$528,"Neuron",$S$2:$S$528,$R51)&gt;1),
AND($T51&lt;&gt;"",LOWER(TRIM($T51))&lt;&gt;"n/a",COUNTIFS($B$2:$B$528,"Yes",$A$2:$A$528,"Neuron",$T$2:$T$528,$T51)&gt;1),
AND($W51&lt;&gt;"",LOWER(TRIM($W51))&lt;&gt;"n/a",COUNTIFS($B$2:$B$528,"Yes",$A$2:$A$528,"Neuron",$W$2:$W$528,$W51)&gt;1)
),"Yes","No"),
IF($A51="Cybernet",
IF(OR(
AND($Y51&lt;&gt;"",LOWER(TRIM($Y51))&lt;&gt;"n/a",COUNTIFS($B$2:$B$528,"Yes",$A$2:$A$528,"Cybernet",$Y$2:$Y$528,$Y51)&gt;1),
AND($Z51&lt;&gt;"",LOWER(TRIM($Z51))&lt;&gt;"n/a",COUNTIFS($B$2:$B$528,"Yes",$A$2:$A$528,"Cybernet",$Z$2:$Z$528,$Z51)&gt;1)
),"Yes","No"),
IF(AND($AL51&lt;&gt;"",LOWER(TRIM($AL51))&lt;&gt;"n/a"),
IF(COUNTIFS($B$2:$B$528,"Yes",$A$2:$A$528,$A51,$AL$2:$AL$528,$AL51)&gt;1,"Yes","No"),
"No")
)
)
)</f>
        <v/>
      </c>
      <c r="G51" s="21" t="s">
        <v>1698</v>
      </c>
      <c r="H51" s="4" t="s">
        <v>1699</v>
      </c>
      <c r="I51" s="2"/>
      <c r="J51" s="2" t="s">
        <v>1441</v>
      </c>
      <c r="K51" s="2" t="s">
        <v>1460</v>
      </c>
      <c r="L51" s="2" t="s">
        <v>1460</v>
      </c>
      <c r="M51" s="2"/>
      <c r="N51" s="2"/>
      <c r="O51" s="2"/>
      <c r="P51" s="2"/>
      <c r="Q51" s="21"/>
      <c r="R51" s="4" t="s">
        <v>1706</v>
      </c>
      <c r="T51" s="4"/>
      <c r="U51" s="4"/>
      <c r="V51" s="4"/>
      <c r="W51" s="4"/>
      <c r="X51" s="4"/>
      <c r="Y51" s="23" t="s">
        <v>1707</v>
      </c>
      <c r="Z51" s="24" t="s">
        <v>1708</v>
      </c>
      <c r="AA51" s="4"/>
      <c r="AB51" s="4"/>
      <c r="AC51" s="4"/>
      <c r="AD51" s="4"/>
      <c r="AE51" s="8"/>
      <c r="AF51" s="4"/>
      <c r="AG51" s="4"/>
      <c r="AH51" s="14"/>
      <c r="AI51" s="4"/>
      <c r="AJ51" s="4" t="s">
        <v>1703</v>
      </c>
      <c r="AK51" s="4" t="s">
        <v>1704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8"/>
      <c r="AX51" s="8"/>
      <c r="AY51" s="8"/>
      <c r="AZ51" s="8"/>
      <c r="BA51" s="12"/>
      <c r="BB51" s="8"/>
      <c r="BC51" s="25" t="s">
        <v>1705</v>
      </c>
      <c r="BD51" s="4" t="s">
        <v>1657</v>
      </c>
      <c r="BE51" s="8"/>
      <c r="BF51" s="8"/>
      <c r="BG51" s="8"/>
      <c r="BH51" s="8"/>
      <c r="BI51" s="8"/>
      <c r="BJ51" s="8"/>
      <c r="BK51" s="8"/>
      <c r="BL51" s="4" t="str">
        <f t="shared" si="3"/>
        <v/>
      </c>
      <c r="BM51" s="8" t="str">
        <f t="shared" si="4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s="8" t="s">
        <v>1651</v>
      </c>
      <c r="B52" s="8" t="s">
        <v>1460</v>
      </c>
      <c r="C52" s="15" t="s">
        <v>1460</v>
      </c>
      <c r="D52" s="15" t="str">
        <f t="shared" si="0"/>
        <v/>
      </c>
      <c r="E52" s="15" t="str">
        <f>IF($A52="","",IF($A52="Neuron",IF(OR(AND($R52&lt;&gt;"",LOWER(TRIM($R52))&lt;&gt;"n/a",COUNTIF($S$2:$S$528,$R52)&gt;1),AND($T52&lt;&gt;"",LOWER(TRIM($T52))&lt;&gt;"n/a",COUNTIF($T$2:$T$528,$T52)&gt;1),AND($W52&lt;&gt;"",LOWER(TRIM($W52))&lt;&gt;"n/a",COUNTIF($W$2:$W$528,$W52)&gt;1)),"Yes","No"),IF($A52="Cybernet",IF(OR(AND($Y52&lt;&gt;"",LOWER(TRIM($Y52))&lt;&gt;"n/a",COUNTIF($Y$2:$Y$528,$Y52)&gt;1),AND($Z52&lt;&gt;"",LOWER(TRIM($Z52))&lt;&gt;"n/a",COUNTIF($Z$2:$Z$528,$Z52)&gt;1)),"Yes","No"),IF(AND($AL52&lt;&gt;"",LOWER(TRIM($AL52))&lt;&gt;"n/a",COUNTIF($AL$2:$AL$528,$AL52)&gt;1),"Yes","No"))))</f>
        <v>No</v>
      </c>
      <c r="F52" t="str">
        <f>IF($B52&lt;&gt;"Yes","",
IF($A52="Neuron",
IF(OR(
AND($R52&lt;&gt;"",LOWER(TRIM($R52))&lt;&gt;"n/a",COUNTIFS($B$2:$B$528,"Yes",$A$2:$A$528,"Neuron",$S$2:$S$528,$R52)&gt;1),
AND($T52&lt;&gt;"",LOWER(TRIM($T52))&lt;&gt;"n/a",COUNTIFS($B$2:$B$528,"Yes",$A$2:$A$528,"Neuron",$T$2:$T$528,$T52)&gt;1),
AND($W52&lt;&gt;"",LOWER(TRIM($W52))&lt;&gt;"n/a",COUNTIFS($B$2:$B$528,"Yes",$A$2:$A$528,"Neuron",$W$2:$W$528,$W52)&gt;1)
),"Yes","No"),
IF($A52="Cybernet",
IF(OR(
AND($Y52&lt;&gt;"",LOWER(TRIM($Y52))&lt;&gt;"n/a",COUNTIFS($B$2:$B$528,"Yes",$A$2:$A$528,"Cybernet",$Y$2:$Y$528,$Y52)&gt;1),
AND($Z52&lt;&gt;"",LOWER(TRIM($Z52))&lt;&gt;"n/a",COUNTIFS($B$2:$B$528,"Yes",$A$2:$A$528,"Cybernet",$Z$2:$Z$528,$Z52)&gt;1)
),"Yes","No"),
IF(AND($AL52&lt;&gt;"",LOWER(TRIM($AL52))&lt;&gt;"n/a"),
IF(COUNTIFS($B$2:$B$528,"Yes",$A$2:$A$528,$A52,$AL$2:$AL$528,$AL52)&gt;1,"Yes","No"),
"No")
)
)
)</f>
        <v/>
      </c>
      <c r="G52" s="21" t="s">
        <v>1698</v>
      </c>
      <c r="H52" s="4" t="s">
        <v>1655</v>
      </c>
      <c r="I52" s="2"/>
      <c r="J52" s="2" t="s">
        <v>1441</v>
      </c>
      <c r="K52" s="2" t="s">
        <v>1460</v>
      </c>
      <c r="L52" s="2" t="s">
        <v>1460</v>
      </c>
      <c r="M52" s="2"/>
      <c r="N52" s="2"/>
      <c r="O52" s="2"/>
      <c r="P52" s="2"/>
      <c r="Q52" s="21"/>
      <c r="R52" s="21" t="s">
        <v>1709</v>
      </c>
      <c r="T52" s="4"/>
      <c r="U52" s="4"/>
      <c r="V52" s="4"/>
      <c r="W52" s="4"/>
      <c r="X52" s="4"/>
      <c r="Y52" s="26" t="s">
        <v>1710</v>
      </c>
      <c r="Z52" s="24" t="s">
        <v>1711</v>
      </c>
      <c r="AA52" s="4"/>
      <c r="AB52" s="4"/>
      <c r="AC52" s="4"/>
      <c r="AD52" s="4"/>
      <c r="AE52" s="8"/>
      <c r="AF52" s="4"/>
      <c r="AG52" s="4"/>
      <c r="AH52" s="1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8"/>
      <c r="AX52" s="8"/>
      <c r="AY52" s="8"/>
      <c r="AZ52" s="8"/>
      <c r="BA52" s="12"/>
      <c r="BB52" s="8"/>
      <c r="BC52" s="21" t="s">
        <v>1712</v>
      </c>
      <c r="BD52" s="4"/>
      <c r="BE52" s="8"/>
      <c r="BF52" s="8"/>
      <c r="BG52" s="8"/>
      <c r="BH52" s="8"/>
      <c r="BI52" s="8"/>
      <c r="BJ52" s="8"/>
      <c r="BK52" s="8"/>
      <c r="BL52" s="4" t="str">
        <f t="shared" si="3"/>
        <v/>
      </c>
      <c r="BM52" s="8" t="str">
        <f t="shared" si="4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s="8" t="s">
        <v>1651</v>
      </c>
      <c r="B53" s="8" t="s">
        <v>1460</v>
      </c>
      <c r="C53" s="15" t="s">
        <v>1460</v>
      </c>
      <c r="D53" s="15" t="str">
        <f t="shared" si="0"/>
        <v/>
      </c>
      <c r="E53" s="15" t="str">
        <f>IF($A53="","",IF($A53="Neuron",IF(OR(AND($R53&lt;&gt;"",LOWER(TRIM($R53))&lt;&gt;"n/a",COUNTIF($S$2:$S$528,$R53)&gt;1),AND($T53&lt;&gt;"",LOWER(TRIM($T53))&lt;&gt;"n/a",COUNTIF($T$2:$T$528,$T53)&gt;1),AND($W53&lt;&gt;"",LOWER(TRIM($W53))&lt;&gt;"n/a",COUNTIF($W$2:$W$528,$W53)&gt;1)),"Yes","No"),IF($A53="Cybernet",IF(OR(AND($Y53&lt;&gt;"",LOWER(TRIM($Y53))&lt;&gt;"n/a",COUNTIF($Y$2:$Y$528,$Y53)&gt;1),AND($Z53&lt;&gt;"",LOWER(TRIM($Z53))&lt;&gt;"n/a",COUNTIF($Z$2:$Z$528,$Z53)&gt;1)),"Yes","No"),IF(AND($AL53&lt;&gt;"",LOWER(TRIM($AL53))&lt;&gt;"n/a",COUNTIF($AL$2:$AL$528,$AL53)&gt;1),"Yes","No"))))</f>
        <v>No</v>
      </c>
      <c r="F53" t="str">
        <f>IF($B53&lt;&gt;"Yes","",
IF($A53="Neuron",
IF(OR(
AND($R53&lt;&gt;"",LOWER(TRIM($R53))&lt;&gt;"n/a",COUNTIFS($B$2:$B$528,"Yes",$A$2:$A$528,"Neuron",$S$2:$S$528,$R53)&gt;1),
AND($T53&lt;&gt;"",LOWER(TRIM($T53))&lt;&gt;"n/a",COUNTIFS($B$2:$B$528,"Yes",$A$2:$A$528,"Neuron",$T$2:$T$528,$T53)&gt;1),
AND($W53&lt;&gt;"",LOWER(TRIM($W53))&lt;&gt;"n/a",COUNTIFS($B$2:$B$528,"Yes",$A$2:$A$528,"Neuron",$W$2:$W$528,$W53)&gt;1)
),"Yes","No"),
IF($A53="Cybernet",
IF(OR(
AND($Y53&lt;&gt;"",LOWER(TRIM($Y53))&lt;&gt;"n/a",COUNTIFS($B$2:$B$528,"Yes",$A$2:$A$528,"Cybernet",$Y$2:$Y$528,$Y53)&gt;1),
AND($Z53&lt;&gt;"",LOWER(TRIM($Z53))&lt;&gt;"n/a",COUNTIFS($B$2:$B$528,"Yes",$A$2:$A$528,"Cybernet",$Z$2:$Z$528,$Z53)&gt;1)
),"Yes","No"),
IF(AND($AL53&lt;&gt;"",LOWER(TRIM($AL53))&lt;&gt;"n/a"),
IF(COUNTIFS($B$2:$B$528,"Yes",$A$2:$A$528,$A53,$AL$2:$AL$528,$AL53)&gt;1,"Yes","No"),
"No")
)
)
)</f>
        <v/>
      </c>
      <c r="G53" s="21" t="s">
        <v>1698</v>
      </c>
      <c r="H53" s="4" t="s">
        <v>1655</v>
      </c>
      <c r="I53" s="2"/>
      <c r="J53" s="2" t="s">
        <v>1441</v>
      </c>
      <c r="K53" s="2" t="s">
        <v>1460</v>
      </c>
      <c r="L53" s="2" t="s">
        <v>1460</v>
      </c>
      <c r="M53" s="2"/>
      <c r="N53" s="2"/>
      <c r="O53" s="2"/>
      <c r="P53" s="2"/>
      <c r="Q53" s="21"/>
      <c r="R53" s="21" t="s">
        <v>1713</v>
      </c>
      <c r="T53" s="4"/>
      <c r="U53" s="4"/>
      <c r="V53" s="4"/>
      <c r="W53" s="4"/>
      <c r="X53" s="4"/>
      <c r="Y53" s="26" t="s">
        <v>1714</v>
      </c>
      <c r="Z53" s="24" t="s">
        <v>1715</v>
      </c>
      <c r="AA53" s="4"/>
      <c r="AB53" s="4"/>
      <c r="AC53" s="4"/>
      <c r="AD53" s="4"/>
      <c r="AE53" s="8"/>
      <c r="AF53" s="4"/>
      <c r="AG53" s="4"/>
      <c r="AH53" s="1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8"/>
      <c r="AX53" s="8"/>
      <c r="AY53" s="8"/>
      <c r="AZ53" s="8"/>
      <c r="BA53" s="12"/>
      <c r="BB53" s="8"/>
      <c r="BC53" s="21" t="s">
        <v>1716</v>
      </c>
      <c r="BD53" s="4"/>
      <c r="BE53" s="8"/>
      <c r="BF53" s="8"/>
      <c r="BG53" s="8"/>
      <c r="BH53" s="8"/>
      <c r="BI53" s="8"/>
      <c r="BJ53" s="8"/>
      <c r="BK53" s="8"/>
      <c r="BL53" s="4" t="str">
        <f t="shared" si="3"/>
        <v/>
      </c>
      <c r="BM53" s="8" t="str">
        <f t="shared" si="4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 ht="30.75" customHeight="1">
      <c r="A54" s="8" t="s">
        <v>1651</v>
      </c>
      <c r="B54" s="8" t="s">
        <v>1460</v>
      </c>
      <c r="C54" s="15" t="s">
        <v>1460</v>
      </c>
      <c r="D54" s="15" t="str">
        <f t="shared" si="0"/>
        <v/>
      </c>
      <c r="E54" s="15" t="str">
        <f>IF($A54="","",IF($A54="Neuron",IF(OR(AND($R54&lt;&gt;"",LOWER(TRIM($R54))&lt;&gt;"n/a",COUNTIF($S$2:$S$528,$R54)&gt;1),AND($T54&lt;&gt;"",LOWER(TRIM($T54))&lt;&gt;"n/a",COUNTIF($T$2:$T$528,$T54)&gt;1),AND($W54&lt;&gt;"",LOWER(TRIM($W54))&lt;&gt;"n/a",COUNTIF($W$2:$W$528,$W54)&gt;1)),"Yes","No"),IF($A54="Cybernet",IF(OR(AND($Y54&lt;&gt;"",LOWER(TRIM($Y54))&lt;&gt;"n/a",COUNTIF($Y$2:$Y$528,$Y54)&gt;1),AND($Z54&lt;&gt;"",LOWER(TRIM($Z54))&lt;&gt;"n/a",COUNTIF($Z$2:$Z$528,$Z54)&gt;1)),"Yes","No"),IF(AND($AL54&lt;&gt;"",LOWER(TRIM($AL54))&lt;&gt;"n/a",COUNTIF($AL$2:$AL$528,$AL54)&gt;1),"Yes","No"))))</f>
        <v>No</v>
      </c>
      <c r="F54" t="str">
        <f>IF($B54&lt;&gt;"Yes","",
IF($A54="Neuron",
IF(OR(
AND($R54&lt;&gt;"",LOWER(TRIM($R54))&lt;&gt;"n/a",COUNTIFS($B$2:$B$528,"Yes",$A$2:$A$528,"Neuron",$S$2:$S$528,$R54)&gt;1),
AND($T54&lt;&gt;"",LOWER(TRIM($T54))&lt;&gt;"n/a",COUNTIFS($B$2:$B$528,"Yes",$A$2:$A$528,"Neuron",$T$2:$T$528,$T54)&gt;1),
AND($W54&lt;&gt;"",LOWER(TRIM($W54))&lt;&gt;"n/a",COUNTIFS($B$2:$B$528,"Yes",$A$2:$A$528,"Neuron",$W$2:$W$528,$W54)&gt;1)
),"Yes","No"),
IF($A54="Cybernet",
IF(OR(
AND($Y54&lt;&gt;"",LOWER(TRIM($Y54))&lt;&gt;"n/a",COUNTIFS($B$2:$B$528,"Yes",$A$2:$A$528,"Cybernet",$Y$2:$Y$528,$Y54)&gt;1),
AND($Z54&lt;&gt;"",LOWER(TRIM($Z54))&lt;&gt;"n/a",COUNTIFS($B$2:$B$528,"Yes",$A$2:$A$528,"Cybernet",$Z$2:$Z$528,$Z54)&gt;1)
),"Yes","No"),
IF(AND($AL54&lt;&gt;"",LOWER(TRIM($AL54))&lt;&gt;"n/a"),
IF(COUNTIFS($B$2:$B$528,"Yes",$A$2:$A$528,$A54,$AL$2:$AL$528,$AL54)&gt;1,"Yes","No"),
"No")
)
)
)</f>
        <v/>
      </c>
      <c r="G54" s="21" t="s">
        <v>1698</v>
      </c>
      <c r="H54" s="4" t="s">
        <v>1717</v>
      </c>
      <c r="I54" s="2"/>
      <c r="J54" s="2" t="s">
        <v>1441</v>
      </c>
      <c r="K54" s="2" t="s">
        <v>1460</v>
      </c>
      <c r="L54" s="2" t="s">
        <v>1460</v>
      </c>
      <c r="M54" s="2"/>
      <c r="N54" s="2"/>
      <c r="O54" s="2"/>
      <c r="P54" s="2"/>
      <c r="Q54" s="21"/>
      <c r="R54" s="4" t="s">
        <v>1718</v>
      </c>
      <c r="T54" s="4"/>
      <c r="U54" s="4"/>
      <c r="V54" s="4"/>
      <c r="W54" s="4"/>
      <c r="X54" s="4"/>
      <c r="Y54" s="4" t="s">
        <v>1719</v>
      </c>
      <c r="Z54" s="4" t="s">
        <v>1720</v>
      </c>
      <c r="AA54" s="4"/>
      <c r="AB54" s="4"/>
      <c r="AC54" s="4"/>
      <c r="AD54" s="4"/>
      <c r="AE54" s="8"/>
      <c r="AF54" s="4"/>
      <c r="AG54" s="4"/>
      <c r="AH54" s="14"/>
      <c r="AI54" s="4"/>
      <c r="AJ54" s="4" t="s">
        <v>1703</v>
      </c>
      <c r="AK54" s="4" t="s">
        <v>1704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8"/>
      <c r="AX54" s="8"/>
      <c r="AY54" s="8"/>
      <c r="AZ54" s="8"/>
      <c r="BA54" s="12"/>
      <c r="BB54" s="8"/>
      <c r="BC54" s="4" t="s">
        <v>1721</v>
      </c>
      <c r="BD54" s="4" t="s">
        <v>1657</v>
      </c>
      <c r="BE54" s="8"/>
      <c r="BF54" s="8"/>
      <c r="BG54" s="8"/>
      <c r="BH54" s="8"/>
      <c r="BI54" s="8"/>
      <c r="BJ54" s="8"/>
      <c r="BK54" s="8"/>
      <c r="BL54" s="4" t="str">
        <f t="shared" si="3"/>
        <v/>
      </c>
      <c r="BM54" s="8" t="str">
        <f t="shared" si="4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 ht="30.75" customHeight="1">
      <c r="A55" s="8" t="s">
        <v>1651</v>
      </c>
      <c r="B55" s="8" t="s">
        <v>1460</v>
      </c>
      <c r="C55" s="15" t="s">
        <v>1460</v>
      </c>
      <c r="D55" s="15" t="str">
        <f t="shared" si="0"/>
        <v/>
      </c>
      <c r="E55" s="15" t="str">
        <f>IF($A55="","",IF($A55="Neuron",IF(OR(AND($R55&lt;&gt;"",LOWER(TRIM($R55))&lt;&gt;"n/a",COUNTIF($S$2:$S$528,$R55)&gt;1),AND($T55&lt;&gt;"",LOWER(TRIM($T55))&lt;&gt;"n/a",COUNTIF($T$2:$T$528,$T55)&gt;1),AND($W55&lt;&gt;"",LOWER(TRIM($W55))&lt;&gt;"n/a",COUNTIF($W$2:$W$528,$W55)&gt;1)),"Yes","No"),IF($A55="Cybernet",IF(OR(AND($Y55&lt;&gt;"",LOWER(TRIM($Y55))&lt;&gt;"n/a",COUNTIF($Y$2:$Y$528,$Y55)&gt;1),AND($Z55&lt;&gt;"",LOWER(TRIM($Z55))&lt;&gt;"n/a",COUNTIF($Z$2:$Z$528,$Z55)&gt;1)),"Yes","No"),IF(AND($AL55&lt;&gt;"",LOWER(TRIM($AL55))&lt;&gt;"n/a",COUNTIF($AL$2:$AL$528,$AL55)&gt;1),"Yes","No"))))</f>
        <v>No</v>
      </c>
      <c r="F55" t="str">
        <f>IF($B55&lt;&gt;"Yes","",
IF($A55="Neuron",
IF(OR(
AND($R55&lt;&gt;"",LOWER(TRIM($R55))&lt;&gt;"n/a",COUNTIFS($B$2:$B$528,"Yes",$A$2:$A$528,"Neuron",$S$2:$S$528,$R55)&gt;1),
AND($T55&lt;&gt;"",LOWER(TRIM($T55))&lt;&gt;"n/a",COUNTIFS($B$2:$B$528,"Yes",$A$2:$A$528,"Neuron",$T$2:$T$528,$T55)&gt;1),
AND($W55&lt;&gt;"",LOWER(TRIM($W55))&lt;&gt;"n/a",COUNTIFS($B$2:$B$528,"Yes",$A$2:$A$528,"Neuron",$W$2:$W$528,$W55)&gt;1)
),"Yes","No"),
IF($A55="Cybernet",
IF(OR(
AND($Y55&lt;&gt;"",LOWER(TRIM($Y55))&lt;&gt;"n/a",COUNTIFS($B$2:$B$528,"Yes",$A$2:$A$528,"Cybernet",$Y$2:$Y$528,$Y55)&gt;1),
AND($Z55&lt;&gt;"",LOWER(TRIM($Z55))&lt;&gt;"n/a",COUNTIFS($B$2:$B$528,"Yes",$A$2:$A$528,"Cybernet",$Z$2:$Z$528,$Z55)&gt;1)
),"Yes","No"),
IF(AND($AL55&lt;&gt;"",LOWER(TRIM($AL55))&lt;&gt;"n/a"),
IF(COUNTIFS($B$2:$B$528,"Yes",$A$2:$A$528,$A55,$AL$2:$AL$528,$AL55)&gt;1,"Yes","No"),
"No")
)
)
)</f>
        <v/>
      </c>
      <c r="G55" s="21" t="s">
        <v>1698</v>
      </c>
      <c r="H55" s="4" t="s">
        <v>1717</v>
      </c>
      <c r="I55" s="2"/>
      <c r="J55" s="2" t="s">
        <v>1441</v>
      </c>
      <c r="K55" s="2" t="s">
        <v>1460</v>
      </c>
      <c r="L55" s="2" t="s">
        <v>1460</v>
      </c>
      <c r="M55" s="2"/>
      <c r="N55" s="2"/>
      <c r="O55" s="2"/>
      <c r="P55" s="2"/>
      <c r="Q55" s="21"/>
      <c r="R55" s="4" t="s">
        <v>1722</v>
      </c>
      <c r="T55" s="4"/>
      <c r="U55" s="4"/>
      <c r="V55" s="4"/>
      <c r="W55" s="4"/>
      <c r="X55" s="4"/>
      <c r="Y55" s="4" t="s">
        <v>1723</v>
      </c>
      <c r="Z55" s="4" t="s">
        <v>1724</v>
      </c>
      <c r="AA55" s="4"/>
      <c r="AB55" s="4"/>
      <c r="AC55" s="4"/>
      <c r="AD55" s="4"/>
      <c r="AE55" s="8"/>
      <c r="AF55" s="4"/>
      <c r="AG55" s="4"/>
      <c r="AH55" s="14"/>
      <c r="AI55" s="4"/>
      <c r="AJ55" s="4" t="s">
        <v>1703</v>
      </c>
      <c r="AK55" s="4" t="s">
        <v>1704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8"/>
      <c r="AX55" s="8"/>
      <c r="AY55" s="8"/>
      <c r="AZ55" s="8"/>
      <c r="BA55" s="12"/>
      <c r="BB55" s="8"/>
      <c r="BC55" s="4" t="s">
        <v>1721</v>
      </c>
      <c r="BD55" s="4" t="s">
        <v>1657</v>
      </c>
      <c r="BE55" s="8"/>
      <c r="BF55" s="8"/>
      <c r="BG55" s="8"/>
      <c r="BH55" s="8"/>
      <c r="BI55" s="8"/>
      <c r="BJ55" s="8"/>
      <c r="BK55" s="8"/>
      <c r="BL55" s="4" t="str">
        <f t="shared" si="3"/>
        <v/>
      </c>
      <c r="BM55" s="8" t="str">
        <f t="shared" si="4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s="8" t="s">
        <v>1651</v>
      </c>
      <c r="B56" s="8" t="s">
        <v>1460</v>
      </c>
      <c r="C56" s="15" t="s">
        <v>1460</v>
      </c>
      <c r="D56" s="15" t="str">
        <f t="shared" si="0"/>
        <v/>
      </c>
      <c r="E56" s="15" t="str">
        <f>IF($A56="","",IF($A56="Neuron",IF(OR(AND($R56&lt;&gt;"",LOWER(TRIM($R56))&lt;&gt;"n/a",COUNTIF($S$2:$S$528,$R56)&gt;1),AND($T56&lt;&gt;"",LOWER(TRIM($T56))&lt;&gt;"n/a",COUNTIF($T$2:$T$528,$T56)&gt;1),AND($W56&lt;&gt;"",LOWER(TRIM($W56))&lt;&gt;"n/a",COUNTIF($W$2:$W$528,$W56)&gt;1)),"Yes","No"),IF($A56="Cybernet",IF(OR(AND($Y56&lt;&gt;"",LOWER(TRIM($Y56))&lt;&gt;"n/a",COUNTIF($Y$2:$Y$528,$Y56)&gt;1),AND($Z56&lt;&gt;"",LOWER(TRIM($Z56))&lt;&gt;"n/a",COUNTIF($Z$2:$Z$528,$Z56)&gt;1)),"Yes","No"),IF(AND($AL56&lt;&gt;"",LOWER(TRIM($AL56))&lt;&gt;"n/a",COUNTIF($AL$2:$AL$528,$AL56)&gt;1),"Yes","No"))))</f>
        <v>No</v>
      </c>
      <c r="F56" t="str">
        <f>IF($B56&lt;&gt;"Yes","",
IF($A56="Neuron",
IF(OR(
AND($R56&lt;&gt;"",LOWER(TRIM($R56))&lt;&gt;"n/a",COUNTIFS($B$2:$B$528,"Yes",$A$2:$A$528,"Neuron",$S$2:$S$528,$R56)&gt;1),
AND($T56&lt;&gt;"",LOWER(TRIM($T56))&lt;&gt;"n/a",COUNTIFS($B$2:$B$528,"Yes",$A$2:$A$528,"Neuron",$T$2:$T$528,$T56)&gt;1),
AND($W56&lt;&gt;"",LOWER(TRIM($W56))&lt;&gt;"n/a",COUNTIFS($B$2:$B$528,"Yes",$A$2:$A$528,"Neuron",$W$2:$W$528,$W56)&gt;1)
),"Yes","No"),
IF($A56="Cybernet",
IF(OR(
AND($Y56&lt;&gt;"",LOWER(TRIM($Y56))&lt;&gt;"n/a",COUNTIFS($B$2:$B$528,"Yes",$A$2:$A$528,"Cybernet",$Y$2:$Y$528,$Y56)&gt;1),
AND($Z56&lt;&gt;"",LOWER(TRIM($Z56))&lt;&gt;"n/a",COUNTIFS($B$2:$B$528,"Yes",$A$2:$A$528,"Cybernet",$Z$2:$Z$528,$Z56)&gt;1)
),"Yes","No"),
IF(AND($AL56&lt;&gt;"",LOWER(TRIM($AL56))&lt;&gt;"n/a"),
IF(COUNTIFS($B$2:$B$528,"Yes",$A$2:$A$528,$A56,$AL$2:$AL$528,$AL56)&gt;1,"Yes","No"),
"No")
)
)
)</f>
        <v/>
      </c>
      <c r="G56" s="4" t="s">
        <v>1698</v>
      </c>
      <c r="H56" s="4" t="s">
        <v>1717</v>
      </c>
      <c r="I56" s="4"/>
      <c r="J56" s="2" t="s">
        <v>1441</v>
      </c>
      <c r="K56" s="2" t="s">
        <v>1460</v>
      </c>
      <c r="L56" s="2" t="s">
        <v>1460</v>
      </c>
      <c r="M56" s="2"/>
      <c r="N56" s="4"/>
      <c r="O56" s="4"/>
      <c r="P56" s="4"/>
      <c r="Q56" s="4"/>
      <c r="R56" s="4" t="s">
        <v>1725</v>
      </c>
      <c r="T56" s="4"/>
      <c r="U56" s="4"/>
      <c r="V56" s="4"/>
      <c r="W56" s="4"/>
      <c r="X56" s="4" t="s">
        <v>1726</v>
      </c>
      <c r="Y56" s="4" t="s">
        <v>1727</v>
      </c>
      <c r="Z56" s="4" t="s">
        <v>1728</v>
      </c>
      <c r="AA56" s="4"/>
      <c r="AB56" s="4"/>
      <c r="AC56" s="4"/>
      <c r="AD56" s="4"/>
      <c r="AE56" s="8"/>
      <c r="AF56" s="4"/>
      <c r="AG56" s="4"/>
      <c r="AH56" s="1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8"/>
      <c r="AX56" s="8"/>
      <c r="AY56" s="8"/>
      <c r="AZ56" s="8"/>
      <c r="BA56" s="12"/>
      <c r="BB56" s="8"/>
      <c r="BC56" s="4"/>
      <c r="BD56" s="4" t="s">
        <v>1657</v>
      </c>
      <c r="BE56" s="8"/>
      <c r="BF56" s="8"/>
      <c r="BG56" s="8"/>
      <c r="BH56" s="8"/>
      <c r="BI56" s="8"/>
      <c r="BJ56" s="8"/>
      <c r="BK56" s="8"/>
      <c r="BL56" s="4" t="str">
        <f t="shared" si="3"/>
        <v/>
      </c>
      <c r="BM56" s="8" t="str">
        <f t="shared" si="4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s="8" t="s">
        <v>1651</v>
      </c>
      <c r="B57" s="8" t="s">
        <v>1460</v>
      </c>
      <c r="C57" s="15" t="s">
        <v>1460</v>
      </c>
      <c r="D57" s="15" t="str">
        <f t="shared" si="0"/>
        <v/>
      </c>
      <c r="E57" s="15" t="str">
        <f>IF($A57="","",IF($A57="Neuron",IF(OR(AND($R57&lt;&gt;"",LOWER(TRIM($R57))&lt;&gt;"n/a",COUNTIF($S$2:$S$528,$R57)&gt;1),AND($T57&lt;&gt;"",LOWER(TRIM($T57))&lt;&gt;"n/a",COUNTIF($T$2:$T$528,$T57)&gt;1),AND($W57&lt;&gt;"",LOWER(TRIM($W57))&lt;&gt;"n/a",COUNTIF($W$2:$W$528,$W57)&gt;1)),"Yes","No"),IF($A57="Cybernet",IF(OR(AND($Y57&lt;&gt;"",LOWER(TRIM($Y57))&lt;&gt;"n/a",COUNTIF($Y$2:$Y$528,$Y57)&gt;1),AND($Z57&lt;&gt;"",LOWER(TRIM($Z57))&lt;&gt;"n/a",COUNTIF($Z$2:$Z$528,$Z57)&gt;1)),"Yes","No"),IF(AND($AL57&lt;&gt;"",LOWER(TRIM($AL57))&lt;&gt;"n/a",COUNTIF($AL$2:$AL$528,$AL57)&gt;1),"Yes","No"))))</f>
        <v>No</v>
      </c>
      <c r="F57" t="str">
        <f>IF($B57&lt;&gt;"Yes","",
IF($A57="Neuron",
IF(OR(
AND($R57&lt;&gt;"",LOWER(TRIM($R57))&lt;&gt;"n/a",COUNTIFS($B$2:$B$528,"Yes",$A$2:$A$528,"Neuron",$S$2:$S$528,$R57)&gt;1),
AND($T57&lt;&gt;"",LOWER(TRIM($T57))&lt;&gt;"n/a",COUNTIFS($B$2:$B$528,"Yes",$A$2:$A$528,"Neuron",$T$2:$T$528,$T57)&gt;1),
AND($W57&lt;&gt;"",LOWER(TRIM($W57))&lt;&gt;"n/a",COUNTIFS($B$2:$B$528,"Yes",$A$2:$A$528,"Neuron",$W$2:$W$528,$W57)&gt;1)
),"Yes","No"),
IF($A57="Cybernet",
IF(OR(
AND($Y57&lt;&gt;"",LOWER(TRIM($Y57))&lt;&gt;"n/a",COUNTIFS($B$2:$B$528,"Yes",$A$2:$A$528,"Cybernet",$Y$2:$Y$528,$Y57)&gt;1),
AND($Z57&lt;&gt;"",LOWER(TRIM($Z57))&lt;&gt;"n/a",COUNTIFS($B$2:$B$528,"Yes",$A$2:$A$528,"Cybernet",$Z$2:$Z$528,$Z57)&gt;1)
),"Yes","No"),
IF(AND($AL57&lt;&gt;"",LOWER(TRIM($AL57))&lt;&gt;"n/a"),
IF(COUNTIFS($B$2:$B$528,"Yes",$A$2:$A$528,$A57,$AL$2:$AL$528,$AL57)&gt;1,"Yes","No"),
"No")
)
)
)</f>
        <v/>
      </c>
      <c r="G57" s="4" t="s">
        <v>1698</v>
      </c>
      <c r="H57" s="4" t="s">
        <v>1717</v>
      </c>
      <c r="I57" s="4"/>
      <c r="J57" s="2" t="s">
        <v>1441</v>
      </c>
      <c r="K57" s="2" t="s">
        <v>1460</v>
      </c>
      <c r="L57" s="2" t="s">
        <v>1460</v>
      </c>
      <c r="M57" s="2"/>
      <c r="N57" s="4"/>
      <c r="O57" s="4"/>
      <c r="P57" s="4"/>
      <c r="Q57" s="4"/>
      <c r="R57" s="4" t="s">
        <v>1729</v>
      </c>
      <c r="T57" s="4"/>
      <c r="U57" s="4"/>
      <c r="V57" s="4"/>
      <c r="W57" s="4"/>
      <c r="X57" s="4"/>
      <c r="Y57" s="4" t="s">
        <v>1730</v>
      </c>
      <c r="Z57" s="4" t="s">
        <v>1731</v>
      </c>
      <c r="AA57" s="4"/>
      <c r="AB57" s="4"/>
      <c r="AC57" s="4"/>
      <c r="AD57" s="4"/>
      <c r="AE57" s="8"/>
      <c r="AF57" s="4"/>
      <c r="AG57" s="4"/>
      <c r="AH57" s="1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8"/>
      <c r="AX57" s="8"/>
      <c r="AY57" s="8"/>
      <c r="AZ57" s="8"/>
      <c r="BA57" s="12"/>
      <c r="BB57" s="8"/>
      <c r="BC57" s="4"/>
      <c r="BD57" s="4" t="s">
        <v>1657</v>
      </c>
      <c r="BE57" s="8"/>
      <c r="BF57" s="8"/>
      <c r="BG57" s="8"/>
      <c r="BH57" s="8"/>
      <c r="BI57" s="8"/>
      <c r="BJ57" s="8"/>
      <c r="BK57" s="8"/>
      <c r="BL57" s="4" t="str">
        <f t="shared" si="3"/>
        <v/>
      </c>
      <c r="BM57" s="8" t="str">
        <f t="shared" si="4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s="8" t="s">
        <v>1651</v>
      </c>
      <c r="B58" s="8" t="s">
        <v>1460</v>
      </c>
      <c r="C58" s="15" t="s">
        <v>1460</v>
      </c>
      <c r="D58" s="15" t="str">
        <f t="shared" si="0"/>
        <v/>
      </c>
      <c r="E58" s="15" t="str">
        <f>IF($A58="","",IF($A58="Neuron",IF(OR(AND($R58&lt;&gt;"",LOWER(TRIM($R58))&lt;&gt;"n/a",COUNTIF($S$2:$S$528,$R58)&gt;1),AND($T58&lt;&gt;"",LOWER(TRIM($T58))&lt;&gt;"n/a",COUNTIF($T$2:$T$528,$T58)&gt;1),AND($W58&lt;&gt;"",LOWER(TRIM($W58))&lt;&gt;"n/a",COUNTIF($W$2:$W$528,$W58)&gt;1)),"Yes","No"),IF($A58="Cybernet",IF(OR(AND($Y58&lt;&gt;"",LOWER(TRIM($Y58))&lt;&gt;"n/a",COUNTIF($Y$2:$Y$528,$Y58)&gt;1),AND($Z58&lt;&gt;"",LOWER(TRIM($Z58))&lt;&gt;"n/a",COUNTIF($Z$2:$Z$528,$Z58)&gt;1)),"Yes","No"),IF(AND($AL58&lt;&gt;"",LOWER(TRIM($AL58))&lt;&gt;"n/a",COUNTIF($AL$2:$AL$528,$AL58)&gt;1),"Yes","No"))))</f>
        <v>No</v>
      </c>
      <c r="F58" t="str">
        <f>IF($B58&lt;&gt;"Yes","",
IF($A58="Neuron",
IF(OR(
AND($R58&lt;&gt;"",LOWER(TRIM($R58))&lt;&gt;"n/a",COUNTIFS($B$2:$B$528,"Yes",$A$2:$A$528,"Neuron",$S$2:$S$528,$R58)&gt;1),
AND($T58&lt;&gt;"",LOWER(TRIM($T58))&lt;&gt;"n/a",COUNTIFS($B$2:$B$528,"Yes",$A$2:$A$528,"Neuron",$T$2:$T$528,$T58)&gt;1),
AND($W58&lt;&gt;"",LOWER(TRIM($W58))&lt;&gt;"n/a",COUNTIFS($B$2:$B$528,"Yes",$A$2:$A$528,"Neuron",$W$2:$W$528,$W58)&gt;1)
),"Yes","No"),
IF($A58="Cybernet",
IF(OR(
AND($Y58&lt;&gt;"",LOWER(TRIM($Y58))&lt;&gt;"n/a",COUNTIFS($B$2:$B$528,"Yes",$A$2:$A$528,"Cybernet",$Y$2:$Y$528,$Y58)&gt;1),
AND($Z58&lt;&gt;"",LOWER(TRIM($Z58))&lt;&gt;"n/a",COUNTIFS($B$2:$B$528,"Yes",$A$2:$A$528,"Cybernet",$Z$2:$Z$528,$Z58)&gt;1)
),"Yes","No"),
IF(AND($AL58&lt;&gt;"",LOWER(TRIM($AL58))&lt;&gt;"n/a"),
IF(COUNTIFS($B$2:$B$528,"Yes",$A$2:$A$528,$A58,$AL$2:$AL$528,$AL58)&gt;1,"Yes","No"),
"No")
)
)
)</f>
        <v/>
      </c>
      <c r="G58" s="4" t="s">
        <v>1698</v>
      </c>
      <c r="H58" s="4" t="s">
        <v>1717</v>
      </c>
      <c r="I58" s="4"/>
      <c r="J58" s="2" t="s">
        <v>1441</v>
      </c>
      <c r="K58" s="2" t="s">
        <v>1460</v>
      </c>
      <c r="L58" s="2" t="s">
        <v>1460</v>
      </c>
      <c r="M58" s="2"/>
      <c r="N58" s="4"/>
      <c r="O58" s="4"/>
      <c r="P58" s="4"/>
      <c r="Q58" s="4"/>
      <c r="R58" s="4" t="s">
        <v>1732</v>
      </c>
      <c r="T58" s="4"/>
      <c r="U58" s="4"/>
      <c r="V58" s="4"/>
      <c r="W58" s="4"/>
      <c r="X58" s="4"/>
      <c r="Y58" s="4" t="s">
        <v>1733</v>
      </c>
      <c r="Z58" s="4" t="s">
        <v>1734</v>
      </c>
      <c r="AA58" s="4"/>
      <c r="AB58" s="4"/>
      <c r="AC58" s="4"/>
      <c r="AD58" s="4"/>
      <c r="AE58" s="8"/>
      <c r="AF58" s="4"/>
      <c r="AG58" s="4"/>
      <c r="AH58" s="1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8"/>
      <c r="AX58" s="8"/>
      <c r="AY58" s="8"/>
      <c r="AZ58" s="8"/>
      <c r="BA58" s="12"/>
      <c r="BB58" s="8"/>
      <c r="BC58" s="4"/>
      <c r="BD58" s="4" t="s">
        <v>1657</v>
      </c>
      <c r="BE58" s="8"/>
      <c r="BF58" s="8"/>
      <c r="BG58" s="8"/>
      <c r="BH58" s="8"/>
      <c r="BI58" s="8"/>
      <c r="BJ58" s="8"/>
      <c r="BK58" s="8"/>
      <c r="BL58" s="4" t="str">
        <f t="shared" si="3"/>
        <v/>
      </c>
      <c r="BM58" s="8" t="str">
        <f t="shared" si="4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s="8" t="s">
        <v>1651</v>
      </c>
      <c r="B59" s="8" t="s">
        <v>1460</v>
      </c>
      <c r="C59" s="15" t="s">
        <v>1460</v>
      </c>
      <c r="D59" s="15" t="str">
        <f t="shared" si="0"/>
        <v/>
      </c>
      <c r="E59" s="15" t="str">
        <f>IF($A59="","",IF($A59="Neuron",IF(OR(AND($R59&lt;&gt;"",LOWER(TRIM($R59))&lt;&gt;"n/a",COUNTIF($S$2:$S$528,$R59)&gt;1),AND($T59&lt;&gt;"",LOWER(TRIM($T59))&lt;&gt;"n/a",COUNTIF($T$2:$T$528,$T59)&gt;1),AND($W59&lt;&gt;"",LOWER(TRIM($W59))&lt;&gt;"n/a",COUNTIF($W$2:$W$528,$W59)&gt;1)),"Yes","No"),IF($A59="Cybernet",IF(OR(AND($Y59&lt;&gt;"",LOWER(TRIM($Y59))&lt;&gt;"n/a",COUNTIF($Y$2:$Y$528,$Y59)&gt;1),AND($Z59&lt;&gt;"",LOWER(TRIM($Z59))&lt;&gt;"n/a",COUNTIF($Z$2:$Z$528,$Z59)&gt;1)),"Yes","No"),IF(AND($AL59&lt;&gt;"",LOWER(TRIM($AL59))&lt;&gt;"n/a",COUNTIF($AL$2:$AL$528,$AL59)&gt;1),"Yes","No"))))</f>
        <v>No</v>
      </c>
      <c r="F59" t="str">
        <f>IF($B59&lt;&gt;"Yes","",
IF($A59="Neuron",
IF(OR(
AND($R59&lt;&gt;"",LOWER(TRIM($R59))&lt;&gt;"n/a",COUNTIFS($B$2:$B$528,"Yes",$A$2:$A$528,"Neuron",$S$2:$S$528,$R59)&gt;1),
AND($T59&lt;&gt;"",LOWER(TRIM($T59))&lt;&gt;"n/a",COUNTIFS($B$2:$B$528,"Yes",$A$2:$A$528,"Neuron",$T$2:$T$528,$T59)&gt;1),
AND($W59&lt;&gt;"",LOWER(TRIM($W59))&lt;&gt;"n/a",COUNTIFS($B$2:$B$528,"Yes",$A$2:$A$528,"Neuron",$W$2:$W$528,$W59)&gt;1)
),"Yes","No"),
IF($A59="Cybernet",
IF(OR(
AND($Y59&lt;&gt;"",LOWER(TRIM($Y59))&lt;&gt;"n/a",COUNTIFS($B$2:$B$528,"Yes",$A$2:$A$528,"Cybernet",$Y$2:$Y$528,$Y59)&gt;1),
AND($Z59&lt;&gt;"",LOWER(TRIM($Z59))&lt;&gt;"n/a",COUNTIFS($B$2:$B$528,"Yes",$A$2:$A$528,"Cybernet",$Z$2:$Z$528,$Z59)&gt;1)
),"Yes","No"),
IF(AND($AL59&lt;&gt;"",LOWER(TRIM($AL59))&lt;&gt;"n/a"),
IF(COUNTIFS($B$2:$B$528,"Yes",$A$2:$A$528,$A59,$AL$2:$AL$528,$AL59)&gt;1,"Yes","No"),
"No")
)
)
)</f>
        <v/>
      </c>
      <c r="G59" s="4" t="s">
        <v>1698</v>
      </c>
      <c r="H59" s="4" t="s">
        <v>1717</v>
      </c>
      <c r="I59" s="4"/>
      <c r="J59" s="2" t="s">
        <v>1441</v>
      </c>
      <c r="K59" s="2" t="s">
        <v>1460</v>
      </c>
      <c r="L59" s="2" t="s">
        <v>1460</v>
      </c>
      <c r="M59" s="2"/>
      <c r="N59" s="4"/>
      <c r="O59" s="4"/>
      <c r="P59" s="4"/>
      <c r="Q59" s="4"/>
      <c r="R59" s="4" t="s">
        <v>1735</v>
      </c>
      <c r="T59" s="4"/>
      <c r="U59" s="4"/>
      <c r="V59" s="4"/>
      <c r="W59" s="4"/>
      <c r="X59" s="4"/>
      <c r="Y59" s="4" t="s">
        <v>1736</v>
      </c>
      <c r="Z59" s="4" t="s">
        <v>1737</v>
      </c>
      <c r="AA59" s="4"/>
      <c r="AB59" s="4"/>
      <c r="AC59" s="4"/>
      <c r="AD59" s="4"/>
      <c r="AE59" s="8"/>
      <c r="AF59" s="4"/>
      <c r="AG59" s="4"/>
      <c r="AH59" s="1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8"/>
      <c r="AX59" s="8"/>
      <c r="AY59" s="8"/>
      <c r="AZ59" s="8"/>
      <c r="BA59" s="12"/>
      <c r="BB59" s="8"/>
      <c r="BC59" s="4"/>
      <c r="BD59" s="4" t="s">
        <v>1657</v>
      </c>
      <c r="BE59" s="8"/>
      <c r="BF59" s="8"/>
      <c r="BG59" s="8"/>
      <c r="BH59" s="8"/>
      <c r="BI59" s="8"/>
      <c r="BJ59" s="8"/>
      <c r="BK59" s="8"/>
      <c r="BL59" s="4" t="str">
        <f t="shared" si="3"/>
        <v/>
      </c>
      <c r="BM59" s="8" t="str">
        <f t="shared" si="4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s="8" t="s">
        <v>1651</v>
      </c>
      <c r="B60" s="8" t="s">
        <v>1460</v>
      </c>
      <c r="C60" s="15" t="s">
        <v>1460</v>
      </c>
      <c r="D60" s="15" t="str">
        <f t="shared" si="0"/>
        <v/>
      </c>
      <c r="E60" s="15" t="str">
        <f>IF($A60="","",IF($A60="Neuron",IF(OR(AND($R60&lt;&gt;"",LOWER(TRIM($R60))&lt;&gt;"n/a",COUNTIF($S$2:$S$528,$R60)&gt;1),AND($T60&lt;&gt;"",LOWER(TRIM($T60))&lt;&gt;"n/a",COUNTIF($T$2:$T$528,$T60)&gt;1),AND($W60&lt;&gt;"",LOWER(TRIM($W60))&lt;&gt;"n/a",COUNTIF($W$2:$W$528,$W60)&gt;1)),"Yes","No"),IF($A60="Cybernet",IF(OR(AND($Y60&lt;&gt;"",LOWER(TRIM($Y60))&lt;&gt;"n/a",COUNTIF($Y$2:$Y$528,$Y60)&gt;1),AND($Z60&lt;&gt;"",LOWER(TRIM($Z60))&lt;&gt;"n/a",COUNTIF($Z$2:$Z$528,$Z60)&gt;1)),"Yes","No"),IF(AND($AL60&lt;&gt;"",LOWER(TRIM($AL60))&lt;&gt;"n/a",COUNTIF($AL$2:$AL$528,$AL60)&gt;1),"Yes","No"))))</f>
        <v>No</v>
      </c>
      <c r="F60" t="str">
        <f>IF($B60&lt;&gt;"Yes","",
IF($A60="Neuron",
IF(OR(
AND($R60&lt;&gt;"",LOWER(TRIM($R60))&lt;&gt;"n/a",COUNTIFS($B$2:$B$528,"Yes",$A$2:$A$528,"Neuron",$S$2:$S$528,$R60)&gt;1),
AND($T60&lt;&gt;"",LOWER(TRIM($T60))&lt;&gt;"n/a",COUNTIFS($B$2:$B$528,"Yes",$A$2:$A$528,"Neuron",$T$2:$T$528,$T60)&gt;1),
AND($W60&lt;&gt;"",LOWER(TRIM($W60))&lt;&gt;"n/a",COUNTIFS($B$2:$B$528,"Yes",$A$2:$A$528,"Neuron",$W$2:$W$528,$W60)&gt;1)
),"Yes","No"),
IF($A60="Cybernet",
IF(OR(
AND($Y60&lt;&gt;"",LOWER(TRIM($Y60))&lt;&gt;"n/a",COUNTIFS($B$2:$B$528,"Yes",$A$2:$A$528,"Cybernet",$Y$2:$Y$528,$Y60)&gt;1),
AND($Z60&lt;&gt;"",LOWER(TRIM($Z60))&lt;&gt;"n/a",COUNTIFS($B$2:$B$528,"Yes",$A$2:$A$528,"Cybernet",$Z$2:$Z$528,$Z60)&gt;1)
),"Yes","No"),
IF(AND($AL60&lt;&gt;"",LOWER(TRIM($AL60))&lt;&gt;"n/a"),
IF(COUNTIFS($B$2:$B$528,"Yes",$A$2:$A$528,$A60,$AL$2:$AL$528,$AL60)&gt;1,"Yes","No"),
"No")
)
)
)</f>
        <v/>
      </c>
      <c r="G60" s="4" t="s">
        <v>1698</v>
      </c>
      <c r="H60" s="4" t="s">
        <v>1717</v>
      </c>
      <c r="I60" s="4"/>
      <c r="J60" s="2" t="s">
        <v>1441</v>
      </c>
      <c r="K60" s="2" t="s">
        <v>1460</v>
      </c>
      <c r="L60" s="2" t="s">
        <v>1460</v>
      </c>
      <c r="M60" s="2"/>
      <c r="N60" s="4"/>
      <c r="O60" s="4"/>
      <c r="P60" s="4"/>
      <c r="Q60" s="4"/>
      <c r="R60" s="4" t="s">
        <v>1738</v>
      </c>
      <c r="T60" s="4"/>
      <c r="U60" s="4"/>
      <c r="V60" s="4"/>
      <c r="W60" s="4"/>
      <c r="X60" s="4"/>
      <c r="Y60" s="4" t="s">
        <v>1739</v>
      </c>
      <c r="Z60" s="4" t="s">
        <v>1740</v>
      </c>
      <c r="AA60" s="4"/>
      <c r="AB60" s="4"/>
      <c r="AC60" s="4"/>
      <c r="AD60" s="4"/>
      <c r="AE60" s="8"/>
      <c r="AF60" s="4"/>
      <c r="AG60" s="4"/>
      <c r="AH60" s="1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8"/>
      <c r="AX60" s="8"/>
      <c r="AY60" s="8"/>
      <c r="AZ60" s="8"/>
      <c r="BA60" s="12"/>
      <c r="BB60" s="8"/>
      <c r="BC60" s="4"/>
      <c r="BD60" s="4" t="s">
        <v>1657</v>
      </c>
      <c r="BE60" s="8"/>
      <c r="BF60" s="8"/>
      <c r="BG60" s="8"/>
      <c r="BH60" s="8"/>
      <c r="BI60" s="8"/>
      <c r="BJ60" s="8"/>
      <c r="BK60" s="8"/>
      <c r="BL60" s="4" t="str">
        <f t="shared" si="3"/>
        <v/>
      </c>
      <c r="BM60" s="8" t="str">
        <f t="shared" si="4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s="8" t="s">
        <v>1651</v>
      </c>
      <c r="B61" s="8" t="s">
        <v>1460</v>
      </c>
      <c r="C61" s="15" t="s">
        <v>1460</v>
      </c>
      <c r="D61" s="15" t="str">
        <f t="shared" si="0"/>
        <v/>
      </c>
      <c r="E61" s="15" t="str">
        <f>IF($A61="","",IF($A61="Neuron",IF(OR(AND($R61&lt;&gt;"",LOWER(TRIM($R61))&lt;&gt;"n/a",COUNTIF($S$2:$S$528,$R61)&gt;1),AND($T61&lt;&gt;"",LOWER(TRIM($T61))&lt;&gt;"n/a",COUNTIF($T$2:$T$528,$T61)&gt;1),AND($W61&lt;&gt;"",LOWER(TRIM($W61))&lt;&gt;"n/a",COUNTIF($W$2:$W$528,$W61)&gt;1)),"Yes","No"),IF($A61="Cybernet",IF(OR(AND($Y61&lt;&gt;"",LOWER(TRIM($Y61))&lt;&gt;"n/a",COUNTIF($Y$2:$Y$528,$Y61)&gt;1),AND($Z61&lt;&gt;"",LOWER(TRIM($Z61))&lt;&gt;"n/a",COUNTIF($Z$2:$Z$528,$Z61)&gt;1)),"Yes","No"),IF(AND($AL61&lt;&gt;"",LOWER(TRIM($AL61))&lt;&gt;"n/a",COUNTIF($AL$2:$AL$528,$AL61)&gt;1),"Yes","No"))))</f>
        <v>No</v>
      </c>
      <c r="F61" t="str">
        <f>IF($B61&lt;&gt;"Yes","",
IF($A61="Neuron",
IF(OR(
AND($R61&lt;&gt;"",LOWER(TRIM($R61))&lt;&gt;"n/a",COUNTIFS($B$2:$B$528,"Yes",$A$2:$A$528,"Neuron",$S$2:$S$528,$R61)&gt;1),
AND($T61&lt;&gt;"",LOWER(TRIM($T61))&lt;&gt;"n/a",COUNTIFS($B$2:$B$528,"Yes",$A$2:$A$528,"Neuron",$T$2:$T$528,$T61)&gt;1),
AND($W61&lt;&gt;"",LOWER(TRIM($W61))&lt;&gt;"n/a",COUNTIFS($B$2:$B$528,"Yes",$A$2:$A$528,"Neuron",$W$2:$W$528,$W61)&gt;1)
),"Yes","No"),
IF($A61="Cybernet",
IF(OR(
AND($Y61&lt;&gt;"",LOWER(TRIM($Y61))&lt;&gt;"n/a",COUNTIFS($B$2:$B$528,"Yes",$A$2:$A$528,"Cybernet",$Y$2:$Y$528,$Y61)&gt;1),
AND($Z61&lt;&gt;"",LOWER(TRIM($Z61))&lt;&gt;"n/a",COUNTIFS($B$2:$B$528,"Yes",$A$2:$A$528,"Cybernet",$Z$2:$Z$528,$Z61)&gt;1)
),"Yes","No"),
IF(AND($AL61&lt;&gt;"",LOWER(TRIM($AL61))&lt;&gt;"n/a"),
IF(COUNTIFS($B$2:$B$528,"Yes",$A$2:$A$528,$A61,$AL$2:$AL$528,$AL61)&gt;1,"Yes","No"),
"No")
)
)
)</f>
        <v/>
      </c>
      <c r="G61" s="4" t="s">
        <v>1698</v>
      </c>
      <c r="H61" s="4" t="s">
        <v>1717</v>
      </c>
      <c r="I61" s="4"/>
      <c r="J61" s="2" t="s">
        <v>1441</v>
      </c>
      <c r="K61" s="2" t="s">
        <v>1460</v>
      </c>
      <c r="L61" s="2" t="s">
        <v>1460</v>
      </c>
      <c r="M61" s="2"/>
      <c r="N61" s="4"/>
      <c r="O61" s="4"/>
      <c r="P61" s="4"/>
      <c r="Q61" s="4"/>
      <c r="R61" s="4" t="s">
        <v>1741</v>
      </c>
      <c r="T61" s="4"/>
      <c r="U61" s="4"/>
      <c r="V61" s="4"/>
      <c r="W61" s="4"/>
      <c r="X61" s="4"/>
      <c r="Y61" s="4" t="s">
        <v>1742</v>
      </c>
      <c r="Z61" s="4" t="s">
        <v>1743</v>
      </c>
      <c r="AA61" s="4"/>
      <c r="AB61" s="4"/>
      <c r="AC61" s="4"/>
      <c r="AD61" s="4"/>
      <c r="AE61" s="8"/>
      <c r="AF61" s="4"/>
      <c r="AG61" s="4"/>
      <c r="AH61" s="1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8"/>
      <c r="AX61" s="8"/>
      <c r="AY61" s="8"/>
      <c r="AZ61" s="8"/>
      <c r="BA61" s="12"/>
      <c r="BB61" s="8"/>
      <c r="BC61" s="4"/>
      <c r="BD61" s="4" t="s">
        <v>1657</v>
      </c>
      <c r="BE61" s="8"/>
      <c r="BF61" s="8"/>
      <c r="BG61" s="8"/>
      <c r="BH61" s="8"/>
      <c r="BI61" s="8"/>
      <c r="BJ61" s="8"/>
      <c r="BK61" s="8"/>
      <c r="BL61" s="4" t="str">
        <f t="shared" si="3"/>
        <v/>
      </c>
      <c r="BM61" s="8" t="str">
        <f t="shared" si="4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s="8" t="s">
        <v>1651</v>
      </c>
      <c r="B62" s="8" t="s">
        <v>1460</v>
      </c>
      <c r="C62" s="15" t="s">
        <v>1460</v>
      </c>
      <c r="D62" s="15" t="str">
        <f t="shared" si="0"/>
        <v/>
      </c>
      <c r="E62" s="15" t="str">
        <f>IF($A62="","",IF($A62="Neuron",IF(OR(AND($R62&lt;&gt;"",LOWER(TRIM($R62))&lt;&gt;"n/a",COUNTIF($S$2:$S$528,$R62)&gt;1),AND($T62&lt;&gt;"",LOWER(TRIM($T62))&lt;&gt;"n/a",COUNTIF($T$2:$T$528,$T62)&gt;1),AND($W62&lt;&gt;"",LOWER(TRIM($W62))&lt;&gt;"n/a",COUNTIF($W$2:$W$528,$W62)&gt;1)),"Yes","No"),IF($A62="Cybernet",IF(OR(AND($Y62&lt;&gt;"",LOWER(TRIM($Y62))&lt;&gt;"n/a",COUNTIF($Y$2:$Y$528,$Y62)&gt;1),AND($Z62&lt;&gt;"",LOWER(TRIM($Z62))&lt;&gt;"n/a",COUNTIF($Z$2:$Z$528,$Z62)&gt;1)),"Yes","No"),IF(AND($AL62&lt;&gt;"",LOWER(TRIM($AL62))&lt;&gt;"n/a",COUNTIF($AL$2:$AL$528,$AL62)&gt;1),"Yes","No"))))</f>
        <v>No</v>
      </c>
      <c r="F62" t="str">
        <f>IF($B62&lt;&gt;"Yes","",
IF($A62="Neuron",
IF(OR(
AND($R62&lt;&gt;"",LOWER(TRIM($R62))&lt;&gt;"n/a",COUNTIFS($B$2:$B$528,"Yes",$A$2:$A$528,"Neuron",$S$2:$S$528,$R62)&gt;1),
AND($T62&lt;&gt;"",LOWER(TRIM($T62))&lt;&gt;"n/a",COUNTIFS($B$2:$B$528,"Yes",$A$2:$A$528,"Neuron",$T$2:$T$528,$T62)&gt;1),
AND($W62&lt;&gt;"",LOWER(TRIM($W62))&lt;&gt;"n/a",COUNTIFS($B$2:$B$528,"Yes",$A$2:$A$528,"Neuron",$W$2:$W$528,$W62)&gt;1)
),"Yes","No"),
IF($A62="Cybernet",
IF(OR(
AND($Y62&lt;&gt;"",LOWER(TRIM($Y62))&lt;&gt;"n/a",COUNTIFS($B$2:$B$528,"Yes",$A$2:$A$528,"Cybernet",$Y$2:$Y$528,$Y62)&gt;1),
AND($Z62&lt;&gt;"",LOWER(TRIM($Z62))&lt;&gt;"n/a",COUNTIFS($B$2:$B$528,"Yes",$A$2:$A$528,"Cybernet",$Z$2:$Z$528,$Z62)&gt;1)
),"Yes","No"),
IF(AND($AL62&lt;&gt;"",LOWER(TRIM($AL62))&lt;&gt;"n/a"),
IF(COUNTIFS($B$2:$B$528,"Yes",$A$2:$A$528,$A62,$AL$2:$AL$528,$AL62)&gt;1,"Yes","No"),
"No")
)
)
)</f>
        <v/>
      </c>
      <c r="G62" s="4" t="s">
        <v>1698</v>
      </c>
      <c r="H62" s="4" t="s">
        <v>1717</v>
      </c>
      <c r="I62" s="4"/>
      <c r="J62" s="2" t="s">
        <v>1441</v>
      </c>
      <c r="K62" s="2" t="s">
        <v>1460</v>
      </c>
      <c r="L62" s="2" t="s">
        <v>1460</v>
      </c>
      <c r="M62" s="2"/>
      <c r="N62" s="4"/>
      <c r="O62" s="4"/>
      <c r="P62" s="4"/>
      <c r="Q62" s="4"/>
      <c r="R62" s="4" t="s">
        <v>1744</v>
      </c>
      <c r="T62" s="4"/>
      <c r="U62" s="4"/>
      <c r="V62" s="4"/>
      <c r="W62" s="4"/>
      <c r="X62" s="4"/>
      <c r="Y62" s="4" t="s">
        <v>1745</v>
      </c>
      <c r="Z62" s="4" t="s">
        <v>1746</v>
      </c>
      <c r="AA62" s="4"/>
      <c r="AB62" s="4"/>
      <c r="AC62" s="4"/>
      <c r="AD62" s="4"/>
      <c r="AE62" s="8"/>
      <c r="AF62" s="4"/>
      <c r="AG62" s="4"/>
      <c r="AH62" s="1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8"/>
      <c r="AX62" s="8"/>
      <c r="AY62" s="8"/>
      <c r="AZ62" s="8"/>
      <c r="BA62" s="12"/>
      <c r="BB62" s="8"/>
      <c r="BC62" s="4"/>
      <c r="BD62" s="4" t="s">
        <v>1657</v>
      </c>
      <c r="BE62" s="8"/>
      <c r="BF62" s="8"/>
      <c r="BG62" s="8"/>
      <c r="BH62" s="8"/>
      <c r="BI62" s="8"/>
      <c r="BJ62" s="8"/>
      <c r="BK62" s="8"/>
      <c r="BL62" s="4" t="str">
        <f t="shared" si="3"/>
        <v/>
      </c>
      <c r="BM62" s="8" t="str">
        <f t="shared" si="4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s="8" t="s">
        <v>1651</v>
      </c>
      <c r="B63" s="8" t="s">
        <v>1460</v>
      </c>
      <c r="C63" s="15" t="s">
        <v>1460</v>
      </c>
      <c r="D63" s="15" t="str">
        <f t="shared" si="0"/>
        <v/>
      </c>
      <c r="E63" s="15" t="str">
        <f>IF($A63="","",IF($A63="Neuron",IF(OR(AND($R63&lt;&gt;"",LOWER(TRIM($R63))&lt;&gt;"n/a",COUNTIF($S$2:$S$528,$R63)&gt;1),AND($T63&lt;&gt;"",LOWER(TRIM($T63))&lt;&gt;"n/a",COUNTIF($T$2:$T$528,$T63)&gt;1),AND($W63&lt;&gt;"",LOWER(TRIM($W63))&lt;&gt;"n/a",COUNTIF($W$2:$W$528,$W63)&gt;1)),"Yes","No"),IF($A63="Cybernet",IF(OR(AND($Y63&lt;&gt;"",LOWER(TRIM($Y63))&lt;&gt;"n/a",COUNTIF($Y$2:$Y$528,$Y63)&gt;1),AND($Z63&lt;&gt;"",LOWER(TRIM($Z63))&lt;&gt;"n/a",COUNTIF($Z$2:$Z$528,$Z63)&gt;1)),"Yes","No"),IF(AND($AL63&lt;&gt;"",LOWER(TRIM($AL63))&lt;&gt;"n/a",COUNTIF($AL$2:$AL$528,$AL63)&gt;1),"Yes","No"))))</f>
        <v>No</v>
      </c>
      <c r="F63" t="str">
        <f>IF($B63&lt;&gt;"Yes","",
IF($A63="Neuron",
IF(OR(
AND($R63&lt;&gt;"",LOWER(TRIM($R63))&lt;&gt;"n/a",COUNTIFS($B$2:$B$528,"Yes",$A$2:$A$528,"Neuron",$S$2:$S$528,$R63)&gt;1),
AND($T63&lt;&gt;"",LOWER(TRIM($T63))&lt;&gt;"n/a",COUNTIFS($B$2:$B$528,"Yes",$A$2:$A$528,"Neuron",$T$2:$T$528,$T63)&gt;1),
AND($W63&lt;&gt;"",LOWER(TRIM($W63))&lt;&gt;"n/a",COUNTIFS($B$2:$B$528,"Yes",$A$2:$A$528,"Neuron",$W$2:$W$528,$W63)&gt;1)
),"Yes","No"),
IF($A63="Cybernet",
IF(OR(
AND($Y63&lt;&gt;"",LOWER(TRIM($Y63))&lt;&gt;"n/a",COUNTIFS($B$2:$B$528,"Yes",$A$2:$A$528,"Cybernet",$Y$2:$Y$528,$Y63)&gt;1),
AND($Z63&lt;&gt;"",LOWER(TRIM($Z63))&lt;&gt;"n/a",COUNTIFS($B$2:$B$528,"Yes",$A$2:$A$528,"Cybernet",$Z$2:$Z$528,$Z63)&gt;1)
),"Yes","No"),
IF(AND($AL63&lt;&gt;"",LOWER(TRIM($AL63))&lt;&gt;"n/a"),
IF(COUNTIFS($B$2:$B$528,"Yes",$A$2:$A$528,$A63,$AL$2:$AL$528,$AL63)&gt;1,"Yes","No"),
"No")
)
)
)</f>
        <v/>
      </c>
      <c r="G63" s="4" t="s">
        <v>1698</v>
      </c>
      <c r="H63" s="4" t="s">
        <v>1717</v>
      </c>
      <c r="I63" s="4"/>
      <c r="J63" s="2" t="s">
        <v>1441</v>
      </c>
      <c r="K63" s="2" t="s">
        <v>1460</v>
      </c>
      <c r="L63" s="2" t="s">
        <v>1460</v>
      </c>
      <c r="M63" s="2"/>
      <c r="N63" s="4"/>
      <c r="O63" s="4"/>
      <c r="P63" s="4"/>
      <c r="Q63" s="4"/>
      <c r="R63" s="4" t="s">
        <v>1747</v>
      </c>
      <c r="T63" s="4"/>
      <c r="U63" s="4"/>
      <c r="V63" s="4"/>
      <c r="W63" s="4"/>
      <c r="X63" s="4"/>
      <c r="Y63" s="4" t="s">
        <v>1748</v>
      </c>
      <c r="Z63" s="4" t="s">
        <v>1749</v>
      </c>
      <c r="AA63" s="4"/>
      <c r="AB63" s="4"/>
      <c r="AC63" s="4"/>
      <c r="AD63" s="4"/>
      <c r="AE63" s="8"/>
      <c r="AF63" s="4"/>
      <c r="AG63" s="4"/>
      <c r="AH63" s="1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8"/>
      <c r="AX63" s="8"/>
      <c r="AY63" s="8"/>
      <c r="AZ63" s="8"/>
      <c r="BA63" s="12"/>
      <c r="BB63" s="8"/>
      <c r="BC63" s="4"/>
      <c r="BD63" s="4" t="s">
        <v>1657</v>
      </c>
      <c r="BE63" s="8"/>
      <c r="BF63" s="8"/>
      <c r="BG63" s="8"/>
      <c r="BH63" s="8"/>
      <c r="BI63" s="8"/>
      <c r="BJ63" s="8"/>
      <c r="BK63" s="8"/>
      <c r="BL63" s="4" t="str">
        <f t="shared" si="3"/>
        <v/>
      </c>
      <c r="BM63" s="8" t="str">
        <f t="shared" si="4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s="8" t="s">
        <v>1651</v>
      </c>
      <c r="B64" s="8" t="s">
        <v>1460</v>
      </c>
      <c r="C64" s="15" t="s">
        <v>1460</v>
      </c>
      <c r="D64" s="15" t="str">
        <f t="shared" si="0"/>
        <v/>
      </c>
      <c r="E64" s="15" t="str">
        <f>IF($A64="","",IF($A64="Neuron",IF(OR(AND($R64&lt;&gt;"",LOWER(TRIM($R64))&lt;&gt;"n/a",COUNTIF($S$2:$S$528,$R64)&gt;1),AND($T64&lt;&gt;"",LOWER(TRIM($T64))&lt;&gt;"n/a",COUNTIF($T$2:$T$528,$T64)&gt;1),AND($W64&lt;&gt;"",LOWER(TRIM($W64))&lt;&gt;"n/a",COUNTIF($W$2:$W$528,$W64)&gt;1)),"Yes","No"),IF($A64="Cybernet",IF(OR(AND($Y64&lt;&gt;"",LOWER(TRIM($Y64))&lt;&gt;"n/a",COUNTIF($Y$2:$Y$528,$Y64)&gt;1),AND($Z64&lt;&gt;"",LOWER(TRIM($Z64))&lt;&gt;"n/a",COUNTIF($Z$2:$Z$528,$Z64)&gt;1)),"Yes","No"),IF(AND($AL64&lt;&gt;"",LOWER(TRIM($AL64))&lt;&gt;"n/a",COUNTIF($AL$2:$AL$528,$AL64)&gt;1),"Yes","No"))))</f>
        <v>No</v>
      </c>
      <c r="F64" t="str">
        <f>IF($B64&lt;&gt;"Yes","",
IF($A64="Neuron",
IF(OR(
AND($R64&lt;&gt;"",LOWER(TRIM($R64))&lt;&gt;"n/a",COUNTIFS($B$2:$B$528,"Yes",$A$2:$A$528,"Neuron",$S$2:$S$528,$R64)&gt;1),
AND($T64&lt;&gt;"",LOWER(TRIM($T64))&lt;&gt;"n/a",COUNTIFS($B$2:$B$528,"Yes",$A$2:$A$528,"Neuron",$T$2:$T$528,$T64)&gt;1),
AND($W64&lt;&gt;"",LOWER(TRIM($W64))&lt;&gt;"n/a",COUNTIFS($B$2:$B$528,"Yes",$A$2:$A$528,"Neuron",$W$2:$W$528,$W64)&gt;1)
),"Yes","No"),
IF($A64="Cybernet",
IF(OR(
AND($Y64&lt;&gt;"",LOWER(TRIM($Y64))&lt;&gt;"n/a",COUNTIFS($B$2:$B$528,"Yes",$A$2:$A$528,"Cybernet",$Y$2:$Y$528,$Y64)&gt;1),
AND($Z64&lt;&gt;"",LOWER(TRIM($Z64))&lt;&gt;"n/a",COUNTIFS($B$2:$B$528,"Yes",$A$2:$A$528,"Cybernet",$Z$2:$Z$528,$Z64)&gt;1)
),"Yes","No"),
IF(AND($AL64&lt;&gt;"",LOWER(TRIM($AL64))&lt;&gt;"n/a"),
IF(COUNTIFS($B$2:$B$528,"Yes",$A$2:$A$528,$A64,$AL$2:$AL$528,$AL64)&gt;1,"Yes","No"),
"No")
)
)
)</f>
        <v/>
      </c>
      <c r="G64" s="4" t="s">
        <v>1698</v>
      </c>
      <c r="H64" s="4" t="s">
        <v>1717</v>
      </c>
      <c r="I64" s="4"/>
      <c r="J64" s="2" t="s">
        <v>1441</v>
      </c>
      <c r="K64" s="2" t="s">
        <v>1460</v>
      </c>
      <c r="L64" s="2" t="s">
        <v>1460</v>
      </c>
      <c r="M64" s="2"/>
      <c r="N64" s="4"/>
      <c r="O64" s="4"/>
      <c r="P64" s="4"/>
      <c r="Q64" s="4"/>
      <c r="R64" s="4" t="s">
        <v>1750</v>
      </c>
      <c r="T64" s="4"/>
      <c r="U64" s="4"/>
      <c r="V64" s="4"/>
      <c r="W64" s="4"/>
      <c r="X64" s="4"/>
      <c r="Y64" s="4" t="s">
        <v>1751</v>
      </c>
      <c r="Z64" s="4" t="s">
        <v>1752</v>
      </c>
      <c r="AA64" s="4"/>
      <c r="AB64" s="4"/>
      <c r="AC64" s="4"/>
      <c r="AD64" s="4"/>
      <c r="AE64" s="8"/>
      <c r="AF64" s="4"/>
      <c r="AG64" s="4"/>
      <c r="AH64" s="1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8"/>
      <c r="AX64" s="8"/>
      <c r="AY64" s="8"/>
      <c r="AZ64" s="8"/>
      <c r="BA64" s="12"/>
      <c r="BB64" s="8"/>
      <c r="BC64" s="4"/>
      <c r="BD64" s="4" t="s">
        <v>1657</v>
      </c>
      <c r="BE64" s="8"/>
      <c r="BF64" s="8"/>
      <c r="BG64" s="8"/>
      <c r="BH64" s="8"/>
      <c r="BI64" s="8"/>
      <c r="BJ64" s="8"/>
      <c r="BK64" s="8"/>
      <c r="BL64" s="4" t="str">
        <f t="shared" si="3"/>
        <v/>
      </c>
      <c r="BM64" s="8" t="str">
        <f t="shared" si="4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s="8" t="s">
        <v>1651</v>
      </c>
      <c r="B65" s="8" t="s">
        <v>1460</v>
      </c>
      <c r="C65" s="15" t="s">
        <v>1460</v>
      </c>
      <c r="D65" s="15" t="str">
        <f t="shared" si="0"/>
        <v/>
      </c>
      <c r="E65" s="15" t="str">
        <f>IF($A65="","",IF($A65="Neuron",IF(OR(AND($R65&lt;&gt;"",LOWER(TRIM($R65))&lt;&gt;"n/a",COUNTIF($S$2:$S$528,$R65)&gt;1),AND($T65&lt;&gt;"",LOWER(TRIM($T65))&lt;&gt;"n/a",COUNTIF($T$2:$T$528,$T65)&gt;1),AND($W65&lt;&gt;"",LOWER(TRIM($W65))&lt;&gt;"n/a",COUNTIF($W$2:$W$528,$W65)&gt;1)),"Yes","No"),IF($A65="Cybernet",IF(OR(AND($Y65&lt;&gt;"",LOWER(TRIM($Y65))&lt;&gt;"n/a",COUNTIF($Y$2:$Y$528,$Y65)&gt;1),AND($Z65&lt;&gt;"",LOWER(TRIM($Z65))&lt;&gt;"n/a",COUNTIF($Z$2:$Z$528,$Z65)&gt;1)),"Yes","No"),IF(AND($AL65&lt;&gt;"",LOWER(TRIM($AL65))&lt;&gt;"n/a",COUNTIF($AL$2:$AL$528,$AL65)&gt;1),"Yes","No"))))</f>
        <v>No</v>
      </c>
      <c r="F65" t="str">
        <f>IF($B65&lt;&gt;"Yes","",
IF($A65="Neuron",
IF(OR(
AND($R65&lt;&gt;"",LOWER(TRIM($R65))&lt;&gt;"n/a",COUNTIFS($B$2:$B$528,"Yes",$A$2:$A$528,"Neuron",$S$2:$S$528,$R65)&gt;1),
AND($T65&lt;&gt;"",LOWER(TRIM($T65))&lt;&gt;"n/a",COUNTIFS($B$2:$B$528,"Yes",$A$2:$A$528,"Neuron",$T$2:$T$528,$T65)&gt;1),
AND($W65&lt;&gt;"",LOWER(TRIM($W65))&lt;&gt;"n/a",COUNTIFS($B$2:$B$528,"Yes",$A$2:$A$528,"Neuron",$W$2:$W$528,$W65)&gt;1)
),"Yes","No"),
IF($A65="Cybernet",
IF(OR(
AND($Y65&lt;&gt;"",LOWER(TRIM($Y65))&lt;&gt;"n/a",COUNTIFS($B$2:$B$528,"Yes",$A$2:$A$528,"Cybernet",$Y$2:$Y$528,$Y65)&gt;1),
AND($Z65&lt;&gt;"",LOWER(TRIM($Z65))&lt;&gt;"n/a",COUNTIFS($B$2:$B$528,"Yes",$A$2:$A$528,"Cybernet",$Z$2:$Z$528,$Z65)&gt;1)
),"Yes","No"),
IF(AND($AL65&lt;&gt;"",LOWER(TRIM($AL65))&lt;&gt;"n/a"),
IF(COUNTIFS($B$2:$B$528,"Yes",$A$2:$A$528,$A65,$AL$2:$AL$528,$AL65)&gt;1,"Yes","No"),
"No")
)
)
)</f>
        <v/>
      </c>
      <c r="G65" s="4" t="s">
        <v>1698</v>
      </c>
      <c r="H65" s="4" t="s">
        <v>1717</v>
      </c>
      <c r="I65" s="4"/>
      <c r="J65" s="2" t="s">
        <v>1441</v>
      </c>
      <c r="K65" s="2" t="s">
        <v>1460</v>
      </c>
      <c r="L65" s="2" t="s">
        <v>1460</v>
      </c>
      <c r="M65" s="2"/>
      <c r="N65" s="4"/>
      <c r="O65" s="4"/>
      <c r="P65" s="4"/>
      <c r="Q65" s="4"/>
      <c r="R65" s="4" t="s">
        <v>1753</v>
      </c>
      <c r="T65" s="4"/>
      <c r="U65" s="4"/>
      <c r="V65" s="4"/>
      <c r="W65" s="4"/>
      <c r="X65" s="4"/>
      <c r="Y65" s="4" t="s">
        <v>1754</v>
      </c>
      <c r="Z65" s="20" t="s">
        <v>1755</v>
      </c>
      <c r="AA65" s="4"/>
      <c r="AB65" s="4"/>
      <c r="AC65" s="4"/>
      <c r="AD65" s="4"/>
      <c r="AE65" s="8"/>
      <c r="AF65" s="4"/>
      <c r="AG65" s="4"/>
      <c r="AH65" s="1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8"/>
      <c r="AX65" s="8"/>
      <c r="AY65" s="8"/>
      <c r="AZ65" s="8"/>
      <c r="BA65" s="12"/>
      <c r="BB65" s="8"/>
      <c r="BC65" s="4"/>
      <c r="BD65" s="4" t="s">
        <v>1657</v>
      </c>
      <c r="BE65" s="8"/>
      <c r="BF65" s="8"/>
      <c r="BG65" s="8"/>
      <c r="BH65" s="8"/>
      <c r="BI65" s="8"/>
      <c r="BJ65" s="8"/>
      <c r="BK65" s="8"/>
      <c r="BL65" s="4" t="str">
        <f t="shared" si="3"/>
        <v/>
      </c>
      <c r="BM65" s="8" t="str">
        <f t="shared" si="4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s="8" t="s">
        <v>1651</v>
      </c>
      <c r="B66" s="8" t="s">
        <v>1460</v>
      </c>
      <c r="C66" s="15" t="s">
        <v>1460</v>
      </c>
      <c r="D66" s="15" t="str">
        <f t="shared" ref="D66:D129" si="5">IF($B66&lt;&gt;"Yes","",IF($C66="No","Yes",IF($C66="Yes","No","")))</f>
        <v/>
      </c>
      <c r="E66" s="15" t="str">
        <f>IF($A66="","",IF($A66="Neuron",IF(OR(AND($R66&lt;&gt;"",LOWER(TRIM($R66))&lt;&gt;"n/a",COUNTIF($S$2:$S$528,$R66)&gt;1),AND($T66&lt;&gt;"",LOWER(TRIM($T66))&lt;&gt;"n/a",COUNTIF($T$2:$T$528,$T66)&gt;1),AND($W66&lt;&gt;"",LOWER(TRIM($W66))&lt;&gt;"n/a",COUNTIF($W$2:$W$528,$W66)&gt;1)),"Yes","No"),IF($A66="Cybernet",IF(OR(AND($Y66&lt;&gt;"",LOWER(TRIM($Y66))&lt;&gt;"n/a",COUNTIF($Y$2:$Y$528,$Y66)&gt;1),AND($Z66&lt;&gt;"",LOWER(TRIM($Z66))&lt;&gt;"n/a",COUNTIF($Z$2:$Z$528,$Z66)&gt;1)),"Yes","No"),IF(AND($AL66&lt;&gt;"",LOWER(TRIM($AL66))&lt;&gt;"n/a",COUNTIF($AL$2:$AL$528,$AL66)&gt;1),"Yes","No"))))</f>
        <v>No</v>
      </c>
      <c r="F66" t="str">
        <f>IF($B66&lt;&gt;"Yes","",
IF($A66="Neuron",
IF(OR(
AND($R66&lt;&gt;"",LOWER(TRIM($R66))&lt;&gt;"n/a",COUNTIFS($B$2:$B$528,"Yes",$A$2:$A$528,"Neuron",$S$2:$S$528,$R66)&gt;1),
AND($T66&lt;&gt;"",LOWER(TRIM($T66))&lt;&gt;"n/a",COUNTIFS($B$2:$B$528,"Yes",$A$2:$A$528,"Neuron",$T$2:$T$528,$T66)&gt;1),
AND($W66&lt;&gt;"",LOWER(TRIM($W66))&lt;&gt;"n/a",COUNTIFS($B$2:$B$528,"Yes",$A$2:$A$528,"Neuron",$W$2:$W$528,$W66)&gt;1)
),"Yes","No"),
IF($A66="Cybernet",
IF(OR(
AND($Y66&lt;&gt;"",LOWER(TRIM($Y66))&lt;&gt;"n/a",COUNTIFS($B$2:$B$528,"Yes",$A$2:$A$528,"Cybernet",$Y$2:$Y$528,$Y66)&gt;1),
AND($Z66&lt;&gt;"",LOWER(TRIM($Z66))&lt;&gt;"n/a",COUNTIFS($B$2:$B$528,"Yes",$A$2:$A$528,"Cybernet",$Z$2:$Z$528,$Z66)&gt;1)
),"Yes","No"),
IF(AND($AL66&lt;&gt;"",LOWER(TRIM($AL66))&lt;&gt;"n/a"),
IF(COUNTIFS($B$2:$B$528,"Yes",$A$2:$A$528,$A66,$AL$2:$AL$528,$AL66)&gt;1,"Yes","No"),
"No")
)
)
)</f>
        <v/>
      </c>
      <c r="G66" s="4" t="s">
        <v>1698</v>
      </c>
      <c r="H66" s="4" t="s">
        <v>1717</v>
      </c>
      <c r="I66" s="4"/>
      <c r="J66" s="2" t="s">
        <v>1441</v>
      </c>
      <c r="K66" s="2" t="s">
        <v>1460</v>
      </c>
      <c r="L66" s="2" t="s">
        <v>1460</v>
      </c>
      <c r="M66" s="2"/>
      <c r="N66" s="4"/>
      <c r="O66" s="4"/>
      <c r="P66" s="4"/>
      <c r="Q66" s="4"/>
      <c r="R66" s="4" t="s">
        <v>1756</v>
      </c>
      <c r="T66" s="4"/>
      <c r="U66" s="4"/>
      <c r="V66" s="4"/>
      <c r="W66" s="4"/>
      <c r="X66" s="4"/>
      <c r="Y66" t="s">
        <v>1757</v>
      </c>
      <c r="Z66" s="4" t="s">
        <v>1758</v>
      </c>
      <c r="AA66" s="4"/>
      <c r="AB66" s="4"/>
      <c r="AC66" s="4"/>
      <c r="AD66" s="4"/>
      <c r="AE66" s="8"/>
      <c r="AF66" s="4"/>
      <c r="AG66" s="4"/>
      <c r="AH66" s="1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8"/>
      <c r="AX66" s="8"/>
      <c r="AY66" s="8"/>
      <c r="AZ66" s="8"/>
      <c r="BA66" s="12"/>
      <c r="BB66" s="8"/>
      <c r="BC66" s="4"/>
      <c r="BD66" s="4"/>
      <c r="BE66" s="8"/>
      <c r="BF66" s="8"/>
      <c r="BG66" s="8"/>
      <c r="BH66" s="8"/>
      <c r="BI66" s="8"/>
      <c r="BJ66" s="8"/>
      <c r="BK66" s="8"/>
      <c r="BL66" s="4" t="str">
        <f t="shared" si="3"/>
        <v/>
      </c>
      <c r="BM66" s="8" t="str">
        <f t="shared" si="4"/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s="8" t="s">
        <v>1651</v>
      </c>
      <c r="B67" s="8" t="s">
        <v>1460</v>
      </c>
      <c r="C67" s="15" t="s">
        <v>1460</v>
      </c>
      <c r="D67" s="15" t="str">
        <f t="shared" si="5"/>
        <v/>
      </c>
      <c r="E67" s="15" t="str">
        <f>IF($A67="","",IF($A67="Neuron",IF(OR(AND($R67&lt;&gt;"",LOWER(TRIM($R67))&lt;&gt;"n/a",COUNTIF($S$2:$S$528,$R67)&gt;1),AND($T67&lt;&gt;"",LOWER(TRIM($T67))&lt;&gt;"n/a",COUNTIF($T$2:$T$528,$T67)&gt;1),AND($W67&lt;&gt;"",LOWER(TRIM($W67))&lt;&gt;"n/a",COUNTIF($W$2:$W$528,$W67)&gt;1)),"Yes","No"),IF($A67="Cybernet",IF(OR(AND($Y67&lt;&gt;"",LOWER(TRIM($Y67))&lt;&gt;"n/a",COUNTIF($Y$2:$Y$528,$Y67)&gt;1),AND($Z67&lt;&gt;"",LOWER(TRIM($Z67))&lt;&gt;"n/a",COUNTIF($Z$2:$Z$528,$Z67)&gt;1)),"Yes","No"),IF(AND($AL67&lt;&gt;"",LOWER(TRIM($AL67))&lt;&gt;"n/a",COUNTIF($AL$2:$AL$528,$AL67)&gt;1),"Yes","No"))))</f>
        <v>No</v>
      </c>
      <c r="F67" t="str">
        <f>IF($B67&lt;&gt;"Yes","",
IF($A67="Neuron",
IF(OR(
AND($R67&lt;&gt;"",LOWER(TRIM($R67))&lt;&gt;"n/a",COUNTIFS($B$2:$B$528,"Yes",$A$2:$A$528,"Neuron",$S$2:$S$528,$R67)&gt;1),
AND($T67&lt;&gt;"",LOWER(TRIM($T67))&lt;&gt;"n/a",COUNTIFS($B$2:$B$528,"Yes",$A$2:$A$528,"Neuron",$T$2:$T$528,$T67)&gt;1),
AND($W67&lt;&gt;"",LOWER(TRIM($W67))&lt;&gt;"n/a",COUNTIFS($B$2:$B$528,"Yes",$A$2:$A$528,"Neuron",$W$2:$W$528,$W67)&gt;1)
),"Yes","No"),
IF($A67="Cybernet",
IF(OR(
AND($Y67&lt;&gt;"",LOWER(TRIM($Y67))&lt;&gt;"n/a",COUNTIFS($B$2:$B$528,"Yes",$A$2:$A$528,"Cybernet",$Y$2:$Y$528,$Y67)&gt;1),
AND($Z67&lt;&gt;"",LOWER(TRIM($Z67))&lt;&gt;"n/a",COUNTIFS($B$2:$B$528,"Yes",$A$2:$A$528,"Cybernet",$Z$2:$Z$528,$Z67)&gt;1)
),"Yes","No"),
IF(AND($AL67&lt;&gt;"",LOWER(TRIM($AL67))&lt;&gt;"n/a"),
IF(COUNTIFS($B$2:$B$528,"Yes",$A$2:$A$528,$A67,$AL$2:$AL$528,$AL67)&gt;1,"Yes","No"),
"No")
)
)
)</f>
        <v/>
      </c>
      <c r="G67" s="4" t="s">
        <v>1698</v>
      </c>
      <c r="H67" s="4" t="s">
        <v>1717</v>
      </c>
      <c r="I67" s="4"/>
      <c r="J67" s="2" t="s">
        <v>1441</v>
      </c>
      <c r="K67" s="2" t="s">
        <v>1460</v>
      </c>
      <c r="L67" s="2" t="s">
        <v>1460</v>
      </c>
      <c r="M67" s="2"/>
      <c r="N67" s="4"/>
      <c r="O67" s="4"/>
      <c r="P67" s="4"/>
      <c r="Q67" s="4"/>
      <c r="R67" s="4" t="s">
        <v>1759</v>
      </c>
      <c r="T67" s="4"/>
      <c r="U67" s="4"/>
      <c r="V67" s="4"/>
      <c r="W67" s="4"/>
      <c r="X67" s="4"/>
      <c r="Y67" s="4" t="s">
        <v>1760</v>
      </c>
      <c r="Z67" s="4" t="s">
        <v>1761</v>
      </c>
      <c r="AA67" s="4"/>
      <c r="AB67" s="4"/>
      <c r="AC67" s="4"/>
      <c r="AD67" s="4"/>
      <c r="AE67" s="8"/>
      <c r="AF67" s="4"/>
      <c r="AG67" s="4"/>
      <c r="AH67" s="1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8"/>
      <c r="AX67" s="8"/>
      <c r="AY67" s="8"/>
      <c r="AZ67" s="8"/>
      <c r="BA67" s="12"/>
      <c r="BB67" s="8"/>
      <c r="BC67" s="4"/>
      <c r="BD67" s="4"/>
      <c r="BE67" s="8"/>
      <c r="BF67" s="8"/>
      <c r="BG67" s="8"/>
      <c r="BH67" s="8"/>
      <c r="BI67" s="8"/>
      <c r="BJ67" s="8"/>
      <c r="BK67" s="8"/>
      <c r="BL67" s="4" t="str">
        <f t="shared" si="3"/>
        <v/>
      </c>
      <c r="BM67" s="8" t="str">
        <f t="shared" si="4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s="8" t="s">
        <v>1651</v>
      </c>
      <c r="B68" s="8" t="s">
        <v>1460</v>
      </c>
      <c r="C68" s="15" t="s">
        <v>1460</v>
      </c>
      <c r="D68" s="15" t="str">
        <f t="shared" si="5"/>
        <v/>
      </c>
      <c r="E68" s="15" t="str">
        <f>IF($A68="","",IF($A68="Neuron",IF(OR(AND($R68&lt;&gt;"",LOWER(TRIM($R68))&lt;&gt;"n/a",COUNTIF($S$2:$S$528,$R68)&gt;1),AND($T68&lt;&gt;"",LOWER(TRIM($T68))&lt;&gt;"n/a",COUNTIF($T$2:$T$528,$T68)&gt;1),AND($W68&lt;&gt;"",LOWER(TRIM($W68))&lt;&gt;"n/a",COUNTIF($W$2:$W$528,$W68)&gt;1)),"Yes","No"),IF($A68="Cybernet",IF(OR(AND($Y68&lt;&gt;"",LOWER(TRIM($Y68))&lt;&gt;"n/a",COUNTIF($Y$2:$Y$528,$Y68)&gt;1),AND($Z68&lt;&gt;"",LOWER(TRIM($Z68))&lt;&gt;"n/a",COUNTIF($Z$2:$Z$528,$Z68)&gt;1)),"Yes","No"),IF(AND($AL68&lt;&gt;"",LOWER(TRIM($AL68))&lt;&gt;"n/a",COUNTIF($AL$2:$AL$528,$AL68)&gt;1),"Yes","No"))))</f>
        <v>No</v>
      </c>
      <c r="F68" t="str">
        <f>IF($B68&lt;&gt;"Yes","",
IF($A68="Neuron",
IF(OR(
AND($R68&lt;&gt;"",LOWER(TRIM($R68))&lt;&gt;"n/a",COUNTIFS($B$2:$B$528,"Yes",$A$2:$A$528,"Neuron",$S$2:$S$528,$R68)&gt;1),
AND($T68&lt;&gt;"",LOWER(TRIM($T68))&lt;&gt;"n/a",COUNTIFS($B$2:$B$528,"Yes",$A$2:$A$528,"Neuron",$T$2:$T$528,$T68)&gt;1),
AND($W68&lt;&gt;"",LOWER(TRIM($W68))&lt;&gt;"n/a",COUNTIFS($B$2:$B$528,"Yes",$A$2:$A$528,"Neuron",$W$2:$W$528,$W68)&gt;1)
),"Yes","No"),
IF($A68="Cybernet",
IF(OR(
AND($Y68&lt;&gt;"",LOWER(TRIM($Y68))&lt;&gt;"n/a",COUNTIFS($B$2:$B$528,"Yes",$A$2:$A$528,"Cybernet",$Y$2:$Y$528,$Y68)&gt;1),
AND($Z68&lt;&gt;"",LOWER(TRIM($Z68))&lt;&gt;"n/a",COUNTIFS($B$2:$B$528,"Yes",$A$2:$A$528,"Cybernet",$Z$2:$Z$528,$Z68)&gt;1)
),"Yes","No"),
IF(AND($AL68&lt;&gt;"",LOWER(TRIM($AL68))&lt;&gt;"n/a"),
IF(COUNTIFS($B$2:$B$528,"Yes",$A$2:$A$528,$A68,$AL$2:$AL$528,$AL68)&gt;1,"Yes","No"),
"No")
)
)
)</f>
        <v/>
      </c>
      <c r="G68" s="4" t="s">
        <v>1698</v>
      </c>
      <c r="H68" s="4" t="s">
        <v>1717</v>
      </c>
      <c r="I68" s="4"/>
      <c r="J68" s="2" t="s">
        <v>1441</v>
      </c>
      <c r="K68" s="2" t="s">
        <v>1460</v>
      </c>
      <c r="L68" s="2" t="s">
        <v>1460</v>
      </c>
      <c r="M68" s="2"/>
      <c r="N68" s="4"/>
      <c r="O68" s="4"/>
      <c r="P68" s="4"/>
      <c r="Q68" s="4"/>
      <c r="R68" s="4" t="s">
        <v>1762</v>
      </c>
      <c r="T68" s="4"/>
      <c r="U68" s="4"/>
      <c r="V68" s="4"/>
      <c r="W68" s="4"/>
      <c r="X68" s="4"/>
      <c r="Y68" s="4" t="s">
        <v>1763</v>
      </c>
      <c r="Z68" s="4" t="s">
        <v>1764</v>
      </c>
      <c r="AA68" s="4"/>
      <c r="AB68" s="4"/>
      <c r="AC68" s="4"/>
      <c r="AD68" s="4"/>
      <c r="AE68" s="8"/>
      <c r="AF68" s="4"/>
      <c r="AG68" s="4"/>
      <c r="AH68" s="1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8"/>
      <c r="AX68" s="8"/>
      <c r="AY68" s="8"/>
      <c r="AZ68" s="8"/>
      <c r="BA68" s="12"/>
      <c r="BB68" s="8"/>
      <c r="BC68" s="4"/>
      <c r="BD68" s="4"/>
      <c r="BE68" s="8"/>
      <c r="BF68" s="8"/>
      <c r="BG68" s="8"/>
      <c r="BH68" s="8"/>
      <c r="BI68" s="8"/>
      <c r="BJ68" s="8"/>
      <c r="BK68" s="8"/>
      <c r="BL68" s="4" t="str">
        <f t="shared" si="3"/>
        <v/>
      </c>
      <c r="BM68" s="8" t="str">
        <f t="shared" si="4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s="8" t="s">
        <v>1651</v>
      </c>
      <c r="B69" s="8" t="s">
        <v>1460</v>
      </c>
      <c r="C69" s="15" t="s">
        <v>1460</v>
      </c>
      <c r="D69" s="15" t="str">
        <f t="shared" si="5"/>
        <v/>
      </c>
      <c r="E69" s="15" t="str">
        <f>IF($A69="","",IF($A69="Neuron",IF(OR(AND($R69&lt;&gt;"",LOWER(TRIM($R69))&lt;&gt;"n/a",COUNTIF($S$2:$S$528,$R69)&gt;1),AND($T69&lt;&gt;"",LOWER(TRIM($T69))&lt;&gt;"n/a",COUNTIF($T$2:$T$528,$T69)&gt;1),AND($W69&lt;&gt;"",LOWER(TRIM($W69))&lt;&gt;"n/a",COUNTIF($W$2:$W$528,$W69)&gt;1)),"Yes","No"),IF($A69="Cybernet",IF(OR(AND($Y69&lt;&gt;"",LOWER(TRIM($Y69))&lt;&gt;"n/a",COUNTIF($Y$2:$Y$528,$Y69)&gt;1),AND($Z69&lt;&gt;"",LOWER(TRIM($Z69))&lt;&gt;"n/a",COUNTIF($Z$2:$Z$528,$Z69)&gt;1)),"Yes","No"),IF(AND($AL69&lt;&gt;"",LOWER(TRIM($AL69))&lt;&gt;"n/a",COUNTIF($AL$2:$AL$528,$AL69)&gt;1),"Yes","No"))))</f>
        <v>No</v>
      </c>
      <c r="F69" t="str">
        <f>IF($B69&lt;&gt;"Yes","",
IF($A69="Neuron",
IF(OR(
AND($R69&lt;&gt;"",LOWER(TRIM($R69))&lt;&gt;"n/a",COUNTIFS($B$2:$B$528,"Yes",$A$2:$A$528,"Neuron",$S$2:$S$528,$R69)&gt;1),
AND($T69&lt;&gt;"",LOWER(TRIM($T69))&lt;&gt;"n/a",COUNTIFS($B$2:$B$528,"Yes",$A$2:$A$528,"Neuron",$T$2:$T$528,$T69)&gt;1),
AND($W69&lt;&gt;"",LOWER(TRIM($W69))&lt;&gt;"n/a",COUNTIFS($B$2:$B$528,"Yes",$A$2:$A$528,"Neuron",$W$2:$W$528,$W69)&gt;1)
),"Yes","No"),
IF($A69="Cybernet",
IF(OR(
AND($Y69&lt;&gt;"",LOWER(TRIM($Y69))&lt;&gt;"n/a",COUNTIFS($B$2:$B$528,"Yes",$A$2:$A$528,"Cybernet",$Y$2:$Y$528,$Y69)&gt;1),
AND($Z69&lt;&gt;"",LOWER(TRIM($Z69))&lt;&gt;"n/a",COUNTIFS($B$2:$B$528,"Yes",$A$2:$A$528,"Cybernet",$Z$2:$Z$528,$Z69)&gt;1)
),"Yes","No"),
IF(AND($AL69&lt;&gt;"",LOWER(TRIM($AL69))&lt;&gt;"n/a"),
IF(COUNTIFS($B$2:$B$528,"Yes",$A$2:$A$528,$A69,$AL$2:$AL$528,$AL69)&gt;1,"Yes","No"),
"No")
)
)
)</f>
        <v/>
      </c>
      <c r="G69" s="4" t="s">
        <v>1698</v>
      </c>
      <c r="H69" s="4" t="s">
        <v>1765</v>
      </c>
      <c r="I69" s="4"/>
      <c r="J69" s="2" t="s">
        <v>1441</v>
      </c>
      <c r="K69" s="2" t="s">
        <v>1460</v>
      </c>
      <c r="L69" s="2" t="s">
        <v>1460</v>
      </c>
      <c r="M69" s="2"/>
      <c r="N69" s="4"/>
      <c r="O69" s="4"/>
      <c r="P69" s="4"/>
      <c r="Q69" s="4"/>
      <c r="R69" s="4" t="s">
        <v>1766</v>
      </c>
      <c r="T69" s="4"/>
      <c r="U69" s="4"/>
      <c r="V69" s="4"/>
      <c r="W69" s="4"/>
      <c r="X69" s="4"/>
      <c r="Y69" s="4" t="s">
        <v>1767</v>
      </c>
      <c r="Z69" s="4" t="s">
        <v>1768</v>
      </c>
      <c r="AA69" s="4"/>
      <c r="AB69" s="4"/>
      <c r="AC69" s="4"/>
      <c r="AD69" s="4"/>
      <c r="AE69" s="8"/>
      <c r="AF69" s="4"/>
      <c r="AG69" s="4"/>
      <c r="AH69" s="1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8"/>
      <c r="AX69" s="8"/>
      <c r="AY69" s="8"/>
      <c r="AZ69" s="8"/>
      <c r="BA69" s="12"/>
      <c r="BB69" s="8"/>
      <c r="BC69" s="4"/>
      <c r="BD69" s="4"/>
      <c r="BE69" s="8"/>
      <c r="BF69" s="8"/>
      <c r="BG69" s="8"/>
      <c r="BH69" s="8"/>
      <c r="BI69" s="8"/>
      <c r="BJ69" s="8"/>
      <c r="BK69" s="8"/>
      <c r="BL69" s="4" t="str">
        <f t="shared" si="3"/>
        <v/>
      </c>
      <c r="BM69" s="8" t="str">
        <f t="shared" si="4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s="8" t="s">
        <v>1651</v>
      </c>
      <c r="B70" s="8" t="s">
        <v>1460</v>
      </c>
      <c r="C70" s="15" t="s">
        <v>1460</v>
      </c>
      <c r="D70" s="15" t="str">
        <f t="shared" si="5"/>
        <v/>
      </c>
      <c r="E70" s="15" t="str">
        <f>IF($A70="","",IF($A70="Neuron",IF(OR(AND($R70&lt;&gt;"",LOWER(TRIM($R70))&lt;&gt;"n/a",COUNTIF($S$2:$S$528,$R70)&gt;1),AND($T70&lt;&gt;"",LOWER(TRIM($T70))&lt;&gt;"n/a",COUNTIF($T$2:$T$528,$T70)&gt;1),AND($W70&lt;&gt;"",LOWER(TRIM($W70))&lt;&gt;"n/a",COUNTIF($W$2:$W$528,$W70)&gt;1)),"Yes","No"),IF($A70="Cybernet",IF(OR(AND($Y70&lt;&gt;"",LOWER(TRIM($Y70))&lt;&gt;"n/a",COUNTIF($Y$2:$Y$528,$Y70)&gt;1),AND($Z70&lt;&gt;"",LOWER(TRIM($Z70))&lt;&gt;"n/a",COUNTIF($Z$2:$Z$528,$Z70)&gt;1)),"Yes","No"),IF(AND($AL70&lt;&gt;"",LOWER(TRIM($AL70))&lt;&gt;"n/a",COUNTIF($AL$2:$AL$528,$AL70)&gt;1),"Yes","No"))))</f>
        <v>No</v>
      </c>
      <c r="F70" t="str">
        <f>IF($B70&lt;&gt;"Yes","",
IF($A70="Neuron",
IF(OR(
AND($R70&lt;&gt;"",LOWER(TRIM($R70))&lt;&gt;"n/a",COUNTIFS($B$2:$B$528,"Yes",$A$2:$A$528,"Neuron",$S$2:$S$528,$R70)&gt;1),
AND($T70&lt;&gt;"",LOWER(TRIM($T70))&lt;&gt;"n/a",COUNTIFS($B$2:$B$528,"Yes",$A$2:$A$528,"Neuron",$T$2:$T$528,$T70)&gt;1),
AND($W70&lt;&gt;"",LOWER(TRIM($W70))&lt;&gt;"n/a",COUNTIFS($B$2:$B$528,"Yes",$A$2:$A$528,"Neuron",$W$2:$W$528,$W70)&gt;1)
),"Yes","No"),
IF($A70="Cybernet",
IF(OR(
AND($Y70&lt;&gt;"",LOWER(TRIM($Y70))&lt;&gt;"n/a",COUNTIFS($B$2:$B$528,"Yes",$A$2:$A$528,"Cybernet",$Y$2:$Y$528,$Y70)&gt;1),
AND($Z70&lt;&gt;"",LOWER(TRIM($Z70))&lt;&gt;"n/a",COUNTIFS($B$2:$B$528,"Yes",$A$2:$A$528,"Cybernet",$Z$2:$Z$528,$Z70)&gt;1)
),"Yes","No"),
IF(AND($AL70&lt;&gt;"",LOWER(TRIM($AL70))&lt;&gt;"n/a"),
IF(COUNTIFS($B$2:$B$528,"Yes",$A$2:$A$528,$A70,$AL$2:$AL$528,$AL70)&gt;1,"Yes","No"),
"No")
)
)
)</f>
        <v/>
      </c>
      <c r="G70" s="4" t="s">
        <v>1698</v>
      </c>
      <c r="H70" s="4" t="s">
        <v>1765</v>
      </c>
      <c r="I70" s="4"/>
      <c r="J70" s="2" t="s">
        <v>1441</v>
      </c>
      <c r="K70" s="2" t="s">
        <v>1460</v>
      </c>
      <c r="L70" s="2" t="s">
        <v>1460</v>
      </c>
      <c r="M70" s="2"/>
      <c r="N70" s="4"/>
      <c r="O70" s="4"/>
      <c r="P70" s="4"/>
      <c r="Q70" s="4"/>
      <c r="R70" s="4" t="s">
        <v>1769</v>
      </c>
      <c r="T70" s="4"/>
      <c r="U70" s="4"/>
      <c r="V70" s="4"/>
      <c r="W70" s="4"/>
      <c r="X70" s="4"/>
      <c r="Y70" s="4" t="s">
        <v>1770</v>
      </c>
      <c r="Z70" s="4" t="s">
        <v>1771</v>
      </c>
      <c r="AA70" s="4"/>
      <c r="AB70" s="4"/>
      <c r="AC70" s="4"/>
      <c r="AD70" s="4"/>
      <c r="AE70" s="8"/>
      <c r="AF70" s="4"/>
      <c r="AG70" s="4"/>
      <c r="AH70" s="1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8"/>
      <c r="AX70" s="8"/>
      <c r="AY70" s="8"/>
      <c r="AZ70" s="8"/>
      <c r="BA70" s="12"/>
      <c r="BB70" s="8"/>
      <c r="BC70" s="4"/>
      <c r="BD70" s="4"/>
      <c r="BE70" s="8"/>
      <c r="BF70" s="8"/>
      <c r="BG70" s="8"/>
      <c r="BH70" s="8"/>
      <c r="BI70" s="8"/>
      <c r="BJ70" s="8"/>
      <c r="BK70" s="8"/>
      <c r="BL70" s="4" t="str">
        <f t="shared" si="3"/>
        <v/>
      </c>
      <c r="BM70" s="8" t="str">
        <f t="shared" si="4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s="8" t="s">
        <v>1651</v>
      </c>
      <c r="B71" s="8" t="s">
        <v>1460</v>
      </c>
      <c r="C71" s="15" t="s">
        <v>1460</v>
      </c>
      <c r="D71" s="15" t="str">
        <f t="shared" si="5"/>
        <v/>
      </c>
      <c r="E71" s="15" t="str">
        <f>IF($A71="","",IF($A71="Neuron",IF(OR(AND($R71&lt;&gt;"",LOWER(TRIM($R71))&lt;&gt;"n/a",COUNTIF($S$2:$S$528,$R71)&gt;1),AND($T71&lt;&gt;"",LOWER(TRIM($T71))&lt;&gt;"n/a",COUNTIF($T$2:$T$528,$T71)&gt;1),AND($W71&lt;&gt;"",LOWER(TRIM($W71))&lt;&gt;"n/a",COUNTIF($W$2:$W$528,$W71)&gt;1)),"Yes","No"),IF($A71="Cybernet",IF(OR(AND($Y71&lt;&gt;"",LOWER(TRIM($Y71))&lt;&gt;"n/a",COUNTIF($Y$2:$Y$528,$Y71)&gt;1),AND($Z71&lt;&gt;"",LOWER(TRIM($Z71))&lt;&gt;"n/a",COUNTIF($Z$2:$Z$528,$Z71)&gt;1)),"Yes","No"),IF(AND($AL71&lt;&gt;"",LOWER(TRIM($AL71))&lt;&gt;"n/a",COUNTIF($AL$2:$AL$528,$AL71)&gt;1),"Yes","No"))))</f>
        <v>No</v>
      </c>
      <c r="F71" t="str">
        <f>IF($B71&lt;&gt;"Yes","",
IF($A71="Neuron",
IF(OR(
AND($R71&lt;&gt;"",LOWER(TRIM($R71))&lt;&gt;"n/a",COUNTIFS($B$2:$B$528,"Yes",$A$2:$A$528,"Neuron",$S$2:$S$528,$R71)&gt;1),
AND($T71&lt;&gt;"",LOWER(TRIM($T71))&lt;&gt;"n/a",COUNTIFS($B$2:$B$528,"Yes",$A$2:$A$528,"Neuron",$T$2:$T$528,$T71)&gt;1),
AND($W71&lt;&gt;"",LOWER(TRIM($W71))&lt;&gt;"n/a",COUNTIFS($B$2:$B$528,"Yes",$A$2:$A$528,"Neuron",$W$2:$W$528,$W71)&gt;1)
),"Yes","No"),
IF($A71="Cybernet",
IF(OR(
AND($Y71&lt;&gt;"",LOWER(TRIM($Y71))&lt;&gt;"n/a",COUNTIFS($B$2:$B$528,"Yes",$A$2:$A$528,"Cybernet",$Y$2:$Y$528,$Y71)&gt;1),
AND($Z71&lt;&gt;"",LOWER(TRIM($Z71))&lt;&gt;"n/a",COUNTIFS($B$2:$B$528,"Yes",$A$2:$A$528,"Cybernet",$Z$2:$Z$528,$Z71)&gt;1)
),"Yes","No"),
IF(AND($AL71&lt;&gt;"",LOWER(TRIM($AL71))&lt;&gt;"n/a"),
IF(COUNTIFS($B$2:$B$528,"Yes",$A$2:$A$528,$A71,$AL$2:$AL$528,$AL71)&gt;1,"Yes","No"),
"No")
)
)
)</f>
        <v/>
      </c>
      <c r="G71" s="4" t="s">
        <v>1698</v>
      </c>
      <c r="H71" s="4" t="s">
        <v>1765</v>
      </c>
      <c r="I71" s="4"/>
      <c r="J71" s="2" t="s">
        <v>1441</v>
      </c>
      <c r="K71" s="2" t="s">
        <v>1460</v>
      </c>
      <c r="L71" s="2" t="s">
        <v>1460</v>
      </c>
      <c r="M71" s="2"/>
      <c r="N71" s="4"/>
      <c r="O71" s="4"/>
      <c r="P71" s="4"/>
      <c r="Q71" s="4"/>
      <c r="R71" s="4" t="s">
        <v>1772</v>
      </c>
      <c r="T71" s="4"/>
      <c r="U71" s="4"/>
      <c r="V71" s="4"/>
      <c r="W71" s="4"/>
      <c r="X71" s="4"/>
      <c r="Y71" s="4" t="s">
        <v>1773</v>
      </c>
      <c r="Z71" s="4" t="s">
        <v>1774</v>
      </c>
      <c r="AA71" s="4"/>
      <c r="AB71" s="4"/>
      <c r="AC71" s="4"/>
      <c r="AD71" s="4"/>
      <c r="AE71" s="8"/>
      <c r="AF71" s="4"/>
      <c r="AG71" s="4"/>
      <c r="AH71" s="1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8"/>
      <c r="AX71" s="8"/>
      <c r="AY71" s="8"/>
      <c r="AZ71" s="8"/>
      <c r="BA71" s="12"/>
      <c r="BB71" s="8"/>
      <c r="BC71" s="4"/>
      <c r="BD71" s="4"/>
      <c r="BE71" s="8"/>
      <c r="BF71" s="8"/>
      <c r="BG71" s="8"/>
      <c r="BH71" s="8"/>
      <c r="BI71" s="8"/>
      <c r="BJ71" s="8"/>
      <c r="BK71" s="8"/>
      <c r="BL71" s="4" t="str">
        <f t="shared" si="3"/>
        <v/>
      </c>
      <c r="BM71" s="8" t="str">
        <f t="shared" si="4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s="8" t="s">
        <v>1651</v>
      </c>
      <c r="B72" s="8" t="s">
        <v>1460</v>
      </c>
      <c r="C72" s="15" t="s">
        <v>1460</v>
      </c>
      <c r="D72" s="15" t="str">
        <f t="shared" si="5"/>
        <v/>
      </c>
      <c r="E72" s="15" t="str">
        <f>IF($A72="","",IF($A72="Neuron",IF(OR(AND($R72&lt;&gt;"",LOWER(TRIM($R72))&lt;&gt;"n/a",COUNTIF($S$2:$S$528,$R72)&gt;1),AND($T72&lt;&gt;"",LOWER(TRIM($T72))&lt;&gt;"n/a",COUNTIF($T$2:$T$528,$T72)&gt;1),AND($W72&lt;&gt;"",LOWER(TRIM($W72))&lt;&gt;"n/a",COUNTIF($W$2:$W$528,$W72)&gt;1)),"Yes","No"),IF($A72="Cybernet",IF(OR(AND($Y72&lt;&gt;"",LOWER(TRIM($Y72))&lt;&gt;"n/a",COUNTIF($Y$2:$Y$528,$Y72)&gt;1),AND($Z72&lt;&gt;"",LOWER(TRIM($Z72))&lt;&gt;"n/a",COUNTIF($Z$2:$Z$528,$Z72)&gt;1)),"Yes","No"),IF(AND($AL72&lt;&gt;"",LOWER(TRIM($AL72))&lt;&gt;"n/a",COUNTIF($AL$2:$AL$528,$AL72)&gt;1),"Yes","No"))))</f>
        <v>No</v>
      </c>
      <c r="F72" t="str">
        <f>IF($B72&lt;&gt;"Yes","",
IF($A72="Neuron",
IF(OR(
AND($R72&lt;&gt;"",LOWER(TRIM($R72))&lt;&gt;"n/a",COUNTIFS($B$2:$B$528,"Yes",$A$2:$A$528,"Neuron",$S$2:$S$528,$R72)&gt;1),
AND($T72&lt;&gt;"",LOWER(TRIM($T72))&lt;&gt;"n/a",COUNTIFS($B$2:$B$528,"Yes",$A$2:$A$528,"Neuron",$T$2:$T$528,$T72)&gt;1),
AND($W72&lt;&gt;"",LOWER(TRIM($W72))&lt;&gt;"n/a",COUNTIFS($B$2:$B$528,"Yes",$A$2:$A$528,"Neuron",$W$2:$W$528,$W72)&gt;1)
),"Yes","No"),
IF($A72="Cybernet",
IF(OR(
AND($Y72&lt;&gt;"",LOWER(TRIM($Y72))&lt;&gt;"n/a",COUNTIFS($B$2:$B$528,"Yes",$A$2:$A$528,"Cybernet",$Y$2:$Y$528,$Y72)&gt;1),
AND($Z72&lt;&gt;"",LOWER(TRIM($Z72))&lt;&gt;"n/a",COUNTIFS($B$2:$B$528,"Yes",$A$2:$A$528,"Cybernet",$Z$2:$Z$528,$Z72)&gt;1)
),"Yes","No"),
IF(AND($AL72&lt;&gt;"",LOWER(TRIM($AL72))&lt;&gt;"n/a"),
IF(COUNTIFS($B$2:$B$528,"Yes",$A$2:$A$528,$A72,$AL$2:$AL$528,$AL72)&gt;1,"Yes","No"),
"No")
)
)
)</f>
        <v/>
      </c>
      <c r="G72" s="4" t="s">
        <v>1698</v>
      </c>
      <c r="H72" s="4" t="s">
        <v>1765</v>
      </c>
      <c r="I72" s="4"/>
      <c r="J72" s="2" t="s">
        <v>1441</v>
      </c>
      <c r="K72" s="2" t="s">
        <v>1460</v>
      </c>
      <c r="L72" s="2" t="s">
        <v>1460</v>
      </c>
      <c r="M72" s="2"/>
      <c r="N72" s="4"/>
      <c r="O72" s="4"/>
      <c r="P72" s="4"/>
      <c r="Q72" s="4"/>
      <c r="R72" s="4" t="s">
        <v>1775</v>
      </c>
      <c r="T72" s="4"/>
      <c r="U72" s="4"/>
      <c r="V72" s="4"/>
      <c r="W72" s="4"/>
      <c r="X72" s="4"/>
      <c r="Y72" s="4" t="s">
        <v>1776</v>
      </c>
      <c r="Z72" s="4" t="s">
        <v>1777</v>
      </c>
      <c r="AA72" s="4"/>
      <c r="AB72" s="4"/>
      <c r="AC72" s="4"/>
      <c r="AD72" s="4"/>
      <c r="AE72" s="8"/>
      <c r="AF72" s="4"/>
      <c r="AG72" s="4"/>
      <c r="AH72" s="1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8"/>
      <c r="AX72" s="8"/>
      <c r="AY72" s="8"/>
      <c r="AZ72" s="8"/>
      <c r="BA72" s="12"/>
      <c r="BB72" s="8"/>
      <c r="BC72" s="4"/>
      <c r="BD72" s="4"/>
      <c r="BE72" s="8"/>
      <c r="BF72" s="8"/>
      <c r="BG72" s="8"/>
      <c r="BH72" s="8"/>
      <c r="BI72" s="8"/>
      <c r="BJ72" s="8"/>
      <c r="BK72" s="8"/>
      <c r="BL72" s="4" t="str">
        <f t="shared" si="3"/>
        <v/>
      </c>
      <c r="BM72" s="8" t="str">
        <f t="shared" si="4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s="8" t="s">
        <v>1651</v>
      </c>
      <c r="B73" s="8" t="s">
        <v>1460</v>
      </c>
      <c r="C73" s="15" t="s">
        <v>1460</v>
      </c>
      <c r="D73" s="15" t="str">
        <f t="shared" si="5"/>
        <v/>
      </c>
      <c r="E73" s="15" t="str">
        <f>IF($A73="","",IF($A73="Neuron",IF(OR(AND($R73&lt;&gt;"",LOWER(TRIM($R73))&lt;&gt;"n/a",COUNTIF($S$2:$S$528,$R73)&gt;1),AND($T73&lt;&gt;"",LOWER(TRIM($T73))&lt;&gt;"n/a",COUNTIF($T$2:$T$528,$T73)&gt;1),AND($W73&lt;&gt;"",LOWER(TRIM($W73))&lt;&gt;"n/a",COUNTIF($W$2:$W$528,$W73)&gt;1)),"Yes","No"),IF($A73="Cybernet",IF(OR(AND($Y73&lt;&gt;"",LOWER(TRIM($Y73))&lt;&gt;"n/a",COUNTIF($Y$2:$Y$528,$Y73)&gt;1),AND($Z73&lt;&gt;"",LOWER(TRIM($Z73))&lt;&gt;"n/a",COUNTIF($Z$2:$Z$528,$Z73)&gt;1)),"Yes","No"),IF(AND($AL73&lt;&gt;"",LOWER(TRIM($AL73))&lt;&gt;"n/a",COUNTIF($AL$2:$AL$528,$AL73)&gt;1),"Yes","No"))))</f>
        <v>No</v>
      </c>
      <c r="F73" t="str">
        <f>IF($B73&lt;&gt;"Yes","",
IF($A73="Neuron",
IF(OR(
AND($R73&lt;&gt;"",LOWER(TRIM($R73))&lt;&gt;"n/a",COUNTIFS($B$2:$B$528,"Yes",$A$2:$A$528,"Neuron",$S$2:$S$528,$R73)&gt;1),
AND($T73&lt;&gt;"",LOWER(TRIM($T73))&lt;&gt;"n/a",COUNTIFS($B$2:$B$528,"Yes",$A$2:$A$528,"Neuron",$T$2:$T$528,$T73)&gt;1),
AND($W73&lt;&gt;"",LOWER(TRIM($W73))&lt;&gt;"n/a",COUNTIFS($B$2:$B$528,"Yes",$A$2:$A$528,"Neuron",$W$2:$W$528,$W73)&gt;1)
),"Yes","No"),
IF($A73="Cybernet",
IF(OR(
AND($Y73&lt;&gt;"",LOWER(TRIM($Y73))&lt;&gt;"n/a",COUNTIFS($B$2:$B$528,"Yes",$A$2:$A$528,"Cybernet",$Y$2:$Y$528,$Y73)&gt;1),
AND($Z73&lt;&gt;"",LOWER(TRIM($Z73))&lt;&gt;"n/a",COUNTIFS($B$2:$B$528,"Yes",$A$2:$A$528,"Cybernet",$Z$2:$Z$528,$Z73)&gt;1)
),"Yes","No"),
IF(AND($AL73&lt;&gt;"",LOWER(TRIM($AL73))&lt;&gt;"n/a"),
IF(COUNTIFS($B$2:$B$528,"Yes",$A$2:$A$528,$A73,$AL$2:$AL$528,$AL73)&gt;1,"Yes","No"),
"No")
)
)
)</f>
        <v/>
      </c>
      <c r="G73" s="4" t="s">
        <v>1698</v>
      </c>
      <c r="H73" s="4" t="s">
        <v>1765</v>
      </c>
      <c r="I73" s="4"/>
      <c r="J73" s="2" t="s">
        <v>1441</v>
      </c>
      <c r="K73" s="2" t="s">
        <v>1460</v>
      </c>
      <c r="L73" s="2" t="s">
        <v>1460</v>
      </c>
      <c r="M73" s="2"/>
      <c r="N73" s="4"/>
      <c r="O73" s="4"/>
      <c r="P73" s="4"/>
      <c r="Q73" s="4"/>
      <c r="R73" s="4" t="s">
        <v>1778</v>
      </c>
      <c r="T73" s="4"/>
      <c r="U73" s="4"/>
      <c r="V73" s="4"/>
      <c r="W73" s="4"/>
      <c r="X73" s="4"/>
      <c r="Y73" s="4" t="s">
        <v>1779</v>
      </c>
      <c r="Z73" s="4" t="s">
        <v>1780</v>
      </c>
      <c r="AA73" s="4"/>
      <c r="AB73" s="4"/>
      <c r="AC73" s="4"/>
      <c r="AD73" s="4"/>
      <c r="AE73" s="8"/>
      <c r="AF73" s="4"/>
      <c r="AG73" s="4"/>
      <c r="AH73" s="1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8"/>
      <c r="AX73" s="8"/>
      <c r="AY73" s="8"/>
      <c r="AZ73" s="8"/>
      <c r="BA73" s="12"/>
      <c r="BB73" s="8"/>
      <c r="BC73" s="4"/>
      <c r="BD73" s="4"/>
      <c r="BE73" s="8"/>
      <c r="BF73" s="8"/>
      <c r="BG73" s="8"/>
      <c r="BH73" s="8"/>
      <c r="BI73" s="8"/>
      <c r="BJ73" s="8"/>
      <c r="BK73" s="8"/>
      <c r="BL73" s="4" t="str">
        <f t="shared" si="3"/>
        <v/>
      </c>
      <c r="BM73" s="8" t="str">
        <f t="shared" si="4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s="8" t="s">
        <v>1651</v>
      </c>
      <c r="B74" s="8" t="s">
        <v>1460</v>
      </c>
      <c r="C74" s="15" t="s">
        <v>1460</v>
      </c>
      <c r="D74" s="15" t="str">
        <f t="shared" si="5"/>
        <v/>
      </c>
      <c r="E74" s="15" t="str">
        <f>IF($A74="","",IF($A74="Neuron",IF(OR(AND($R74&lt;&gt;"",LOWER(TRIM($R74))&lt;&gt;"n/a",COUNTIF($S$2:$S$528,$R74)&gt;1),AND($T74&lt;&gt;"",LOWER(TRIM($T74))&lt;&gt;"n/a",COUNTIF($T$2:$T$528,$T74)&gt;1),AND($W74&lt;&gt;"",LOWER(TRIM($W74))&lt;&gt;"n/a",COUNTIF($W$2:$W$528,$W74)&gt;1)),"Yes","No"),IF($A74="Cybernet",IF(OR(AND($Y74&lt;&gt;"",LOWER(TRIM($Y74))&lt;&gt;"n/a",COUNTIF($Y$2:$Y$528,$Y74)&gt;1),AND($Z74&lt;&gt;"",LOWER(TRIM($Z74))&lt;&gt;"n/a",COUNTIF($Z$2:$Z$528,$Z74)&gt;1)),"Yes","No"),IF(AND($AL74&lt;&gt;"",LOWER(TRIM($AL74))&lt;&gt;"n/a",COUNTIF($AL$2:$AL$528,$AL74)&gt;1),"Yes","No"))))</f>
        <v>No</v>
      </c>
      <c r="F74" t="str">
        <f>IF($B74&lt;&gt;"Yes","",
IF($A74="Neuron",
IF(OR(
AND($R74&lt;&gt;"",LOWER(TRIM($R74))&lt;&gt;"n/a",COUNTIFS($B$2:$B$528,"Yes",$A$2:$A$528,"Neuron",$S$2:$S$528,$R74)&gt;1),
AND($T74&lt;&gt;"",LOWER(TRIM($T74))&lt;&gt;"n/a",COUNTIFS($B$2:$B$528,"Yes",$A$2:$A$528,"Neuron",$T$2:$T$528,$T74)&gt;1),
AND($W74&lt;&gt;"",LOWER(TRIM($W74))&lt;&gt;"n/a",COUNTIFS($B$2:$B$528,"Yes",$A$2:$A$528,"Neuron",$W$2:$W$528,$W74)&gt;1)
),"Yes","No"),
IF($A74="Cybernet",
IF(OR(
AND($Y74&lt;&gt;"",LOWER(TRIM($Y74))&lt;&gt;"n/a",COUNTIFS($B$2:$B$528,"Yes",$A$2:$A$528,"Cybernet",$Y$2:$Y$528,$Y74)&gt;1),
AND($Z74&lt;&gt;"",LOWER(TRIM($Z74))&lt;&gt;"n/a",COUNTIFS($B$2:$B$528,"Yes",$A$2:$A$528,"Cybernet",$Z$2:$Z$528,$Z74)&gt;1)
),"Yes","No"),
IF(AND($AL74&lt;&gt;"",LOWER(TRIM($AL74))&lt;&gt;"n/a"),
IF(COUNTIFS($B$2:$B$528,"Yes",$A$2:$A$528,$A74,$AL$2:$AL$528,$AL74)&gt;1,"Yes","No"),
"No")
)
)
)</f>
        <v/>
      </c>
      <c r="G74" s="4" t="s">
        <v>1698</v>
      </c>
      <c r="H74" s="4" t="s">
        <v>1765</v>
      </c>
      <c r="I74" s="4"/>
      <c r="J74" s="2" t="s">
        <v>1441</v>
      </c>
      <c r="K74" s="2" t="s">
        <v>1460</v>
      </c>
      <c r="L74" s="2" t="s">
        <v>1460</v>
      </c>
      <c r="M74" s="2"/>
      <c r="N74" s="4"/>
      <c r="O74" s="4"/>
      <c r="P74" s="4"/>
      <c r="Q74" s="4"/>
      <c r="R74" s="4" t="s">
        <v>1781</v>
      </c>
      <c r="T74" s="4"/>
      <c r="U74" s="4"/>
      <c r="V74" s="4"/>
      <c r="W74" s="4"/>
      <c r="X74" s="4"/>
      <c r="Y74" s="4" t="s">
        <v>1782</v>
      </c>
      <c r="Z74" s="4" t="s">
        <v>1783</v>
      </c>
      <c r="AA74" s="4"/>
      <c r="AB74" s="4"/>
      <c r="AC74" s="4"/>
      <c r="AD74" s="4"/>
      <c r="AE74" s="8"/>
      <c r="AF74" s="4"/>
      <c r="AG74" s="4"/>
      <c r="AH74" s="1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8"/>
      <c r="AX74" s="8"/>
      <c r="AY74" s="8"/>
      <c r="AZ74" s="8"/>
      <c r="BA74" s="12"/>
      <c r="BB74" s="8"/>
      <c r="BC74" s="4"/>
      <c r="BD74" s="4"/>
      <c r="BE74" s="8"/>
      <c r="BF74" s="8"/>
      <c r="BG74" s="8"/>
      <c r="BH74" s="8"/>
      <c r="BI74" s="8"/>
      <c r="BJ74" s="8"/>
      <c r="BK74" s="8"/>
      <c r="BL74" s="4" t="str">
        <f t="shared" si="3"/>
        <v/>
      </c>
      <c r="BM74" s="8" t="str">
        <f t="shared" si="4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s="8" t="s">
        <v>1651</v>
      </c>
      <c r="B75" s="8" t="s">
        <v>1460</v>
      </c>
      <c r="C75" s="15" t="s">
        <v>1460</v>
      </c>
      <c r="D75" s="15" t="str">
        <f t="shared" si="5"/>
        <v/>
      </c>
      <c r="E75" s="15" t="str">
        <f>IF($A75="","",IF($A75="Neuron",IF(OR(AND($R75&lt;&gt;"",LOWER(TRIM($R75))&lt;&gt;"n/a",COUNTIF($S$2:$S$528,$R75)&gt;1),AND($T75&lt;&gt;"",LOWER(TRIM($T75))&lt;&gt;"n/a",COUNTIF($T$2:$T$528,$T75)&gt;1),AND($W75&lt;&gt;"",LOWER(TRIM($W75))&lt;&gt;"n/a",COUNTIF($W$2:$W$528,$W75)&gt;1)),"Yes","No"),IF($A75="Cybernet",IF(OR(AND($Y75&lt;&gt;"",LOWER(TRIM($Y75))&lt;&gt;"n/a",COUNTIF($Y$2:$Y$528,$Y75)&gt;1),AND($Z75&lt;&gt;"",LOWER(TRIM($Z75))&lt;&gt;"n/a",COUNTIF($Z$2:$Z$528,$Z75)&gt;1)),"Yes","No"),IF(AND($AL75&lt;&gt;"",LOWER(TRIM($AL75))&lt;&gt;"n/a",COUNTIF($AL$2:$AL$528,$AL75)&gt;1),"Yes","No"))))</f>
        <v>No</v>
      </c>
      <c r="F75" t="str">
        <f>IF($B75&lt;&gt;"Yes","",
IF($A75="Neuron",
IF(OR(
AND($R75&lt;&gt;"",LOWER(TRIM($R75))&lt;&gt;"n/a",COUNTIFS($B$2:$B$528,"Yes",$A$2:$A$528,"Neuron",$S$2:$S$528,$R75)&gt;1),
AND($T75&lt;&gt;"",LOWER(TRIM($T75))&lt;&gt;"n/a",COUNTIFS($B$2:$B$528,"Yes",$A$2:$A$528,"Neuron",$T$2:$T$528,$T75)&gt;1),
AND($W75&lt;&gt;"",LOWER(TRIM($W75))&lt;&gt;"n/a",COUNTIFS($B$2:$B$528,"Yes",$A$2:$A$528,"Neuron",$W$2:$W$528,$W75)&gt;1)
),"Yes","No"),
IF($A75="Cybernet",
IF(OR(
AND($Y75&lt;&gt;"",LOWER(TRIM($Y75))&lt;&gt;"n/a",COUNTIFS($B$2:$B$528,"Yes",$A$2:$A$528,"Cybernet",$Y$2:$Y$528,$Y75)&gt;1),
AND($Z75&lt;&gt;"",LOWER(TRIM($Z75))&lt;&gt;"n/a",COUNTIFS($B$2:$B$528,"Yes",$A$2:$A$528,"Cybernet",$Z$2:$Z$528,$Z75)&gt;1)
),"Yes","No"),
IF(AND($AL75&lt;&gt;"",LOWER(TRIM($AL75))&lt;&gt;"n/a"),
IF(COUNTIFS($B$2:$B$528,"Yes",$A$2:$A$528,$A75,$AL$2:$AL$528,$AL75)&gt;1,"Yes","No"),
"No")
)
)
)</f>
        <v/>
      </c>
      <c r="G75" s="4" t="s">
        <v>1698</v>
      </c>
      <c r="H75" s="4" t="s">
        <v>1765</v>
      </c>
      <c r="I75" s="4"/>
      <c r="J75" s="2" t="s">
        <v>1441</v>
      </c>
      <c r="K75" s="2" t="s">
        <v>1460</v>
      </c>
      <c r="L75" s="2" t="s">
        <v>1460</v>
      </c>
      <c r="M75" s="2"/>
      <c r="N75" s="4"/>
      <c r="O75" s="4"/>
      <c r="P75" s="4"/>
      <c r="Q75" s="4"/>
      <c r="R75" s="4" t="s">
        <v>1784</v>
      </c>
      <c r="T75" s="4"/>
      <c r="U75" s="4"/>
      <c r="V75" s="4"/>
      <c r="W75" s="4"/>
      <c r="X75" s="4"/>
      <c r="Y75" s="4" t="s">
        <v>1785</v>
      </c>
      <c r="Z75" s="4" t="s">
        <v>1786</v>
      </c>
      <c r="AA75" s="4"/>
      <c r="AB75" s="4"/>
      <c r="AC75" s="4"/>
      <c r="AD75" s="4"/>
      <c r="AE75" s="8"/>
      <c r="AF75" s="4"/>
      <c r="AG75" s="4"/>
      <c r="AH75" s="1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8"/>
      <c r="AX75" s="8"/>
      <c r="AY75" s="8"/>
      <c r="AZ75" s="8"/>
      <c r="BA75" s="12"/>
      <c r="BB75" s="8"/>
      <c r="BC75" s="4"/>
      <c r="BD75" s="4"/>
      <c r="BE75" s="8"/>
      <c r="BF75" s="8"/>
      <c r="BG75" s="8"/>
      <c r="BH75" s="8"/>
      <c r="BI75" s="8"/>
      <c r="BJ75" s="8"/>
      <c r="BK75" s="8"/>
      <c r="BL75" s="4" t="str">
        <f t="shared" si="3"/>
        <v/>
      </c>
      <c r="BM75" s="8" t="str">
        <f t="shared" si="4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s="8" t="s">
        <v>1651</v>
      </c>
      <c r="B76" s="8" t="s">
        <v>1460</v>
      </c>
      <c r="C76" s="15" t="s">
        <v>1460</v>
      </c>
      <c r="D76" s="15" t="str">
        <f t="shared" si="5"/>
        <v/>
      </c>
      <c r="E76" s="15" t="str">
        <f>IF($A76="","",IF($A76="Neuron",IF(OR(AND($R76&lt;&gt;"",LOWER(TRIM($R76))&lt;&gt;"n/a",COUNTIF($S$2:$S$528,$R76)&gt;1),AND($T76&lt;&gt;"",LOWER(TRIM($T76))&lt;&gt;"n/a",COUNTIF($T$2:$T$528,$T76)&gt;1),AND($W76&lt;&gt;"",LOWER(TRIM($W76))&lt;&gt;"n/a",COUNTIF($W$2:$W$528,$W76)&gt;1)),"Yes","No"),IF($A76="Cybernet",IF(OR(AND($Y76&lt;&gt;"",LOWER(TRIM($Y76))&lt;&gt;"n/a",COUNTIF($Y$2:$Y$528,$Y76)&gt;1),AND($Z76&lt;&gt;"",LOWER(TRIM($Z76))&lt;&gt;"n/a",COUNTIF($Z$2:$Z$528,$Z76)&gt;1)),"Yes","No"),IF(AND($AL76&lt;&gt;"",LOWER(TRIM($AL76))&lt;&gt;"n/a",COUNTIF($AL$2:$AL$528,$AL76)&gt;1),"Yes","No"))))</f>
        <v>No</v>
      </c>
      <c r="F76" t="str">
        <f>IF($B76&lt;&gt;"Yes","",
IF($A76="Neuron",
IF(OR(
AND($R76&lt;&gt;"",LOWER(TRIM($R76))&lt;&gt;"n/a",COUNTIFS($B$2:$B$528,"Yes",$A$2:$A$528,"Neuron",$S$2:$S$528,$R76)&gt;1),
AND($T76&lt;&gt;"",LOWER(TRIM($T76))&lt;&gt;"n/a",COUNTIFS($B$2:$B$528,"Yes",$A$2:$A$528,"Neuron",$T$2:$T$528,$T76)&gt;1),
AND($W76&lt;&gt;"",LOWER(TRIM($W76))&lt;&gt;"n/a",COUNTIFS($B$2:$B$528,"Yes",$A$2:$A$528,"Neuron",$W$2:$W$528,$W76)&gt;1)
),"Yes","No"),
IF($A76="Cybernet",
IF(OR(
AND($Y76&lt;&gt;"",LOWER(TRIM($Y76))&lt;&gt;"n/a",COUNTIFS($B$2:$B$528,"Yes",$A$2:$A$528,"Cybernet",$Y$2:$Y$528,$Y76)&gt;1),
AND($Z76&lt;&gt;"",LOWER(TRIM($Z76))&lt;&gt;"n/a",COUNTIFS($B$2:$B$528,"Yes",$A$2:$A$528,"Cybernet",$Z$2:$Z$528,$Z76)&gt;1)
),"Yes","No"),
IF(AND($AL76&lt;&gt;"",LOWER(TRIM($AL76))&lt;&gt;"n/a"),
IF(COUNTIFS($B$2:$B$528,"Yes",$A$2:$A$528,$A76,$AL$2:$AL$528,$AL76)&gt;1,"Yes","No"),
"No")
)
)
)</f>
        <v/>
      </c>
      <c r="G76" s="4" t="s">
        <v>1698</v>
      </c>
      <c r="H76" s="4" t="s">
        <v>1765</v>
      </c>
      <c r="I76" s="4"/>
      <c r="J76" s="2" t="s">
        <v>1441</v>
      </c>
      <c r="K76" s="2" t="s">
        <v>1460</v>
      </c>
      <c r="L76" s="2" t="s">
        <v>1460</v>
      </c>
      <c r="M76" s="2"/>
      <c r="N76" s="4"/>
      <c r="O76" s="4"/>
      <c r="P76" s="4"/>
      <c r="Q76" s="4"/>
      <c r="R76" s="4" t="s">
        <v>1787</v>
      </c>
      <c r="T76" s="4"/>
      <c r="U76" s="4"/>
      <c r="V76" s="4"/>
      <c r="W76" s="4"/>
      <c r="X76" s="4"/>
      <c r="Y76" s="4" t="s">
        <v>1788</v>
      </c>
      <c r="Z76" s="4" t="s">
        <v>1789</v>
      </c>
      <c r="AA76" s="4"/>
      <c r="AB76" s="4"/>
      <c r="AC76" s="4"/>
      <c r="AD76" s="4"/>
      <c r="AE76" s="8"/>
      <c r="AF76" s="4"/>
      <c r="AG76" s="4"/>
      <c r="AH76" s="1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8"/>
      <c r="AX76" s="8"/>
      <c r="AY76" s="8"/>
      <c r="AZ76" s="8"/>
      <c r="BA76" s="12"/>
      <c r="BB76" s="8"/>
      <c r="BC76" s="4"/>
      <c r="BD76" s="4"/>
      <c r="BE76" s="8"/>
      <c r="BF76" s="8"/>
      <c r="BG76" s="8"/>
      <c r="BH76" s="8"/>
      <c r="BI76" s="8"/>
      <c r="BJ76" s="8"/>
      <c r="BK76" s="8"/>
      <c r="BL76" s="4" t="str">
        <f t="shared" si="3"/>
        <v/>
      </c>
      <c r="BM76" s="8" t="str">
        <f t="shared" si="4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s="8" t="s">
        <v>1651</v>
      </c>
      <c r="B77" s="8" t="s">
        <v>1460</v>
      </c>
      <c r="C77" s="15" t="s">
        <v>1460</v>
      </c>
      <c r="D77" s="15" t="str">
        <f t="shared" si="5"/>
        <v/>
      </c>
      <c r="E77" s="15" t="str">
        <f>IF($A77="","",IF($A77="Neuron",IF(OR(AND($R77&lt;&gt;"",LOWER(TRIM($R77))&lt;&gt;"n/a",COUNTIF($S$2:$S$528,$R77)&gt;1),AND($T77&lt;&gt;"",LOWER(TRIM($T77))&lt;&gt;"n/a",COUNTIF($T$2:$T$528,$T77)&gt;1),AND($W77&lt;&gt;"",LOWER(TRIM($W77))&lt;&gt;"n/a",COUNTIF($W$2:$W$528,$W77)&gt;1)),"Yes","No"),IF($A77="Cybernet",IF(OR(AND($Y77&lt;&gt;"",LOWER(TRIM($Y77))&lt;&gt;"n/a",COUNTIF($Y$2:$Y$528,$Y77)&gt;1),AND($Z77&lt;&gt;"",LOWER(TRIM($Z77))&lt;&gt;"n/a",COUNTIF($Z$2:$Z$528,$Z77)&gt;1)),"Yes","No"),IF(AND($AL77&lt;&gt;"",LOWER(TRIM($AL77))&lt;&gt;"n/a",COUNTIF($AL$2:$AL$528,$AL77)&gt;1),"Yes","No"))))</f>
        <v>No</v>
      </c>
      <c r="F77" t="str">
        <f>IF($B77&lt;&gt;"Yes","",
IF($A77="Neuron",
IF(OR(
AND($R77&lt;&gt;"",LOWER(TRIM($R77))&lt;&gt;"n/a",COUNTIFS($B$2:$B$528,"Yes",$A$2:$A$528,"Neuron",$S$2:$S$528,$R77)&gt;1),
AND($T77&lt;&gt;"",LOWER(TRIM($T77))&lt;&gt;"n/a",COUNTIFS($B$2:$B$528,"Yes",$A$2:$A$528,"Neuron",$T$2:$T$528,$T77)&gt;1),
AND($W77&lt;&gt;"",LOWER(TRIM($W77))&lt;&gt;"n/a",COUNTIFS($B$2:$B$528,"Yes",$A$2:$A$528,"Neuron",$W$2:$W$528,$W77)&gt;1)
),"Yes","No"),
IF($A77="Cybernet",
IF(OR(
AND($Y77&lt;&gt;"",LOWER(TRIM($Y77))&lt;&gt;"n/a",COUNTIFS($B$2:$B$528,"Yes",$A$2:$A$528,"Cybernet",$Y$2:$Y$528,$Y77)&gt;1),
AND($Z77&lt;&gt;"",LOWER(TRIM($Z77))&lt;&gt;"n/a",COUNTIFS($B$2:$B$528,"Yes",$A$2:$A$528,"Cybernet",$Z$2:$Z$528,$Z77)&gt;1)
),"Yes","No"),
IF(AND($AL77&lt;&gt;"",LOWER(TRIM($AL77))&lt;&gt;"n/a"),
IF(COUNTIFS($B$2:$B$528,"Yes",$A$2:$A$528,$A77,$AL$2:$AL$528,$AL77)&gt;1,"Yes","No"),
"No")
)
)
)</f>
        <v/>
      </c>
      <c r="G77" s="4" t="s">
        <v>1698</v>
      </c>
      <c r="H77" s="4" t="s">
        <v>1765</v>
      </c>
      <c r="I77" s="4"/>
      <c r="J77" s="2" t="s">
        <v>1441</v>
      </c>
      <c r="K77" s="2" t="s">
        <v>1460</v>
      </c>
      <c r="L77" s="2" t="s">
        <v>1460</v>
      </c>
      <c r="M77" s="2"/>
      <c r="N77" s="4"/>
      <c r="O77" s="4"/>
      <c r="P77" s="4"/>
      <c r="Q77" s="4"/>
      <c r="R77" s="4" t="s">
        <v>1790</v>
      </c>
      <c r="T77" s="4"/>
      <c r="U77" s="4"/>
      <c r="V77" s="4"/>
      <c r="W77" s="4"/>
      <c r="X77" s="4"/>
      <c r="Y77" s="4" t="s">
        <v>1791</v>
      </c>
      <c r="Z77" s="4" t="s">
        <v>1792</v>
      </c>
      <c r="AA77" s="4"/>
      <c r="AB77" s="4"/>
      <c r="AC77" s="4"/>
      <c r="AD77" s="4"/>
      <c r="AE77" s="8"/>
      <c r="AF77" s="4"/>
      <c r="AG77" s="4"/>
      <c r="AH77" s="1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8"/>
      <c r="AX77" s="8"/>
      <c r="AY77" s="8"/>
      <c r="AZ77" s="8"/>
      <c r="BA77" s="12"/>
      <c r="BB77" s="8"/>
      <c r="BC77" s="4"/>
      <c r="BD77" s="4"/>
      <c r="BE77" s="8"/>
      <c r="BF77" s="8"/>
      <c r="BG77" s="8"/>
      <c r="BH77" s="8"/>
      <c r="BI77" s="8"/>
      <c r="BJ77" s="8"/>
      <c r="BK77" s="8"/>
      <c r="BL77" s="4" t="str">
        <f t="shared" si="3"/>
        <v/>
      </c>
      <c r="BM77" s="8" t="str">
        <f t="shared" si="4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s="8" t="s">
        <v>1651</v>
      </c>
      <c r="B78" s="8"/>
      <c r="C78" s="15" t="s">
        <v>1460</v>
      </c>
      <c r="D78" s="15" t="str">
        <f t="shared" si="5"/>
        <v/>
      </c>
      <c r="E78" s="15" t="str">
        <f>IF($A78="","",IF($A78="Neuron",IF(OR(AND($R78&lt;&gt;"",LOWER(TRIM($R78))&lt;&gt;"n/a",COUNTIF($S$2:$S$528,$R78)&gt;1),AND($T78&lt;&gt;"",LOWER(TRIM($T78))&lt;&gt;"n/a",COUNTIF($T$2:$T$528,$T78)&gt;1),AND($W78&lt;&gt;"",LOWER(TRIM($W78))&lt;&gt;"n/a",COUNTIF($W$2:$W$528,$W78)&gt;1)),"Yes","No"),IF($A78="Cybernet",IF(OR(AND($Y78&lt;&gt;"",LOWER(TRIM($Y78))&lt;&gt;"n/a",COUNTIF($Y$2:$Y$528,$Y78)&gt;1),AND($Z78&lt;&gt;"",LOWER(TRIM($Z78))&lt;&gt;"n/a",COUNTIF($Z$2:$Z$528,$Z78)&gt;1)),"Yes","No"),IF(AND($AL78&lt;&gt;"",LOWER(TRIM($AL78))&lt;&gt;"n/a",COUNTIF($AL$2:$AL$528,$AL78)&gt;1),"Yes","No"))))</f>
        <v>No</v>
      </c>
      <c r="F78" t="str">
        <f>IF($B78&lt;&gt;"Yes","",
IF($A78="Neuron",
IF(OR(
AND($R78&lt;&gt;"",LOWER(TRIM($R78))&lt;&gt;"n/a",COUNTIFS($B$2:$B$528,"Yes",$A$2:$A$528,"Neuron",$S$2:$S$528,$R78)&gt;1),
AND($T78&lt;&gt;"",LOWER(TRIM($T78))&lt;&gt;"n/a",COUNTIFS($B$2:$B$528,"Yes",$A$2:$A$528,"Neuron",$T$2:$T$528,$T78)&gt;1),
AND($W78&lt;&gt;"",LOWER(TRIM($W78))&lt;&gt;"n/a",COUNTIFS($B$2:$B$528,"Yes",$A$2:$A$528,"Neuron",$W$2:$W$528,$W78)&gt;1)
),"Yes","No"),
IF($A78="Cybernet",
IF(OR(
AND($Y78&lt;&gt;"",LOWER(TRIM($Y78))&lt;&gt;"n/a",COUNTIFS($B$2:$B$528,"Yes",$A$2:$A$528,"Cybernet",$Y$2:$Y$528,$Y78)&gt;1),
AND($Z78&lt;&gt;"",LOWER(TRIM($Z78))&lt;&gt;"n/a",COUNTIFS($B$2:$B$528,"Yes",$A$2:$A$528,"Cybernet",$Z$2:$Z$528,$Z78)&gt;1)
),"Yes","No"),
IF(AND($AL78&lt;&gt;"",LOWER(TRIM($AL78))&lt;&gt;"n/a"),
IF(COUNTIFS($B$2:$B$528,"Yes",$A$2:$A$528,$A78,$AL$2:$AL$528,$AL78)&gt;1,"Yes","No"),
"No")
)
)
)</f>
        <v/>
      </c>
      <c r="G78" s="4" t="s">
        <v>1698</v>
      </c>
      <c r="H78" s="4" t="s">
        <v>1793</v>
      </c>
      <c r="I78" s="4"/>
      <c r="J78" s="2" t="s">
        <v>1441</v>
      </c>
      <c r="K78" s="2" t="s">
        <v>1460</v>
      </c>
      <c r="L78" s="2" t="s">
        <v>1460</v>
      </c>
      <c r="M78" s="2"/>
      <c r="N78" s="4"/>
      <c r="O78" s="4"/>
      <c r="P78" s="4"/>
      <c r="Q78" s="4"/>
      <c r="R78" s="4" t="s">
        <v>1794</v>
      </c>
      <c r="T78" s="4"/>
      <c r="U78" s="4"/>
      <c r="V78" s="4"/>
      <c r="W78" s="4"/>
      <c r="X78" s="4"/>
      <c r="Y78" s="4" t="s">
        <v>1795</v>
      </c>
      <c r="Z78" s="4" t="s">
        <v>1796</v>
      </c>
      <c r="AA78" s="4"/>
      <c r="AB78" s="4"/>
      <c r="AC78" s="4"/>
      <c r="AD78" s="4"/>
      <c r="AE78" s="8"/>
      <c r="AF78" s="4"/>
      <c r="AG78" s="4"/>
      <c r="AH78" s="1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8"/>
      <c r="AX78" s="8"/>
      <c r="AY78" s="8"/>
      <c r="AZ78" s="8"/>
      <c r="BA78" s="12"/>
      <c r="BB78" s="8"/>
      <c r="BC78" s="4"/>
      <c r="BD78" s="4"/>
      <c r="BE78" s="8"/>
      <c r="BF78" s="8"/>
      <c r="BG78" s="8"/>
      <c r="BH78" s="8"/>
      <c r="BI78" s="8"/>
      <c r="BJ78" s="8"/>
      <c r="BK78" s="8"/>
      <c r="BL78" s="4" t="str">
        <f t="shared" si="3"/>
        <v/>
      </c>
      <c r="BM78" s="8" t="str">
        <f t="shared" si="4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s="8" t="s">
        <v>1651</v>
      </c>
      <c r="B79" s="8"/>
      <c r="C79" s="15" t="s">
        <v>1460</v>
      </c>
      <c r="D79" s="15" t="str">
        <f t="shared" si="5"/>
        <v/>
      </c>
      <c r="E79" s="15" t="str">
        <f>IF($A79="","",IF($A79="Neuron",IF(OR(AND($R79&lt;&gt;"",LOWER(TRIM($R79))&lt;&gt;"n/a",COUNTIF($S$2:$S$528,$R79)&gt;1),AND($T79&lt;&gt;"",LOWER(TRIM($T79))&lt;&gt;"n/a",COUNTIF($T$2:$T$528,$T79)&gt;1),AND($W79&lt;&gt;"",LOWER(TRIM($W79))&lt;&gt;"n/a",COUNTIF($W$2:$W$528,$W79)&gt;1)),"Yes","No"),IF($A79="Cybernet",IF(OR(AND($Y79&lt;&gt;"",LOWER(TRIM($Y79))&lt;&gt;"n/a",COUNTIF($Y$2:$Y$528,$Y79)&gt;1),AND($Z79&lt;&gt;"",LOWER(TRIM($Z79))&lt;&gt;"n/a",COUNTIF($Z$2:$Z$528,$Z79)&gt;1)),"Yes","No"),IF(AND($AL79&lt;&gt;"",LOWER(TRIM($AL79))&lt;&gt;"n/a",COUNTIF($AL$2:$AL$528,$AL79)&gt;1),"Yes","No"))))</f>
        <v>No</v>
      </c>
      <c r="F79" t="str">
        <f>IF($B79&lt;&gt;"Yes","",
IF($A79="Neuron",
IF(OR(
AND($R79&lt;&gt;"",LOWER(TRIM($R79))&lt;&gt;"n/a",COUNTIFS($B$2:$B$528,"Yes",$A$2:$A$528,"Neuron",$S$2:$S$528,$R79)&gt;1),
AND($T79&lt;&gt;"",LOWER(TRIM($T79))&lt;&gt;"n/a",COUNTIFS($B$2:$B$528,"Yes",$A$2:$A$528,"Neuron",$T$2:$T$528,$T79)&gt;1),
AND($W79&lt;&gt;"",LOWER(TRIM($W79))&lt;&gt;"n/a",COUNTIFS($B$2:$B$528,"Yes",$A$2:$A$528,"Neuron",$W$2:$W$528,$W79)&gt;1)
),"Yes","No"),
IF($A79="Cybernet",
IF(OR(
AND($Y79&lt;&gt;"",LOWER(TRIM($Y79))&lt;&gt;"n/a",COUNTIFS($B$2:$B$528,"Yes",$A$2:$A$528,"Cybernet",$Y$2:$Y$528,$Y79)&gt;1),
AND($Z79&lt;&gt;"",LOWER(TRIM($Z79))&lt;&gt;"n/a",COUNTIFS($B$2:$B$528,"Yes",$A$2:$A$528,"Cybernet",$Z$2:$Z$528,$Z79)&gt;1)
),"Yes","No"),
IF(AND($AL79&lt;&gt;"",LOWER(TRIM($AL79))&lt;&gt;"n/a"),
IF(COUNTIFS($B$2:$B$528,"Yes",$A$2:$A$528,$A79,$AL$2:$AL$528,$AL79)&gt;1,"Yes","No"),
"No")
)
)
)</f>
        <v/>
      </c>
      <c r="G79" s="4" t="s">
        <v>1698</v>
      </c>
      <c r="H79" s="4" t="s">
        <v>1793</v>
      </c>
      <c r="I79" s="4"/>
      <c r="J79" s="2" t="s">
        <v>1441</v>
      </c>
      <c r="K79" s="2" t="s">
        <v>1460</v>
      </c>
      <c r="L79" s="2" t="s">
        <v>1460</v>
      </c>
      <c r="M79" s="2"/>
      <c r="N79" s="4"/>
      <c r="O79" s="4"/>
      <c r="P79" s="4"/>
      <c r="Q79" s="4"/>
      <c r="R79" s="4" t="s">
        <v>1797</v>
      </c>
      <c r="T79" s="4"/>
      <c r="U79" s="4"/>
      <c r="V79" s="4"/>
      <c r="W79" s="4"/>
      <c r="X79" s="4"/>
      <c r="Y79" s="4" t="s">
        <v>1798</v>
      </c>
      <c r="Z79" s="4" t="s">
        <v>1799</v>
      </c>
      <c r="AA79" s="4"/>
      <c r="AB79" s="4"/>
      <c r="AC79" s="4"/>
      <c r="AD79" s="4"/>
      <c r="AE79" s="8"/>
      <c r="AF79" s="4"/>
      <c r="AG79" s="4"/>
      <c r="AH79" s="1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8"/>
      <c r="AX79" s="8"/>
      <c r="AY79" s="8"/>
      <c r="AZ79" s="8"/>
      <c r="BA79" s="12"/>
      <c r="BB79" s="8"/>
      <c r="BC79" s="4"/>
      <c r="BD79" s="4"/>
      <c r="BE79" s="8"/>
      <c r="BF79" s="8"/>
      <c r="BG79" s="8"/>
      <c r="BH79" s="8"/>
      <c r="BI79" s="8"/>
      <c r="BJ79" s="8"/>
      <c r="BK79" s="8"/>
      <c r="BL79" s="4" t="str">
        <f t="shared" si="3"/>
        <v/>
      </c>
      <c r="BM79" s="8" t="str">
        <f t="shared" si="4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s="8" t="s">
        <v>1651</v>
      </c>
      <c r="B80" s="8"/>
      <c r="C80" s="15" t="s">
        <v>1460</v>
      </c>
      <c r="D80" s="15" t="str">
        <f t="shared" si="5"/>
        <v/>
      </c>
      <c r="E80" s="15" t="str">
        <f>IF($A80="","",IF($A80="Neuron",IF(OR(AND($R80&lt;&gt;"",LOWER(TRIM($R80))&lt;&gt;"n/a",COUNTIF($S$2:$S$528,$R80)&gt;1),AND($T80&lt;&gt;"",LOWER(TRIM($T80))&lt;&gt;"n/a",COUNTIF($T$2:$T$528,$T80)&gt;1),AND($W80&lt;&gt;"",LOWER(TRIM($W80))&lt;&gt;"n/a",COUNTIF($W$2:$W$528,$W80)&gt;1)),"Yes","No"),IF($A80="Cybernet",IF(OR(AND($Y80&lt;&gt;"",LOWER(TRIM($Y80))&lt;&gt;"n/a",COUNTIF($Y$2:$Y$528,$Y80)&gt;1),AND($Z80&lt;&gt;"",LOWER(TRIM($Z80))&lt;&gt;"n/a",COUNTIF($Z$2:$Z$528,$Z80)&gt;1)),"Yes","No"),IF(AND($AL80&lt;&gt;"",LOWER(TRIM($AL80))&lt;&gt;"n/a",COUNTIF($AL$2:$AL$528,$AL80)&gt;1),"Yes","No"))))</f>
        <v>No</v>
      </c>
      <c r="F80" t="str">
        <f>IF($B80&lt;&gt;"Yes","",
IF($A80="Neuron",
IF(OR(
AND($R80&lt;&gt;"",LOWER(TRIM($R80))&lt;&gt;"n/a",COUNTIFS($B$2:$B$528,"Yes",$A$2:$A$528,"Neuron",$S$2:$S$528,$R80)&gt;1),
AND($T80&lt;&gt;"",LOWER(TRIM($T80))&lt;&gt;"n/a",COUNTIFS($B$2:$B$528,"Yes",$A$2:$A$528,"Neuron",$T$2:$T$528,$T80)&gt;1),
AND($W80&lt;&gt;"",LOWER(TRIM($W80))&lt;&gt;"n/a",COUNTIFS($B$2:$B$528,"Yes",$A$2:$A$528,"Neuron",$W$2:$W$528,$W80)&gt;1)
),"Yes","No"),
IF($A80="Cybernet",
IF(OR(
AND($Y80&lt;&gt;"",LOWER(TRIM($Y80))&lt;&gt;"n/a",COUNTIFS($B$2:$B$528,"Yes",$A$2:$A$528,"Cybernet",$Y$2:$Y$528,$Y80)&gt;1),
AND($Z80&lt;&gt;"",LOWER(TRIM($Z80))&lt;&gt;"n/a",COUNTIFS($B$2:$B$528,"Yes",$A$2:$A$528,"Cybernet",$Z$2:$Z$528,$Z80)&gt;1)
),"Yes","No"),
IF(AND($AL80&lt;&gt;"",LOWER(TRIM($AL80))&lt;&gt;"n/a"),
IF(COUNTIFS($B$2:$B$528,"Yes",$A$2:$A$528,$A80,$AL$2:$AL$528,$AL80)&gt;1,"Yes","No"),
"No")
)
)
)</f>
        <v/>
      </c>
      <c r="G80" s="4" t="s">
        <v>1698</v>
      </c>
      <c r="H80" s="4" t="s">
        <v>1793</v>
      </c>
      <c r="I80" s="4"/>
      <c r="J80" s="2" t="s">
        <v>1441</v>
      </c>
      <c r="K80" s="2" t="s">
        <v>1460</v>
      </c>
      <c r="L80" s="2" t="s">
        <v>1460</v>
      </c>
      <c r="M80" s="2"/>
      <c r="N80" s="4"/>
      <c r="O80" s="4"/>
      <c r="P80" s="4"/>
      <c r="Q80" s="4"/>
      <c r="R80" s="4" t="s">
        <v>1800</v>
      </c>
      <c r="T80" s="4"/>
      <c r="U80" s="4"/>
      <c r="V80" s="4"/>
      <c r="W80" s="4"/>
      <c r="X80" s="4"/>
      <c r="Y80" s="4" t="s">
        <v>1801</v>
      </c>
      <c r="Z80" s="4" t="s">
        <v>1802</v>
      </c>
      <c r="AA80" s="4"/>
      <c r="AB80" s="4"/>
      <c r="AC80" s="4"/>
      <c r="AD80" s="4"/>
      <c r="AE80" s="8"/>
      <c r="AF80" s="4"/>
      <c r="AG80" s="4"/>
      <c r="AH80" s="1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8"/>
      <c r="AX80" s="8"/>
      <c r="AY80" s="8"/>
      <c r="AZ80" s="8"/>
      <c r="BA80" s="12"/>
      <c r="BB80" s="8"/>
      <c r="BC80" s="4"/>
      <c r="BD80" s="4"/>
      <c r="BE80" s="8"/>
      <c r="BF80" s="8"/>
      <c r="BG80" s="8"/>
      <c r="BH80" s="8"/>
      <c r="BI80" s="8"/>
      <c r="BJ80" s="8"/>
      <c r="BK80" s="8"/>
      <c r="BL80" s="4" t="str">
        <f t="shared" si="3"/>
        <v/>
      </c>
      <c r="BM80" s="8" t="str">
        <f t="shared" si="4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s="8" t="s">
        <v>1651</v>
      </c>
      <c r="B81" s="8"/>
      <c r="C81" s="15" t="s">
        <v>1460</v>
      </c>
      <c r="D81" s="15" t="str">
        <f t="shared" si="5"/>
        <v/>
      </c>
      <c r="E81" s="15" t="str">
        <f>IF($A81="","",IF($A81="Neuron",IF(OR(AND($R81&lt;&gt;"",LOWER(TRIM($R81))&lt;&gt;"n/a",COUNTIF($S$2:$S$528,$R81)&gt;1),AND($T81&lt;&gt;"",LOWER(TRIM($T81))&lt;&gt;"n/a",COUNTIF($T$2:$T$528,$T81)&gt;1),AND($W81&lt;&gt;"",LOWER(TRIM($W81))&lt;&gt;"n/a",COUNTIF($W$2:$W$528,$W81)&gt;1)),"Yes","No"),IF($A81="Cybernet",IF(OR(AND($Y81&lt;&gt;"",LOWER(TRIM($Y81))&lt;&gt;"n/a",COUNTIF($Y$2:$Y$528,$Y81)&gt;1),AND($Z81&lt;&gt;"",LOWER(TRIM($Z81))&lt;&gt;"n/a",COUNTIF($Z$2:$Z$528,$Z81)&gt;1)),"Yes","No"),IF(AND($AL81&lt;&gt;"",LOWER(TRIM($AL81))&lt;&gt;"n/a",COUNTIF($AL$2:$AL$528,$AL81)&gt;1),"Yes","No"))))</f>
        <v>No</v>
      </c>
      <c r="F81" t="str">
        <f>IF($B81&lt;&gt;"Yes","",
IF($A81="Neuron",
IF(OR(
AND($R81&lt;&gt;"",LOWER(TRIM($R81))&lt;&gt;"n/a",COUNTIFS($B$2:$B$528,"Yes",$A$2:$A$528,"Neuron",$S$2:$S$528,$R81)&gt;1),
AND($T81&lt;&gt;"",LOWER(TRIM($T81))&lt;&gt;"n/a",COUNTIFS($B$2:$B$528,"Yes",$A$2:$A$528,"Neuron",$T$2:$T$528,$T81)&gt;1),
AND($W81&lt;&gt;"",LOWER(TRIM($W81))&lt;&gt;"n/a",COUNTIFS($B$2:$B$528,"Yes",$A$2:$A$528,"Neuron",$W$2:$W$528,$W81)&gt;1)
),"Yes","No"),
IF($A81="Cybernet",
IF(OR(
AND($Y81&lt;&gt;"",LOWER(TRIM($Y81))&lt;&gt;"n/a",COUNTIFS($B$2:$B$528,"Yes",$A$2:$A$528,"Cybernet",$Y$2:$Y$528,$Y81)&gt;1),
AND($Z81&lt;&gt;"",LOWER(TRIM($Z81))&lt;&gt;"n/a",COUNTIFS($B$2:$B$528,"Yes",$A$2:$A$528,"Cybernet",$Z$2:$Z$528,$Z81)&gt;1)
),"Yes","No"),
IF(AND($AL81&lt;&gt;"",LOWER(TRIM($AL81))&lt;&gt;"n/a"),
IF(COUNTIFS($B$2:$B$528,"Yes",$A$2:$A$528,$A81,$AL$2:$AL$528,$AL81)&gt;1,"Yes","No"),
"No")
)
)
)</f>
        <v/>
      </c>
      <c r="G81" s="4" t="s">
        <v>1698</v>
      </c>
      <c r="H81" s="4" t="s">
        <v>1793</v>
      </c>
      <c r="I81" s="4"/>
      <c r="J81" s="2" t="s">
        <v>1441</v>
      </c>
      <c r="K81" s="2" t="s">
        <v>1460</v>
      </c>
      <c r="L81" s="2" t="s">
        <v>1460</v>
      </c>
      <c r="M81" s="2"/>
      <c r="N81" s="4"/>
      <c r="O81" s="4"/>
      <c r="P81" s="4"/>
      <c r="Q81" s="4"/>
      <c r="R81" s="4" t="s">
        <v>1803</v>
      </c>
      <c r="T81" s="4"/>
      <c r="U81" s="4"/>
      <c r="V81" s="4"/>
      <c r="W81" s="4"/>
      <c r="X81" s="4"/>
      <c r="Y81" s="4" t="s">
        <v>1804</v>
      </c>
      <c r="Z81" s="4" t="s">
        <v>1805</v>
      </c>
      <c r="AA81" s="4"/>
      <c r="AB81" s="4"/>
      <c r="AC81" s="4"/>
      <c r="AD81" s="4"/>
      <c r="AE81" s="8"/>
      <c r="AF81" s="4"/>
      <c r="AG81" s="4"/>
      <c r="AH81" s="1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8"/>
      <c r="AX81" s="8"/>
      <c r="AY81" s="8"/>
      <c r="AZ81" s="8"/>
      <c r="BA81" s="12"/>
      <c r="BB81" s="8"/>
      <c r="BC81" s="4"/>
      <c r="BD81" s="4"/>
      <c r="BE81" s="8"/>
      <c r="BF81" s="8"/>
      <c r="BG81" s="8"/>
      <c r="BH81" s="8"/>
      <c r="BI81" s="8"/>
      <c r="BJ81" s="8"/>
      <c r="BK81" s="8"/>
      <c r="BL81" s="4" t="str">
        <f t="shared" si="3"/>
        <v/>
      </c>
      <c r="BM81" s="8" t="str">
        <f t="shared" si="4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s="8" t="s">
        <v>1651</v>
      </c>
      <c r="B82" s="8"/>
      <c r="C82" s="15" t="s">
        <v>1460</v>
      </c>
      <c r="D82" s="15" t="str">
        <f t="shared" si="5"/>
        <v/>
      </c>
      <c r="E82" s="15" t="str">
        <f>IF($A82="","",IF($A82="Neuron",IF(OR(AND($R82&lt;&gt;"",LOWER(TRIM($R82))&lt;&gt;"n/a",COUNTIF($S$2:$S$528,$R82)&gt;1),AND($T82&lt;&gt;"",LOWER(TRIM($T82))&lt;&gt;"n/a",COUNTIF($T$2:$T$528,$T82)&gt;1),AND($W82&lt;&gt;"",LOWER(TRIM($W82))&lt;&gt;"n/a",COUNTIF($W$2:$W$528,$W82)&gt;1)),"Yes","No"),IF($A82="Cybernet",IF(OR(AND($Y82&lt;&gt;"",LOWER(TRIM($Y82))&lt;&gt;"n/a",COUNTIF($Y$2:$Y$528,$Y82)&gt;1),AND($Z82&lt;&gt;"",LOWER(TRIM($Z82))&lt;&gt;"n/a",COUNTIF($Z$2:$Z$528,$Z82)&gt;1)),"Yes","No"),IF(AND($AL82&lt;&gt;"",LOWER(TRIM($AL82))&lt;&gt;"n/a",COUNTIF($AL$2:$AL$528,$AL82)&gt;1),"Yes","No"))))</f>
        <v>No</v>
      </c>
      <c r="F82" t="str">
        <f>IF($B82&lt;&gt;"Yes","",
IF($A82="Neuron",
IF(OR(
AND($R82&lt;&gt;"",LOWER(TRIM($R82))&lt;&gt;"n/a",COUNTIFS($B$2:$B$528,"Yes",$A$2:$A$528,"Neuron",$S$2:$S$528,$R82)&gt;1),
AND($T82&lt;&gt;"",LOWER(TRIM($T82))&lt;&gt;"n/a",COUNTIFS($B$2:$B$528,"Yes",$A$2:$A$528,"Neuron",$T$2:$T$528,$T82)&gt;1),
AND($W82&lt;&gt;"",LOWER(TRIM($W82))&lt;&gt;"n/a",COUNTIFS($B$2:$B$528,"Yes",$A$2:$A$528,"Neuron",$W$2:$W$528,$W82)&gt;1)
),"Yes","No"),
IF($A82="Cybernet",
IF(OR(
AND($Y82&lt;&gt;"",LOWER(TRIM($Y82))&lt;&gt;"n/a",COUNTIFS($B$2:$B$528,"Yes",$A$2:$A$528,"Cybernet",$Y$2:$Y$528,$Y82)&gt;1),
AND($Z82&lt;&gt;"",LOWER(TRIM($Z82))&lt;&gt;"n/a",COUNTIFS($B$2:$B$528,"Yes",$A$2:$A$528,"Cybernet",$Z$2:$Z$528,$Z82)&gt;1)
),"Yes","No"),
IF(AND($AL82&lt;&gt;"",LOWER(TRIM($AL82))&lt;&gt;"n/a"),
IF(COUNTIFS($B$2:$B$528,"Yes",$A$2:$A$528,$A82,$AL$2:$AL$528,$AL82)&gt;1,"Yes","No"),
"No")
)
)
)</f>
        <v/>
      </c>
      <c r="G82" s="4" t="s">
        <v>1698</v>
      </c>
      <c r="H82" s="4" t="s">
        <v>1793</v>
      </c>
      <c r="I82" s="4"/>
      <c r="J82" s="2" t="s">
        <v>1441</v>
      </c>
      <c r="K82" s="2" t="s">
        <v>1460</v>
      </c>
      <c r="L82" s="2" t="s">
        <v>1460</v>
      </c>
      <c r="M82" s="2"/>
      <c r="N82" s="4"/>
      <c r="O82" s="4"/>
      <c r="P82" s="4"/>
      <c r="Q82" s="4"/>
      <c r="R82" s="4" t="s">
        <v>1806</v>
      </c>
      <c r="T82" s="4"/>
      <c r="U82" s="4"/>
      <c r="V82" s="4"/>
      <c r="W82" s="4"/>
      <c r="X82" s="4"/>
      <c r="Y82" s="4" t="s">
        <v>1807</v>
      </c>
      <c r="Z82" s="4" t="s">
        <v>1808</v>
      </c>
      <c r="AA82" s="4"/>
      <c r="AB82" s="4"/>
      <c r="AC82" s="4"/>
      <c r="AD82" s="4"/>
      <c r="AE82" s="8"/>
      <c r="AF82" s="4"/>
      <c r="AG82" s="4"/>
      <c r="AH82" s="1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8"/>
      <c r="AX82" s="8"/>
      <c r="AY82" s="8"/>
      <c r="AZ82" s="8"/>
      <c r="BA82" s="12"/>
      <c r="BB82" s="8"/>
      <c r="BC82" s="4"/>
      <c r="BD82" s="4"/>
      <c r="BE82" s="8"/>
      <c r="BF82" s="8"/>
      <c r="BG82" s="8"/>
      <c r="BH82" s="8"/>
      <c r="BI82" s="8"/>
      <c r="BJ82" s="8"/>
      <c r="BK82" s="8"/>
      <c r="BL82" s="4" t="str">
        <f t="shared" si="3"/>
        <v/>
      </c>
      <c r="BM82" s="8" t="str">
        <f t="shared" si="4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s="8" t="s">
        <v>1651</v>
      </c>
      <c r="B83" s="8"/>
      <c r="C83" s="15" t="s">
        <v>1460</v>
      </c>
      <c r="D83" s="15" t="str">
        <f t="shared" si="5"/>
        <v/>
      </c>
      <c r="E83" s="15" t="str">
        <f>IF($A83="","",IF($A83="Neuron",IF(OR(AND($R83&lt;&gt;"",LOWER(TRIM($R83))&lt;&gt;"n/a",COUNTIF($S$2:$S$528,$R83)&gt;1),AND($T83&lt;&gt;"",LOWER(TRIM($T83))&lt;&gt;"n/a",COUNTIF($T$2:$T$528,$T83)&gt;1),AND($W83&lt;&gt;"",LOWER(TRIM($W83))&lt;&gt;"n/a",COUNTIF($W$2:$W$528,$W83)&gt;1)),"Yes","No"),IF($A83="Cybernet",IF(OR(AND($Y83&lt;&gt;"",LOWER(TRIM($Y83))&lt;&gt;"n/a",COUNTIF($Y$2:$Y$528,$Y83)&gt;1),AND($Z83&lt;&gt;"",LOWER(TRIM($Z83))&lt;&gt;"n/a",COUNTIF($Z$2:$Z$528,$Z83)&gt;1)),"Yes","No"),IF(AND($AL83&lt;&gt;"",LOWER(TRIM($AL83))&lt;&gt;"n/a",COUNTIF($AL$2:$AL$528,$AL83)&gt;1),"Yes","No"))))</f>
        <v>No</v>
      </c>
      <c r="F83" t="str">
        <f>IF($B83&lt;&gt;"Yes","",
IF($A83="Neuron",
IF(OR(
AND($R83&lt;&gt;"",LOWER(TRIM($R83))&lt;&gt;"n/a",COUNTIFS($B$2:$B$528,"Yes",$A$2:$A$528,"Neuron",$S$2:$S$528,$R83)&gt;1),
AND($T83&lt;&gt;"",LOWER(TRIM($T83))&lt;&gt;"n/a",COUNTIFS($B$2:$B$528,"Yes",$A$2:$A$528,"Neuron",$T$2:$T$528,$T83)&gt;1),
AND($W83&lt;&gt;"",LOWER(TRIM($W83))&lt;&gt;"n/a",COUNTIFS($B$2:$B$528,"Yes",$A$2:$A$528,"Neuron",$W$2:$W$528,$W83)&gt;1)
),"Yes","No"),
IF($A83="Cybernet",
IF(OR(
AND($Y83&lt;&gt;"",LOWER(TRIM($Y83))&lt;&gt;"n/a",COUNTIFS($B$2:$B$528,"Yes",$A$2:$A$528,"Cybernet",$Y$2:$Y$528,$Y83)&gt;1),
AND($Z83&lt;&gt;"",LOWER(TRIM($Z83))&lt;&gt;"n/a",COUNTIFS($B$2:$B$528,"Yes",$A$2:$A$528,"Cybernet",$Z$2:$Z$528,$Z83)&gt;1)
),"Yes","No"),
IF(AND($AL83&lt;&gt;"",LOWER(TRIM($AL83))&lt;&gt;"n/a"),
IF(COUNTIFS($B$2:$B$528,"Yes",$A$2:$A$528,$A83,$AL$2:$AL$528,$AL83)&gt;1,"Yes","No"),
"No")
)
)
)</f>
        <v/>
      </c>
      <c r="G83" s="4" t="s">
        <v>1698</v>
      </c>
      <c r="H83" s="4" t="s">
        <v>1793</v>
      </c>
      <c r="I83" s="4"/>
      <c r="J83" s="2" t="s">
        <v>1441</v>
      </c>
      <c r="K83" s="2" t="s">
        <v>1460</v>
      </c>
      <c r="L83" s="2" t="s">
        <v>1460</v>
      </c>
      <c r="M83" s="2"/>
      <c r="N83" s="4"/>
      <c r="O83" s="4"/>
      <c r="P83" s="4"/>
      <c r="Q83" s="4"/>
      <c r="R83" s="4" t="s">
        <v>1809</v>
      </c>
      <c r="T83" s="4"/>
      <c r="U83" s="4"/>
      <c r="V83" s="4"/>
      <c r="W83" s="4"/>
      <c r="X83" s="4"/>
      <c r="Y83" s="4" t="s">
        <v>1810</v>
      </c>
      <c r="Z83" s="4" t="s">
        <v>1811</v>
      </c>
      <c r="AA83" s="4"/>
      <c r="AB83" s="4"/>
      <c r="AC83" s="4"/>
      <c r="AD83" s="4"/>
      <c r="AE83" s="8"/>
      <c r="AF83" s="4"/>
      <c r="AG83" s="4"/>
      <c r="AH83" s="1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8"/>
      <c r="AX83" s="8"/>
      <c r="AY83" s="8"/>
      <c r="AZ83" s="8"/>
      <c r="BA83" s="12"/>
      <c r="BB83" s="8"/>
      <c r="BC83" s="4"/>
      <c r="BD83" s="4"/>
      <c r="BE83" s="8"/>
      <c r="BF83" s="8"/>
      <c r="BG83" s="8"/>
      <c r="BH83" s="8"/>
      <c r="BI83" s="8"/>
      <c r="BJ83" s="8"/>
      <c r="BK83" s="8"/>
      <c r="BL83" s="4" t="str">
        <f t="shared" si="3"/>
        <v/>
      </c>
      <c r="BM83" s="8" t="str">
        <f t="shared" si="4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s="8" t="s">
        <v>1651</v>
      </c>
      <c r="B84" s="8"/>
      <c r="C84" s="15" t="s">
        <v>1460</v>
      </c>
      <c r="D84" s="15" t="str">
        <f t="shared" si="5"/>
        <v/>
      </c>
      <c r="E84" s="15" t="str">
        <f>IF($A84="","",IF($A84="Neuron",IF(OR(AND($R84&lt;&gt;"",LOWER(TRIM($R84))&lt;&gt;"n/a",COUNTIF($S$2:$S$528,$R84)&gt;1),AND($T84&lt;&gt;"",LOWER(TRIM($T84))&lt;&gt;"n/a",COUNTIF($T$2:$T$528,$T84)&gt;1),AND($W84&lt;&gt;"",LOWER(TRIM($W84))&lt;&gt;"n/a",COUNTIF($W$2:$W$528,$W84)&gt;1)),"Yes","No"),IF($A84="Cybernet",IF(OR(AND($Y84&lt;&gt;"",LOWER(TRIM($Y84))&lt;&gt;"n/a",COUNTIF($Y$2:$Y$528,$Y84)&gt;1),AND($Z84&lt;&gt;"",LOWER(TRIM($Z84))&lt;&gt;"n/a",COUNTIF($Z$2:$Z$528,$Z84)&gt;1)),"Yes","No"),IF(AND($AL84&lt;&gt;"",LOWER(TRIM($AL84))&lt;&gt;"n/a",COUNTIF($AL$2:$AL$528,$AL84)&gt;1),"Yes","No"))))</f>
        <v>No</v>
      </c>
      <c r="F84" t="str">
        <f>IF($B84&lt;&gt;"Yes","",
IF($A84="Neuron",
IF(OR(
AND($R84&lt;&gt;"",LOWER(TRIM($R84))&lt;&gt;"n/a",COUNTIFS($B$2:$B$528,"Yes",$A$2:$A$528,"Neuron",$S$2:$S$528,$R84)&gt;1),
AND($T84&lt;&gt;"",LOWER(TRIM($T84))&lt;&gt;"n/a",COUNTIFS($B$2:$B$528,"Yes",$A$2:$A$528,"Neuron",$T$2:$T$528,$T84)&gt;1),
AND($W84&lt;&gt;"",LOWER(TRIM($W84))&lt;&gt;"n/a",COUNTIFS($B$2:$B$528,"Yes",$A$2:$A$528,"Neuron",$W$2:$W$528,$W84)&gt;1)
),"Yes","No"),
IF($A84="Cybernet",
IF(OR(
AND($Y84&lt;&gt;"",LOWER(TRIM($Y84))&lt;&gt;"n/a",COUNTIFS($B$2:$B$528,"Yes",$A$2:$A$528,"Cybernet",$Y$2:$Y$528,$Y84)&gt;1),
AND($Z84&lt;&gt;"",LOWER(TRIM($Z84))&lt;&gt;"n/a",COUNTIFS($B$2:$B$528,"Yes",$A$2:$A$528,"Cybernet",$Z$2:$Z$528,$Z84)&gt;1)
),"Yes","No"),
IF(AND($AL84&lt;&gt;"",LOWER(TRIM($AL84))&lt;&gt;"n/a"),
IF(COUNTIFS($B$2:$B$528,"Yes",$A$2:$A$528,$A84,$AL$2:$AL$528,$AL84)&gt;1,"Yes","No"),
"No")
)
)
)</f>
        <v/>
      </c>
      <c r="G84" s="4" t="s">
        <v>1698</v>
      </c>
      <c r="H84" s="4" t="s">
        <v>1793</v>
      </c>
      <c r="I84" s="4"/>
      <c r="J84" s="2" t="s">
        <v>1441</v>
      </c>
      <c r="K84" s="2" t="s">
        <v>1460</v>
      </c>
      <c r="L84" s="2" t="s">
        <v>1460</v>
      </c>
      <c r="M84" s="2"/>
      <c r="N84" s="4"/>
      <c r="O84" s="4"/>
      <c r="P84" s="4"/>
      <c r="Q84" s="4"/>
      <c r="R84" s="4" t="s">
        <v>1812</v>
      </c>
      <c r="T84" s="4"/>
      <c r="U84" s="4"/>
      <c r="V84" s="4"/>
      <c r="W84" s="4"/>
      <c r="X84" s="4"/>
      <c r="Y84" s="4" t="s">
        <v>1813</v>
      </c>
      <c r="Z84" s="4" t="s">
        <v>1814</v>
      </c>
      <c r="AA84" s="4"/>
      <c r="AB84" s="4"/>
      <c r="AC84" s="4"/>
      <c r="AD84" s="4"/>
      <c r="AE84" s="8"/>
      <c r="AF84" s="4"/>
      <c r="AG84" s="4"/>
      <c r="AH84" s="1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8"/>
      <c r="AX84" s="8"/>
      <c r="AY84" s="8"/>
      <c r="AZ84" s="8"/>
      <c r="BA84" s="12"/>
      <c r="BB84" s="8"/>
      <c r="BC84" s="4"/>
      <c r="BD84" s="4"/>
      <c r="BE84" s="8"/>
      <c r="BF84" s="8"/>
      <c r="BG84" s="8"/>
      <c r="BH84" s="8"/>
      <c r="BI84" s="8"/>
      <c r="BJ84" s="8"/>
      <c r="BK84" s="8"/>
      <c r="BL84" s="4" t="str">
        <f t="shared" si="3"/>
        <v/>
      </c>
      <c r="BM84" s="8" t="str">
        <f t="shared" si="4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s="8" t="s">
        <v>1651</v>
      </c>
      <c r="B85" s="8" t="s">
        <v>1460</v>
      </c>
      <c r="C85" s="15" t="s">
        <v>1460</v>
      </c>
      <c r="D85" s="15" t="str">
        <f t="shared" si="5"/>
        <v/>
      </c>
      <c r="E85" s="15" t="str">
        <f>IF($A85="","",IF($A85="Neuron",IF(OR(AND($R85&lt;&gt;"",LOWER(TRIM($R85))&lt;&gt;"n/a",COUNTIF($S$2:$S$528,$R85)&gt;1),AND($T85&lt;&gt;"",LOWER(TRIM($T85))&lt;&gt;"n/a",COUNTIF($T$2:$T$528,$T85)&gt;1),AND($W85&lt;&gt;"",LOWER(TRIM($W85))&lt;&gt;"n/a",COUNTIF($W$2:$W$528,$W85)&gt;1)),"Yes","No"),IF($A85="Cybernet",IF(OR(AND($Y85&lt;&gt;"",LOWER(TRIM($Y85))&lt;&gt;"n/a",COUNTIF($Y$2:$Y$528,$Y85)&gt;1),AND($Z85&lt;&gt;"",LOWER(TRIM($Z85))&lt;&gt;"n/a",COUNTIF($Z$2:$Z$528,$Z85)&gt;1)),"Yes","No"),IF(AND($AL85&lt;&gt;"",LOWER(TRIM($AL85))&lt;&gt;"n/a",COUNTIF($AL$2:$AL$528,$AL85)&gt;1),"Yes","No"))))</f>
        <v>No</v>
      </c>
      <c r="F85" t="str">
        <f>IF($B85&lt;&gt;"Yes","",
IF($A85="Neuron",
IF(OR(
AND($R85&lt;&gt;"",LOWER(TRIM($R85))&lt;&gt;"n/a",COUNTIFS($B$2:$B$528,"Yes",$A$2:$A$528,"Neuron",$S$2:$S$528,$R85)&gt;1),
AND($T85&lt;&gt;"",LOWER(TRIM($T85))&lt;&gt;"n/a",COUNTIFS($B$2:$B$528,"Yes",$A$2:$A$528,"Neuron",$T$2:$T$528,$T85)&gt;1),
AND($W85&lt;&gt;"",LOWER(TRIM($W85))&lt;&gt;"n/a",COUNTIFS($B$2:$B$528,"Yes",$A$2:$A$528,"Neuron",$W$2:$W$528,$W85)&gt;1)
),"Yes","No"),
IF($A85="Cybernet",
IF(OR(
AND($Y85&lt;&gt;"",LOWER(TRIM($Y85))&lt;&gt;"n/a",COUNTIFS($B$2:$B$528,"Yes",$A$2:$A$528,"Cybernet",$Y$2:$Y$528,$Y85)&gt;1),
AND($Z85&lt;&gt;"",LOWER(TRIM($Z85))&lt;&gt;"n/a",COUNTIFS($B$2:$B$528,"Yes",$A$2:$A$528,"Cybernet",$Z$2:$Z$528,$Z85)&gt;1)
),"Yes","No"),
IF(AND($AL85&lt;&gt;"",LOWER(TRIM($AL85))&lt;&gt;"n/a"),
IF(COUNTIFS($B$2:$B$528,"Yes",$A$2:$A$528,$A85,$AL$2:$AL$528,$AL85)&gt;1,"Yes","No"),
"No")
)
)
)</f>
        <v/>
      </c>
      <c r="G85" s="4" t="s">
        <v>1698</v>
      </c>
      <c r="H85" s="4" t="s">
        <v>1765</v>
      </c>
      <c r="I85" s="4"/>
      <c r="J85" s="2" t="s">
        <v>1441</v>
      </c>
      <c r="K85" s="2" t="s">
        <v>1460</v>
      </c>
      <c r="L85" s="2" t="s">
        <v>1460</v>
      </c>
      <c r="M85" s="2"/>
      <c r="N85" s="4"/>
      <c r="O85" s="4"/>
      <c r="P85" s="4"/>
      <c r="Q85" s="4"/>
      <c r="R85" s="4" t="s">
        <v>1815</v>
      </c>
      <c r="T85" s="4"/>
      <c r="U85" s="4"/>
      <c r="V85" s="4"/>
      <c r="W85" s="4"/>
      <c r="X85" s="4"/>
      <c r="Y85" s="4" t="s">
        <v>1816</v>
      </c>
      <c r="Z85" s="4" t="s">
        <v>1817</v>
      </c>
      <c r="AA85" s="4"/>
      <c r="AB85" s="4"/>
      <c r="AC85" s="4"/>
      <c r="AD85" s="4"/>
      <c r="AE85" s="8"/>
      <c r="AF85" s="4"/>
      <c r="AG85" s="4"/>
      <c r="AH85" s="1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8"/>
      <c r="AX85" s="8"/>
      <c r="AY85" s="8"/>
      <c r="AZ85" s="8"/>
      <c r="BA85" s="12"/>
      <c r="BB85" s="8"/>
      <c r="BC85" s="4"/>
      <c r="BD85" s="4"/>
      <c r="BE85" s="8"/>
      <c r="BF85" s="8"/>
      <c r="BG85" s="8"/>
      <c r="BH85" s="8"/>
      <c r="BI85" s="8"/>
      <c r="BJ85" s="8"/>
      <c r="BK85" s="8"/>
      <c r="BL85" s="4" t="str">
        <f t="shared" si="3"/>
        <v/>
      </c>
      <c r="BM85" s="8" t="str">
        <f t="shared" si="4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s="8" t="s">
        <v>1651</v>
      </c>
      <c r="B86" s="8" t="s">
        <v>1460</v>
      </c>
      <c r="C86" s="15" t="s">
        <v>1460</v>
      </c>
      <c r="D86" s="15" t="str">
        <f t="shared" si="5"/>
        <v/>
      </c>
      <c r="E86" s="15" t="str">
        <f>IF($A86="","",IF($A86="Neuron",IF(OR(AND($R86&lt;&gt;"",LOWER(TRIM($R86))&lt;&gt;"n/a",COUNTIF($S$2:$S$528,$R86)&gt;1),AND($T86&lt;&gt;"",LOWER(TRIM($T86))&lt;&gt;"n/a",COUNTIF($T$2:$T$528,$T86)&gt;1),AND($W86&lt;&gt;"",LOWER(TRIM($W86))&lt;&gt;"n/a",COUNTIF($W$2:$W$528,$W86)&gt;1)),"Yes","No"),IF($A86="Cybernet",IF(OR(AND($Y86&lt;&gt;"",LOWER(TRIM($Y86))&lt;&gt;"n/a",COUNTIF($Y$2:$Y$528,$Y86)&gt;1),AND($Z86&lt;&gt;"",LOWER(TRIM($Z86))&lt;&gt;"n/a",COUNTIF($Z$2:$Z$528,$Z86)&gt;1)),"Yes","No"),IF(AND($AL86&lt;&gt;"",LOWER(TRIM($AL86))&lt;&gt;"n/a",COUNTIF($AL$2:$AL$528,$AL86)&gt;1),"Yes","No"))))</f>
        <v>No</v>
      </c>
      <c r="F86" t="str">
        <f>IF($B86&lt;&gt;"Yes","",
IF($A86="Neuron",
IF(OR(
AND($R86&lt;&gt;"",LOWER(TRIM($R86))&lt;&gt;"n/a",COUNTIFS($B$2:$B$528,"Yes",$A$2:$A$528,"Neuron",$S$2:$S$528,$R86)&gt;1),
AND($T86&lt;&gt;"",LOWER(TRIM($T86))&lt;&gt;"n/a",COUNTIFS($B$2:$B$528,"Yes",$A$2:$A$528,"Neuron",$T$2:$T$528,$T86)&gt;1),
AND($W86&lt;&gt;"",LOWER(TRIM($W86))&lt;&gt;"n/a",COUNTIFS($B$2:$B$528,"Yes",$A$2:$A$528,"Neuron",$W$2:$W$528,$W86)&gt;1)
),"Yes","No"),
IF($A86="Cybernet",
IF(OR(
AND($Y86&lt;&gt;"",LOWER(TRIM($Y86))&lt;&gt;"n/a",COUNTIFS($B$2:$B$528,"Yes",$A$2:$A$528,"Cybernet",$Y$2:$Y$528,$Y86)&gt;1),
AND($Z86&lt;&gt;"",LOWER(TRIM($Z86))&lt;&gt;"n/a",COUNTIFS($B$2:$B$528,"Yes",$A$2:$A$528,"Cybernet",$Z$2:$Z$528,$Z86)&gt;1)
),"Yes","No"),
IF(AND($AL86&lt;&gt;"",LOWER(TRIM($AL86))&lt;&gt;"n/a"),
IF(COUNTIFS($B$2:$B$528,"Yes",$A$2:$A$528,$A86,$AL$2:$AL$528,$AL86)&gt;1,"Yes","No"),
"No")
)
)
)</f>
        <v/>
      </c>
      <c r="G86" s="4" t="s">
        <v>1698</v>
      </c>
      <c r="H86" s="4" t="s">
        <v>1765</v>
      </c>
      <c r="I86" s="4"/>
      <c r="J86" s="2" t="s">
        <v>1441</v>
      </c>
      <c r="K86" s="2" t="s">
        <v>1460</v>
      </c>
      <c r="L86" s="2" t="s">
        <v>1460</v>
      </c>
      <c r="M86" s="2"/>
      <c r="N86" s="4"/>
      <c r="O86" s="4"/>
      <c r="P86" s="4"/>
      <c r="Q86" s="4"/>
      <c r="R86" s="4" t="s">
        <v>1818</v>
      </c>
      <c r="T86" s="4"/>
      <c r="U86" s="4"/>
      <c r="V86" s="4"/>
      <c r="W86" s="4"/>
      <c r="X86" s="4"/>
      <c r="Y86" s="20" t="s">
        <v>1819</v>
      </c>
      <c r="Z86" s="4" t="s">
        <v>1820</v>
      </c>
      <c r="AA86" s="4"/>
      <c r="AB86" s="4"/>
      <c r="AC86" s="4"/>
      <c r="AD86" s="4"/>
      <c r="AE86" s="8"/>
      <c r="AF86" s="4"/>
      <c r="AG86" s="4"/>
      <c r="AH86" s="1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8"/>
      <c r="AX86" s="8"/>
      <c r="AY86" s="8"/>
      <c r="AZ86" s="8"/>
      <c r="BA86" s="12"/>
      <c r="BB86" s="8"/>
      <c r="BC86" s="4"/>
      <c r="BD86" s="4"/>
      <c r="BE86" s="8"/>
      <c r="BF86" s="8"/>
      <c r="BG86" s="8"/>
      <c r="BH86" s="8"/>
      <c r="BI86" s="8"/>
      <c r="BJ86" s="8"/>
      <c r="BK86" s="8"/>
      <c r="BL86" s="4" t="str">
        <f t="shared" si="3"/>
        <v/>
      </c>
      <c r="BM86" s="8" t="str">
        <f t="shared" si="4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s="58" t="s">
        <v>1651</v>
      </c>
      <c r="B87" s="58" t="s">
        <v>1460</v>
      </c>
      <c r="C87" s="15" t="s">
        <v>1460</v>
      </c>
      <c r="D87" s="15" t="str">
        <f t="shared" si="5"/>
        <v/>
      </c>
      <c r="E87" s="15" t="str">
        <f>IF($A87="","",IF($A87="Neuron",IF(OR(AND($R87&lt;&gt;"",LOWER(TRIM($R87))&lt;&gt;"n/a",COUNTIF($S$2:$S$528,$R87)&gt;1),AND($T87&lt;&gt;"",LOWER(TRIM($T87))&lt;&gt;"n/a",COUNTIF($T$2:$T$528,$T87)&gt;1),AND($W87&lt;&gt;"",LOWER(TRIM($W87))&lt;&gt;"n/a",COUNTIF($W$2:$W$528,$W87)&gt;1)),"Yes","No"),IF($A87="Cybernet",IF(OR(AND($Y87&lt;&gt;"",LOWER(TRIM($Y87))&lt;&gt;"n/a",COUNTIF($Y$2:$Y$528,$Y87)&gt;1),AND($Z87&lt;&gt;"",LOWER(TRIM($Z87))&lt;&gt;"n/a",COUNTIF($Z$2:$Z$528,$Z87)&gt;1)),"Yes","No"),IF(AND($AL87&lt;&gt;"",LOWER(TRIM($AL87))&lt;&gt;"n/a",COUNTIF($AL$2:$AL$528,$AL87)&gt;1),"Yes","No"))))</f>
        <v>No</v>
      </c>
      <c r="F87" t="str">
        <f>IF($B87&lt;&gt;"Yes","",
IF($A87="Neuron",
IF(OR(
AND($R87&lt;&gt;"",LOWER(TRIM($R87))&lt;&gt;"n/a",COUNTIFS($B$2:$B$528,"Yes",$A$2:$A$528,"Neuron",$S$2:$S$528,$R87)&gt;1),
AND($T87&lt;&gt;"",LOWER(TRIM($T87))&lt;&gt;"n/a",COUNTIFS($B$2:$B$528,"Yes",$A$2:$A$528,"Neuron",$T$2:$T$528,$T87)&gt;1),
AND($W87&lt;&gt;"",LOWER(TRIM($W87))&lt;&gt;"n/a",COUNTIFS($B$2:$B$528,"Yes",$A$2:$A$528,"Neuron",$W$2:$W$528,$W87)&gt;1)
),"Yes","No"),
IF($A87="Cybernet",
IF(OR(
AND($Y87&lt;&gt;"",LOWER(TRIM($Y87))&lt;&gt;"n/a",COUNTIFS($B$2:$B$528,"Yes",$A$2:$A$528,"Cybernet",$Y$2:$Y$528,$Y87)&gt;1),
AND($Z87&lt;&gt;"",LOWER(TRIM($Z87))&lt;&gt;"n/a",COUNTIFS($B$2:$B$528,"Yes",$A$2:$A$528,"Cybernet",$Z$2:$Z$528,$Z87)&gt;1)
),"Yes","No"),
IF(AND($AL87&lt;&gt;"",LOWER(TRIM($AL87))&lt;&gt;"n/a"),
IF(COUNTIFS($B$2:$B$528,"Yes",$A$2:$A$528,$A87,$AL$2:$AL$528,$AL87)&gt;1,"Yes","No"),
"No")
)
)
)</f>
        <v/>
      </c>
      <c r="G87" s="59" t="s">
        <v>1698</v>
      </c>
      <c r="H87" s="59" t="s">
        <v>1765</v>
      </c>
      <c r="I87" s="59"/>
      <c r="J87" s="2" t="s">
        <v>1441</v>
      </c>
      <c r="K87" s="2" t="s">
        <v>1460</v>
      </c>
      <c r="L87" s="2" t="s">
        <v>1460</v>
      </c>
      <c r="M87" s="2"/>
      <c r="N87" s="59"/>
      <c r="O87" s="59"/>
      <c r="P87" s="59"/>
      <c r="Q87" s="59"/>
      <c r="R87" s="59" t="s">
        <v>1821</v>
      </c>
      <c r="T87" s="59"/>
      <c r="U87" s="59"/>
      <c r="V87" s="59"/>
      <c r="W87" s="59"/>
      <c r="X87" s="59"/>
      <c r="Y87" s="60" t="s">
        <v>1822</v>
      </c>
      <c r="Z87" s="59" t="s">
        <v>1823</v>
      </c>
      <c r="AA87" s="59"/>
      <c r="AB87" s="59"/>
      <c r="AC87" s="4"/>
      <c r="AD87" s="4"/>
      <c r="AE87" s="8"/>
      <c r="AF87" s="4"/>
      <c r="AG87" s="4"/>
      <c r="AH87" s="1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8"/>
      <c r="AX87" s="8"/>
      <c r="AY87" s="8"/>
      <c r="AZ87" s="8"/>
      <c r="BA87" s="12"/>
      <c r="BB87" s="8"/>
      <c r="BC87" s="4"/>
      <c r="BD87" s="4"/>
      <c r="BE87" s="8"/>
      <c r="BF87" s="8"/>
      <c r="BG87" s="8"/>
      <c r="BH87" s="8"/>
      <c r="BI87" s="8"/>
      <c r="BJ87" s="8"/>
      <c r="BK87" s="8"/>
      <c r="BL87" s="4" t="str">
        <f t="shared" si="3"/>
        <v/>
      </c>
      <c r="BM87" s="8" t="str">
        <f t="shared" si="4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s="61" t="s">
        <v>1651</v>
      </c>
      <c r="B88" s="61" t="s">
        <v>1460</v>
      </c>
      <c r="C88" s="15" t="s">
        <v>1460</v>
      </c>
      <c r="D88" s="15" t="str">
        <f t="shared" si="5"/>
        <v/>
      </c>
      <c r="E88" s="15" t="str">
        <f>IF($A88="","",IF($A88="Neuron",IF(OR(AND($R88&lt;&gt;"",LOWER(TRIM($R88))&lt;&gt;"n/a",COUNTIF($S$2:$S$528,$R88)&gt;1),AND($T88&lt;&gt;"",LOWER(TRIM($T88))&lt;&gt;"n/a",COUNTIF($T$2:$T$528,$T88)&gt;1),AND($W88&lt;&gt;"",LOWER(TRIM($W88))&lt;&gt;"n/a",COUNTIF($W$2:$W$528,$W88)&gt;1)),"Yes","No"),IF($A88="Cybernet",IF(OR(AND($Y88&lt;&gt;"",LOWER(TRIM($Y88))&lt;&gt;"n/a",COUNTIF($Y$2:$Y$528,$Y88)&gt;1),AND($Z88&lt;&gt;"",LOWER(TRIM($Z88))&lt;&gt;"n/a",COUNTIF($Z$2:$Z$528,$Z88)&gt;1)),"Yes","No"),IF(AND($AL88&lt;&gt;"",LOWER(TRIM($AL88))&lt;&gt;"n/a",COUNTIF($AL$2:$AL$528,$AL88)&gt;1),"Yes","No"))))</f>
        <v>No</v>
      </c>
      <c r="F88" t="str">
        <f>IF($B88&lt;&gt;"Yes","",
IF($A88="Neuron",
IF(OR(
AND($R88&lt;&gt;"",LOWER(TRIM($R88))&lt;&gt;"n/a",COUNTIFS($B$2:$B$528,"Yes",$A$2:$A$528,"Neuron",$S$2:$S$528,$R88)&gt;1),
AND($T88&lt;&gt;"",LOWER(TRIM($T88))&lt;&gt;"n/a",COUNTIFS($B$2:$B$528,"Yes",$A$2:$A$528,"Neuron",$T$2:$T$528,$T88)&gt;1),
AND($W88&lt;&gt;"",LOWER(TRIM($W88))&lt;&gt;"n/a",COUNTIFS($B$2:$B$528,"Yes",$A$2:$A$528,"Neuron",$W$2:$W$528,$W88)&gt;1)
),"Yes","No"),
IF($A88="Cybernet",
IF(OR(
AND($Y88&lt;&gt;"",LOWER(TRIM($Y88))&lt;&gt;"n/a",COUNTIFS($B$2:$B$528,"Yes",$A$2:$A$528,"Cybernet",$Y$2:$Y$528,$Y88)&gt;1),
AND($Z88&lt;&gt;"",LOWER(TRIM($Z88))&lt;&gt;"n/a",COUNTIFS($B$2:$B$528,"Yes",$A$2:$A$528,"Cybernet",$Z$2:$Z$528,$Z88)&gt;1)
),"Yes","No"),
IF(AND($AL88&lt;&gt;"",LOWER(TRIM($AL88))&lt;&gt;"n/a"),
IF(COUNTIFS($B$2:$B$528,"Yes",$A$2:$A$528,$A88,$AL$2:$AL$528,$AL88)&gt;1,"Yes","No"),
"No")
)
)
)</f>
        <v/>
      </c>
      <c r="G88" s="62" t="s">
        <v>1698</v>
      </c>
      <c r="H88" s="62" t="s">
        <v>1765</v>
      </c>
      <c r="I88" s="62"/>
      <c r="J88" s="2" t="s">
        <v>1441</v>
      </c>
      <c r="K88" s="2" t="s">
        <v>1460</v>
      </c>
      <c r="L88" s="2" t="s">
        <v>1460</v>
      </c>
      <c r="M88" s="2"/>
      <c r="N88" s="62"/>
      <c r="O88" s="62"/>
      <c r="P88" s="62"/>
      <c r="Q88" s="62"/>
      <c r="R88" s="62" t="s">
        <v>1824</v>
      </c>
      <c r="T88" s="62"/>
      <c r="U88" s="62"/>
      <c r="V88" s="62"/>
      <c r="W88" s="62"/>
      <c r="X88" s="62"/>
      <c r="Y88" s="63" t="s">
        <v>1825</v>
      </c>
      <c r="Z88" s="62" t="s">
        <v>1826</v>
      </c>
      <c r="AA88" s="62"/>
      <c r="AB88" s="62"/>
      <c r="AC88" s="4"/>
      <c r="AD88" s="4"/>
      <c r="AE88" s="8"/>
      <c r="AF88" s="4"/>
      <c r="AG88" s="4"/>
      <c r="AH88" s="1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8"/>
      <c r="AX88" s="8"/>
      <c r="AY88" s="8"/>
      <c r="AZ88" s="8"/>
      <c r="BA88" s="12"/>
      <c r="BB88" s="8"/>
      <c r="BC88" s="4"/>
      <c r="BD88" s="4"/>
      <c r="BE88" s="8"/>
      <c r="BF88" s="8"/>
      <c r="BG88" s="8"/>
      <c r="BH88" s="8"/>
      <c r="BI88" s="8"/>
      <c r="BJ88" s="8"/>
      <c r="BK88" s="8"/>
      <c r="BL88" s="4" t="str">
        <f t="shared" si="3"/>
        <v/>
      </c>
      <c r="BM88" s="8" t="str">
        <f t="shared" si="4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s="58" t="s">
        <v>1651</v>
      </c>
      <c r="B89" s="58" t="s">
        <v>1460</v>
      </c>
      <c r="C89" s="15" t="s">
        <v>1460</v>
      </c>
      <c r="D89" s="15" t="str">
        <f t="shared" si="5"/>
        <v/>
      </c>
      <c r="E89" s="15" t="str">
        <f>IF($A89="","",IF($A89="Neuron",IF(OR(AND($R89&lt;&gt;"",LOWER(TRIM($R89))&lt;&gt;"n/a",COUNTIF($S$2:$S$528,$R89)&gt;1),AND($T89&lt;&gt;"",LOWER(TRIM($T89))&lt;&gt;"n/a",COUNTIF($T$2:$T$528,$T89)&gt;1),AND($W89&lt;&gt;"",LOWER(TRIM($W89))&lt;&gt;"n/a",COUNTIF($W$2:$W$528,$W89)&gt;1)),"Yes","No"),IF($A89="Cybernet",IF(OR(AND($Y89&lt;&gt;"",LOWER(TRIM($Y89))&lt;&gt;"n/a",COUNTIF($Y$2:$Y$528,$Y89)&gt;1),AND($Z89&lt;&gt;"",LOWER(TRIM($Z89))&lt;&gt;"n/a",COUNTIF($Z$2:$Z$528,$Z89)&gt;1)),"Yes","No"),IF(AND($AL89&lt;&gt;"",LOWER(TRIM($AL89))&lt;&gt;"n/a",COUNTIF($AL$2:$AL$528,$AL89)&gt;1),"Yes","No"))))</f>
        <v>No</v>
      </c>
      <c r="F89" t="str">
        <f>IF($B89&lt;&gt;"Yes","",
IF($A89="Neuron",
IF(OR(
AND($R89&lt;&gt;"",LOWER(TRIM($R89))&lt;&gt;"n/a",COUNTIFS($B$2:$B$528,"Yes",$A$2:$A$528,"Neuron",$S$2:$S$528,$R89)&gt;1),
AND($T89&lt;&gt;"",LOWER(TRIM($T89))&lt;&gt;"n/a",COUNTIFS($B$2:$B$528,"Yes",$A$2:$A$528,"Neuron",$T$2:$T$528,$T89)&gt;1),
AND($W89&lt;&gt;"",LOWER(TRIM($W89))&lt;&gt;"n/a",COUNTIFS($B$2:$B$528,"Yes",$A$2:$A$528,"Neuron",$W$2:$W$528,$W89)&gt;1)
),"Yes","No"),
IF($A89="Cybernet",
IF(OR(
AND($Y89&lt;&gt;"",LOWER(TRIM($Y89))&lt;&gt;"n/a",COUNTIFS($B$2:$B$528,"Yes",$A$2:$A$528,"Cybernet",$Y$2:$Y$528,$Y89)&gt;1),
AND($Z89&lt;&gt;"",LOWER(TRIM($Z89))&lt;&gt;"n/a",COUNTIFS($B$2:$B$528,"Yes",$A$2:$A$528,"Cybernet",$Z$2:$Z$528,$Z89)&gt;1)
),"Yes","No"),
IF(AND($AL89&lt;&gt;"",LOWER(TRIM($AL89))&lt;&gt;"n/a"),
IF(COUNTIFS($B$2:$B$528,"Yes",$A$2:$A$528,$A89,$AL$2:$AL$528,$AL89)&gt;1,"Yes","No"),
"No")
)
)
)</f>
        <v/>
      </c>
      <c r="G89" s="59" t="s">
        <v>1698</v>
      </c>
      <c r="H89" s="59" t="s">
        <v>1765</v>
      </c>
      <c r="I89" s="59"/>
      <c r="J89" s="2" t="s">
        <v>1441</v>
      </c>
      <c r="K89" s="2" t="s">
        <v>1460</v>
      </c>
      <c r="L89" s="2" t="s">
        <v>1460</v>
      </c>
      <c r="M89" s="2"/>
      <c r="N89" s="59"/>
      <c r="O89" s="59"/>
      <c r="P89" s="59"/>
      <c r="Q89" s="59"/>
      <c r="R89" s="59" t="s">
        <v>1827</v>
      </c>
      <c r="T89" s="59"/>
      <c r="U89" s="59"/>
      <c r="V89" s="59"/>
      <c r="W89" s="59"/>
      <c r="X89" s="59"/>
      <c r="Y89" s="59" t="s">
        <v>1828</v>
      </c>
      <c r="Z89" s="60" t="s">
        <v>1829</v>
      </c>
      <c r="AA89" s="59"/>
      <c r="AB89" s="59"/>
      <c r="AC89" s="4"/>
      <c r="AD89" s="4"/>
      <c r="AE89" s="8"/>
      <c r="AF89" s="4"/>
      <c r="AG89" s="4"/>
      <c r="AH89" s="1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8"/>
      <c r="AX89" s="8"/>
      <c r="AY89" s="8"/>
      <c r="AZ89" s="8"/>
      <c r="BA89" s="12"/>
      <c r="BB89" s="8"/>
      <c r="BC89" s="4"/>
      <c r="BD89" s="4"/>
      <c r="BE89" s="8"/>
      <c r="BF89" s="8"/>
      <c r="BG89" s="8"/>
      <c r="BH89" s="8"/>
      <c r="BI89" s="8"/>
      <c r="BJ89" s="8"/>
      <c r="BK89" s="8"/>
      <c r="BL89" s="4" t="str">
        <f t="shared" si="3"/>
        <v/>
      </c>
      <c r="BM89" s="8" t="str">
        <f t="shared" si="4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s="61" t="s">
        <v>1651</v>
      </c>
      <c r="B90" s="61"/>
      <c r="C90" s="15" t="s">
        <v>1460</v>
      </c>
      <c r="D90" s="15" t="str">
        <f t="shared" si="5"/>
        <v/>
      </c>
      <c r="E90" s="15" t="str">
        <f>IF($A90="","",IF($A90="Neuron",IF(OR(AND($R90&lt;&gt;"",LOWER(TRIM($R90))&lt;&gt;"n/a",COUNTIF($S$2:$S$528,$R90)&gt;1),AND($T90&lt;&gt;"",LOWER(TRIM($T90))&lt;&gt;"n/a",COUNTIF($T$2:$T$528,$T90)&gt;1),AND($W90&lt;&gt;"",LOWER(TRIM($W90))&lt;&gt;"n/a",COUNTIF($W$2:$W$528,$W90)&gt;1)),"Yes","No"),IF($A90="Cybernet",IF(OR(AND($Y90&lt;&gt;"",LOWER(TRIM($Y90))&lt;&gt;"n/a",COUNTIF($Y$2:$Y$528,$Y90)&gt;1),AND($Z90&lt;&gt;"",LOWER(TRIM($Z90))&lt;&gt;"n/a",COUNTIF($Z$2:$Z$528,$Z90)&gt;1)),"Yes","No"),IF(AND($AL90&lt;&gt;"",LOWER(TRIM($AL90))&lt;&gt;"n/a",COUNTIF($AL$2:$AL$528,$AL90)&gt;1),"Yes","No"))))</f>
        <v>No</v>
      </c>
      <c r="F90" t="str">
        <f>IF($B90&lt;&gt;"Yes","",
IF($A90="Neuron",
IF(OR(
AND($R90&lt;&gt;"",LOWER(TRIM($R90))&lt;&gt;"n/a",COUNTIFS($B$2:$B$528,"Yes",$A$2:$A$528,"Neuron",$S$2:$S$528,$R90)&gt;1),
AND($T90&lt;&gt;"",LOWER(TRIM($T90))&lt;&gt;"n/a",COUNTIFS($B$2:$B$528,"Yes",$A$2:$A$528,"Neuron",$T$2:$T$528,$T90)&gt;1),
AND($W90&lt;&gt;"",LOWER(TRIM($W90))&lt;&gt;"n/a",COUNTIFS($B$2:$B$528,"Yes",$A$2:$A$528,"Neuron",$W$2:$W$528,$W90)&gt;1)
),"Yes","No"),
IF($A90="Cybernet",
IF(OR(
AND($Y90&lt;&gt;"",LOWER(TRIM($Y90))&lt;&gt;"n/a",COUNTIFS($B$2:$B$528,"Yes",$A$2:$A$528,"Cybernet",$Y$2:$Y$528,$Y90)&gt;1),
AND($Z90&lt;&gt;"",LOWER(TRIM($Z90))&lt;&gt;"n/a",COUNTIFS($B$2:$B$528,"Yes",$A$2:$A$528,"Cybernet",$Z$2:$Z$528,$Z90)&gt;1)
),"Yes","No"),
IF(AND($AL90&lt;&gt;"",LOWER(TRIM($AL90))&lt;&gt;"n/a"),
IF(COUNTIFS($B$2:$B$528,"Yes",$A$2:$A$528,$A90,$AL$2:$AL$528,$AL90)&gt;1,"Yes","No"),
"No")
)
)
)</f>
        <v/>
      </c>
      <c r="G90" s="62" t="s">
        <v>1698</v>
      </c>
      <c r="H90" s="62" t="s">
        <v>1830</v>
      </c>
      <c r="I90" s="62"/>
      <c r="J90" s="2" t="s">
        <v>1441</v>
      </c>
      <c r="K90" s="2" t="s">
        <v>1460</v>
      </c>
      <c r="L90" s="2" t="s">
        <v>1460</v>
      </c>
      <c r="M90" s="2"/>
      <c r="N90" s="62"/>
      <c r="O90" s="62"/>
      <c r="P90" s="62"/>
      <c r="Q90" s="62"/>
      <c r="R90" s="64" t="s">
        <v>1831</v>
      </c>
      <c r="T90" s="62"/>
      <c r="U90" s="62"/>
      <c r="V90" s="62"/>
      <c r="W90" s="62"/>
      <c r="X90" s="62"/>
      <c r="Y90" s="62" t="s">
        <v>1832</v>
      </c>
      <c r="Z90" s="63" t="s">
        <v>1833</v>
      </c>
      <c r="AA90" s="62"/>
      <c r="AB90" s="62"/>
      <c r="AC90" s="4"/>
      <c r="AD90" s="4"/>
      <c r="AE90" s="8"/>
      <c r="AF90" s="4"/>
      <c r="AG90" s="4"/>
      <c r="AH90" s="1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8"/>
      <c r="AX90" s="8"/>
      <c r="AY90" s="8"/>
      <c r="AZ90" s="8"/>
      <c r="BA90" s="12"/>
      <c r="BB90" s="8"/>
      <c r="BC90" s="4"/>
      <c r="BD90" s="4"/>
      <c r="BE90" s="8"/>
      <c r="BF90" s="8"/>
      <c r="BG90" s="8"/>
      <c r="BH90" s="8"/>
      <c r="BI90" s="8"/>
      <c r="BJ90" s="8"/>
      <c r="BK90" s="8"/>
      <c r="BL90" s="4" t="str">
        <f t="shared" si="3"/>
        <v/>
      </c>
      <c r="BM90" s="8" t="str">
        <f t="shared" si="4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s="58" t="s">
        <v>1651</v>
      </c>
      <c r="B91" s="58"/>
      <c r="C91" s="15" t="s">
        <v>1460</v>
      </c>
      <c r="D91" s="15" t="str">
        <f t="shared" si="5"/>
        <v/>
      </c>
      <c r="E91" s="15" t="str">
        <f>IF($A91="","",IF($A91="Neuron",IF(OR(AND($R91&lt;&gt;"",LOWER(TRIM($R91))&lt;&gt;"n/a",COUNTIF($S$2:$S$528,$R91)&gt;1),AND($T91&lt;&gt;"",LOWER(TRIM($T91))&lt;&gt;"n/a",COUNTIF($T$2:$T$528,$T91)&gt;1),AND($W91&lt;&gt;"",LOWER(TRIM($W91))&lt;&gt;"n/a",COUNTIF($W$2:$W$528,$W91)&gt;1)),"Yes","No"),IF($A91="Cybernet",IF(OR(AND($Y91&lt;&gt;"",LOWER(TRIM($Y91))&lt;&gt;"n/a",COUNTIF($Y$2:$Y$528,$Y91)&gt;1),AND($Z91&lt;&gt;"",LOWER(TRIM($Z91))&lt;&gt;"n/a",COUNTIF($Z$2:$Z$528,$Z91)&gt;1)),"Yes","No"),IF(AND($AL91&lt;&gt;"",LOWER(TRIM($AL91))&lt;&gt;"n/a",COUNTIF($AL$2:$AL$528,$AL91)&gt;1),"Yes","No"))))</f>
        <v>No</v>
      </c>
      <c r="F91" t="str">
        <f>IF($B91&lt;&gt;"Yes","",
IF($A91="Neuron",
IF(OR(
AND($R91&lt;&gt;"",LOWER(TRIM($R91))&lt;&gt;"n/a",COUNTIFS($B$2:$B$528,"Yes",$A$2:$A$528,"Neuron",$S$2:$S$528,$R91)&gt;1),
AND($T91&lt;&gt;"",LOWER(TRIM($T91))&lt;&gt;"n/a",COUNTIFS($B$2:$B$528,"Yes",$A$2:$A$528,"Neuron",$T$2:$T$528,$T91)&gt;1),
AND($W91&lt;&gt;"",LOWER(TRIM($W91))&lt;&gt;"n/a",COUNTIFS($B$2:$B$528,"Yes",$A$2:$A$528,"Neuron",$W$2:$W$528,$W91)&gt;1)
),"Yes","No"),
IF($A91="Cybernet",
IF(OR(
AND($Y91&lt;&gt;"",LOWER(TRIM($Y91))&lt;&gt;"n/a",COUNTIFS($B$2:$B$528,"Yes",$A$2:$A$528,"Cybernet",$Y$2:$Y$528,$Y91)&gt;1),
AND($Z91&lt;&gt;"",LOWER(TRIM($Z91))&lt;&gt;"n/a",COUNTIFS($B$2:$B$528,"Yes",$A$2:$A$528,"Cybernet",$Z$2:$Z$528,$Z91)&gt;1)
),"Yes","No"),
IF(AND($AL91&lt;&gt;"",LOWER(TRIM($AL91))&lt;&gt;"n/a"),
IF(COUNTIFS($B$2:$B$528,"Yes",$A$2:$A$528,$A91,$AL$2:$AL$528,$AL91)&gt;1,"Yes","No"),
"No")
)
)
)</f>
        <v/>
      </c>
      <c r="G91" s="59" t="s">
        <v>1698</v>
      </c>
      <c r="H91" s="59" t="s">
        <v>1830</v>
      </c>
      <c r="I91" s="59"/>
      <c r="J91" s="2" t="s">
        <v>1441</v>
      </c>
      <c r="K91" s="2" t="s">
        <v>1460</v>
      </c>
      <c r="L91" s="2" t="s">
        <v>1460</v>
      </c>
      <c r="M91" s="2"/>
      <c r="N91" s="59"/>
      <c r="O91" s="59"/>
      <c r="P91" s="59"/>
      <c r="Q91" s="59"/>
      <c r="R91" s="65" t="s">
        <v>1834</v>
      </c>
      <c r="T91" s="59"/>
      <c r="U91" s="59"/>
      <c r="V91" s="59"/>
      <c r="W91" s="59"/>
      <c r="X91" s="59"/>
      <c r="Y91" s="59" t="s">
        <v>1835</v>
      </c>
      <c r="Z91" s="59" t="s">
        <v>1836</v>
      </c>
      <c r="AA91" s="59"/>
      <c r="AB91" s="59"/>
      <c r="AC91" s="4"/>
      <c r="AD91" s="4"/>
      <c r="AE91" s="8"/>
      <c r="AF91" s="4"/>
      <c r="AG91" s="4"/>
      <c r="AH91" s="1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8"/>
      <c r="AX91" s="8"/>
      <c r="AY91" s="8"/>
      <c r="AZ91" s="8"/>
      <c r="BA91" s="12"/>
      <c r="BB91" s="8"/>
      <c r="BC91" s="4"/>
      <c r="BD91" s="4"/>
      <c r="BE91" s="8"/>
      <c r="BF91" s="8"/>
      <c r="BG91" s="8"/>
      <c r="BH91" s="8"/>
      <c r="BI91" s="8"/>
      <c r="BJ91" s="8"/>
      <c r="BK91" s="8"/>
      <c r="BL91" s="4" t="str">
        <f t="shared" si="3"/>
        <v/>
      </c>
      <c r="BM91" s="8" t="str">
        <f t="shared" si="4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s="61" t="s">
        <v>1651</v>
      </c>
      <c r="B92" s="61"/>
      <c r="C92" s="15" t="s">
        <v>1460</v>
      </c>
      <c r="D92" s="15" t="str">
        <f t="shared" si="5"/>
        <v/>
      </c>
      <c r="E92" s="15" t="str">
        <f>IF($A92="","",IF($A92="Neuron",IF(OR(AND($R92&lt;&gt;"",LOWER(TRIM($R92))&lt;&gt;"n/a",COUNTIF($S$2:$S$528,$R92)&gt;1),AND($T92&lt;&gt;"",LOWER(TRIM($T92))&lt;&gt;"n/a",COUNTIF($T$2:$T$528,$T92)&gt;1),AND($W92&lt;&gt;"",LOWER(TRIM($W92))&lt;&gt;"n/a",COUNTIF($W$2:$W$528,$W92)&gt;1)),"Yes","No"),IF($A92="Cybernet",IF(OR(AND($Y92&lt;&gt;"",LOWER(TRIM($Y92))&lt;&gt;"n/a",COUNTIF($Y$2:$Y$528,$Y92)&gt;1),AND($Z92&lt;&gt;"",LOWER(TRIM($Z92))&lt;&gt;"n/a",COUNTIF($Z$2:$Z$528,$Z92)&gt;1)),"Yes","No"),IF(AND($AL92&lt;&gt;"",LOWER(TRIM($AL92))&lt;&gt;"n/a",COUNTIF($AL$2:$AL$528,$AL92)&gt;1),"Yes","No"))))</f>
        <v>No</v>
      </c>
      <c r="F92" t="str">
        <f>IF($B92&lt;&gt;"Yes","",
IF($A92="Neuron",
IF(OR(
AND($R92&lt;&gt;"",LOWER(TRIM($R92))&lt;&gt;"n/a",COUNTIFS($B$2:$B$528,"Yes",$A$2:$A$528,"Neuron",$S$2:$S$528,$R92)&gt;1),
AND($T92&lt;&gt;"",LOWER(TRIM($T92))&lt;&gt;"n/a",COUNTIFS($B$2:$B$528,"Yes",$A$2:$A$528,"Neuron",$T$2:$T$528,$T92)&gt;1),
AND($W92&lt;&gt;"",LOWER(TRIM($W92))&lt;&gt;"n/a",COUNTIFS($B$2:$B$528,"Yes",$A$2:$A$528,"Neuron",$W$2:$W$528,$W92)&gt;1)
),"Yes","No"),
IF($A92="Cybernet",
IF(OR(
AND($Y92&lt;&gt;"",LOWER(TRIM($Y92))&lt;&gt;"n/a",COUNTIFS($B$2:$B$528,"Yes",$A$2:$A$528,"Cybernet",$Y$2:$Y$528,$Y92)&gt;1),
AND($Z92&lt;&gt;"",LOWER(TRIM($Z92))&lt;&gt;"n/a",COUNTIFS($B$2:$B$528,"Yes",$A$2:$A$528,"Cybernet",$Z$2:$Z$528,$Z92)&gt;1)
),"Yes","No"),
IF(AND($AL92&lt;&gt;"",LOWER(TRIM($AL92))&lt;&gt;"n/a"),
IF(COUNTIFS($B$2:$B$528,"Yes",$A$2:$A$528,$A92,$AL$2:$AL$528,$AL92)&gt;1,"Yes","No"),
"No")
)
)
)</f>
        <v/>
      </c>
      <c r="G92" s="62" t="s">
        <v>1698</v>
      </c>
      <c r="H92" s="62" t="s">
        <v>1830</v>
      </c>
      <c r="I92" s="62"/>
      <c r="J92" s="2" t="s">
        <v>1441</v>
      </c>
      <c r="K92" s="2" t="s">
        <v>1460</v>
      </c>
      <c r="L92" s="2" t="s">
        <v>1460</v>
      </c>
      <c r="M92" s="2"/>
      <c r="N92" s="62"/>
      <c r="O92" s="62"/>
      <c r="P92" s="62"/>
      <c r="Q92" s="62"/>
      <c r="R92" s="64" t="s">
        <v>1837</v>
      </c>
      <c r="T92" s="62"/>
      <c r="U92" s="62"/>
      <c r="V92" s="62"/>
      <c r="W92" s="62"/>
      <c r="X92" s="62"/>
      <c r="Y92" s="62" t="s">
        <v>1838</v>
      </c>
      <c r="Z92" s="62" t="s">
        <v>1839</v>
      </c>
      <c r="AA92" s="62"/>
      <c r="AB92" s="62"/>
      <c r="AC92" s="4"/>
      <c r="AD92" s="4"/>
      <c r="AE92" s="8"/>
      <c r="AF92" s="4"/>
      <c r="AG92" s="4"/>
      <c r="AH92" s="1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8"/>
      <c r="AX92" s="8"/>
      <c r="AY92" s="8"/>
      <c r="AZ92" s="8"/>
      <c r="BA92" s="12"/>
      <c r="BB92" s="8"/>
      <c r="BC92" s="4"/>
      <c r="BD92" s="4"/>
      <c r="BE92" s="8"/>
      <c r="BF92" s="8"/>
      <c r="BG92" s="8"/>
      <c r="BH92" s="8"/>
      <c r="BI92" s="8"/>
      <c r="BJ92" s="8"/>
      <c r="BK92" s="8"/>
      <c r="BL92" s="4" t="str">
        <f t="shared" si="3"/>
        <v/>
      </c>
      <c r="BM92" s="8" t="str">
        <f t="shared" si="4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s="58" t="s">
        <v>1651</v>
      </c>
      <c r="B93" s="58"/>
      <c r="C93" s="15" t="s">
        <v>1460</v>
      </c>
      <c r="D93" s="15" t="str">
        <f t="shared" si="5"/>
        <v/>
      </c>
      <c r="E93" s="15" t="str">
        <f>IF($A93="","",IF($A93="Neuron",IF(OR(AND($R93&lt;&gt;"",LOWER(TRIM($R93))&lt;&gt;"n/a",COUNTIF($S$2:$S$528,$R93)&gt;1),AND($T93&lt;&gt;"",LOWER(TRIM($T93))&lt;&gt;"n/a",COUNTIF($T$2:$T$528,$T93)&gt;1),AND($W93&lt;&gt;"",LOWER(TRIM($W93))&lt;&gt;"n/a",COUNTIF($W$2:$W$528,$W93)&gt;1)),"Yes","No"),IF($A93="Cybernet",IF(OR(AND($Y93&lt;&gt;"",LOWER(TRIM($Y93))&lt;&gt;"n/a",COUNTIF($Y$2:$Y$528,$Y93)&gt;1),AND($Z93&lt;&gt;"",LOWER(TRIM($Z93))&lt;&gt;"n/a",COUNTIF($Z$2:$Z$528,$Z93)&gt;1)),"Yes","No"),IF(AND($AL93&lt;&gt;"",LOWER(TRIM($AL93))&lt;&gt;"n/a",COUNTIF($AL$2:$AL$528,$AL93)&gt;1),"Yes","No"))))</f>
        <v>No</v>
      </c>
      <c r="F93" t="str">
        <f>IF($B93&lt;&gt;"Yes","",
IF($A93="Neuron",
IF(OR(
AND($R93&lt;&gt;"",LOWER(TRIM($R93))&lt;&gt;"n/a",COUNTIFS($B$2:$B$528,"Yes",$A$2:$A$528,"Neuron",$S$2:$S$528,$R93)&gt;1),
AND($T93&lt;&gt;"",LOWER(TRIM($T93))&lt;&gt;"n/a",COUNTIFS($B$2:$B$528,"Yes",$A$2:$A$528,"Neuron",$T$2:$T$528,$T93)&gt;1),
AND($W93&lt;&gt;"",LOWER(TRIM($W93))&lt;&gt;"n/a",COUNTIFS($B$2:$B$528,"Yes",$A$2:$A$528,"Neuron",$W$2:$W$528,$W93)&gt;1)
),"Yes","No"),
IF($A93="Cybernet",
IF(OR(
AND($Y93&lt;&gt;"",LOWER(TRIM($Y93))&lt;&gt;"n/a",COUNTIFS($B$2:$B$528,"Yes",$A$2:$A$528,"Cybernet",$Y$2:$Y$528,$Y93)&gt;1),
AND($Z93&lt;&gt;"",LOWER(TRIM($Z93))&lt;&gt;"n/a",COUNTIFS($B$2:$B$528,"Yes",$A$2:$A$528,"Cybernet",$Z$2:$Z$528,$Z93)&gt;1)
),"Yes","No"),
IF(AND($AL93&lt;&gt;"",LOWER(TRIM($AL93))&lt;&gt;"n/a"),
IF(COUNTIFS($B$2:$B$528,"Yes",$A$2:$A$528,$A93,$AL$2:$AL$528,$AL93)&gt;1,"Yes","No"),
"No")
)
)
)</f>
        <v/>
      </c>
      <c r="G93" s="59" t="s">
        <v>1698</v>
      </c>
      <c r="H93" s="59" t="s">
        <v>1830</v>
      </c>
      <c r="I93" s="59"/>
      <c r="J93" s="2" t="s">
        <v>1441</v>
      </c>
      <c r="K93" s="2" t="s">
        <v>1460</v>
      </c>
      <c r="L93" s="2" t="s">
        <v>1460</v>
      </c>
      <c r="M93" s="2"/>
      <c r="N93" s="59"/>
      <c r="O93" s="59"/>
      <c r="P93" s="59"/>
      <c r="Q93" s="59"/>
      <c r="R93" s="65" t="s">
        <v>1840</v>
      </c>
      <c r="T93" s="59"/>
      <c r="U93" s="59"/>
      <c r="V93" s="59"/>
      <c r="W93" s="59"/>
      <c r="X93" s="59"/>
      <c r="Y93" s="59" t="s">
        <v>1841</v>
      </c>
      <c r="Z93" s="59" t="s">
        <v>1842</v>
      </c>
      <c r="AA93" s="59"/>
      <c r="AB93" s="59"/>
      <c r="AC93" s="4"/>
      <c r="AD93" s="4"/>
      <c r="AE93" s="8"/>
      <c r="AF93" s="4"/>
      <c r="AG93" s="4"/>
      <c r="AH93" s="1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8"/>
      <c r="AX93" s="8"/>
      <c r="AY93" s="8"/>
      <c r="AZ93" s="8"/>
      <c r="BA93" s="12"/>
      <c r="BB93" s="8"/>
      <c r="BC93" s="4"/>
      <c r="BD93" s="4"/>
      <c r="BE93" s="8"/>
      <c r="BF93" s="8"/>
      <c r="BG93" s="8"/>
      <c r="BH93" s="8"/>
      <c r="BI93" s="8"/>
      <c r="BJ93" s="8"/>
      <c r="BK93" s="8"/>
      <c r="BL93" s="4" t="str">
        <f t="shared" si="3"/>
        <v/>
      </c>
      <c r="BM93" s="8" t="str">
        <f t="shared" si="4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s="61" t="s">
        <v>1651</v>
      </c>
      <c r="B94" s="61"/>
      <c r="C94" s="15" t="s">
        <v>1460</v>
      </c>
      <c r="D94" s="15" t="str">
        <f t="shared" si="5"/>
        <v/>
      </c>
      <c r="E94" s="15" t="str">
        <f>IF($A94="","",IF($A94="Neuron",IF(OR(AND($R94&lt;&gt;"",LOWER(TRIM($R94))&lt;&gt;"n/a",COUNTIF($S$2:$S$528,$R94)&gt;1),AND($T94&lt;&gt;"",LOWER(TRIM($T94))&lt;&gt;"n/a",COUNTIF($T$2:$T$528,$T94)&gt;1),AND($W94&lt;&gt;"",LOWER(TRIM($W94))&lt;&gt;"n/a",COUNTIF($W$2:$W$528,$W94)&gt;1)),"Yes","No"),IF($A94="Cybernet",IF(OR(AND($Y94&lt;&gt;"",LOWER(TRIM($Y94))&lt;&gt;"n/a",COUNTIF($Y$2:$Y$528,$Y94)&gt;1),AND($Z94&lt;&gt;"",LOWER(TRIM($Z94))&lt;&gt;"n/a",COUNTIF($Z$2:$Z$528,$Z94)&gt;1)),"Yes","No"),IF(AND($AL94&lt;&gt;"",LOWER(TRIM($AL94))&lt;&gt;"n/a",COUNTIF($AL$2:$AL$528,$AL94)&gt;1),"Yes","No"))))</f>
        <v>No</v>
      </c>
      <c r="F94" t="str">
        <f>IF($B94&lt;&gt;"Yes","",
IF($A94="Neuron",
IF(OR(
AND($R94&lt;&gt;"",LOWER(TRIM($R94))&lt;&gt;"n/a",COUNTIFS($B$2:$B$528,"Yes",$A$2:$A$528,"Neuron",$S$2:$S$528,$R94)&gt;1),
AND($T94&lt;&gt;"",LOWER(TRIM($T94))&lt;&gt;"n/a",COUNTIFS($B$2:$B$528,"Yes",$A$2:$A$528,"Neuron",$T$2:$T$528,$T94)&gt;1),
AND($W94&lt;&gt;"",LOWER(TRIM($W94))&lt;&gt;"n/a",COUNTIFS($B$2:$B$528,"Yes",$A$2:$A$528,"Neuron",$W$2:$W$528,$W94)&gt;1)
),"Yes","No"),
IF($A94="Cybernet",
IF(OR(
AND($Y94&lt;&gt;"",LOWER(TRIM($Y94))&lt;&gt;"n/a",COUNTIFS($B$2:$B$528,"Yes",$A$2:$A$528,"Cybernet",$Y$2:$Y$528,$Y94)&gt;1),
AND($Z94&lt;&gt;"",LOWER(TRIM($Z94))&lt;&gt;"n/a",COUNTIFS($B$2:$B$528,"Yes",$A$2:$A$528,"Cybernet",$Z$2:$Z$528,$Z94)&gt;1)
),"Yes","No"),
IF(AND($AL94&lt;&gt;"",LOWER(TRIM($AL94))&lt;&gt;"n/a"),
IF(COUNTIFS($B$2:$B$528,"Yes",$A$2:$A$528,$A94,$AL$2:$AL$528,$AL94)&gt;1,"Yes","No"),
"No")
)
)
)</f>
        <v/>
      </c>
      <c r="G94" s="62" t="s">
        <v>1698</v>
      </c>
      <c r="H94" s="62" t="s">
        <v>1830</v>
      </c>
      <c r="I94" s="62"/>
      <c r="J94" s="2" t="s">
        <v>1441</v>
      </c>
      <c r="K94" s="2" t="s">
        <v>1460</v>
      </c>
      <c r="L94" s="2" t="s">
        <v>1460</v>
      </c>
      <c r="M94" s="2"/>
      <c r="N94" s="62"/>
      <c r="O94" s="62"/>
      <c r="P94" s="62"/>
      <c r="Q94" s="62"/>
      <c r="R94" s="62" t="s">
        <v>1843</v>
      </c>
      <c r="T94" s="62"/>
      <c r="U94" s="62"/>
      <c r="V94" s="62"/>
      <c r="W94" s="62"/>
      <c r="X94" s="62"/>
      <c r="Y94" s="62" t="s">
        <v>1844</v>
      </c>
      <c r="Z94" s="62" t="s">
        <v>1845</v>
      </c>
      <c r="AA94" s="62"/>
      <c r="AB94" s="62"/>
      <c r="AC94" s="4"/>
      <c r="AD94" s="4"/>
      <c r="AE94" s="8"/>
      <c r="AF94" s="4"/>
      <c r="AG94" s="4"/>
      <c r="AH94" s="1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8"/>
      <c r="AX94" s="8"/>
      <c r="AY94" s="8"/>
      <c r="AZ94" s="8"/>
      <c r="BA94" s="12"/>
      <c r="BB94" s="8"/>
      <c r="BC94" s="4"/>
      <c r="BD94" s="4"/>
      <c r="BE94" s="8"/>
      <c r="BF94" s="8"/>
      <c r="BG94" s="8"/>
      <c r="BH94" s="8"/>
      <c r="BI94" s="8"/>
      <c r="BJ94" s="8"/>
      <c r="BK94" s="8"/>
      <c r="BL94" s="4" t="str">
        <f t="shared" si="3"/>
        <v/>
      </c>
      <c r="BM94" s="8" t="str">
        <f t="shared" si="4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s="58" t="s">
        <v>1651</v>
      </c>
      <c r="B95" s="58"/>
      <c r="C95" s="15" t="s">
        <v>1460</v>
      </c>
      <c r="D95" s="15" t="str">
        <f t="shared" si="5"/>
        <v/>
      </c>
      <c r="E95" s="15" t="str">
        <f>IF($A95="","",IF($A95="Neuron",IF(OR(AND($R95&lt;&gt;"",LOWER(TRIM($R95))&lt;&gt;"n/a",COUNTIF($S$2:$S$528,$R95)&gt;1),AND($T95&lt;&gt;"",LOWER(TRIM($T95))&lt;&gt;"n/a",COUNTIF($T$2:$T$528,$T95)&gt;1),AND($W95&lt;&gt;"",LOWER(TRIM($W95))&lt;&gt;"n/a",COUNTIF($W$2:$W$528,$W95)&gt;1)),"Yes","No"),IF($A95="Cybernet",IF(OR(AND($Y95&lt;&gt;"",LOWER(TRIM($Y95))&lt;&gt;"n/a",COUNTIF($Y$2:$Y$528,$Y95)&gt;1),AND($Z95&lt;&gt;"",LOWER(TRIM($Z95))&lt;&gt;"n/a",COUNTIF($Z$2:$Z$528,$Z95)&gt;1)),"Yes","No"),IF(AND($AL95&lt;&gt;"",LOWER(TRIM($AL95))&lt;&gt;"n/a",COUNTIF($AL$2:$AL$528,$AL95)&gt;1),"Yes","No"))))</f>
        <v>No</v>
      </c>
      <c r="F95" t="str">
        <f>IF($B95&lt;&gt;"Yes","",
IF($A95="Neuron",
IF(OR(
AND($R95&lt;&gt;"",LOWER(TRIM($R95))&lt;&gt;"n/a",COUNTIFS($B$2:$B$528,"Yes",$A$2:$A$528,"Neuron",$S$2:$S$528,$R95)&gt;1),
AND($T95&lt;&gt;"",LOWER(TRIM($T95))&lt;&gt;"n/a",COUNTIFS($B$2:$B$528,"Yes",$A$2:$A$528,"Neuron",$T$2:$T$528,$T95)&gt;1),
AND($W95&lt;&gt;"",LOWER(TRIM($W95))&lt;&gt;"n/a",COUNTIFS($B$2:$B$528,"Yes",$A$2:$A$528,"Neuron",$W$2:$W$528,$W95)&gt;1)
),"Yes","No"),
IF($A95="Cybernet",
IF(OR(
AND($Y95&lt;&gt;"",LOWER(TRIM($Y95))&lt;&gt;"n/a",COUNTIFS($B$2:$B$528,"Yes",$A$2:$A$528,"Cybernet",$Y$2:$Y$528,$Y95)&gt;1),
AND($Z95&lt;&gt;"",LOWER(TRIM($Z95))&lt;&gt;"n/a",COUNTIFS($B$2:$B$528,"Yes",$A$2:$A$528,"Cybernet",$Z$2:$Z$528,$Z95)&gt;1)
),"Yes","No"),
IF(AND($AL95&lt;&gt;"",LOWER(TRIM($AL95))&lt;&gt;"n/a"),
IF(COUNTIFS($B$2:$B$528,"Yes",$A$2:$A$528,$A95,$AL$2:$AL$528,$AL95)&gt;1,"Yes","No"),
"No")
)
)
)</f>
        <v/>
      </c>
      <c r="G95" s="59" t="s">
        <v>1698</v>
      </c>
      <c r="H95" s="59" t="s">
        <v>1830</v>
      </c>
      <c r="I95" s="59"/>
      <c r="J95" s="2" t="s">
        <v>1441</v>
      </c>
      <c r="K95" s="2" t="s">
        <v>1460</v>
      </c>
      <c r="L95" s="2" t="s">
        <v>1460</v>
      </c>
      <c r="M95" s="2"/>
      <c r="N95" s="59"/>
      <c r="O95" s="59"/>
      <c r="P95" s="59"/>
      <c r="Q95" s="59"/>
      <c r="R95" s="59" t="s">
        <v>1846</v>
      </c>
      <c r="T95" s="59"/>
      <c r="U95" s="59"/>
      <c r="V95" s="59"/>
      <c r="W95" s="59"/>
      <c r="X95" s="59"/>
      <c r="Y95" s="59" t="s">
        <v>1847</v>
      </c>
      <c r="Z95" s="59" t="s">
        <v>1848</v>
      </c>
      <c r="AA95" s="59"/>
      <c r="AB95" s="59"/>
      <c r="AC95" s="4"/>
      <c r="AD95" s="4"/>
      <c r="AE95" s="8"/>
      <c r="AF95" s="4"/>
      <c r="AG95" s="4"/>
      <c r="AH95" s="1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8"/>
      <c r="AX95" s="8"/>
      <c r="AY95" s="8"/>
      <c r="AZ95" s="8"/>
      <c r="BA95" s="12"/>
      <c r="BB95" s="8"/>
      <c r="BC95" s="4"/>
      <c r="BD95" s="4"/>
      <c r="BE95" s="8"/>
      <c r="BF95" s="8"/>
      <c r="BG95" s="8"/>
      <c r="BH95" s="8"/>
      <c r="BI95" s="8"/>
      <c r="BJ95" s="8"/>
      <c r="BK95" s="8"/>
      <c r="BL95" s="4" t="str">
        <f t="shared" si="3"/>
        <v/>
      </c>
      <c r="BM95" s="8" t="str">
        <f t="shared" si="4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s="61" t="s">
        <v>1651</v>
      </c>
      <c r="B96" s="61"/>
      <c r="C96" s="15" t="s">
        <v>1460</v>
      </c>
      <c r="D96" s="15" t="str">
        <f t="shared" si="5"/>
        <v/>
      </c>
      <c r="E96" s="15" t="str">
        <f>IF($A96="","",IF($A96="Neuron",IF(OR(AND($R96&lt;&gt;"",LOWER(TRIM($R96))&lt;&gt;"n/a",COUNTIF($S$2:$S$528,$R96)&gt;1),AND($T96&lt;&gt;"",LOWER(TRIM($T96))&lt;&gt;"n/a",COUNTIF($T$2:$T$528,$T96)&gt;1),AND($W96&lt;&gt;"",LOWER(TRIM($W96))&lt;&gt;"n/a",COUNTIF($W$2:$W$528,$W96)&gt;1)),"Yes","No"),IF($A96="Cybernet",IF(OR(AND($Y96&lt;&gt;"",LOWER(TRIM($Y96))&lt;&gt;"n/a",COUNTIF($Y$2:$Y$528,$Y96)&gt;1),AND($Z96&lt;&gt;"",LOWER(TRIM($Z96))&lt;&gt;"n/a",COUNTIF($Z$2:$Z$528,$Z96)&gt;1)),"Yes","No"),IF(AND($AL96&lt;&gt;"",LOWER(TRIM($AL96))&lt;&gt;"n/a",COUNTIF($AL$2:$AL$528,$AL96)&gt;1),"Yes","No"))))</f>
        <v>No</v>
      </c>
      <c r="F96" t="str">
        <f>IF($B96&lt;&gt;"Yes","",
IF($A96="Neuron",
IF(OR(
AND($R96&lt;&gt;"",LOWER(TRIM($R96))&lt;&gt;"n/a",COUNTIFS($B$2:$B$528,"Yes",$A$2:$A$528,"Neuron",$S$2:$S$528,$R96)&gt;1),
AND($T96&lt;&gt;"",LOWER(TRIM($T96))&lt;&gt;"n/a",COUNTIFS($B$2:$B$528,"Yes",$A$2:$A$528,"Neuron",$T$2:$T$528,$T96)&gt;1),
AND($W96&lt;&gt;"",LOWER(TRIM($W96))&lt;&gt;"n/a",COUNTIFS($B$2:$B$528,"Yes",$A$2:$A$528,"Neuron",$W$2:$W$528,$W96)&gt;1)
),"Yes","No"),
IF($A96="Cybernet",
IF(OR(
AND($Y96&lt;&gt;"",LOWER(TRIM($Y96))&lt;&gt;"n/a",COUNTIFS($B$2:$B$528,"Yes",$A$2:$A$528,"Cybernet",$Y$2:$Y$528,$Y96)&gt;1),
AND($Z96&lt;&gt;"",LOWER(TRIM($Z96))&lt;&gt;"n/a",COUNTIFS($B$2:$B$528,"Yes",$A$2:$A$528,"Cybernet",$Z$2:$Z$528,$Z96)&gt;1)
),"Yes","No"),
IF(AND($AL96&lt;&gt;"",LOWER(TRIM($AL96))&lt;&gt;"n/a"),
IF(COUNTIFS($B$2:$B$528,"Yes",$A$2:$A$528,$A96,$AL$2:$AL$528,$AL96)&gt;1,"Yes","No"),
"No")
)
)
)</f>
        <v/>
      </c>
      <c r="G96" s="62" t="s">
        <v>1698</v>
      </c>
      <c r="H96" s="62" t="s">
        <v>1830</v>
      </c>
      <c r="I96" s="62"/>
      <c r="J96" s="2" t="s">
        <v>1441</v>
      </c>
      <c r="K96" s="2" t="s">
        <v>1460</v>
      </c>
      <c r="L96" s="2" t="s">
        <v>1460</v>
      </c>
      <c r="M96" s="2"/>
      <c r="N96" s="62"/>
      <c r="O96" s="62"/>
      <c r="P96" s="62"/>
      <c r="Q96" s="62"/>
      <c r="R96" s="62" t="s">
        <v>1849</v>
      </c>
      <c r="T96" s="62"/>
      <c r="U96" s="62"/>
      <c r="V96" s="62"/>
      <c r="W96" s="62"/>
      <c r="X96" s="62"/>
      <c r="Y96" s="62" t="s">
        <v>1850</v>
      </c>
      <c r="Z96" s="62" t="s">
        <v>1851</v>
      </c>
      <c r="AA96" s="62"/>
      <c r="AB96" s="62"/>
      <c r="AC96" s="4"/>
      <c r="AD96" s="4"/>
      <c r="AE96" s="8"/>
      <c r="AF96" s="4"/>
      <c r="AG96" s="4"/>
      <c r="AH96" s="1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8"/>
      <c r="AX96" s="8"/>
      <c r="AY96" s="8"/>
      <c r="AZ96" s="8"/>
      <c r="BA96" s="12"/>
      <c r="BB96" s="8"/>
      <c r="BC96" s="4"/>
      <c r="BD96" s="4"/>
      <c r="BE96" s="8"/>
      <c r="BF96" s="8"/>
      <c r="BG96" s="8"/>
      <c r="BH96" s="8"/>
      <c r="BI96" s="8"/>
      <c r="BJ96" s="8"/>
      <c r="BK96" s="8"/>
      <c r="BL96" s="4" t="str">
        <f t="shared" si="3"/>
        <v/>
      </c>
      <c r="BM96" s="8" t="str">
        <f t="shared" si="4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0">
      <c r="A97" s="58" t="s">
        <v>1651</v>
      </c>
      <c r="B97" s="58"/>
      <c r="C97" s="15" t="s">
        <v>1460</v>
      </c>
      <c r="D97" s="15" t="str">
        <f t="shared" si="5"/>
        <v/>
      </c>
      <c r="E97" s="15" t="str">
        <f>IF($A97="","",IF($A97="Neuron",IF(OR(AND($R97&lt;&gt;"",LOWER(TRIM($R97))&lt;&gt;"n/a",COUNTIF($S$2:$S$528,$R97)&gt;1),AND($T97&lt;&gt;"",LOWER(TRIM($T97))&lt;&gt;"n/a",COUNTIF($T$2:$T$528,$T97)&gt;1),AND($W97&lt;&gt;"",LOWER(TRIM($W97))&lt;&gt;"n/a",COUNTIF($W$2:$W$528,$W97)&gt;1)),"Yes","No"),IF($A97="Cybernet",IF(OR(AND($Y97&lt;&gt;"",LOWER(TRIM($Y97))&lt;&gt;"n/a",COUNTIF($Y$2:$Y$528,$Y97)&gt;1),AND($Z97&lt;&gt;"",LOWER(TRIM($Z97))&lt;&gt;"n/a",COUNTIF($Z$2:$Z$528,$Z97)&gt;1)),"Yes","No"),IF(AND($AL97&lt;&gt;"",LOWER(TRIM($AL97))&lt;&gt;"n/a",COUNTIF($AL$2:$AL$528,$AL97)&gt;1),"Yes","No"))))</f>
        <v>No</v>
      </c>
      <c r="F97" t="str">
        <f>IF($B97&lt;&gt;"Yes","",
IF($A97="Neuron",
IF(OR(
AND($R97&lt;&gt;"",LOWER(TRIM($R97))&lt;&gt;"n/a",COUNTIFS($B$2:$B$528,"Yes",$A$2:$A$528,"Neuron",$S$2:$S$528,$R97)&gt;1),
AND($T97&lt;&gt;"",LOWER(TRIM($T97))&lt;&gt;"n/a",COUNTIFS($B$2:$B$528,"Yes",$A$2:$A$528,"Neuron",$T$2:$T$528,$T97)&gt;1),
AND($W97&lt;&gt;"",LOWER(TRIM($W97))&lt;&gt;"n/a",COUNTIFS($B$2:$B$528,"Yes",$A$2:$A$528,"Neuron",$W$2:$W$528,$W97)&gt;1)
),"Yes","No"),
IF($A97="Cybernet",
IF(OR(
AND($Y97&lt;&gt;"",LOWER(TRIM($Y97))&lt;&gt;"n/a",COUNTIFS($B$2:$B$528,"Yes",$A$2:$A$528,"Cybernet",$Y$2:$Y$528,$Y97)&gt;1),
AND($Z97&lt;&gt;"",LOWER(TRIM($Z97))&lt;&gt;"n/a",COUNTIFS($B$2:$B$528,"Yes",$A$2:$A$528,"Cybernet",$Z$2:$Z$528,$Z97)&gt;1)
),"Yes","No"),
IF(AND($AL97&lt;&gt;"",LOWER(TRIM($AL97))&lt;&gt;"n/a"),
IF(COUNTIFS($B$2:$B$528,"Yes",$A$2:$A$528,$A97,$AL$2:$AL$528,$AL97)&gt;1,"Yes","No"),
"No")
)
)
)</f>
        <v/>
      </c>
      <c r="G97" s="59" t="s">
        <v>1698</v>
      </c>
      <c r="H97" s="59" t="s">
        <v>1830</v>
      </c>
      <c r="I97" s="59"/>
      <c r="J97" s="2" t="s">
        <v>1441</v>
      </c>
      <c r="K97" s="2" t="s">
        <v>1460</v>
      </c>
      <c r="L97" s="2" t="s">
        <v>1460</v>
      </c>
      <c r="M97" s="2"/>
      <c r="N97" s="59"/>
      <c r="O97" s="59"/>
      <c r="P97" s="59"/>
      <c r="Q97" s="59"/>
      <c r="R97" s="59" t="s">
        <v>1852</v>
      </c>
      <c r="T97" s="59"/>
      <c r="U97" s="59"/>
      <c r="V97" s="59"/>
      <c r="W97" s="59"/>
      <c r="X97" s="59"/>
      <c r="Y97" s="59" t="s">
        <v>1853</v>
      </c>
      <c r="Z97" s="59" t="s">
        <v>1854</v>
      </c>
      <c r="AA97" s="59"/>
      <c r="AB97" s="59"/>
      <c r="AC97" s="4"/>
      <c r="AD97" s="4"/>
      <c r="AE97" s="8"/>
      <c r="AF97" s="4"/>
      <c r="AG97" s="4"/>
      <c r="AH97" s="1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8"/>
      <c r="AX97" s="8"/>
      <c r="AY97" s="8"/>
      <c r="AZ97" s="8"/>
      <c r="BA97" s="12"/>
      <c r="BB97" s="8"/>
      <c r="BC97" s="4"/>
      <c r="BD97" s="4"/>
      <c r="BE97" s="8"/>
      <c r="BF97" s="8"/>
      <c r="BG97" s="8"/>
      <c r="BH97" s="8"/>
      <c r="BI97" s="8"/>
      <c r="BJ97" s="8"/>
      <c r="BK97" s="8"/>
      <c r="BL97" s="4" t="str">
        <f t="shared" si="3"/>
        <v/>
      </c>
      <c r="BM97" s="8" t="str">
        <f t="shared" si="4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0">
      <c r="A98" s="61" t="s">
        <v>1651</v>
      </c>
      <c r="B98" s="61"/>
      <c r="C98" s="15" t="s">
        <v>1460</v>
      </c>
      <c r="D98" s="15" t="str">
        <f t="shared" si="5"/>
        <v/>
      </c>
      <c r="E98" s="15" t="str">
        <f>IF($A98="","",IF($A98="Neuron",IF(OR(AND($R98&lt;&gt;"",LOWER(TRIM($R98))&lt;&gt;"n/a",COUNTIF($S$2:$S$528,$R98)&gt;1),AND($T98&lt;&gt;"",LOWER(TRIM($T98))&lt;&gt;"n/a",COUNTIF($T$2:$T$528,$T98)&gt;1),AND($W98&lt;&gt;"",LOWER(TRIM($W98))&lt;&gt;"n/a",COUNTIF($W$2:$W$528,$W98)&gt;1)),"Yes","No"),IF($A98="Cybernet",IF(OR(AND($Y98&lt;&gt;"",LOWER(TRIM($Y98))&lt;&gt;"n/a",COUNTIF($Y$2:$Y$528,$Y98)&gt;1),AND($Z98&lt;&gt;"",LOWER(TRIM($Z98))&lt;&gt;"n/a",COUNTIF($Z$2:$Z$528,$Z98)&gt;1)),"Yes","No"),IF(AND($AL98&lt;&gt;"",LOWER(TRIM($AL98))&lt;&gt;"n/a",COUNTIF($AL$2:$AL$528,$AL98)&gt;1),"Yes","No"))))</f>
        <v>No</v>
      </c>
      <c r="F98" t="str">
        <f>IF($B98&lt;&gt;"Yes","",
IF($A98="Neuron",
IF(OR(
AND($R98&lt;&gt;"",LOWER(TRIM($R98))&lt;&gt;"n/a",COUNTIFS($B$2:$B$528,"Yes",$A$2:$A$528,"Neuron",$S$2:$S$528,$R98)&gt;1),
AND($T98&lt;&gt;"",LOWER(TRIM($T98))&lt;&gt;"n/a",COUNTIFS($B$2:$B$528,"Yes",$A$2:$A$528,"Neuron",$T$2:$T$528,$T98)&gt;1),
AND($W98&lt;&gt;"",LOWER(TRIM($W98))&lt;&gt;"n/a",COUNTIFS($B$2:$B$528,"Yes",$A$2:$A$528,"Neuron",$W$2:$W$528,$W98)&gt;1)
),"Yes","No"),
IF($A98="Cybernet",
IF(OR(
AND($Y98&lt;&gt;"",LOWER(TRIM($Y98))&lt;&gt;"n/a",COUNTIFS($B$2:$B$528,"Yes",$A$2:$A$528,"Cybernet",$Y$2:$Y$528,$Y98)&gt;1),
AND($Z98&lt;&gt;"",LOWER(TRIM($Z98))&lt;&gt;"n/a",COUNTIFS($B$2:$B$528,"Yes",$A$2:$A$528,"Cybernet",$Z$2:$Z$528,$Z98)&gt;1)
),"Yes","No"),
IF(AND($AL98&lt;&gt;"",LOWER(TRIM($AL98))&lt;&gt;"n/a"),
IF(COUNTIFS($B$2:$B$528,"Yes",$A$2:$A$528,$A98,$AL$2:$AL$528,$AL98)&gt;1,"Yes","No"),
"No")
)
)
)</f>
        <v/>
      </c>
      <c r="G98" s="62" t="s">
        <v>1698</v>
      </c>
      <c r="H98" s="62" t="s">
        <v>1830</v>
      </c>
      <c r="I98" s="62"/>
      <c r="J98" s="2" t="s">
        <v>1441</v>
      </c>
      <c r="K98" s="2" t="s">
        <v>1460</v>
      </c>
      <c r="L98" s="2" t="s">
        <v>1460</v>
      </c>
      <c r="M98" s="2"/>
      <c r="N98" s="62"/>
      <c r="O98" s="62"/>
      <c r="P98" s="62"/>
      <c r="Q98" s="62"/>
      <c r="R98" s="62" t="s">
        <v>1855</v>
      </c>
      <c r="T98" s="62"/>
      <c r="U98" s="62"/>
      <c r="V98" s="62"/>
      <c r="W98" s="62"/>
      <c r="X98" s="62"/>
      <c r="Y98" s="62" t="s">
        <v>1856</v>
      </c>
      <c r="Z98" s="62" t="s">
        <v>1857</v>
      </c>
      <c r="AA98" s="62"/>
      <c r="AB98" s="62"/>
      <c r="AC98" s="4"/>
      <c r="AD98" s="4"/>
      <c r="AE98" s="8"/>
      <c r="AF98" s="4"/>
      <c r="AG98" s="4"/>
      <c r="AH98" s="1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8"/>
      <c r="AX98" s="8"/>
      <c r="AY98" s="8"/>
      <c r="AZ98" s="8"/>
      <c r="BA98" s="12"/>
      <c r="BB98" s="8"/>
      <c r="BC98" s="4"/>
      <c r="BD98" s="4"/>
      <c r="BE98" s="8"/>
      <c r="BF98" s="8"/>
      <c r="BG98" s="8"/>
      <c r="BH98" s="8"/>
      <c r="BI98" s="8"/>
      <c r="BJ98" s="8"/>
      <c r="BK98" s="8"/>
      <c r="BL98" s="4" t="str">
        <f t="shared" si="3"/>
        <v/>
      </c>
      <c r="BM98" s="8" t="str">
        <f t="shared" si="4"/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0">
      <c r="A99" s="8" t="s">
        <v>1651</v>
      </c>
      <c r="B99" s="8"/>
      <c r="C99" s="15" t="s">
        <v>1460</v>
      </c>
      <c r="D99" s="15" t="str">
        <f t="shared" si="5"/>
        <v/>
      </c>
      <c r="E99" s="15" t="str">
        <f>IF($A99="","",IF($A99="Neuron",IF(OR(AND($R99&lt;&gt;"",LOWER(TRIM($R99))&lt;&gt;"n/a",COUNTIF($S$2:$S$528,$R99)&gt;1),AND($T99&lt;&gt;"",LOWER(TRIM($T99))&lt;&gt;"n/a",COUNTIF($T$2:$T$528,$T99)&gt;1),AND($W99&lt;&gt;"",LOWER(TRIM($W99))&lt;&gt;"n/a",COUNTIF($W$2:$W$528,$W99)&gt;1)),"Yes","No"),IF($A99="Cybernet",IF(OR(AND($Y99&lt;&gt;"",LOWER(TRIM($Y99))&lt;&gt;"n/a",COUNTIF($Y$2:$Y$528,$Y99)&gt;1),AND($Z99&lt;&gt;"",LOWER(TRIM($Z99))&lt;&gt;"n/a",COUNTIF($Z$2:$Z$528,$Z99)&gt;1)),"Yes","No"),IF(AND($AL99&lt;&gt;"",LOWER(TRIM($AL99))&lt;&gt;"n/a",COUNTIF($AL$2:$AL$528,$AL99)&gt;1),"Yes","No"))))</f>
        <v>No</v>
      </c>
      <c r="F99" t="str">
        <f>IF($B99&lt;&gt;"Yes","",
IF($A99="Neuron",
IF(OR(
AND($R99&lt;&gt;"",LOWER(TRIM($R99))&lt;&gt;"n/a",COUNTIFS($B$2:$B$528,"Yes",$A$2:$A$528,"Neuron",$S$2:$S$528,$R99)&gt;1),
AND($T99&lt;&gt;"",LOWER(TRIM($T99))&lt;&gt;"n/a",COUNTIFS($B$2:$B$528,"Yes",$A$2:$A$528,"Neuron",$T$2:$T$528,$T99)&gt;1),
AND($W99&lt;&gt;"",LOWER(TRIM($W99))&lt;&gt;"n/a",COUNTIFS($B$2:$B$528,"Yes",$A$2:$A$528,"Neuron",$W$2:$W$528,$W99)&gt;1)
),"Yes","No"),
IF($A99="Cybernet",
IF(OR(
AND($Y99&lt;&gt;"",LOWER(TRIM($Y99))&lt;&gt;"n/a",COUNTIFS($B$2:$B$528,"Yes",$A$2:$A$528,"Cybernet",$Y$2:$Y$528,$Y99)&gt;1),
AND($Z99&lt;&gt;"",LOWER(TRIM($Z99))&lt;&gt;"n/a",COUNTIFS($B$2:$B$528,"Yes",$A$2:$A$528,"Cybernet",$Z$2:$Z$528,$Z99)&gt;1)
),"Yes","No"),
IF(AND($AL99&lt;&gt;"",LOWER(TRIM($AL99))&lt;&gt;"n/a"),
IF(COUNTIFS($B$2:$B$528,"Yes",$A$2:$A$528,$A99,$AL$2:$AL$528,$AL99)&gt;1,"Yes","No"),
"No")
)
)
)</f>
        <v/>
      </c>
      <c r="G99" s="59" t="s">
        <v>1698</v>
      </c>
      <c r="H99" s="4" t="s">
        <v>1830</v>
      </c>
      <c r="I99" s="4"/>
      <c r="J99" s="2" t="s">
        <v>1441</v>
      </c>
      <c r="K99" s="2" t="s">
        <v>1460</v>
      </c>
      <c r="L99" s="2" t="s">
        <v>1460</v>
      </c>
      <c r="M99" s="2"/>
      <c r="N99" s="4"/>
      <c r="O99" s="4"/>
      <c r="P99" s="4"/>
      <c r="Q99" s="4"/>
      <c r="R99" s="4" t="s">
        <v>1858</v>
      </c>
      <c r="T99" s="4"/>
      <c r="U99" s="4"/>
      <c r="V99" s="4"/>
      <c r="W99" s="4"/>
      <c r="X99" s="4"/>
      <c r="Y99" s="4" t="s">
        <v>1859</v>
      </c>
      <c r="Z99" s="4" t="s">
        <v>1860</v>
      </c>
      <c r="AA99" s="4"/>
      <c r="AB99" s="4"/>
      <c r="AC99" s="4"/>
      <c r="AD99" s="4"/>
      <c r="AE99" s="8"/>
      <c r="AF99" s="4"/>
      <c r="AG99" s="4"/>
      <c r="AH99" s="1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8"/>
      <c r="AX99" s="8"/>
      <c r="AY99" s="8"/>
      <c r="AZ99" s="8"/>
      <c r="BA99" s="12"/>
      <c r="BB99" s="8"/>
      <c r="BC99" s="4"/>
      <c r="BD99" s="4"/>
      <c r="BE99" s="8"/>
      <c r="BF99" s="8"/>
      <c r="BG99" s="8"/>
      <c r="BH99" s="8"/>
      <c r="BI99" s="8"/>
      <c r="BJ99" s="8"/>
      <c r="BK99" s="8"/>
      <c r="BL99" s="4" t="str">
        <f t="shared" si="3"/>
        <v/>
      </c>
      <c r="BM99" s="8" t="str">
        <f t="shared" si="4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0" ht="15" customHeight="1">
      <c r="A100" s="8" t="s">
        <v>1651</v>
      </c>
      <c r="B100" s="8"/>
      <c r="C100" s="15" t="s">
        <v>1460</v>
      </c>
      <c r="D100" s="15" t="str">
        <f t="shared" si="5"/>
        <v/>
      </c>
      <c r="E100" s="15" t="str">
        <f>IF($A100="","",IF($A100="Neuron",IF(OR(AND($R100&lt;&gt;"",LOWER(TRIM($R100))&lt;&gt;"n/a",COUNTIF($S$2:$S$528,$R100)&gt;1),AND($T100&lt;&gt;"",LOWER(TRIM($T100))&lt;&gt;"n/a",COUNTIF($T$2:$T$528,$T100)&gt;1),AND($W100&lt;&gt;"",LOWER(TRIM($W100))&lt;&gt;"n/a",COUNTIF($W$2:$W$528,$W100)&gt;1)),"Yes","No"),IF($A100="Cybernet",IF(OR(AND($Y100&lt;&gt;"",LOWER(TRIM($Y100))&lt;&gt;"n/a",COUNTIF($Y$2:$Y$528,$Y100)&gt;1),AND($Z100&lt;&gt;"",LOWER(TRIM($Z100))&lt;&gt;"n/a",COUNTIF($Z$2:$Z$528,$Z100)&gt;1)),"Yes","No"),IF(AND($AL100&lt;&gt;"",LOWER(TRIM($AL100))&lt;&gt;"n/a",COUNTIF($AL$2:$AL$528,$AL100)&gt;1),"Yes","No"))))</f>
        <v>No</v>
      </c>
      <c r="F100" t="str">
        <f>IF($B100&lt;&gt;"Yes","",
IF($A100="Neuron",
IF(OR(
AND($R100&lt;&gt;"",LOWER(TRIM($R100))&lt;&gt;"n/a",COUNTIFS($B$2:$B$528,"Yes",$A$2:$A$528,"Neuron",$S$2:$S$528,$R100)&gt;1),
AND($T100&lt;&gt;"",LOWER(TRIM($T100))&lt;&gt;"n/a",COUNTIFS($B$2:$B$528,"Yes",$A$2:$A$528,"Neuron",$T$2:$T$528,$T100)&gt;1),
AND($W100&lt;&gt;"",LOWER(TRIM($W100))&lt;&gt;"n/a",COUNTIFS($B$2:$B$528,"Yes",$A$2:$A$528,"Neuron",$W$2:$W$528,$W100)&gt;1)
),"Yes","No"),
IF($A100="Cybernet",
IF(OR(
AND($Y100&lt;&gt;"",LOWER(TRIM($Y100))&lt;&gt;"n/a",COUNTIFS($B$2:$B$528,"Yes",$A$2:$A$528,"Cybernet",$Y$2:$Y$528,$Y100)&gt;1),
AND($Z100&lt;&gt;"",LOWER(TRIM($Z100))&lt;&gt;"n/a",COUNTIFS($B$2:$B$528,"Yes",$A$2:$A$528,"Cybernet",$Z$2:$Z$528,$Z100)&gt;1)
),"Yes","No"),
IF(AND($AL100&lt;&gt;"",LOWER(TRIM($AL100))&lt;&gt;"n/a"),
IF(COUNTIFS($B$2:$B$528,"Yes",$A$2:$A$528,$A100,$AL$2:$AL$528,$AL100)&gt;1,"Yes","No"),
"No")
)
)
)</f>
        <v/>
      </c>
      <c r="G100" s="62" t="s">
        <v>1698</v>
      </c>
      <c r="H100" s="4" t="s">
        <v>1830</v>
      </c>
      <c r="I100" s="4"/>
      <c r="J100" s="2" t="s">
        <v>1441</v>
      </c>
      <c r="K100" s="2" t="s">
        <v>1460</v>
      </c>
      <c r="L100" s="2" t="s">
        <v>1460</v>
      </c>
      <c r="M100" s="2"/>
      <c r="N100" s="4"/>
      <c r="O100" s="4"/>
      <c r="P100" s="4"/>
      <c r="Q100" s="4"/>
      <c r="R100" s="74" t="s">
        <v>1861</v>
      </c>
      <c r="T100" s="4"/>
      <c r="U100" s="4"/>
      <c r="V100" s="4"/>
      <c r="W100" s="4"/>
      <c r="X100" s="4"/>
      <c r="Y100" s="4" t="s">
        <v>1862</v>
      </c>
      <c r="Z100" s="4" t="s">
        <v>1863</v>
      </c>
      <c r="AA100" s="4"/>
      <c r="AB100" s="4"/>
      <c r="AC100" s="4"/>
      <c r="AD100" s="4"/>
      <c r="AE100" s="8"/>
      <c r="AF100" s="4"/>
      <c r="AG100" s="4"/>
      <c r="AH100" s="1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8"/>
      <c r="AX100" s="8"/>
      <c r="AY100" s="8"/>
      <c r="AZ100" s="8"/>
      <c r="BA100" s="12"/>
      <c r="BB100" s="8"/>
      <c r="BC100" s="4"/>
      <c r="BD100" s="4"/>
      <c r="BE100" s="8"/>
      <c r="BF100" s="8"/>
      <c r="BG100" s="8"/>
      <c r="BH100" s="8"/>
      <c r="BI100" s="8"/>
      <c r="BJ100" s="8"/>
      <c r="BK100" s="8"/>
      <c r="BL100" s="4" t="str">
        <f t="shared" si="3"/>
        <v/>
      </c>
      <c r="BM100" s="8" t="str">
        <f t="shared" si="4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0">
      <c r="A101" s="8" t="s">
        <v>1651</v>
      </c>
      <c r="B101" s="8"/>
      <c r="C101" s="15" t="s">
        <v>1460</v>
      </c>
      <c r="D101" s="15" t="str">
        <f t="shared" si="5"/>
        <v/>
      </c>
      <c r="E101" s="15" t="str">
        <f>IF($A101="","",IF($A101="Neuron",IF(OR(AND($R101&lt;&gt;"",LOWER(TRIM($R101))&lt;&gt;"n/a",COUNTIF($S$2:$S$528,$R101)&gt;1),AND($T101&lt;&gt;"",LOWER(TRIM($T101))&lt;&gt;"n/a",COUNTIF($T$2:$T$528,$T101)&gt;1),AND($W101&lt;&gt;"",LOWER(TRIM($W101))&lt;&gt;"n/a",COUNTIF($W$2:$W$528,$W101)&gt;1)),"Yes","No"),IF($A101="Cybernet",IF(OR(AND($Y101&lt;&gt;"",LOWER(TRIM($Y101))&lt;&gt;"n/a",COUNTIF($Y$2:$Y$528,$Y101)&gt;1),AND($Z101&lt;&gt;"",LOWER(TRIM($Z101))&lt;&gt;"n/a",COUNTIF($Z$2:$Z$528,$Z101)&gt;1)),"Yes","No"),IF(AND($AL101&lt;&gt;"",LOWER(TRIM($AL101))&lt;&gt;"n/a",COUNTIF($AL$2:$AL$528,$AL101)&gt;1),"Yes","No"))))</f>
        <v>No</v>
      </c>
      <c r="F101" t="str">
        <f>IF($B101&lt;&gt;"Yes","",
IF($A101="Neuron",
IF(OR(
AND($R101&lt;&gt;"",LOWER(TRIM($R101))&lt;&gt;"n/a",COUNTIFS($B$2:$B$528,"Yes",$A$2:$A$528,"Neuron",$S$2:$S$528,$R101)&gt;1),
AND($T101&lt;&gt;"",LOWER(TRIM($T101))&lt;&gt;"n/a",COUNTIFS($B$2:$B$528,"Yes",$A$2:$A$528,"Neuron",$T$2:$T$528,$T101)&gt;1),
AND($W101&lt;&gt;"",LOWER(TRIM($W101))&lt;&gt;"n/a",COUNTIFS($B$2:$B$528,"Yes",$A$2:$A$528,"Neuron",$W$2:$W$528,$W101)&gt;1)
),"Yes","No"),
IF($A101="Cybernet",
IF(OR(
AND($Y101&lt;&gt;"",LOWER(TRIM($Y101))&lt;&gt;"n/a",COUNTIFS($B$2:$B$528,"Yes",$A$2:$A$528,"Cybernet",$Y$2:$Y$528,$Y101)&gt;1),
AND($Z101&lt;&gt;"",LOWER(TRIM($Z101))&lt;&gt;"n/a",COUNTIFS($B$2:$B$528,"Yes",$A$2:$A$528,"Cybernet",$Z$2:$Z$528,$Z101)&gt;1)
),"Yes","No"),
IF(AND($AL101&lt;&gt;"",LOWER(TRIM($AL101))&lt;&gt;"n/a"),
IF(COUNTIFS($B$2:$B$528,"Yes",$A$2:$A$528,$A101,$AL$2:$AL$528,$AL101)&gt;1,"Yes","No"),
"No")
)
)
)</f>
        <v/>
      </c>
      <c r="G101" s="59" t="s">
        <v>1698</v>
      </c>
      <c r="H101" s="4" t="s">
        <v>1830</v>
      </c>
      <c r="I101" s="4"/>
      <c r="J101" s="2" t="s">
        <v>1441</v>
      </c>
      <c r="K101" s="2" t="s">
        <v>1460</v>
      </c>
      <c r="L101" s="2" t="s">
        <v>1460</v>
      </c>
      <c r="M101" s="2"/>
      <c r="N101" s="4"/>
      <c r="O101" s="4"/>
      <c r="P101" s="4"/>
      <c r="Q101" s="4"/>
      <c r="R101" s="4" t="s">
        <v>1864</v>
      </c>
      <c r="T101" s="4"/>
      <c r="U101" s="4"/>
      <c r="V101" s="4"/>
      <c r="W101" s="4"/>
      <c r="X101" s="4"/>
      <c r="Y101" s="4" t="s">
        <v>1865</v>
      </c>
      <c r="Z101" s="4" t="s">
        <v>1866</v>
      </c>
      <c r="AA101" s="4"/>
      <c r="AB101" s="4"/>
      <c r="AC101" s="4"/>
      <c r="AD101" s="4"/>
      <c r="AE101" s="8"/>
      <c r="AF101" s="4"/>
      <c r="AG101" s="4"/>
      <c r="AH101" s="1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8"/>
      <c r="AX101" s="8"/>
      <c r="AY101" s="8"/>
      <c r="AZ101" s="8"/>
      <c r="BA101" s="12"/>
      <c r="BB101" s="8"/>
      <c r="BC101" s="4"/>
      <c r="BD101" s="4"/>
      <c r="BE101" s="8"/>
      <c r="BF101" s="8"/>
      <c r="BG101" s="8"/>
      <c r="BH101" s="8"/>
      <c r="BI101" s="8"/>
      <c r="BJ101" s="8"/>
      <c r="BK101" s="8"/>
      <c r="BL101" s="4" t="str">
        <f t="shared" si="3"/>
        <v/>
      </c>
      <c r="BM101" s="8" t="str">
        <f t="shared" si="4"/>
        <v/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</row>
    <row r="102" spans="1:70">
      <c r="A102" s="8" t="s">
        <v>1651</v>
      </c>
      <c r="B102" s="8"/>
      <c r="C102" s="15" t="s">
        <v>1460</v>
      </c>
      <c r="D102" s="15" t="str">
        <f t="shared" si="5"/>
        <v/>
      </c>
      <c r="E102" s="15" t="str">
        <f>IF($A102="","",IF($A102="Neuron",IF(OR(AND($R102&lt;&gt;"",LOWER(TRIM($R102))&lt;&gt;"n/a",COUNTIF($S$2:$S$528,$R102)&gt;1),AND($T102&lt;&gt;"",LOWER(TRIM($T102))&lt;&gt;"n/a",COUNTIF($T$2:$T$528,$T102)&gt;1),AND($W102&lt;&gt;"",LOWER(TRIM($W102))&lt;&gt;"n/a",COUNTIF($W$2:$W$528,$W102)&gt;1)),"Yes","No"),IF($A102="Cybernet",IF(OR(AND($Y102&lt;&gt;"",LOWER(TRIM($Y102))&lt;&gt;"n/a",COUNTIF($Y$2:$Y$528,$Y102)&gt;1),AND($Z102&lt;&gt;"",LOWER(TRIM($Z102))&lt;&gt;"n/a",COUNTIF($Z$2:$Z$528,$Z102)&gt;1)),"Yes","No"),IF(AND($AL102&lt;&gt;"",LOWER(TRIM($AL102))&lt;&gt;"n/a",COUNTIF($AL$2:$AL$528,$AL102)&gt;1),"Yes","No"))))</f>
        <v>No</v>
      </c>
      <c r="F102" t="str">
        <f>IF($B102&lt;&gt;"Yes","",
IF($A102="Neuron",
IF(OR(
AND($R102&lt;&gt;"",LOWER(TRIM($R102))&lt;&gt;"n/a",COUNTIFS($B$2:$B$528,"Yes",$A$2:$A$528,"Neuron",$S$2:$S$528,$R102)&gt;1),
AND($T102&lt;&gt;"",LOWER(TRIM($T102))&lt;&gt;"n/a",COUNTIFS($B$2:$B$528,"Yes",$A$2:$A$528,"Neuron",$T$2:$T$528,$T102)&gt;1),
AND($W102&lt;&gt;"",LOWER(TRIM($W102))&lt;&gt;"n/a",COUNTIFS($B$2:$B$528,"Yes",$A$2:$A$528,"Neuron",$W$2:$W$528,$W102)&gt;1)
),"Yes","No"),
IF($A102="Cybernet",
IF(OR(
AND($Y102&lt;&gt;"",LOWER(TRIM($Y102))&lt;&gt;"n/a",COUNTIFS($B$2:$B$528,"Yes",$A$2:$A$528,"Cybernet",$Y$2:$Y$528,$Y102)&gt;1),
AND($Z102&lt;&gt;"",LOWER(TRIM($Z102))&lt;&gt;"n/a",COUNTIFS($B$2:$B$528,"Yes",$A$2:$A$528,"Cybernet",$Z$2:$Z$528,$Z102)&gt;1)
),"Yes","No"),
IF(AND($AL102&lt;&gt;"",LOWER(TRIM($AL102))&lt;&gt;"n/a"),
IF(COUNTIFS($B$2:$B$528,"Yes",$A$2:$A$528,$A102,$AL$2:$AL$528,$AL102)&gt;1,"Yes","No"),
"No")
)
)
)</f>
        <v/>
      </c>
      <c r="G102" s="62" t="s">
        <v>1698</v>
      </c>
      <c r="H102" s="4" t="s">
        <v>1830</v>
      </c>
      <c r="I102" s="4"/>
      <c r="J102" s="2" t="s">
        <v>1441</v>
      </c>
      <c r="K102" s="2" t="s">
        <v>1460</v>
      </c>
      <c r="L102" s="2" t="s">
        <v>1460</v>
      </c>
      <c r="M102" s="2"/>
      <c r="N102" s="4"/>
      <c r="O102" s="4"/>
      <c r="P102" s="4"/>
      <c r="Q102" s="4"/>
      <c r="R102" s="4" t="s">
        <v>1867</v>
      </c>
      <c r="T102" s="4"/>
      <c r="U102" s="4"/>
      <c r="V102" s="4"/>
      <c r="W102" s="4"/>
      <c r="X102" s="4"/>
      <c r="Y102" s="4" t="s">
        <v>1868</v>
      </c>
      <c r="Z102" s="4" t="s">
        <v>1869</v>
      </c>
      <c r="AA102" s="4"/>
      <c r="AB102" s="4"/>
      <c r="AC102" s="4"/>
      <c r="AD102" s="4"/>
      <c r="AE102" s="8"/>
      <c r="AF102" s="4"/>
      <c r="AG102" s="4"/>
      <c r="AH102" s="1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8"/>
      <c r="AX102" s="8"/>
      <c r="AY102" s="8"/>
      <c r="AZ102" s="8"/>
      <c r="BA102" s="12"/>
      <c r="BB102" s="8"/>
      <c r="BC102" s="4"/>
      <c r="BD102" s="4"/>
      <c r="BE102" s="8"/>
      <c r="BF102" s="8"/>
      <c r="BG102" s="8"/>
      <c r="BH102" s="8"/>
      <c r="BI102" s="8"/>
      <c r="BJ102" s="8"/>
      <c r="BK102" s="8"/>
      <c r="BL102" s="4" t="str">
        <f t="shared" si="3"/>
        <v/>
      </c>
      <c r="BM102" s="8" t="str">
        <f t="shared" si="4"/>
        <v/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</row>
    <row r="103" spans="1:70">
      <c r="A103" s="8" t="s">
        <v>1651</v>
      </c>
      <c r="B103" s="8"/>
      <c r="C103" s="15" t="s">
        <v>1460</v>
      </c>
      <c r="D103" s="15" t="str">
        <f t="shared" si="5"/>
        <v/>
      </c>
      <c r="E103" s="15" t="str">
        <f>IF($A103="","",IF($A103="Neuron",IF(OR(AND($R103&lt;&gt;"",LOWER(TRIM($R103))&lt;&gt;"n/a",COUNTIF($S$2:$S$528,$R103)&gt;1),AND($T103&lt;&gt;"",LOWER(TRIM($T103))&lt;&gt;"n/a",COUNTIF($T$2:$T$528,$T103)&gt;1),AND($W103&lt;&gt;"",LOWER(TRIM($W103))&lt;&gt;"n/a",COUNTIF($W$2:$W$528,$W103)&gt;1)),"Yes","No"),IF($A103="Cybernet",IF(OR(AND($Y103&lt;&gt;"",LOWER(TRIM($Y103))&lt;&gt;"n/a",COUNTIF($Y$2:$Y$528,$Y103)&gt;1),AND($Z103&lt;&gt;"",LOWER(TRIM($Z103))&lt;&gt;"n/a",COUNTIF($Z$2:$Z$528,$Z103)&gt;1)),"Yes","No"),IF(AND($AL103&lt;&gt;"",LOWER(TRIM($AL103))&lt;&gt;"n/a",COUNTIF($AL$2:$AL$528,$AL103)&gt;1),"Yes","No"))))</f>
        <v>No</v>
      </c>
      <c r="F103" t="str">
        <f>IF($B103&lt;&gt;"Yes","",
IF($A103="Neuron",
IF(OR(
AND($R103&lt;&gt;"",LOWER(TRIM($R103))&lt;&gt;"n/a",COUNTIFS($B$2:$B$528,"Yes",$A$2:$A$528,"Neuron",$S$2:$S$528,$R103)&gt;1),
AND($T103&lt;&gt;"",LOWER(TRIM($T103))&lt;&gt;"n/a",COUNTIFS($B$2:$B$528,"Yes",$A$2:$A$528,"Neuron",$T$2:$T$528,$T103)&gt;1),
AND($W103&lt;&gt;"",LOWER(TRIM($W103))&lt;&gt;"n/a",COUNTIFS($B$2:$B$528,"Yes",$A$2:$A$528,"Neuron",$W$2:$W$528,$W103)&gt;1)
),"Yes","No"),
IF($A103="Cybernet",
IF(OR(
AND($Y103&lt;&gt;"",LOWER(TRIM($Y103))&lt;&gt;"n/a",COUNTIFS($B$2:$B$528,"Yes",$A$2:$A$528,"Cybernet",$Y$2:$Y$528,$Y103)&gt;1),
AND($Z103&lt;&gt;"",LOWER(TRIM($Z103))&lt;&gt;"n/a",COUNTIFS($B$2:$B$528,"Yes",$A$2:$A$528,"Cybernet",$Z$2:$Z$528,$Z103)&gt;1)
),"Yes","No"),
IF(AND($AL103&lt;&gt;"",LOWER(TRIM($AL103))&lt;&gt;"n/a"),
IF(COUNTIFS($B$2:$B$528,"Yes",$A$2:$A$528,$A103,$AL$2:$AL$528,$AL103)&gt;1,"Yes","No"),
"No")
)
)
)</f>
        <v/>
      </c>
      <c r="G103" s="59" t="s">
        <v>1698</v>
      </c>
      <c r="H103" s="4" t="s">
        <v>1830</v>
      </c>
      <c r="I103" s="4"/>
      <c r="J103" s="2" t="s">
        <v>1441</v>
      </c>
      <c r="K103" s="2" t="s">
        <v>1460</v>
      </c>
      <c r="L103" s="2" t="s">
        <v>1460</v>
      </c>
      <c r="M103" s="2"/>
      <c r="N103" s="4"/>
      <c r="O103" s="4"/>
      <c r="P103" s="4"/>
      <c r="Q103" s="4"/>
      <c r="R103" s="4" t="s">
        <v>1870</v>
      </c>
      <c r="T103" s="4"/>
      <c r="U103" s="4"/>
      <c r="V103" s="4"/>
      <c r="W103" s="4"/>
      <c r="X103" s="4"/>
      <c r="Y103" s="4" t="s">
        <v>1871</v>
      </c>
      <c r="Z103" s="4" t="s">
        <v>1872</v>
      </c>
      <c r="AA103" s="4"/>
      <c r="AB103" s="4"/>
      <c r="AC103" s="4"/>
      <c r="AD103" s="4"/>
      <c r="AE103" s="8"/>
      <c r="AF103" s="4"/>
      <c r="AG103" s="4"/>
      <c r="AH103" s="1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8"/>
      <c r="AX103" s="8"/>
      <c r="AY103" s="8"/>
      <c r="AZ103" s="8"/>
      <c r="BA103" s="12"/>
      <c r="BB103" s="8"/>
      <c r="BC103" s="4"/>
      <c r="BD103" s="4"/>
      <c r="BE103" s="8"/>
      <c r="BF103" s="8"/>
      <c r="BG103" s="8"/>
      <c r="BH103" s="8"/>
      <c r="BI103" s="8"/>
      <c r="BJ103" s="8"/>
      <c r="BK103" s="8"/>
      <c r="BL103" s="4" t="str">
        <f t="shared" si="3"/>
        <v/>
      </c>
      <c r="BM103" s="8" t="str">
        <f t="shared" si="4"/>
        <v/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</row>
    <row r="104" spans="1:70">
      <c r="A104" s="8" t="s">
        <v>1651</v>
      </c>
      <c r="B104" s="8"/>
      <c r="C104" s="15" t="s">
        <v>1460</v>
      </c>
      <c r="D104" s="15" t="str">
        <f t="shared" si="5"/>
        <v/>
      </c>
      <c r="E104" s="15" t="str">
        <f>IF($A104="","",IF($A104="Neuron",IF(OR(AND($R104&lt;&gt;"",LOWER(TRIM($R104))&lt;&gt;"n/a",COUNTIF($S$2:$S$528,$R104)&gt;1),AND($T104&lt;&gt;"",LOWER(TRIM($T104))&lt;&gt;"n/a",COUNTIF($T$2:$T$528,$T104)&gt;1),AND($W104&lt;&gt;"",LOWER(TRIM($W104))&lt;&gt;"n/a",COUNTIF($W$2:$W$528,$W104)&gt;1)),"Yes","No"),IF($A104="Cybernet",IF(OR(AND($Y104&lt;&gt;"",LOWER(TRIM($Y104))&lt;&gt;"n/a",COUNTIF($Y$2:$Y$528,$Y104)&gt;1),AND($Z104&lt;&gt;"",LOWER(TRIM($Z104))&lt;&gt;"n/a",COUNTIF($Z$2:$Z$528,$Z104)&gt;1)),"Yes","No"),IF(AND($AL104&lt;&gt;"",LOWER(TRIM($AL104))&lt;&gt;"n/a",COUNTIF($AL$2:$AL$528,$AL104)&gt;1),"Yes","No"))))</f>
        <v>No</v>
      </c>
      <c r="F104" t="str">
        <f>IF($B104&lt;&gt;"Yes","",
IF($A104="Neuron",
IF(OR(
AND($R104&lt;&gt;"",LOWER(TRIM($R104))&lt;&gt;"n/a",COUNTIFS($B$2:$B$528,"Yes",$A$2:$A$528,"Neuron",$S$2:$S$528,$R104)&gt;1),
AND($T104&lt;&gt;"",LOWER(TRIM($T104))&lt;&gt;"n/a",COUNTIFS($B$2:$B$528,"Yes",$A$2:$A$528,"Neuron",$T$2:$T$528,$T104)&gt;1),
AND($W104&lt;&gt;"",LOWER(TRIM($W104))&lt;&gt;"n/a",COUNTIFS($B$2:$B$528,"Yes",$A$2:$A$528,"Neuron",$W$2:$W$528,$W104)&gt;1)
),"Yes","No"),
IF($A104="Cybernet",
IF(OR(
AND($Y104&lt;&gt;"",LOWER(TRIM($Y104))&lt;&gt;"n/a",COUNTIFS($B$2:$B$528,"Yes",$A$2:$A$528,"Cybernet",$Y$2:$Y$528,$Y104)&gt;1),
AND($Z104&lt;&gt;"",LOWER(TRIM($Z104))&lt;&gt;"n/a",COUNTIFS($B$2:$B$528,"Yes",$A$2:$A$528,"Cybernet",$Z$2:$Z$528,$Z104)&gt;1)
),"Yes","No"),
IF(AND($AL104&lt;&gt;"",LOWER(TRIM($AL104))&lt;&gt;"n/a"),
IF(COUNTIFS($B$2:$B$528,"Yes",$A$2:$A$528,$A104,$AL$2:$AL$528,$AL104)&gt;1,"Yes","No"),
"No")
)
)
)</f>
        <v/>
      </c>
      <c r="G104" s="62" t="s">
        <v>1698</v>
      </c>
      <c r="H104" s="4" t="s">
        <v>1830</v>
      </c>
      <c r="I104" s="4"/>
      <c r="J104" s="2" t="s">
        <v>1441</v>
      </c>
      <c r="K104" s="2" t="s">
        <v>1460</v>
      </c>
      <c r="L104" s="2" t="s">
        <v>1460</v>
      </c>
      <c r="M104" s="2"/>
      <c r="N104" s="4"/>
      <c r="O104" s="4"/>
      <c r="P104" s="4"/>
      <c r="Q104" s="4"/>
      <c r="R104" s="4" t="s">
        <v>1873</v>
      </c>
      <c r="T104" s="4"/>
      <c r="U104" s="4"/>
      <c r="V104" s="4"/>
      <c r="W104" s="4"/>
      <c r="X104" s="4"/>
      <c r="Y104" s="4" t="s">
        <v>1874</v>
      </c>
      <c r="Z104" s="4" t="s">
        <v>1875</v>
      </c>
      <c r="AA104" s="4"/>
      <c r="AB104" s="4"/>
      <c r="AC104" s="4"/>
      <c r="AD104" s="4"/>
      <c r="AE104" s="8"/>
      <c r="AF104" s="4"/>
      <c r="AG104" s="4"/>
      <c r="AH104" s="1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8"/>
      <c r="AX104" s="8"/>
      <c r="AY104" s="8"/>
      <c r="AZ104" s="8"/>
      <c r="BA104" s="12"/>
      <c r="BB104" s="8"/>
      <c r="BC104" s="4"/>
      <c r="BD104" s="4"/>
      <c r="BE104" s="8"/>
      <c r="BF104" s="8"/>
      <c r="BG104" s="8"/>
      <c r="BH104" s="8"/>
      <c r="BI104" s="8"/>
      <c r="BJ104" s="8"/>
      <c r="BK104" s="8"/>
      <c r="BL104" s="4" t="str">
        <f t="shared" si="3"/>
        <v/>
      </c>
      <c r="BM104" s="8" t="str">
        <f t="shared" si="4"/>
        <v/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</row>
    <row r="105" spans="1:70">
      <c r="A105" s="8" t="s">
        <v>1651</v>
      </c>
      <c r="B105" s="8"/>
      <c r="C105" s="15" t="s">
        <v>1460</v>
      </c>
      <c r="D105" s="15" t="str">
        <f t="shared" si="5"/>
        <v/>
      </c>
      <c r="E105" s="15" t="str">
        <f>IF($A105="","",IF($A105="Neuron",IF(OR(AND($R105&lt;&gt;"",LOWER(TRIM($R105))&lt;&gt;"n/a",COUNTIF($S$2:$S$528,$R105)&gt;1),AND($T105&lt;&gt;"",LOWER(TRIM($T105))&lt;&gt;"n/a",COUNTIF($T$2:$T$528,$T105)&gt;1),AND($W105&lt;&gt;"",LOWER(TRIM($W105))&lt;&gt;"n/a",COUNTIF($W$2:$W$528,$W105)&gt;1)),"Yes","No"),IF($A105="Cybernet",IF(OR(AND($Y105&lt;&gt;"",LOWER(TRIM($Y105))&lt;&gt;"n/a",COUNTIF($Y$2:$Y$528,$Y105)&gt;1),AND($Z105&lt;&gt;"",LOWER(TRIM($Z105))&lt;&gt;"n/a",COUNTIF($Z$2:$Z$528,$Z105)&gt;1)),"Yes","No"),IF(AND($AL105&lt;&gt;"",LOWER(TRIM($AL105))&lt;&gt;"n/a",COUNTIF($AL$2:$AL$528,$AL105)&gt;1),"Yes","No"))))</f>
        <v>No</v>
      </c>
      <c r="F105" t="str">
        <f>IF($B105&lt;&gt;"Yes","",
IF($A105="Neuron",
IF(OR(
AND($R105&lt;&gt;"",LOWER(TRIM($R105))&lt;&gt;"n/a",COUNTIFS($B$2:$B$528,"Yes",$A$2:$A$528,"Neuron",$S$2:$S$528,$R105)&gt;1),
AND($T105&lt;&gt;"",LOWER(TRIM($T105))&lt;&gt;"n/a",COUNTIFS($B$2:$B$528,"Yes",$A$2:$A$528,"Neuron",$T$2:$T$528,$T105)&gt;1),
AND($W105&lt;&gt;"",LOWER(TRIM($W105))&lt;&gt;"n/a",COUNTIFS($B$2:$B$528,"Yes",$A$2:$A$528,"Neuron",$W$2:$W$528,$W105)&gt;1)
),"Yes","No"),
IF($A105="Cybernet",
IF(OR(
AND($Y105&lt;&gt;"",LOWER(TRIM($Y105))&lt;&gt;"n/a",COUNTIFS($B$2:$B$528,"Yes",$A$2:$A$528,"Cybernet",$Y$2:$Y$528,$Y105)&gt;1),
AND($Z105&lt;&gt;"",LOWER(TRIM($Z105))&lt;&gt;"n/a",COUNTIFS($B$2:$B$528,"Yes",$A$2:$A$528,"Cybernet",$Z$2:$Z$528,$Z105)&gt;1)
),"Yes","No"),
IF(AND($AL105&lt;&gt;"",LOWER(TRIM($AL105))&lt;&gt;"n/a"),
IF(COUNTIFS($B$2:$B$528,"Yes",$A$2:$A$528,$A105,$AL$2:$AL$528,$AL105)&gt;1,"Yes","No"),
"No")
)
)
)</f>
        <v/>
      </c>
      <c r="G105" s="59" t="s">
        <v>1698</v>
      </c>
      <c r="H105" s="4" t="s">
        <v>1830</v>
      </c>
      <c r="I105" s="4"/>
      <c r="J105" s="2" t="s">
        <v>1441</v>
      </c>
      <c r="K105" s="2" t="s">
        <v>1460</v>
      </c>
      <c r="L105" s="2" t="s">
        <v>1460</v>
      </c>
      <c r="M105" s="2"/>
      <c r="N105" s="4"/>
      <c r="O105" s="4"/>
      <c r="P105" s="4"/>
      <c r="Q105" s="4"/>
      <c r="R105" s="4" t="s">
        <v>1876</v>
      </c>
      <c r="T105" s="4"/>
      <c r="U105" s="4"/>
      <c r="V105" s="4"/>
      <c r="W105" s="4"/>
      <c r="X105" s="4"/>
      <c r="Y105" s="4" t="s">
        <v>1877</v>
      </c>
      <c r="Z105" s="4" t="s">
        <v>1878</v>
      </c>
      <c r="AA105" s="4"/>
      <c r="AB105" s="4"/>
      <c r="AC105" s="4"/>
      <c r="AD105" s="4"/>
      <c r="AE105" s="8"/>
      <c r="AF105" s="4"/>
      <c r="AG105" s="4"/>
      <c r="AH105" s="1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8"/>
      <c r="AX105" s="8"/>
      <c r="AY105" s="8"/>
      <c r="AZ105" s="8"/>
      <c r="BA105" s="12"/>
      <c r="BB105" s="8"/>
      <c r="BC105" s="4"/>
      <c r="BD105" s="4"/>
      <c r="BE105" s="8"/>
      <c r="BF105" s="8"/>
      <c r="BG105" s="8"/>
      <c r="BH105" s="8"/>
      <c r="BI105" s="8"/>
      <c r="BJ105" s="8"/>
      <c r="BK105" s="8"/>
      <c r="BL105" s="4" t="str">
        <f t="shared" si="3"/>
        <v/>
      </c>
      <c r="BM105" s="8" t="str">
        <f t="shared" si="4"/>
        <v/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</row>
    <row r="106" spans="1:70">
      <c r="A106" s="8" t="s">
        <v>1651</v>
      </c>
      <c r="B106" s="8"/>
      <c r="C106" s="15" t="s">
        <v>1460</v>
      </c>
      <c r="D106" s="15" t="str">
        <f t="shared" si="5"/>
        <v/>
      </c>
      <c r="E106" s="15" t="str">
        <f>IF($A106="","",IF($A106="Neuron",IF(OR(AND($R106&lt;&gt;"",LOWER(TRIM($R106))&lt;&gt;"n/a",COUNTIF($S$2:$S$528,$R106)&gt;1),AND($T106&lt;&gt;"",LOWER(TRIM($T106))&lt;&gt;"n/a",COUNTIF($T$2:$T$528,$T106)&gt;1),AND($W106&lt;&gt;"",LOWER(TRIM($W106))&lt;&gt;"n/a",COUNTIF($W$2:$W$528,$W106)&gt;1)),"Yes","No"),IF($A106="Cybernet",IF(OR(AND($Y106&lt;&gt;"",LOWER(TRIM($Y106))&lt;&gt;"n/a",COUNTIF($Y$2:$Y$528,$Y106)&gt;1),AND($Z106&lt;&gt;"",LOWER(TRIM($Z106))&lt;&gt;"n/a",COUNTIF($Z$2:$Z$528,$Z106)&gt;1)),"Yes","No"),IF(AND($AL106&lt;&gt;"",LOWER(TRIM($AL106))&lt;&gt;"n/a",COUNTIF($AL$2:$AL$528,$AL106)&gt;1),"Yes","No"))))</f>
        <v>No</v>
      </c>
      <c r="F106" t="str">
        <f>IF($B106&lt;&gt;"Yes","",
IF($A106="Neuron",
IF(OR(
AND($R106&lt;&gt;"",LOWER(TRIM($R106))&lt;&gt;"n/a",COUNTIFS($B$2:$B$528,"Yes",$A$2:$A$528,"Neuron",$S$2:$S$528,$R106)&gt;1),
AND($T106&lt;&gt;"",LOWER(TRIM($T106))&lt;&gt;"n/a",COUNTIFS($B$2:$B$528,"Yes",$A$2:$A$528,"Neuron",$T$2:$T$528,$T106)&gt;1),
AND($W106&lt;&gt;"",LOWER(TRIM($W106))&lt;&gt;"n/a",COUNTIFS($B$2:$B$528,"Yes",$A$2:$A$528,"Neuron",$W$2:$W$528,$W106)&gt;1)
),"Yes","No"),
IF($A106="Cybernet",
IF(OR(
AND($Y106&lt;&gt;"",LOWER(TRIM($Y106))&lt;&gt;"n/a",COUNTIFS($B$2:$B$528,"Yes",$A$2:$A$528,"Cybernet",$Y$2:$Y$528,$Y106)&gt;1),
AND($Z106&lt;&gt;"",LOWER(TRIM($Z106))&lt;&gt;"n/a",COUNTIFS($B$2:$B$528,"Yes",$A$2:$A$528,"Cybernet",$Z$2:$Z$528,$Z106)&gt;1)
),"Yes","No"),
IF(AND($AL106&lt;&gt;"",LOWER(TRIM($AL106))&lt;&gt;"n/a"),
IF(COUNTIFS($B$2:$B$528,"Yes",$A$2:$A$528,$A106,$AL$2:$AL$528,$AL106)&gt;1,"Yes","No"),
"No")
)
)
)</f>
        <v/>
      </c>
      <c r="G106" s="62" t="s">
        <v>1698</v>
      </c>
      <c r="H106" s="4" t="s">
        <v>1830</v>
      </c>
      <c r="I106" s="4"/>
      <c r="J106" s="2" t="s">
        <v>1441</v>
      </c>
      <c r="K106" s="2" t="s">
        <v>1460</v>
      </c>
      <c r="L106" s="2" t="s">
        <v>1460</v>
      </c>
      <c r="M106" s="2"/>
      <c r="N106" s="4"/>
      <c r="O106" s="4"/>
      <c r="P106" s="4"/>
      <c r="Q106" s="4"/>
      <c r="R106" s="4" t="s">
        <v>1879</v>
      </c>
      <c r="T106" s="4"/>
      <c r="U106" s="4"/>
      <c r="V106" s="4"/>
      <c r="W106" s="4"/>
      <c r="X106" s="4"/>
      <c r="Y106" s="4" t="s">
        <v>1880</v>
      </c>
      <c r="Z106" s="4" t="s">
        <v>1881</v>
      </c>
      <c r="AA106" s="4"/>
      <c r="AB106" s="4"/>
      <c r="AC106" s="4"/>
      <c r="AD106" s="4"/>
      <c r="AE106" s="8"/>
      <c r="AF106" s="4"/>
      <c r="AG106" s="4"/>
      <c r="AH106" s="1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8"/>
      <c r="AX106" s="8"/>
      <c r="AY106" s="8"/>
      <c r="AZ106" s="8"/>
      <c r="BA106" s="12"/>
      <c r="BB106" s="8"/>
      <c r="BC106" s="4"/>
      <c r="BD106" s="4"/>
      <c r="BE106" s="8"/>
      <c r="BF106" s="8"/>
      <c r="BG106" s="8"/>
      <c r="BH106" s="8"/>
      <c r="BI106" s="8"/>
      <c r="BJ106" s="8"/>
      <c r="BK106" s="8"/>
      <c r="BL106" s="4" t="str">
        <f t="shared" si="3"/>
        <v/>
      </c>
      <c r="BM106" s="8" t="str">
        <f t="shared" si="4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</row>
    <row r="107" spans="1:70">
      <c r="A107" s="8" t="s">
        <v>1651</v>
      </c>
      <c r="B107" s="8"/>
      <c r="C107" s="15" t="s">
        <v>1460</v>
      </c>
      <c r="D107" s="15" t="str">
        <f t="shared" si="5"/>
        <v/>
      </c>
      <c r="E107" s="15" t="str">
        <f>IF($A107="","",IF($A107="Neuron",IF(OR(AND($R107&lt;&gt;"",LOWER(TRIM($R107))&lt;&gt;"n/a",COUNTIF($S$2:$S$528,$R107)&gt;1),AND($T107&lt;&gt;"",LOWER(TRIM($T107))&lt;&gt;"n/a",COUNTIF($T$2:$T$528,$T107)&gt;1),AND($W107&lt;&gt;"",LOWER(TRIM($W107))&lt;&gt;"n/a",COUNTIF($W$2:$W$528,$W107)&gt;1)),"Yes","No"),IF($A107="Cybernet",IF(OR(AND($Y107&lt;&gt;"",LOWER(TRIM($Y107))&lt;&gt;"n/a",COUNTIF($Y$2:$Y$528,$Y107)&gt;1),AND($Z107&lt;&gt;"",LOWER(TRIM($Z107))&lt;&gt;"n/a",COUNTIF($Z$2:$Z$528,$Z107)&gt;1)),"Yes","No"),IF(AND($AL107&lt;&gt;"",LOWER(TRIM($AL107))&lt;&gt;"n/a",COUNTIF($AL$2:$AL$528,$AL107)&gt;1),"Yes","No"))))</f>
        <v>No</v>
      </c>
      <c r="F107" t="str">
        <f>IF($B107&lt;&gt;"Yes","",
IF($A107="Neuron",
IF(OR(
AND($R107&lt;&gt;"",LOWER(TRIM($R107))&lt;&gt;"n/a",COUNTIFS($B$2:$B$528,"Yes",$A$2:$A$528,"Neuron",$S$2:$S$528,$R107)&gt;1),
AND($T107&lt;&gt;"",LOWER(TRIM($T107))&lt;&gt;"n/a",COUNTIFS($B$2:$B$528,"Yes",$A$2:$A$528,"Neuron",$T$2:$T$528,$T107)&gt;1),
AND($W107&lt;&gt;"",LOWER(TRIM($W107))&lt;&gt;"n/a",COUNTIFS($B$2:$B$528,"Yes",$A$2:$A$528,"Neuron",$W$2:$W$528,$W107)&gt;1)
),"Yes","No"),
IF($A107="Cybernet",
IF(OR(
AND($Y107&lt;&gt;"",LOWER(TRIM($Y107))&lt;&gt;"n/a",COUNTIFS($B$2:$B$528,"Yes",$A$2:$A$528,"Cybernet",$Y$2:$Y$528,$Y107)&gt;1),
AND($Z107&lt;&gt;"",LOWER(TRIM($Z107))&lt;&gt;"n/a",COUNTIFS($B$2:$B$528,"Yes",$A$2:$A$528,"Cybernet",$Z$2:$Z$528,$Z107)&gt;1)
),"Yes","No"),
IF(AND($AL107&lt;&gt;"",LOWER(TRIM($AL107))&lt;&gt;"n/a"),
IF(COUNTIFS($B$2:$B$528,"Yes",$A$2:$A$528,$A107,$AL$2:$AL$528,$AL107)&gt;1,"Yes","No"),
"No")
)
)
)</f>
        <v/>
      </c>
      <c r="G107" s="59" t="s">
        <v>1698</v>
      </c>
      <c r="H107" s="4" t="s">
        <v>1830</v>
      </c>
      <c r="I107" s="4"/>
      <c r="J107" s="2" t="s">
        <v>1441</v>
      </c>
      <c r="K107" s="2" t="s">
        <v>1460</v>
      </c>
      <c r="L107" s="2" t="s">
        <v>1460</v>
      </c>
      <c r="M107" s="2"/>
      <c r="N107" s="4"/>
      <c r="O107" s="4"/>
      <c r="P107" s="4"/>
      <c r="Q107" s="4"/>
      <c r="R107" s="4" t="s">
        <v>1882</v>
      </c>
      <c r="T107" s="4"/>
      <c r="U107" s="4"/>
      <c r="V107" s="4"/>
      <c r="W107" s="4"/>
      <c r="X107" s="4"/>
      <c r="Y107" s="4" t="s">
        <v>1883</v>
      </c>
      <c r="Z107" s="4" t="s">
        <v>1884</v>
      </c>
      <c r="AA107" s="4"/>
      <c r="AB107" s="4"/>
      <c r="AC107" s="4"/>
      <c r="AD107" s="4"/>
      <c r="AE107" s="8"/>
      <c r="AF107" s="4"/>
      <c r="AG107" s="4"/>
      <c r="AH107" s="1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8"/>
      <c r="AX107" s="8"/>
      <c r="AY107" s="8"/>
      <c r="AZ107" s="8"/>
      <c r="BA107" s="12"/>
      <c r="BB107" s="8"/>
      <c r="BC107" s="4"/>
      <c r="BD107" s="4"/>
      <c r="BE107" s="8"/>
      <c r="BF107" s="8"/>
      <c r="BG107" s="8"/>
      <c r="BH107" s="8"/>
      <c r="BI107" s="8"/>
      <c r="BJ107" s="8"/>
      <c r="BK107" s="8"/>
      <c r="BL107" s="4" t="str">
        <f t="shared" si="3"/>
        <v/>
      </c>
      <c r="BM107" s="8" t="str">
        <f t="shared" si="4"/>
        <v/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</row>
    <row r="108" spans="1:70">
      <c r="A108" s="8" t="s">
        <v>1651</v>
      </c>
      <c r="B108" s="8"/>
      <c r="C108" s="15" t="s">
        <v>1460</v>
      </c>
      <c r="D108" s="15" t="str">
        <f t="shared" si="5"/>
        <v/>
      </c>
      <c r="E108" s="15" t="str">
        <f>IF($A108="","",IF($A108="Neuron",IF(OR(AND($R108&lt;&gt;"",LOWER(TRIM($R108))&lt;&gt;"n/a",COUNTIF($S$2:$S$528,$R108)&gt;1),AND($T108&lt;&gt;"",LOWER(TRIM($T108))&lt;&gt;"n/a",COUNTIF($T$2:$T$528,$T108)&gt;1),AND($W108&lt;&gt;"",LOWER(TRIM($W108))&lt;&gt;"n/a",COUNTIF($W$2:$W$528,$W108)&gt;1)),"Yes","No"),IF($A108="Cybernet",IF(OR(AND($Y108&lt;&gt;"",LOWER(TRIM($Y108))&lt;&gt;"n/a",COUNTIF($Y$2:$Y$528,$Y108)&gt;1),AND($Z108&lt;&gt;"",LOWER(TRIM($Z108))&lt;&gt;"n/a",COUNTIF($Z$2:$Z$528,$Z108)&gt;1)),"Yes","No"),IF(AND($AL108&lt;&gt;"",LOWER(TRIM($AL108))&lt;&gt;"n/a",COUNTIF($AL$2:$AL$528,$AL108)&gt;1),"Yes","No"))))</f>
        <v>No</v>
      </c>
      <c r="F108" t="str">
        <f>IF($B108&lt;&gt;"Yes","",
IF($A108="Neuron",
IF(OR(
AND($R108&lt;&gt;"",LOWER(TRIM($R108))&lt;&gt;"n/a",COUNTIFS($B$2:$B$528,"Yes",$A$2:$A$528,"Neuron",$S$2:$S$528,$R108)&gt;1),
AND($T108&lt;&gt;"",LOWER(TRIM($T108))&lt;&gt;"n/a",COUNTIFS($B$2:$B$528,"Yes",$A$2:$A$528,"Neuron",$T$2:$T$528,$T108)&gt;1),
AND($W108&lt;&gt;"",LOWER(TRIM($W108))&lt;&gt;"n/a",COUNTIFS($B$2:$B$528,"Yes",$A$2:$A$528,"Neuron",$W$2:$W$528,$W108)&gt;1)
),"Yes","No"),
IF($A108="Cybernet",
IF(OR(
AND($Y108&lt;&gt;"",LOWER(TRIM($Y108))&lt;&gt;"n/a",COUNTIFS($B$2:$B$528,"Yes",$A$2:$A$528,"Cybernet",$Y$2:$Y$528,$Y108)&gt;1),
AND($Z108&lt;&gt;"",LOWER(TRIM($Z108))&lt;&gt;"n/a",COUNTIFS($B$2:$B$528,"Yes",$A$2:$A$528,"Cybernet",$Z$2:$Z$528,$Z108)&gt;1)
),"Yes","No"),
IF(AND($AL108&lt;&gt;"",LOWER(TRIM($AL108))&lt;&gt;"n/a"),
IF(COUNTIFS($B$2:$B$528,"Yes",$A$2:$A$528,$A108,$AL$2:$AL$528,$AL108)&gt;1,"Yes","No"),
"No")
)
)
)</f>
        <v/>
      </c>
      <c r="G108" s="62" t="s">
        <v>1698</v>
      </c>
      <c r="H108" s="4" t="s">
        <v>1830</v>
      </c>
      <c r="I108" s="4"/>
      <c r="J108" s="2" t="s">
        <v>1441</v>
      </c>
      <c r="K108" s="2" t="s">
        <v>1460</v>
      </c>
      <c r="L108" s="2" t="s">
        <v>1460</v>
      </c>
      <c r="M108" s="2"/>
      <c r="N108" s="4"/>
      <c r="O108" s="4"/>
      <c r="P108" s="4"/>
      <c r="Q108" s="4"/>
      <c r="R108" s="4" t="s">
        <v>1885</v>
      </c>
      <c r="T108" s="4"/>
      <c r="U108" s="4"/>
      <c r="V108" s="4"/>
      <c r="W108" s="4"/>
      <c r="X108" s="4"/>
      <c r="Y108" s="4" t="s">
        <v>1886</v>
      </c>
      <c r="Z108" s="4" t="s">
        <v>1887</v>
      </c>
      <c r="AA108" s="4"/>
      <c r="AB108" s="4"/>
      <c r="AC108" s="4"/>
      <c r="AD108" s="4"/>
      <c r="AE108" s="8"/>
      <c r="AF108" s="4"/>
      <c r="AG108" s="4"/>
      <c r="AH108" s="1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8"/>
      <c r="AX108" s="8"/>
      <c r="AY108" s="8"/>
      <c r="AZ108" s="8"/>
      <c r="BA108" s="12"/>
      <c r="BB108" s="8"/>
      <c r="BC108" s="4"/>
      <c r="BD108" s="4"/>
      <c r="BE108" s="8"/>
      <c r="BF108" s="8"/>
      <c r="BG108" s="8"/>
      <c r="BH108" s="8"/>
      <c r="BI108" s="8"/>
      <c r="BJ108" s="8"/>
      <c r="BK108" s="8"/>
      <c r="BL108" s="4" t="str">
        <f t="shared" si="3"/>
        <v/>
      </c>
      <c r="BM108" s="8" t="str">
        <f t="shared" si="4"/>
        <v/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</row>
    <row r="109" spans="1:70">
      <c r="A109" s="8" t="s">
        <v>1651</v>
      </c>
      <c r="B109" s="8"/>
      <c r="C109" s="15" t="s">
        <v>1460</v>
      </c>
      <c r="D109" s="15" t="str">
        <f t="shared" si="5"/>
        <v/>
      </c>
      <c r="E109" s="15" t="str">
        <f>IF($A109="","",IF($A109="Neuron",IF(OR(AND($R109&lt;&gt;"",LOWER(TRIM($R109))&lt;&gt;"n/a",COUNTIF($S$2:$S$528,$R109)&gt;1),AND($T109&lt;&gt;"",LOWER(TRIM($T109))&lt;&gt;"n/a",COUNTIF($T$2:$T$528,$T109)&gt;1),AND($W109&lt;&gt;"",LOWER(TRIM($W109))&lt;&gt;"n/a",COUNTIF($W$2:$W$528,$W109)&gt;1)),"Yes","No"),IF($A109="Cybernet",IF(OR(AND($Y109&lt;&gt;"",LOWER(TRIM($Y109))&lt;&gt;"n/a",COUNTIF($Y$2:$Y$528,$Y109)&gt;1),AND($Z109&lt;&gt;"",LOWER(TRIM($Z109))&lt;&gt;"n/a",COUNTIF($Z$2:$Z$528,$Z109)&gt;1)),"Yes","No"),IF(AND($AL109&lt;&gt;"",LOWER(TRIM($AL109))&lt;&gt;"n/a",COUNTIF($AL$2:$AL$528,$AL109)&gt;1),"Yes","No"))))</f>
        <v>No</v>
      </c>
      <c r="F109" t="str">
        <f>IF($B109&lt;&gt;"Yes","",
IF($A109="Neuron",
IF(OR(
AND($R109&lt;&gt;"",LOWER(TRIM($R109))&lt;&gt;"n/a",COUNTIFS($B$2:$B$528,"Yes",$A$2:$A$528,"Neuron",$S$2:$S$528,$R109)&gt;1),
AND($T109&lt;&gt;"",LOWER(TRIM($T109))&lt;&gt;"n/a",COUNTIFS($B$2:$B$528,"Yes",$A$2:$A$528,"Neuron",$T$2:$T$528,$T109)&gt;1),
AND($W109&lt;&gt;"",LOWER(TRIM($W109))&lt;&gt;"n/a",COUNTIFS($B$2:$B$528,"Yes",$A$2:$A$528,"Neuron",$W$2:$W$528,$W109)&gt;1)
),"Yes","No"),
IF($A109="Cybernet",
IF(OR(
AND($Y109&lt;&gt;"",LOWER(TRIM($Y109))&lt;&gt;"n/a",COUNTIFS($B$2:$B$528,"Yes",$A$2:$A$528,"Cybernet",$Y$2:$Y$528,$Y109)&gt;1),
AND($Z109&lt;&gt;"",LOWER(TRIM($Z109))&lt;&gt;"n/a",COUNTIFS($B$2:$B$528,"Yes",$A$2:$A$528,"Cybernet",$Z$2:$Z$528,$Z109)&gt;1)
),"Yes","No"),
IF(AND($AL109&lt;&gt;"",LOWER(TRIM($AL109))&lt;&gt;"n/a"),
IF(COUNTIFS($B$2:$B$528,"Yes",$A$2:$A$528,$A109,$AL$2:$AL$528,$AL109)&gt;1,"Yes","No"),
"No")
)
)
)</f>
        <v/>
      </c>
      <c r="G109" s="59" t="s">
        <v>1698</v>
      </c>
      <c r="H109" s="4" t="s">
        <v>1830</v>
      </c>
      <c r="I109" s="4"/>
      <c r="J109" s="2" t="s">
        <v>1441</v>
      </c>
      <c r="K109" s="2" t="s">
        <v>1460</v>
      </c>
      <c r="L109" s="2" t="s">
        <v>1460</v>
      </c>
      <c r="M109" s="2"/>
      <c r="N109" s="4"/>
      <c r="O109" s="4"/>
      <c r="P109" s="4"/>
      <c r="Q109" s="4"/>
      <c r="R109" s="4" t="s">
        <v>1888</v>
      </c>
      <c r="T109" s="4"/>
      <c r="U109" s="4"/>
      <c r="V109" s="4"/>
      <c r="W109" s="4"/>
      <c r="X109" s="4"/>
      <c r="Y109" s="4" t="s">
        <v>1889</v>
      </c>
      <c r="Z109" s="4" t="s">
        <v>1890</v>
      </c>
      <c r="AA109" s="4"/>
      <c r="AB109" s="4"/>
      <c r="AC109" s="4"/>
      <c r="AD109" s="4"/>
      <c r="AE109" s="8"/>
      <c r="AF109" s="4"/>
      <c r="AG109" s="4"/>
      <c r="AH109" s="1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8"/>
      <c r="AX109" s="8"/>
      <c r="AY109" s="8"/>
      <c r="AZ109" s="8"/>
      <c r="BA109" s="12"/>
      <c r="BB109" s="8"/>
      <c r="BC109" s="4"/>
      <c r="BD109" s="4"/>
      <c r="BE109" s="8"/>
      <c r="BF109" s="8"/>
      <c r="BG109" s="8"/>
      <c r="BH109" s="8"/>
      <c r="BI109" s="8"/>
      <c r="BJ109" s="8"/>
      <c r="BK109" s="8"/>
      <c r="BL109" s="4" t="str">
        <f t="shared" si="3"/>
        <v/>
      </c>
      <c r="BM109" s="8" t="str">
        <f t="shared" si="4"/>
        <v/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</row>
    <row r="110" spans="1:70">
      <c r="A110" s="8" t="s">
        <v>1651</v>
      </c>
      <c r="B110" s="8"/>
      <c r="C110" s="15" t="s">
        <v>1460</v>
      </c>
      <c r="D110" s="15" t="str">
        <f t="shared" si="5"/>
        <v/>
      </c>
      <c r="E110" s="15" t="str">
        <f>IF($A110="","",IF($A110="Neuron",IF(OR(AND($R110&lt;&gt;"",LOWER(TRIM($R110))&lt;&gt;"n/a",COUNTIF($S$2:$S$528,$R110)&gt;1),AND($T110&lt;&gt;"",LOWER(TRIM($T110))&lt;&gt;"n/a",COUNTIF($T$2:$T$528,$T110)&gt;1),AND($W110&lt;&gt;"",LOWER(TRIM($W110))&lt;&gt;"n/a",COUNTIF($W$2:$W$528,$W110)&gt;1)),"Yes","No"),IF($A110="Cybernet",IF(OR(AND($Y110&lt;&gt;"",LOWER(TRIM($Y110))&lt;&gt;"n/a",COUNTIF($Y$2:$Y$528,$Y110)&gt;1),AND($Z110&lt;&gt;"",LOWER(TRIM($Z110))&lt;&gt;"n/a",COUNTIF($Z$2:$Z$528,$Z110)&gt;1)),"Yes","No"),IF(AND($AL110&lt;&gt;"",LOWER(TRIM($AL110))&lt;&gt;"n/a",COUNTIF($AL$2:$AL$528,$AL110)&gt;1),"Yes","No"))))</f>
        <v>No</v>
      </c>
      <c r="F110" t="str">
        <f>IF($B110&lt;&gt;"Yes","",
IF($A110="Neuron",
IF(OR(
AND($R110&lt;&gt;"",LOWER(TRIM($R110))&lt;&gt;"n/a",COUNTIFS($B$2:$B$528,"Yes",$A$2:$A$528,"Neuron",$S$2:$S$528,$R110)&gt;1),
AND($T110&lt;&gt;"",LOWER(TRIM($T110))&lt;&gt;"n/a",COUNTIFS($B$2:$B$528,"Yes",$A$2:$A$528,"Neuron",$T$2:$T$528,$T110)&gt;1),
AND($W110&lt;&gt;"",LOWER(TRIM($W110))&lt;&gt;"n/a",COUNTIFS($B$2:$B$528,"Yes",$A$2:$A$528,"Neuron",$W$2:$W$528,$W110)&gt;1)
),"Yes","No"),
IF($A110="Cybernet",
IF(OR(
AND($Y110&lt;&gt;"",LOWER(TRIM($Y110))&lt;&gt;"n/a",COUNTIFS($B$2:$B$528,"Yes",$A$2:$A$528,"Cybernet",$Y$2:$Y$528,$Y110)&gt;1),
AND($Z110&lt;&gt;"",LOWER(TRIM($Z110))&lt;&gt;"n/a",COUNTIFS($B$2:$B$528,"Yes",$A$2:$A$528,"Cybernet",$Z$2:$Z$528,$Z110)&gt;1)
),"Yes","No"),
IF(AND($AL110&lt;&gt;"",LOWER(TRIM($AL110))&lt;&gt;"n/a"),
IF(COUNTIFS($B$2:$B$528,"Yes",$A$2:$A$528,$A110,$AL$2:$AL$528,$AL110)&gt;1,"Yes","No"),
"No")
)
)
)</f>
        <v/>
      </c>
      <c r="G110" s="62" t="s">
        <v>1698</v>
      </c>
      <c r="H110" s="4" t="s">
        <v>1891</v>
      </c>
      <c r="I110" s="4"/>
      <c r="J110" s="2" t="s">
        <v>1441</v>
      </c>
      <c r="K110" s="2" t="s">
        <v>1460</v>
      </c>
      <c r="L110" s="2" t="s">
        <v>1460</v>
      </c>
      <c r="M110" s="2"/>
      <c r="N110" s="4"/>
      <c r="O110" s="4"/>
      <c r="P110" s="4"/>
      <c r="Q110" s="4"/>
      <c r="R110" s="4" t="s">
        <v>1892</v>
      </c>
      <c r="T110" s="4"/>
      <c r="U110" s="4"/>
      <c r="V110" s="4"/>
      <c r="W110" s="4"/>
      <c r="X110" s="4"/>
      <c r="Y110" s="4" t="s">
        <v>1893</v>
      </c>
      <c r="Z110" s="4" t="s">
        <v>1894</v>
      </c>
      <c r="AA110" s="4"/>
      <c r="AB110" s="4"/>
      <c r="AC110" s="4"/>
      <c r="AD110" s="4"/>
      <c r="AE110" s="8"/>
      <c r="AF110" s="4"/>
      <c r="AG110" s="4"/>
      <c r="AH110" s="1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8"/>
      <c r="AX110" s="8"/>
      <c r="AY110" s="8"/>
      <c r="AZ110" s="8"/>
      <c r="BA110" s="12"/>
      <c r="BB110" s="8"/>
      <c r="BC110" s="4"/>
      <c r="BD110" s="4"/>
      <c r="BE110" s="8"/>
      <c r="BF110" s="8"/>
      <c r="BG110" s="8"/>
      <c r="BH110" s="8"/>
      <c r="BI110" s="8"/>
      <c r="BJ110" s="8"/>
      <c r="BK110" s="8"/>
      <c r="BL110" s="4" t="str">
        <f t="shared" si="3"/>
        <v/>
      </c>
      <c r="BM110" s="8" t="str">
        <f t="shared" si="4"/>
        <v/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</row>
    <row r="111" spans="1:70">
      <c r="A111" s="8" t="s">
        <v>1651</v>
      </c>
      <c r="B111" s="8"/>
      <c r="C111" s="15" t="s">
        <v>1460</v>
      </c>
      <c r="D111" s="15" t="str">
        <f t="shared" si="5"/>
        <v/>
      </c>
      <c r="E111" s="15" t="str">
        <f>IF($A111="","",IF($A111="Neuron",IF(OR(AND($R111&lt;&gt;"",LOWER(TRIM($R111))&lt;&gt;"n/a",COUNTIF($S$2:$S$528,$R111)&gt;1),AND($T111&lt;&gt;"",LOWER(TRIM($T111))&lt;&gt;"n/a",COUNTIF($T$2:$T$528,$T111)&gt;1),AND($W111&lt;&gt;"",LOWER(TRIM($W111))&lt;&gt;"n/a",COUNTIF($W$2:$W$528,$W111)&gt;1)),"Yes","No"),IF($A111="Cybernet",IF(OR(AND($Y111&lt;&gt;"",LOWER(TRIM($Y111))&lt;&gt;"n/a",COUNTIF($Y$2:$Y$528,$Y111)&gt;1),AND($Z111&lt;&gt;"",LOWER(TRIM($Z111))&lt;&gt;"n/a",COUNTIF($Z$2:$Z$528,$Z111)&gt;1)),"Yes","No"),IF(AND($AL111&lt;&gt;"",LOWER(TRIM($AL111))&lt;&gt;"n/a",COUNTIF($AL$2:$AL$528,$AL111)&gt;1),"Yes","No"))))</f>
        <v>No</v>
      </c>
      <c r="F111" t="str">
        <f>IF($B111&lt;&gt;"Yes","",
IF($A111="Neuron",
IF(OR(
AND($R111&lt;&gt;"",LOWER(TRIM($R111))&lt;&gt;"n/a",COUNTIFS($B$2:$B$528,"Yes",$A$2:$A$528,"Neuron",$S$2:$S$528,$R111)&gt;1),
AND($T111&lt;&gt;"",LOWER(TRIM($T111))&lt;&gt;"n/a",COUNTIFS($B$2:$B$528,"Yes",$A$2:$A$528,"Neuron",$T$2:$T$528,$T111)&gt;1),
AND($W111&lt;&gt;"",LOWER(TRIM($W111))&lt;&gt;"n/a",COUNTIFS($B$2:$B$528,"Yes",$A$2:$A$528,"Neuron",$W$2:$W$528,$W111)&gt;1)
),"Yes","No"),
IF($A111="Cybernet",
IF(OR(
AND($Y111&lt;&gt;"",LOWER(TRIM($Y111))&lt;&gt;"n/a",COUNTIFS($B$2:$B$528,"Yes",$A$2:$A$528,"Cybernet",$Y$2:$Y$528,$Y111)&gt;1),
AND($Z111&lt;&gt;"",LOWER(TRIM($Z111))&lt;&gt;"n/a",COUNTIFS($B$2:$B$528,"Yes",$A$2:$A$528,"Cybernet",$Z$2:$Z$528,$Z111)&gt;1)
),"Yes","No"),
IF(AND($AL111&lt;&gt;"",LOWER(TRIM($AL111))&lt;&gt;"n/a"),
IF(COUNTIFS($B$2:$B$528,"Yes",$A$2:$A$528,$A111,$AL$2:$AL$528,$AL111)&gt;1,"Yes","No"),
"No")
)
)
)</f>
        <v/>
      </c>
      <c r="G111" t="s">
        <v>1698</v>
      </c>
      <c r="H111" s="4" t="s">
        <v>1891</v>
      </c>
      <c r="I111" s="4"/>
      <c r="J111" s="2" t="s">
        <v>1441</v>
      </c>
      <c r="K111" s="2" t="s">
        <v>1460</v>
      </c>
      <c r="L111" s="2" t="s">
        <v>1460</v>
      </c>
      <c r="M111" s="2"/>
      <c r="N111" s="4"/>
      <c r="O111" s="4"/>
      <c r="P111" s="4"/>
      <c r="Q111" s="4"/>
      <c r="R111" s="4" t="s">
        <v>1895</v>
      </c>
      <c r="T111" s="4"/>
      <c r="U111" s="4"/>
      <c r="V111" s="4"/>
      <c r="W111" s="4"/>
      <c r="X111" s="4"/>
      <c r="Y111" s="4" t="s">
        <v>1896</v>
      </c>
      <c r="Z111" s="4" t="s">
        <v>1897</v>
      </c>
      <c r="AA111" s="4"/>
      <c r="AB111" s="4"/>
      <c r="AC111" s="4"/>
      <c r="AD111" s="4"/>
      <c r="AE111" s="8"/>
      <c r="AF111" s="4"/>
      <c r="AG111" s="4"/>
      <c r="AH111" s="1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8"/>
      <c r="AX111" s="8"/>
      <c r="AY111" s="8"/>
      <c r="AZ111" s="8"/>
      <c r="BA111" s="12"/>
      <c r="BB111" s="8"/>
      <c r="BC111" s="4"/>
      <c r="BD111" s="4"/>
      <c r="BE111" s="8"/>
      <c r="BF111" s="8"/>
      <c r="BG111" s="8"/>
      <c r="BH111" s="8"/>
      <c r="BI111" s="8"/>
      <c r="BJ111" s="8"/>
      <c r="BK111" s="8"/>
      <c r="BL111" s="4" t="str">
        <f t="shared" si="3"/>
        <v/>
      </c>
      <c r="BM111" s="8" t="str">
        <f t="shared" si="4"/>
        <v/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</row>
    <row r="112" spans="1:70">
      <c r="A112" s="8" t="s">
        <v>1651</v>
      </c>
      <c r="B112" s="8"/>
      <c r="C112" s="15" t="s">
        <v>1460</v>
      </c>
      <c r="D112" s="15" t="str">
        <f t="shared" si="5"/>
        <v/>
      </c>
      <c r="E112" s="15" t="str">
        <f>IF($A112="","",IF($A112="Neuron",IF(OR(AND($R112&lt;&gt;"",LOWER(TRIM($R112))&lt;&gt;"n/a",COUNTIF($S$2:$S$528,$R112)&gt;1),AND($T112&lt;&gt;"",LOWER(TRIM($T112))&lt;&gt;"n/a",COUNTIF($T$2:$T$528,$T112)&gt;1),AND($W112&lt;&gt;"",LOWER(TRIM($W112))&lt;&gt;"n/a",COUNTIF($W$2:$W$528,$W112)&gt;1)),"Yes","No"),IF($A112="Cybernet",IF(OR(AND($Y112&lt;&gt;"",LOWER(TRIM($Y112))&lt;&gt;"n/a",COUNTIF($Y$2:$Y$528,$Y112)&gt;1),AND($Z112&lt;&gt;"",LOWER(TRIM($Z112))&lt;&gt;"n/a",COUNTIF($Z$2:$Z$528,$Z112)&gt;1)),"Yes","No"),IF(AND($AL112&lt;&gt;"",LOWER(TRIM($AL112))&lt;&gt;"n/a",COUNTIF($AL$2:$AL$528,$AL112)&gt;1),"Yes","No"))))</f>
        <v>No</v>
      </c>
      <c r="F112" t="str">
        <f>IF($B112&lt;&gt;"Yes","",
IF($A112="Neuron",
IF(OR(
AND($R112&lt;&gt;"",LOWER(TRIM($R112))&lt;&gt;"n/a",COUNTIFS($B$2:$B$528,"Yes",$A$2:$A$528,"Neuron",$S$2:$S$528,$R112)&gt;1),
AND($T112&lt;&gt;"",LOWER(TRIM($T112))&lt;&gt;"n/a",COUNTIFS($B$2:$B$528,"Yes",$A$2:$A$528,"Neuron",$T$2:$T$528,$T112)&gt;1),
AND($W112&lt;&gt;"",LOWER(TRIM($W112))&lt;&gt;"n/a",COUNTIFS($B$2:$B$528,"Yes",$A$2:$A$528,"Neuron",$W$2:$W$528,$W112)&gt;1)
),"Yes","No"),
IF($A112="Cybernet",
IF(OR(
AND($Y112&lt;&gt;"",LOWER(TRIM($Y112))&lt;&gt;"n/a",COUNTIFS($B$2:$B$528,"Yes",$A$2:$A$528,"Cybernet",$Y$2:$Y$528,$Y112)&gt;1),
AND($Z112&lt;&gt;"",LOWER(TRIM($Z112))&lt;&gt;"n/a",COUNTIFS($B$2:$B$528,"Yes",$A$2:$A$528,"Cybernet",$Z$2:$Z$528,$Z112)&gt;1)
),"Yes","No"),
IF(AND($AL112&lt;&gt;"",LOWER(TRIM($AL112))&lt;&gt;"n/a"),
IF(COUNTIFS($B$2:$B$528,"Yes",$A$2:$A$528,$A112,$AL$2:$AL$528,$AL112)&gt;1,"Yes","No"),
"No")
)
)
)</f>
        <v/>
      </c>
      <c r="G112" s="62" t="s">
        <v>1698</v>
      </c>
      <c r="H112" s="4" t="s">
        <v>1891</v>
      </c>
      <c r="I112" s="4"/>
      <c r="J112" s="2" t="s">
        <v>1441</v>
      </c>
      <c r="K112" s="2" t="s">
        <v>1460</v>
      </c>
      <c r="L112" s="2" t="s">
        <v>1460</v>
      </c>
      <c r="M112" s="2"/>
      <c r="N112" s="4"/>
      <c r="O112" s="4"/>
      <c r="P112" s="4"/>
      <c r="Q112" s="4"/>
      <c r="R112" s="4" t="s">
        <v>1898</v>
      </c>
      <c r="T112" s="4"/>
      <c r="U112" s="4"/>
      <c r="V112" s="4"/>
      <c r="W112" s="4"/>
      <c r="X112" s="4"/>
      <c r="Y112" s="4" t="s">
        <v>1899</v>
      </c>
      <c r="Z112" s="4" t="s">
        <v>1900</v>
      </c>
      <c r="AA112" s="4"/>
      <c r="AB112" s="4"/>
      <c r="AC112" s="4"/>
      <c r="AD112" s="4"/>
      <c r="AE112" s="8"/>
      <c r="AF112" s="4"/>
      <c r="AG112" s="4"/>
      <c r="AH112" s="1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8"/>
      <c r="AX112" s="8"/>
      <c r="AY112" s="8"/>
      <c r="AZ112" s="8"/>
      <c r="BA112" s="12"/>
      <c r="BB112" s="8"/>
      <c r="BC112" s="4"/>
      <c r="BD112" s="4"/>
      <c r="BE112" s="8"/>
      <c r="BF112" s="8"/>
      <c r="BG112" s="8"/>
      <c r="BH112" s="8"/>
      <c r="BI112" s="8"/>
      <c r="BJ112" s="8"/>
      <c r="BK112" s="8"/>
      <c r="BL112" s="4" t="str">
        <f t="shared" si="3"/>
        <v/>
      </c>
      <c r="BM112" s="8" t="str">
        <f t="shared" si="4"/>
        <v/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</row>
    <row r="113" spans="1:70">
      <c r="A113" s="8" t="s">
        <v>1651</v>
      </c>
      <c r="B113" s="8"/>
      <c r="C113" s="15" t="s">
        <v>1460</v>
      </c>
      <c r="D113" s="15" t="str">
        <f t="shared" si="5"/>
        <v/>
      </c>
      <c r="E113" s="15" t="str">
        <f>IF($A113="","",IF($A113="Neuron",IF(OR(AND($R113&lt;&gt;"",LOWER(TRIM($R113))&lt;&gt;"n/a",COUNTIF($S$2:$S$528,$R113)&gt;1),AND($T113&lt;&gt;"",LOWER(TRIM($T113))&lt;&gt;"n/a",COUNTIF($T$2:$T$528,$T113)&gt;1),AND($W113&lt;&gt;"",LOWER(TRIM($W113))&lt;&gt;"n/a",COUNTIF($W$2:$W$528,$W113)&gt;1)),"Yes","No"),IF($A113="Cybernet",IF(OR(AND($Y113&lt;&gt;"",LOWER(TRIM($Y113))&lt;&gt;"n/a",COUNTIF($Y$2:$Y$528,$Y113)&gt;1),AND($Z113&lt;&gt;"",LOWER(TRIM($Z113))&lt;&gt;"n/a",COUNTIF($Z$2:$Z$528,$Z113)&gt;1)),"Yes","No"),IF(AND($AL113&lt;&gt;"",LOWER(TRIM($AL113))&lt;&gt;"n/a",COUNTIF($AL$2:$AL$528,$AL113)&gt;1),"Yes","No"))))</f>
        <v>No</v>
      </c>
      <c r="F113" t="str">
        <f>IF($B113&lt;&gt;"Yes","",
IF($A113="Neuron",
IF(OR(
AND($R113&lt;&gt;"",LOWER(TRIM($R113))&lt;&gt;"n/a",COUNTIFS($B$2:$B$528,"Yes",$A$2:$A$528,"Neuron",$S$2:$S$528,$R113)&gt;1),
AND($T113&lt;&gt;"",LOWER(TRIM($T113))&lt;&gt;"n/a",COUNTIFS($B$2:$B$528,"Yes",$A$2:$A$528,"Neuron",$T$2:$T$528,$T113)&gt;1),
AND($W113&lt;&gt;"",LOWER(TRIM($W113))&lt;&gt;"n/a",COUNTIFS($B$2:$B$528,"Yes",$A$2:$A$528,"Neuron",$W$2:$W$528,$W113)&gt;1)
),"Yes","No"),
IF($A113="Cybernet",
IF(OR(
AND($Y113&lt;&gt;"",LOWER(TRIM($Y113))&lt;&gt;"n/a",COUNTIFS($B$2:$B$528,"Yes",$A$2:$A$528,"Cybernet",$Y$2:$Y$528,$Y113)&gt;1),
AND($Z113&lt;&gt;"",LOWER(TRIM($Z113))&lt;&gt;"n/a",COUNTIFS($B$2:$B$528,"Yes",$A$2:$A$528,"Cybernet",$Z$2:$Z$528,$Z113)&gt;1)
),"Yes","No"),
IF(AND($AL113&lt;&gt;"",LOWER(TRIM($AL113))&lt;&gt;"n/a"),
IF(COUNTIFS($B$2:$B$528,"Yes",$A$2:$A$528,$A113,$AL$2:$AL$528,$AL113)&gt;1,"Yes","No"),
"No")
)
)
)</f>
        <v/>
      </c>
      <c r="G113" s="59" t="s">
        <v>1698</v>
      </c>
      <c r="H113" s="4" t="s">
        <v>1891</v>
      </c>
      <c r="I113" s="4"/>
      <c r="J113" s="2" t="s">
        <v>1441</v>
      </c>
      <c r="K113" s="2" t="s">
        <v>1460</v>
      </c>
      <c r="L113" s="2" t="s">
        <v>1460</v>
      </c>
      <c r="M113" s="2"/>
      <c r="N113" s="4"/>
      <c r="O113" s="4"/>
      <c r="P113" s="4"/>
      <c r="Q113" s="4"/>
      <c r="R113" s="4" t="s">
        <v>1901</v>
      </c>
      <c r="T113" s="4"/>
      <c r="U113" s="4"/>
      <c r="V113" s="4"/>
      <c r="W113" s="4"/>
      <c r="X113" s="4"/>
      <c r="Y113" s="4" t="s">
        <v>1902</v>
      </c>
      <c r="Z113" s="4" t="s">
        <v>1903</v>
      </c>
      <c r="AA113" s="4"/>
      <c r="AB113" s="4"/>
      <c r="AC113" s="4"/>
      <c r="AD113" s="4"/>
      <c r="AE113" s="8"/>
      <c r="AF113" s="4"/>
      <c r="AG113" s="4"/>
      <c r="AH113" s="1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8"/>
      <c r="AX113" s="8"/>
      <c r="AY113" s="8"/>
      <c r="AZ113" s="8"/>
      <c r="BA113" s="12"/>
      <c r="BB113" s="8"/>
      <c r="BC113" s="4"/>
      <c r="BD113" s="4"/>
      <c r="BE113" s="8"/>
      <c r="BF113" s="8"/>
      <c r="BG113" s="8"/>
      <c r="BH113" s="8"/>
      <c r="BI113" s="8"/>
      <c r="BJ113" s="8"/>
      <c r="BK113" s="8"/>
      <c r="BL113" s="4" t="str">
        <f t="shared" si="3"/>
        <v/>
      </c>
      <c r="BM113" s="8" t="str">
        <f t="shared" si="4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0">
      <c r="A114" s="8" t="s">
        <v>1651</v>
      </c>
      <c r="B114" s="8"/>
      <c r="C114" s="15" t="s">
        <v>1460</v>
      </c>
      <c r="D114" s="15" t="str">
        <f t="shared" si="5"/>
        <v/>
      </c>
      <c r="E114" s="15" t="str">
        <f>IF($A114="","",IF($A114="Neuron",IF(OR(AND($R114&lt;&gt;"",LOWER(TRIM($R114))&lt;&gt;"n/a",COUNTIF($S$2:$S$528,$R114)&gt;1),AND($T114&lt;&gt;"",LOWER(TRIM($T114))&lt;&gt;"n/a",COUNTIF($T$2:$T$528,$T114)&gt;1),AND($W114&lt;&gt;"",LOWER(TRIM($W114))&lt;&gt;"n/a",COUNTIF($W$2:$W$528,$W114)&gt;1)),"Yes","No"),IF($A114="Cybernet",IF(OR(AND($Y114&lt;&gt;"",LOWER(TRIM($Y114))&lt;&gt;"n/a",COUNTIF($Y$2:$Y$528,$Y114)&gt;1),AND($Z114&lt;&gt;"",LOWER(TRIM($Z114))&lt;&gt;"n/a",COUNTIF($Z$2:$Z$528,$Z114)&gt;1)),"Yes","No"),IF(AND($AL114&lt;&gt;"",LOWER(TRIM($AL114))&lt;&gt;"n/a",COUNTIF($AL$2:$AL$528,$AL114)&gt;1),"Yes","No"))))</f>
        <v>No</v>
      </c>
      <c r="F114" t="str">
        <f>IF($B114&lt;&gt;"Yes","",
IF($A114="Neuron",
IF(OR(
AND($R114&lt;&gt;"",LOWER(TRIM($R114))&lt;&gt;"n/a",COUNTIFS($B$2:$B$528,"Yes",$A$2:$A$528,"Neuron",$S$2:$S$528,$R114)&gt;1),
AND($T114&lt;&gt;"",LOWER(TRIM($T114))&lt;&gt;"n/a",COUNTIFS($B$2:$B$528,"Yes",$A$2:$A$528,"Neuron",$T$2:$T$528,$T114)&gt;1),
AND($W114&lt;&gt;"",LOWER(TRIM($W114))&lt;&gt;"n/a",COUNTIFS($B$2:$B$528,"Yes",$A$2:$A$528,"Neuron",$W$2:$W$528,$W114)&gt;1)
),"Yes","No"),
IF($A114="Cybernet",
IF(OR(
AND($Y114&lt;&gt;"",LOWER(TRIM($Y114))&lt;&gt;"n/a",COUNTIFS($B$2:$B$528,"Yes",$A$2:$A$528,"Cybernet",$Y$2:$Y$528,$Y114)&gt;1),
AND($Z114&lt;&gt;"",LOWER(TRIM($Z114))&lt;&gt;"n/a",COUNTIFS($B$2:$B$528,"Yes",$A$2:$A$528,"Cybernet",$Z$2:$Z$528,$Z114)&gt;1)
),"Yes","No"),
IF(AND($AL114&lt;&gt;"",LOWER(TRIM($AL114))&lt;&gt;"n/a"),
IF(COUNTIFS($B$2:$B$528,"Yes",$A$2:$A$528,$A114,$AL$2:$AL$528,$AL114)&gt;1,"Yes","No"),
"No")
)
)
)</f>
        <v/>
      </c>
      <c r="G114" s="62" t="s">
        <v>1698</v>
      </c>
      <c r="H114" s="4" t="s">
        <v>1891</v>
      </c>
      <c r="I114" s="4"/>
      <c r="J114" s="2" t="s">
        <v>1441</v>
      </c>
      <c r="K114" s="2" t="s">
        <v>1460</v>
      </c>
      <c r="L114" s="2" t="s">
        <v>1460</v>
      </c>
      <c r="M114" s="2"/>
      <c r="N114" s="4"/>
      <c r="O114" s="4"/>
      <c r="P114" s="4"/>
      <c r="Q114" s="4"/>
      <c r="R114" s="4" t="s">
        <v>1904</v>
      </c>
      <c r="T114" s="4"/>
      <c r="U114" s="4"/>
      <c r="V114" s="4"/>
      <c r="W114" s="4"/>
      <c r="X114" s="4"/>
      <c r="Y114" s="4" t="s">
        <v>1905</v>
      </c>
      <c r="Z114" s="4" t="s">
        <v>1906</v>
      </c>
      <c r="AA114" s="4"/>
      <c r="AB114" s="4"/>
      <c r="AC114" s="4"/>
      <c r="AD114" s="4"/>
      <c r="AE114" s="8"/>
      <c r="AF114" s="4"/>
      <c r="AG114" s="4"/>
      <c r="AH114" s="1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8"/>
      <c r="AX114" s="8"/>
      <c r="AY114" s="8"/>
      <c r="AZ114" s="8"/>
      <c r="BA114" s="12"/>
      <c r="BB114" s="8"/>
      <c r="BC114" s="4"/>
      <c r="BD114" s="4"/>
      <c r="BE114" s="8"/>
      <c r="BF114" s="8"/>
      <c r="BG114" s="8"/>
      <c r="BH114" s="8"/>
      <c r="BI114" s="8"/>
      <c r="BJ114" s="8"/>
      <c r="BK114" s="8"/>
      <c r="BL114" s="4" t="str">
        <f t="shared" ref="BL114:BL178" si="6">IF($T114="","",IF((IF(AND($AW114&lt;&gt;"Yes",$AW114&lt;&gt;"N/A"),"Power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",""))="","",LEFT(IF(AND($AW114&lt;&gt;"Yes",$AW114&lt;&gt;"N/A"),"Power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",""),LEN(IF(AND($AW114&lt;&gt;"Yes",$AW114&lt;&gt;"N/A"),"Power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",""))-2)))</f>
        <v/>
      </c>
      <c r="BM114" s="8" t="str">
        <f t="shared" ref="BM114:BM178" si="7">IF($T114="","",IF($BL114="","Yes","Blocked"))</f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0">
      <c r="A115" s="8" t="s">
        <v>1651</v>
      </c>
      <c r="B115" s="8"/>
      <c r="C115" s="15" t="s">
        <v>1460</v>
      </c>
      <c r="D115" s="15" t="str">
        <f t="shared" si="5"/>
        <v/>
      </c>
      <c r="E115" s="15" t="str">
        <f>IF($A115="","",IF($A115="Neuron",IF(OR(AND($R115&lt;&gt;"",LOWER(TRIM($R115))&lt;&gt;"n/a",COUNTIF($S$2:$S$528,$R115)&gt;1),AND($T115&lt;&gt;"",LOWER(TRIM($T115))&lt;&gt;"n/a",COUNTIF($T$2:$T$528,$T115)&gt;1),AND($W115&lt;&gt;"",LOWER(TRIM($W115))&lt;&gt;"n/a",COUNTIF($W$2:$W$528,$W115)&gt;1)),"Yes","No"),IF($A115="Cybernet",IF(OR(AND($Y115&lt;&gt;"",LOWER(TRIM($Y115))&lt;&gt;"n/a",COUNTIF($Y$2:$Y$528,$Y115)&gt;1),AND($Z115&lt;&gt;"",LOWER(TRIM($Z115))&lt;&gt;"n/a",COUNTIF($Z$2:$Z$528,$Z115)&gt;1)),"Yes","No"),IF(AND($AL115&lt;&gt;"",LOWER(TRIM($AL115))&lt;&gt;"n/a",COUNTIF($AL$2:$AL$528,$AL115)&gt;1),"Yes","No"))))</f>
        <v>No</v>
      </c>
      <c r="F115" t="str">
        <f>IF($B115&lt;&gt;"Yes","",
IF($A115="Neuron",
IF(OR(
AND($R115&lt;&gt;"",LOWER(TRIM($R115))&lt;&gt;"n/a",COUNTIFS($B$2:$B$528,"Yes",$A$2:$A$528,"Neuron",$S$2:$S$528,$R115)&gt;1),
AND($T115&lt;&gt;"",LOWER(TRIM($T115))&lt;&gt;"n/a",COUNTIFS($B$2:$B$528,"Yes",$A$2:$A$528,"Neuron",$T$2:$T$528,$T115)&gt;1),
AND($W115&lt;&gt;"",LOWER(TRIM($W115))&lt;&gt;"n/a",COUNTIFS($B$2:$B$528,"Yes",$A$2:$A$528,"Neuron",$W$2:$W$528,$W115)&gt;1)
),"Yes","No"),
IF($A115="Cybernet",
IF(OR(
AND($Y115&lt;&gt;"",LOWER(TRIM($Y115))&lt;&gt;"n/a",COUNTIFS($B$2:$B$528,"Yes",$A$2:$A$528,"Cybernet",$Y$2:$Y$528,$Y115)&gt;1),
AND($Z115&lt;&gt;"",LOWER(TRIM($Z115))&lt;&gt;"n/a",COUNTIFS($B$2:$B$528,"Yes",$A$2:$A$528,"Cybernet",$Z$2:$Z$528,$Z115)&gt;1)
),"Yes","No"),
IF(AND($AL115&lt;&gt;"",LOWER(TRIM($AL115))&lt;&gt;"n/a"),
IF(COUNTIFS($B$2:$B$528,"Yes",$A$2:$A$528,$A115,$AL$2:$AL$528,$AL115)&gt;1,"Yes","No"),
"No")
)
)
)</f>
        <v/>
      </c>
      <c r="G115" t="s">
        <v>1698</v>
      </c>
      <c r="H115" s="4" t="s">
        <v>1891</v>
      </c>
      <c r="I115" s="4"/>
      <c r="J115" s="2" t="s">
        <v>1441</v>
      </c>
      <c r="K115" s="2" t="s">
        <v>1460</v>
      </c>
      <c r="L115" s="2" t="s">
        <v>1460</v>
      </c>
      <c r="M115" s="2"/>
      <c r="N115" s="4"/>
      <c r="O115" s="4"/>
      <c r="P115" s="4"/>
      <c r="Q115" s="4"/>
      <c r="R115" s="4" t="s">
        <v>1907</v>
      </c>
      <c r="T115" s="4"/>
      <c r="U115" s="4"/>
      <c r="V115" s="4"/>
      <c r="W115" s="4"/>
      <c r="X115" s="4"/>
      <c r="Y115" s="4" t="s">
        <v>1908</v>
      </c>
      <c r="Z115" s="4" t="s">
        <v>1909</v>
      </c>
      <c r="AA115" s="4"/>
      <c r="AB115" s="4"/>
      <c r="AC115" s="4"/>
      <c r="AD115" s="4"/>
      <c r="AE115" s="8"/>
      <c r="AF115" s="4"/>
      <c r="AG115" s="4"/>
      <c r="AH115" s="1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8"/>
      <c r="AX115" s="8"/>
      <c r="AY115" s="8"/>
      <c r="AZ115" s="8"/>
      <c r="BA115" s="12"/>
      <c r="BB115" s="8"/>
      <c r="BC115" s="4"/>
      <c r="BD115" s="4"/>
      <c r="BE115" s="8"/>
      <c r="BF115" s="8"/>
      <c r="BG115" s="8"/>
      <c r="BH115" s="8"/>
      <c r="BI115" s="8"/>
      <c r="BJ115" s="8"/>
      <c r="BK115" s="8"/>
      <c r="BL115" s="4" t="str">
        <f t="shared" si="6"/>
        <v/>
      </c>
      <c r="BM115" s="8" t="str">
        <f t="shared" si="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0">
      <c r="A116" s="8" t="s">
        <v>1651</v>
      </c>
      <c r="B116" s="8"/>
      <c r="C116" s="15" t="s">
        <v>1460</v>
      </c>
      <c r="D116" s="15" t="str">
        <f t="shared" si="5"/>
        <v/>
      </c>
      <c r="E116" s="15" t="str">
        <f>IF($A116="","",IF($A116="Neuron",IF(OR(AND($R116&lt;&gt;"",LOWER(TRIM($R116))&lt;&gt;"n/a",COUNTIF($S$2:$S$528,$R116)&gt;1),AND($T116&lt;&gt;"",LOWER(TRIM($T116))&lt;&gt;"n/a",COUNTIF($T$2:$T$528,$T116)&gt;1),AND($W116&lt;&gt;"",LOWER(TRIM($W116))&lt;&gt;"n/a",COUNTIF($W$2:$W$528,$W116)&gt;1)),"Yes","No"),IF($A116="Cybernet",IF(OR(AND($Y116&lt;&gt;"",LOWER(TRIM($Y116))&lt;&gt;"n/a",COUNTIF($Y$2:$Y$528,$Y116)&gt;1),AND($Z116&lt;&gt;"",LOWER(TRIM($Z116))&lt;&gt;"n/a",COUNTIF($Z$2:$Z$528,$Z116)&gt;1)),"Yes","No"),IF(AND($AL116&lt;&gt;"",LOWER(TRIM($AL116))&lt;&gt;"n/a",COUNTIF($AL$2:$AL$528,$AL116)&gt;1),"Yes","No"))))</f>
        <v>No</v>
      </c>
      <c r="F116" t="str">
        <f>IF($B116&lt;&gt;"Yes","",
IF($A116="Neuron",
IF(OR(
AND($R116&lt;&gt;"",LOWER(TRIM($R116))&lt;&gt;"n/a",COUNTIFS($B$2:$B$528,"Yes",$A$2:$A$528,"Neuron",$S$2:$S$528,$R116)&gt;1),
AND($T116&lt;&gt;"",LOWER(TRIM($T116))&lt;&gt;"n/a",COUNTIFS($B$2:$B$528,"Yes",$A$2:$A$528,"Neuron",$T$2:$T$528,$T116)&gt;1),
AND($W116&lt;&gt;"",LOWER(TRIM($W116))&lt;&gt;"n/a",COUNTIFS($B$2:$B$528,"Yes",$A$2:$A$528,"Neuron",$W$2:$W$528,$W116)&gt;1)
),"Yes","No"),
IF($A116="Cybernet",
IF(OR(
AND($Y116&lt;&gt;"",LOWER(TRIM($Y116))&lt;&gt;"n/a",COUNTIFS($B$2:$B$528,"Yes",$A$2:$A$528,"Cybernet",$Y$2:$Y$528,$Y116)&gt;1),
AND($Z116&lt;&gt;"",LOWER(TRIM($Z116))&lt;&gt;"n/a",COUNTIFS($B$2:$B$528,"Yes",$A$2:$A$528,"Cybernet",$Z$2:$Z$528,$Z116)&gt;1)
),"Yes","No"),
IF(AND($AL116&lt;&gt;"",LOWER(TRIM($AL116))&lt;&gt;"n/a"),
IF(COUNTIFS($B$2:$B$528,"Yes",$A$2:$A$528,$A116,$AL$2:$AL$528,$AL116)&gt;1,"Yes","No"),
"No")
)
)
)</f>
        <v/>
      </c>
      <c r="G116" s="62" t="s">
        <v>1698</v>
      </c>
      <c r="H116" s="4" t="s">
        <v>1891</v>
      </c>
      <c r="I116" s="4"/>
      <c r="J116" s="2" t="s">
        <v>1441</v>
      </c>
      <c r="K116" s="2" t="s">
        <v>1460</v>
      </c>
      <c r="L116" s="2" t="s">
        <v>1460</v>
      </c>
      <c r="M116" s="2"/>
      <c r="N116" s="4"/>
      <c r="O116" s="4"/>
      <c r="P116" s="4"/>
      <c r="Q116" s="4"/>
      <c r="R116" s="4" t="s">
        <v>1910</v>
      </c>
      <c r="T116" s="4"/>
      <c r="U116" s="4"/>
      <c r="V116" s="4"/>
      <c r="W116" s="4"/>
      <c r="X116" s="4"/>
      <c r="Y116" s="4" t="s">
        <v>1911</v>
      </c>
      <c r="Z116" s="20" t="s">
        <v>1912</v>
      </c>
      <c r="AA116" s="4"/>
      <c r="AB116" s="4"/>
      <c r="AC116" s="4"/>
      <c r="AD116" s="4"/>
      <c r="AE116" s="8"/>
      <c r="AF116" s="4"/>
      <c r="AG116" s="4"/>
      <c r="AH116" s="1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8"/>
      <c r="AX116" s="8"/>
      <c r="AY116" s="8"/>
      <c r="AZ116" s="8"/>
      <c r="BA116" s="12"/>
      <c r="BB116" s="8"/>
      <c r="BC116" s="4"/>
      <c r="BD116" s="4"/>
      <c r="BE116" s="8"/>
      <c r="BF116" s="8"/>
      <c r="BG116" s="8"/>
      <c r="BH116" s="8"/>
      <c r="BI116" s="8"/>
      <c r="BJ116" s="8"/>
      <c r="BK116" s="8"/>
      <c r="BL116" s="4" t="str">
        <f t="shared" si="6"/>
        <v/>
      </c>
      <c r="BM116" s="8" t="str">
        <f t="shared" si="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0">
      <c r="A117" s="8" t="s">
        <v>1651</v>
      </c>
      <c r="B117" s="8"/>
      <c r="C117" s="15" t="s">
        <v>1460</v>
      </c>
      <c r="D117" s="15" t="str">
        <f t="shared" si="5"/>
        <v/>
      </c>
      <c r="E117" s="15" t="str">
        <f>IF($A117="","",IF($A117="Neuron",IF(OR(AND($R117&lt;&gt;"",LOWER(TRIM($R117))&lt;&gt;"n/a",COUNTIF($S$2:$S$528,$R117)&gt;1),AND($T117&lt;&gt;"",LOWER(TRIM($T117))&lt;&gt;"n/a",COUNTIF($T$2:$T$528,$T117)&gt;1),AND($W117&lt;&gt;"",LOWER(TRIM($W117))&lt;&gt;"n/a",COUNTIF($W$2:$W$528,$W117)&gt;1)),"Yes","No"),IF($A117="Cybernet",IF(OR(AND($Y117&lt;&gt;"",LOWER(TRIM($Y117))&lt;&gt;"n/a",COUNTIF($Y$2:$Y$528,$Y117)&gt;1),AND($Z117&lt;&gt;"",LOWER(TRIM($Z117))&lt;&gt;"n/a",COUNTIF($Z$2:$Z$528,$Z117)&gt;1)),"Yes","No"),IF(AND($AL117&lt;&gt;"",LOWER(TRIM($AL117))&lt;&gt;"n/a",COUNTIF($AL$2:$AL$528,$AL117)&gt;1),"Yes","No"))))</f>
        <v>No</v>
      </c>
      <c r="F117" t="str">
        <f>IF($B117&lt;&gt;"Yes","",
IF($A117="Neuron",
IF(OR(
AND($R117&lt;&gt;"",LOWER(TRIM($R117))&lt;&gt;"n/a",COUNTIFS($B$2:$B$528,"Yes",$A$2:$A$528,"Neuron",$S$2:$S$528,$R117)&gt;1),
AND($T117&lt;&gt;"",LOWER(TRIM($T117))&lt;&gt;"n/a",COUNTIFS($B$2:$B$528,"Yes",$A$2:$A$528,"Neuron",$T$2:$T$528,$T117)&gt;1),
AND($W117&lt;&gt;"",LOWER(TRIM($W117))&lt;&gt;"n/a",COUNTIFS($B$2:$B$528,"Yes",$A$2:$A$528,"Neuron",$W$2:$W$528,$W117)&gt;1)
),"Yes","No"),
IF($A117="Cybernet",
IF(OR(
AND($Y117&lt;&gt;"",LOWER(TRIM($Y117))&lt;&gt;"n/a",COUNTIFS($B$2:$B$528,"Yes",$A$2:$A$528,"Cybernet",$Y$2:$Y$528,$Y117)&gt;1),
AND($Z117&lt;&gt;"",LOWER(TRIM($Z117))&lt;&gt;"n/a",COUNTIFS($B$2:$B$528,"Yes",$A$2:$A$528,"Cybernet",$Z$2:$Z$528,$Z117)&gt;1)
),"Yes","No"),
IF(AND($AL117&lt;&gt;"",LOWER(TRIM($AL117))&lt;&gt;"n/a"),
IF(COUNTIFS($B$2:$B$528,"Yes",$A$2:$A$528,$A117,$AL$2:$AL$528,$AL117)&gt;1,"Yes","No"),
"No")
)
)
)</f>
        <v/>
      </c>
      <c r="G117" s="59" t="s">
        <v>1698</v>
      </c>
      <c r="H117" s="4" t="s">
        <v>1891</v>
      </c>
      <c r="I117" s="4"/>
      <c r="J117" s="2" t="s">
        <v>1441</v>
      </c>
      <c r="K117" s="2" t="s">
        <v>1460</v>
      </c>
      <c r="L117" s="2" t="s">
        <v>1460</v>
      </c>
      <c r="M117" s="2"/>
      <c r="N117" s="4"/>
      <c r="O117" s="4"/>
      <c r="P117" s="4"/>
      <c r="Q117" s="4"/>
      <c r="R117" s="4" t="s">
        <v>1913</v>
      </c>
      <c r="T117" s="4"/>
      <c r="U117" s="4"/>
      <c r="V117" s="4"/>
      <c r="W117" s="4"/>
      <c r="X117" s="4"/>
      <c r="Y117" s="4" t="s">
        <v>1914</v>
      </c>
      <c r="Z117" s="20" t="s">
        <v>1915</v>
      </c>
      <c r="AA117" s="4"/>
      <c r="AB117" s="4"/>
      <c r="AC117" s="4"/>
      <c r="AD117" s="4"/>
      <c r="AE117" s="8"/>
      <c r="AF117" s="4"/>
      <c r="AG117" s="4"/>
      <c r="AH117" s="1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8"/>
      <c r="AX117" s="8"/>
      <c r="AY117" s="8"/>
      <c r="AZ117" s="8"/>
      <c r="BA117" s="12"/>
      <c r="BB117" s="8"/>
      <c r="BC117" s="4"/>
      <c r="BD117" s="4"/>
      <c r="BE117" s="8"/>
      <c r="BF117" s="8"/>
      <c r="BG117" s="8"/>
      <c r="BH117" s="8"/>
      <c r="BI117" s="8"/>
      <c r="BJ117" s="8"/>
      <c r="BK117" s="8"/>
      <c r="BL117" s="4" t="str">
        <f t="shared" si="6"/>
        <v/>
      </c>
      <c r="BM117" s="8" t="str">
        <f t="shared" si="7"/>
        <v/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</row>
    <row r="118" spans="1:70">
      <c r="A118" s="8" t="s">
        <v>1651</v>
      </c>
      <c r="B118" s="8"/>
      <c r="C118" s="15" t="s">
        <v>1460</v>
      </c>
      <c r="D118" s="15" t="str">
        <f t="shared" si="5"/>
        <v/>
      </c>
      <c r="E118" s="15" t="str">
        <f>IF($A118="","",IF($A118="Neuron",IF(OR(AND($R118&lt;&gt;"",LOWER(TRIM($R118))&lt;&gt;"n/a",COUNTIF($S$2:$S$528,$R118)&gt;1),AND($T118&lt;&gt;"",LOWER(TRIM($T118))&lt;&gt;"n/a",COUNTIF($T$2:$T$528,$T118)&gt;1),AND($W118&lt;&gt;"",LOWER(TRIM($W118))&lt;&gt;"n/a",COUNTIF($W$2:$W$528,$W118)&gt;1)),"Yes","No"),IF($A118="Cybernet",IF(OR(AND($Y118&lt;&gt;"",LOWER(TRIM($Y118))&lt;&gt;"n/a",COUNTIF($Y$2:$Y$528,$Y118)&gt;1),AND($Z118&lt;&gt;"",LOWER(TRIM($Z118))&lt;&gt;"n/a",COUNTIF($Z$2:$Z$528,$Z118)&gt;1)),"Yes","No"),IF(AND($AL118&lt;&gt;"",LOWER(TRIM($AL118))&lt;&gt;"n/a",COUNTIF($AL$2:$AL$528,$AL118)&gt;1),"Yes","No"))))</f>
        <v>No</v>
      </c>
      <c r="F118" t="str">
        <f>IF($B118&lt;&gt;"Yes","",
IF($A118="Neuron",
IF(OR(
AND($R118&lt;&gt;"",LOWER(TRIM($R118))&lt;&gt;"n/a",COUNTIFS($B$2:$B$528,"Yes",$A$2:$A$528,"Neuron",$S$2:$S$528,$R118)&gt;1),
AND($T118&lt;&gt;"",LOWER(TRIM($T118))&lt;&gt;"n/a",COUNTIFS($B$2:$B$528,"Yes",$A$2:$A$528,"Neuron",$T$2:$T$528,$T118)&gt;1),
AND($W118&lt;&gt;"",LOWER(TRIM($W118))&lt;&gt;"n/a",COUNTIFS($B$2:$B$528,"Yes",$A$2:$A$528,"Neuron",$W$2:$W$528,$W118)&gt;1)
),"Yes","No"),
IF($A118="Cybernet",
IF(OR(
AND($Y118&lt;&gt;"",LOWER(TRIM($Y118))&lt;&gt;"n/a",COUNTIFS($B$2:$B$528,"Yes",$A$2:$A$528,"Cybernet",$Y$2:$Y$528,$Y118)&gt;1),
AND($Z118&lt;&gt;"",LOWER(TRIM($Z118))&lt;&gt;"n/a",COUNTIFS($B$2:$B$528,"Yes",$A$2:$A$528,"Cybernet",$Z$2:$Z$528,$Z118)&gt;1)
),"Yes","No"),
IF(AND($AL118&lt;&gt;"",LOWER(TRIM($AL118))&lt;&gt;"n/a"),
IF(COUNTIFS($B$2:$B$528,"Yes",$A$2:$A$528,$A118,$AL$2:$AL$528,$AL118)&gt;1,"Yes","No"),
"No")
)
)
)</f>
        <v/>
      </c>
      <c r="G118" s="62" t="s">
        <v>1698</v>
      </c>
      <c r="H118" s="4" t="s">
        <v>1891</v>
      </c>
      <c r="I118" s="4"/>
      <c r="J118" s="2" t="s">
        <v>1441</v>
      </c>
      <c r="K118" s="2" t="s">
        <v>1460</v>
      </c>
      <c r="L118" s="2" t="s">
        <v>1460</v>
      </c>
      <c r="M118" s="2"/>
      <c r="N118" s="4"/>
      <c r="O118" s="4"/>
      <c r="P118" s="4"/>
      <c r="Q118" s="4"/>
      <c r="R118" s="4" t="s">
        <v>1916</v>
      </c>
      <c r="T118" s="4"/>
      <c r="U118" s="4"/>
      <c r="V118" s="4"/>
      <c r="W118" s="4"/>
      <c r="X118" s="4"/>
      <c r="Y118" s="4" t="s">
        <v>1917</v>
      </c>
      <c r="Z118" s="20" t="s">
        <v>1918</v>
      </c>
      <c r="AA118" s="4"/>
      <c r="AB118" s="4"/>
      <c r="AC118" s="4"/>
      <c r="AD118" s="4"/>
      <c r="AE118" s="8"/>
      <c r="AF118" s="4"/>
      <c r="AG118" s="4"/>
      <c r="AH118" s="1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8"/>
      <c r="AX118" s="8"/>
      <c r="AY118" s="8"/>
      <c r="AZ118" s="8"/>
      <c r="BA118" s="12"/>
      <c r="BB118" s="8"/>
      <c r="BC118" s="4"/>
      <c r="BD118" s="4"/>
      <c r="BE118" s="8"/>
      <c r="BF118" s="8"/>
      <c r="BG118" s="8"/>
      <c r="BH118" s="8"/>
      <c r="BI118" s="8"/>
      <c r="BJ118" s="8"/>
      <c r="BK118" s="8"/>
      <c r="BL118" s="4" t="str">
        <f t="shared" si="6"/>
        <v/>
      </c>
      <c r="BM118" s="8" t="str">
        <f t="shared" si="7"/>
        <v/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</row>
    <row r="119" spans="1:70">
      <c r="A119" s="8" t="s">
        <v>1651</v>
      </c>
      <c r="B119" s="8"/>
      <c r="C119" s="15" t="s">
        <v>1460</v>
      </c>
      <c r="D119" s="15" t="str">
        <f t="shared" si="5"/>
        <v/>
      </c>
      <c r="E119" s="15" t="str">
        <f>IF($A119="","",IF($A119="Neuron",IF(OR(AND($R119&lt;&gt;"",LOWER(TRIM($R119))&lt;&gt;"n/a",COUNTIF($S$2:$S$528,$R119)&gt;1),AND($T119&lt;&gt;"",LOWER(TRIM($T119))&lt;&gt;"n/a",COUNTIF($T$2:$T$528,$T119)&gt;1),AND($W119&lt;&gt;"",LOWER(TRIM($W119))&lt;&gt;"n/a",COUNTIF($W$2:$W$528,$W119)&gt;1)),"Yes","No"),IF($A119="Cybernet",IF(OR(AND($Y119&lt;&gt;"",LOWER(TRIM($Y119))&lt;&gt;"n/a",COUNTIF($Y$2:$Y$528,$Y119)&gt;1),AND($Z119&lt;&gt;"",LOWER(TRIM($Z119))&lt;&gt;"n/a",COUNTIF($Z$2:$Z$528,$Z119)&gt;1)),"Yes","No"),IF(AND($AL119&lt;&gt;"",LOWER(TRIM($AL119))&lt;&gt;"n/a",COUNTIF($AL$2:$AL$528,$AL119)&gt;1),"Yes","No"))))</f>
        <v>No</v>
      </c>
      <c r="F119" t="str">
        <f>IF($B119&lt;&gt;"Yes","",
IF($A119="Neuron",
IF(OR(
AND($R119&lt;&gt;"",LOWER(TRIM($R119))&lt;&gt;"n/a",COUNTIFS($B$2:$B$528,"Yes",$A$2:$A$528,"Neuron",$S$2:$S$528,$R119)&gt;1),
AND($T119&lt;&gt;"",LOWER(TRIM($T119))&lt;&gt;"n/a",COUNTIFS($B$2:$B$528,"Yes",$A$2:$A$528,"Neuron",$T$2:$T$528,$T119)&gt;1),
AND($W119&lt;&gt;"",LOWER(TRIM($W119))&lt;&gt;"n/a",COUNTIFS($B$2:$B$528,"Yes",$A$2:$A$528,"Neuron",$W$2:$W$528,$W119)&gt;1)
),"Yes","No"),
IF($A119="Cybernet",
IF(OR(
AND($Y119&lt;&gt;"",LOWER(TRIM($Y119))&lt;&gt;"n/a",COUNTIFS($B$2:$B$528,"Yes",$A$2:$A$528,"Cybernet",$Y$2:$Y$528,$Y119)&gt;1),
AND($Z119&lt;&gt;"",LOWER(TRIM($Z119))&lt;&gt;"n/a",COUNTIFS($B$2:$B$528,"Yes",$A$2:$A$528,"Cybernet",$Z$2:$Z$528,$Z119)&gt;1)
),"Yes","No"),
IF(AND($AL119&lt;&gt;"",LOWER(TRIM($AL119))&lt;&gt;"n/a"),
IF(COUNTIFS($B$2:$B$528,"Yes",$A$2:$A$528,$A119,$AL$2:$AL$528,$AL119)&gt;1,"Yes","No"),
"No")
)
)
)</f>
        <v/>
      </c>
      <c r="G119" s="59" t="s">
        <v>1698</v>
      </c>
      <c r="H119" s="4" t="s">
        <v>1891</v>
      </c>
      <c r="I119" s="4"/>
      <c r="J119" s="2" t="s">
        <v>1441</v>
      </c>
      <c r="K119" s="2" t="s">
        <v>1460</v>
      </c>
      <c r="L119" s="2" t="s">
        <v>1460</v>
      </c>
      <c r="M119" s="2"/>
      <c r="N119" s="4"/>
      <c r="O119" s="4"/>
      <c r="P119" s="4"/>
      <c r="Q119" s="4"/>
      <c r="R119" s="4" t="s">
        <v>1919</v>
      </c>
      <c r="T119" s="4"/>
      <c r="U119" s="4"/>
      <c r="V119" s="4"/>
      <c r="W119" s="4"/>
      <c r="X119" s="4"/>
      <c r="Y119" s="4" t="s">
        <v>1920</v>
      </c>
      <c r="Z119" s="20" t="s">
        <v>1921</v>
      </c>
      <c r="AA119" s="4"/>
      <c r="AB119" s="4"/>
      <c r="AC119" s="4"/>
      <c r="AD119" s="4"/>
      <c r="AE119" s="8"/>
      <c r="AF119" s="4"/>
      <c r="AG119" s="4"/>
      <c r="AH119" s="1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8"/>
      <c r="AX119" s="8"/>
      <c r="AY119" s="8"/>
      <c r="AZ119" s="8"/>
      <c r="BA119" s="12"/>
      <c r="BB119" s="8"/>
      <c r="BC119" s="4"/>
      <c r="BD119" s="4"/>
      <c r="BE119" s="8"/>
      <c r="BF119" s="8"/>
      <c r="BG119" s="8"/>
      <c r="BH119" s="8"/>
      <c r="BI119" s="8"/>
      <c r="BJ119" s="8"/>
      <c r="BK119" s="8"/>
      <c r="BL119" s="4" t="str">
        <f t="shared" si="6"/>
        <v/>
      </c>
      <c r="BM119" s="8" t="str">
        <f t="shared" si="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0">
      <c r="A120" s="8" t="s">
        <v>1651</v>
      </c>
      <c r="B120" s="8"/>
      <c r="C120" s="15" t="s">
        <v>1460</v>
      </c>
      <c r="D120" s="15" t="str">
        <f t="shared" si="5"/>
        <v/>
      </c>
      <c r="E120" s="15" t="str">
        <f>IF($A120="","",IF($A120="Neuron",IF(OR(AND($R120&lt;&gt;"",LOWER(TRIM($R120))&lt;&gt;"n/a",COUNTIF($S$2:$S$528,$R120)&gt;1),AND($T120&lt;&gt;"",LOWER(TRIM($T120))&lt;&gt;"n/a",COUNTIF($T$2:$T$528,$T120)&gt;1),AND($W120&lt;&gt;"",LOWER(TRIM($W120))&lt;&gt;"n/a",COUNTIF($W$2:$W$528,$W120)&gt;1)),"Yes","No"),IF($A120="Cybernet",IF(OR(AND($Y120&lt;&gt;"",LOWER(TRIM($Y120))&lt;&gt;"n/a",COUNTIF($Y$2:$Y$528,$Y120)&gt;1),AND($Z120&lt;&gt;"",LOWER(TRIM($Z120))&lt;&gt;"n/a",COUNTIF($Z$2:$Z$528,$Z120)&gt;1)),"Yes","No"),IF(AND($AL120&lt;&gt;"",LOWER(TRIM($AL120))&lt;&gt;"n/a",COUNTIF($AL$2:$AL$528,$AL120)&gt;1),"Yes","No"))))</f>
        <v>No</v>
      </c>
      <c r="F120" t="str">
        <f>IF($B120&lt;&gt;"Yes","",
IF($A120="Neuron",
IF(OR(
AND($R120&lt;&gt;"",LOWER(TRIM($R120))&lt;&gt;"n/a",COUNTIFS($B$2:$B$528,"Yes",$A$2:$A$528,"Neuron",$S$2:$S$528,$R120)&gt;1),
AND($T120&lt;&gt;"",LOWER(TRIM($T120))&lt;&gt;"n/a",COUNTIFS($B$2:$B$528,"Yes",$A$2:$A$528,"Neuron",$T$2:$T$528,$T120)&gt;1),
AND($W120&lt;&gt;"",LOWER(TRIM($W120))&lt;&gt;"n/a",COUNTIFS($B$2:$B$528,"Yes",$A$2:$A$528,"Neuron",$W$2:$W$528,$W120)&gt;1)
),"Yes","No"),
IF($A120="Cybernet",
IF(OR(
AND($Y120&lt;&gt;"",LOWER(TRIM($Y120))&lt;&gt;"n/a",COUNTIFS($B$2:$B$528,"Yes",$A$2:$A$528,"Cybernet",$Y$2:$Y$528,$Y120)&gt;1),
AND($Z120&lt;&gt;"",LOWER(TRIM($Z120))&lt;&gt;"n/a",COUNTIFS($B$2:$B$528,"Yes",$A$2:$A$528,"Cybernet",$Z$2:$Z$528,$Z120)&gt;1)
),"Yes","No"),
IF(AND($AL120&lt;&gt;"",LOWER(TRIM($AL120))&lt;&gt;"n/a"),
IF(COUNTIFS($B$2:$B$528,"Yes",$A$2:$A$528,$A120,$AL$2:$AL$528,$AL120)&gt;1,"Yes","No"),
"No")
)
)
)</f>
        <v/>
      </c>
      <c r="G120" s="62" t="s">
        <v>1698</v>
      </c>
      <c r="H120" s="4" t="s">
        <v>1891</v>
      </c>
      <c r="I120" s="4"/>
      <c r="J120" s="2" t="s">
        <v>1441</v>
      </c>
      <c r="K120" s="2" t="s">
        <v>1460</v>
      </c>
      <c r="L120" s="2" t="s">
        <v>1460</v>
      </c>
      <c r="M120" s="2"/>
      <c r="N120" s="4"/>
      <c r="O120" s="4"/>
      <c r="P120" s="4"/>
      <c r="Q120" s="4"/>
      <c r="R120" s="4" t="s">
        <v>1922</v>
      </c>
      <c r="T120" s="4"/>
      <c r="U120" s="4"/>
      <c r="V120" s="4"/>
      <c r="W120" s="4"/>
      <c r="X120" s="4"/>
      <c r="Y120" s="4" t="s">
        <v>1923</v>
      </c>
      <c r="Z120" s="4" t="s">
        <v>1924</v>
      </c>
      <c r="AA120" s="4"/>
      <c r="AB120" s="4"/>
      <c r="AC120" s="4"/>
      <c r="AD120" s="4"/>
      <c r="AE120" s="8"/>
      <c r="AF120" s="4"/>
      <c r="AG120" s="4"/>
      <c r="AH120" s="1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8"/>
      <c r="AX120" s="8"/>
      <c r="AY120" s="8"/>
      <c r="AZ120" s="8"/>
      <c r="BA120" s="12"/>
      <c r="BB120" s="8"/>
      <c r="BC120" s="4"/>
      <c r="BD120" s="4"/>
      <c r="BE120" s="8"/>
      <c r="BF120" s="8"/>
      <c r="BG120" s="8"/>
      <c r="BH120" s="8"/>
      <c r="BI120" s="8"/>
      <c r="BJ120" s="8"/>
      <c r="BK120" s="8"/>
      <c r="BL120" s="4" t="str">
        <f t="shared" si="6"/>
        <v/>
      </c>
      <c r="BM120" s="8" t="str">
        <f t="shared" si="7"/>
        <v/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</row>
    <row r="121" spans="1:70">
      <c r="A121" s="8" t="s">
        <v>1651</v>
      </c>
      <c r="B121" s="8"/>
      <c r="C121" s="15" t="s">
        <v>1460</v>
      </c>
      <c r="D121" s="15" t="str">
        <f t="shared" si="5"/>
        <v/>
      </c>
      <c r="E121" s="15" t="str">
        <f>IF($A121="","",IF($A121="Neuron",IF(OR(AND($R121&lt;&gt;"",LOWER(TRIM($R121))&lt;&gt;"n/a",COUNTIF($S$2:$S$528,$R121)&gt;1),AND($T121&lt;&gt;"",LOWER(TRIM($T121))&lt;&gt;"n/a",COUNTIF($T$2:$T$528,$T121)&gt;1),AND($W121&lt;&gt;"",LOWER(TRIM($W121))&lt;&gt;"n/a",COUNTIF($W$2:$W$528,$W121)&gt;1)),"Yes","No"),IF($A121="Cybernet",IF(OR(AND($Y121&lt;&gt;"",LOWER(TRIM($Y121))&lt;&gt;"n/a",COUNTIF($Y$2:$Y$528,$Y121)&gt;1),AND($Z121&lt;&gt;"",LOWER(TRIM($Z121))&lt;&gt;"n/a",COUNTIF($Z$2:$Z$528,$Z121)&gt;1)),"Yes","No"),IF(AND($AL121&lt;&gt;"",LOWER(TRIM($AL121))&lt;&gt;"n/a",COUNTIF($AL$2:$AL$528,$AL121)&gt;1),"Yes","No"))))</f>
        <v>No</v>
      </c>
      <c r="F121" t="str">
        <f>IF($B121&lt;&gt;"Yes","",
IF($A121="Neuron",
IF(OR(
AND($R121&lt;&gt;"",LOWER(TRIM($R121))&lt;&gt;"n/a",COUNTIFS($B$2:$B$528,"Yes",$A$2:$A$528,"Neuron",$S$2:$S$528,$R121)&gt;1),
AND($T121&lt;&gt;"",LOWER(TRIM($T121))&lt;&gt;"n/a",COUNTIFS($B$2:$B$528,"Yes",$A$2:$A$528,"Neuron",$T$2:$T$528,$T121)&gt;1),
AND($W121&lt;&gt;"",LOWER(TRIM($W121))&lt;&gt;"n/a",COUNTIFS($B$2:$B$528,"Yes",$A$2:$A$528,"Neuron",$W$2:$W$528,$W121)&gt;1)
),"Yes","No"),
IF($A121="Cybernet",
IF(OR(
AND($Y121&lt;&gt;"",LOWER(TRIM($Y121))&lt;&gt;"n/a",COUNTIFS($B$2:$B$528,"Yes",$A$2:$A$528,"Cybernet",$Y$2:$Y$528,$Y121)&gt;1),
AND($Z121&lt;&gt;"",LOWER(TRIM($Z121))&lt;&gt;"n/a",COUNTIFS($B$2:$B$528,"Yes",$A$2:$A$528,"Cybernet",$Z$2:$Z$528,$Z121)&gt;1)
),"Yes","No"),
IF(AND($AL121&lt;&gt;"",LOWER(TRIM($AL121))&lt;&gt;"n/a"),
IF(COUNTIFS($B$2:$B$528,"Yes",$A$2:$A$528,$A121,$AL$2:$AL$528,$AL121)&gt;1,"Yes","No"),
"No")
)
)
)</f>
        <v/>
      </c>
      <c r="G121" s="59" t="s">
        <v>1698</v>
      </c>
      <c r="H121" s="4" t="s">
        <v>1891</v>
      </c>
      <c r="I121" s="4"/>
      <c r="J121" s="2" t="s">
        <v>1441</v>
      </c>
      <c r="K121" s="2" t="s">
        <v>1460</v>
      </c>
      <c r="L121" s="2" t="s">
        <v>1460</v>
      </c>
      <c r="M121" s="2"/>
      <c r="N121" s="4"/>
      <c r="O121" s="4"/>
      <c r="P121" s="4"/>
      <c r="Q121" s="4"/>
      <c r="R121" s="4" t="s">
        <v>1925</v>
      </c>
      <c r="T121" s="4"/>
      <c r="U121" s="4"/>
      <c r="V121" s="4"/>
      <c r="W121" s="4"/>
      <c r="X121" s="4"/>
      <c r="Y121" s="4" t="s">
        <v>1926</v>
      </c>
      <c r="Z121" s="4" t="s">
        <v>1927</v>
      </c>
      <c r="AA121" s="4"/>
      <c r="AB121" s="4"/>
      <c r="AC121" s="4"/>
      <c r="AD121" s="4"/>
      <c r="AE121" s="8"/>
      <c r="AF121" s="4"/>
      <c r="AG121" s="4"/>
      <c r="AH121" s="1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8"/>
      <c r="AX121" s="8"/>
      <c r="AY121" s="8"/>
      <c r="AZ121" s="8"/>
      <c r="BA121" s="12"/>
      <c r="BB121" s="8"/>
      <c r="BC121" s="4"/>
      <c r="BD121" s="4"/>
      <c r="BE121" s="8"/>
      <c r="BF121" s="8"/>
      <c r="BG121" s="8"/>
      <c r="BH121" s="8"/>
      <c r="BI121" s="8"/>
      <c r="BJ121" s="8"/>
      <c r="BK121" s="8"/>
      <c r="BL121" s="4" t="str">
        <f t="shared" si="6"/>
        <v/>
      </c>
      <c r="BM121" s="8" t="str">
        <f t="shared" si="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0">
      <c r="A122" s="8" t="s">
        <v>1651</v>
      </c>
      <c r="B122" s="8"/>
      <c r="C122" s="15" t="s">
        <v>1460</v>
      </c>
      <c r="D122" s="15" t="str">
        <f t="shared" si="5"/>
        <v/>
      </c>
      <c r="E122" s="15" t="str">
        <f>IF($A122="","",IF($A122="Neuron",IF(OR(AND($R122&lt;&gt;"",LOWER(TRIM($R122))&lt;&gt;"n/a",COUNTIF($S$2:$S$528,$R122)&gt;1),AND($T122&lt;&gt;"",LOWER(TRIM($T122))&lt;&gt;"n/a",COUNTIF($T$2:$T$528,$T122)&gt;1),AND($W122&lt;&gt;"",LOWER(TRIM($W122))&lt;&gt;"n/a",COUNTIF($W$2:$W$528,$W122)&gt;1)),"Yes","No"),IF($A122="Cybernet",IF(OR(AND($Y122&lt;&gt;"",LOWER(TRIM($Y122))&lt;&gt;"n/a",COUNTIF($Y$2:$Y$528,$Y122)&gt;1),AND($Z122&lt;&gt;"",LOWER(TRIM($Z122))&lt;&gt;"n/a",COUNTIF($Z$2:$Z$528,$Z122)&gt;1)),"Yes","No"),IF(AND($AL122&lt;&gt;"",LOWER(TRIM($AL122))&lt;&gt;"n/a",COUNTIF($AL$2:$AL$528,$AL122)&gt;1),"Yes","No"))))</f>
        <v>No</v>
      </c>
      <c r="F122" t="str">
        <f>IF($B122&lt;&gt;"Yes","",
IF($A122="Neuron",
IF(OR(
AND($R122&lt;&gt;"",LOWER(TRIM($R122))&lt;&gt;"n/a",COUNTIFS($B$2:$B$528,"Yes",$A$2:$A$528,"Neuron",$S$2:$S$528,$R122)&gt;1),
AND($T122&lt;&gt;"",LOWER(TRIM($T122))&lt;&gt;"n/a",COUNTIFS($B$2:$B$528,"Yes",$A$2:$A$528,"Neuron",$T$2:$T$528,$T122)&gt;1),
AND($W122&lt;&gt;"",LOWER(TRIM($W122))&lt;&gt;"n/a",COUNTIFS($B$2:$B$528,"Yes",$A$2:$A$528,"Neuron",$W$2:$W$528,$W122)&gt;1)
),"Yes","No"),
IF($A122="Cybernet",
IF(OR(
AND($Y122&lt;&gt;"",LOWER(TRIM($Y122))&lt;&gt;"n/a",COUNTIFS($B$2:$B$528,"Yes",$A$2:$A$528,"Cybernet",$Y$2:$Y$528,$Y122)&gt;1),
AND($Z122&lt;&gt;"",LOWER(TRIM($Z122))&lt;&gt;"n/a",COUNTIFS($B$2:$B$528,"Yes",$A$2:$A$528,"Cybernet",$Z$2:$Z$528,$Z122)&gt;1)
),"Yes","No"),
IF(AND($AL122&lt;&gt;"",LOWER(TRIM($AL122))&lt;&gt;"n/a"),
IF(COUNTIFS($B$2:$B$528,"Yes",$A$2:$A$528,$A122,$AL$2:$AL$528,$AL122)&gt;1,"Yes","No"),
"No")
)
)
)</f>
        <v/>
      </c>
      <c r="G122" s="62" t="s">
        <v>1698</v>
      </c>
      <c r="H122" s="4" t="s">
        <v>1891</v>
      </c>
      <c r="I122" s="4"/>
      <c r="J122" s="2" t="s">
        <v>1441</v>
      </c>
      <c r="K122" s="2" t="s">
        <v>1460</v>
      </c>
      <c r="L122" s="2" t="s">
        <v>1460</v>
      </c>
      <c r="M122" s="2"/>
      <c r="N122" s="4"/>
      <c r="O122" s="4"/>
      <c r="P122" s="4"/>
      <c r="Q122" s="4"/>
      <c r="R122" s="4" t="s">
        <v>1928</v>
      </c>
      <c r="T122" s="4"/>
      <c r="U122" s="4"/>
      <c r="V122" s="4"/>
      <c r="W122" s="4"/>
      <c r="X122" s="4"/>
      <c r="Y122" s="4" t="s">
        <v>1929</v>
      </c>
      <c r="Z122" s="4" t="s">
        <v>1930</v>
      </c>
      <c r="AA122" s="4"/>
      <c r="AB122" s="4"/>
      <c r="AC122" s="4"/>
      <c r="AD122" s="4"/>
      <c r="AE122" s="8"/>
      <c r="AF122" s="4"/>
      <c r="AG122" s="4"/>
      <c r="AH122" s="1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8"/>
      <c r="AX122" s="8"/>
      <c r="AY122" s="8"/>
      <c r="AZ122" s="8"/>
      <c r="BA122" s="12"/>
      <c r="BB122" s="8"/>
      <c r="BC122" s="4"/>
      <c r="BD122" s="4"/>
      <c r="BE122" s="8"/>
      <c r="BF122" s="8"/>
      <c r="BG122" s="8"/>
      <c r="BH122" s="8"/>
      <c r="BI122" s="8"/>
      <c r="BJ122" s="8"/>
      <c r="BK122" s="8"/>
      <c r="BL122" s="4" t="str">
        <f t="shared" si="6"/>
        <v/>
      </c>
      <c r="BM122" s="8" t="str">
        <f t="shared" si="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0">
      <c r="A123" s="8" t="s">
        <v>1651</v>
      </c>
      <c r="B123" s="8"/>
      <c r="C123" s="15" t="s">
        <v>1460</v>
      </c>
      <c r="D123" s="15" t="str">
        <f t="shared" si="5"/>
        <v/>
      </c>
      <c r="E123" s="15" t="str">
        <f>IF($A123="","",IF($A123="Neuron",IF(OR(AND($R123&lt;&gt;"",LOWER(TRIM($R123))&lt;&gt;"n/a",COUNTIF($S$2:$S$528,$R123)&gt;1),AND($T123&lt;&gt;"",LOWER(TRIM($T123))&lt;&gt;"n/a",COUNTIF($T$2:$T$528,$T123)&gt;1),AND($W123&lt;&gt;"",LOWER(TRIM($W123))&lt;&gt;"n/a",COUNTIF($W$2:$W$528,$W123)&gt;1)),"Yes","No"),IF($A123="Cybernet",IF(OR(AND($Y123&lt;&gt;"",LOWER(TRIM($Y123))&lt;&gt;"n/a",COUNTIF($Y$2:$Y$528,$Y123)&gt;1),AND($Z123&lt;&gt;"",LOWER(TRIM($Z123))&lt;&gt;"n/a",COUNTIF($Z$2:$Z$528,$Z123)&gt;1)),"Yes","No"),IF(AND($AL123&lt;&gt;"",LOWER(TRIM($AL123))&lt;&gt;"n/a",COUNTIF($AL$2:$AL$528,$AL123)&gt;1),"Yes","No"))))</f>
        <v>No</v>
      </c>
      <c r="F123" t="str">
        <f>IF($B123&lt;&gt;"Yes","",
IF($A123="Neuron",
IF(OR(
AND($R123&lt;&gt;"",LOWER(TRIM($R123))&lt;&gt;"n/a",COUNTIFS($B$2:$B$528,"Yes",$A$2:$A$528,"Neuron",$S$2:$S$528,$R123)&gt;1),
AND($T123&lt;&gt;"",LOWER(TRIM($T123))&lt;&gt;"n/a",COUNTIFS($B$2:$B$528,"Yes",$A$2:$A$528,"Neuron",$T$2:$T$528,$T123)&gt;1),
AND($W123&lt;&gt;"",LOWER(TRIM($W123))&lt;&gt;"n/a",COUNTIFS($B$2:$B$528,"Yes",$A$2:$A$528,"Neuron",$W$2:$W$528,$W123)&gt;1)
),"Yes","No"),
IF($A123="Cybernet",
IF(OR(
AND($Y123&lt;&gt;"",LOWER(TRIM($Y123))&lt;&gt;"n/a",COUNTIFS($B$2:$B$528,"Yes",$A$2:$A$528,"Cybernet",$Y$2:$Y$528,$Y123)&gt;1),
AND($Z123&lt;&gt;"",LOWER(TRIM($Z123))&lt;&gt;"n/a",COUNTIFS($B$2:$B$528,"Yes",$A$2:$A$528,"Cybernet",$Z$2:$Z$528,$Z123)&gt;1)
),"Yes","No"),
IF(AND($AL123&lt;&gt;"",LOWER(TRIM($AL123))&lt;&gt;"n/a"),
IF(COUNTIFS($B$2:$B$528,"Yes",$A$2:$A$528,$A123,$AL$2:$AL$528,$AL123)&gt;1,"Yes","No"),
"No")
)
)
)</f>
        <v/>
      </c>
      <c r="G123" s="59" t="s">
        <v>1698</v>
      </c>
      <c r="H123" s="4" t="s">
        <v>1891</v>
      </c>
      <c r="I123" s="4"/>
      <c r="J123" s="2" t="s">
        <v>1441</v>
      </c>
      <c r="K123" s="2" t="s">
        <v>1460</v>
      </c>
      <c r="L123" s="2" t="s">
        <v>1460</v>
      </c>
      <c r="M123" s="2"/>
      <c r="N123" s="4"/>
      <c r="O123" s="4"/>
      <c r="P123" s="4"/>
      <c r="Q123" s="4"/>
      <c r="R123" s="4" t="s">
        <v>1931</v>
      </c>
      <c r="T123" s="4"/>
      <c r="U123" s="4"/>
      <c r="V123" s="4"/>
      <c r="W123" s="4"/>
      <c r="X123" s="4"/>
      <c r="Y123" s="4" t="s">
        <v>1932</v>
      </c>
      <c r="Z123" s="4" t="s">
        <v>1933</v>
      </c>
      <c r="AA123" s="4"/>
      <c r="AB123" s="4"/>
      <c r="AC123" s="4"/>
      <c r="AD123" s="4"/>
      <c r="AE123" s="8"/>
      <c r="AF123" s="4"/>
      <c r="AG123" s="4"/>
      <c r="AH123" s="1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8"/>
      <c r="AX123" s="8"/>
      <c r="AY123" s="8"/>
      <c r="AZ123" s="8"/>
      <c r="BA123" s="12"/>
      <c r="BB123" s="8"/>
      <c r="BC123" s="4"/>
      <c r="BD123" s="4"/>
      <c r="BE123" s="8"/>
      <c r="BF123" s="8"/>
      <c r="BG123" s="8"/>
      <c r="BH123" s="8"/>
      <c r="BI123" s="8"/>
      <c r="BJ123" s="8"/>
      <c r="BK123" s="8"/>
      <c r="BL123" s="4" t="str">
        <f t="shared" si="6"/>
        <v/>
      </c>
      <c r="BM123" s="8" t="str">
        <f t="shared" si="7"/>
        <v/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</row>
    <row r="124" spans="1:70">
      <c r="A124" s="8" t="s">
        <v>1651</v>
      </c>
      <c r="B124" s="8"/>
      <c r="C124" s="15" t="s">
        <v>1460</v>
      </c>
      <c r="D124" s="15" t="str">
        <f t="shared" si="5"/>
        <v/>
      </c>
      <c r="E124" s="15" t="str">
        <f>IF($A124="","",IF($A124="Neuron",IF(OR(AND($R124&lt;&gt;"",LOWER(TRIM($R124))&lt;&gt;"n/a",COUNTIF($S$2:$S$528,$R124)&gt;1),AND($T124&lt;&gt;"",LOWER(TRIM($T124))&lt;&gt;"n/a",COUNTIF($T$2:$T$528,$T124)&gt;1),AND($W124&lt;&gt;"",LOWER(TRIM($W124))&lt;&gt;"n/a",COUNTIF($W$2:$W$528,$W124)&gt;1)),"Yes","No"),IF($A124="Cybernet",IF(OR(AND($Y124&lt;&gt;"",LOWER(TRIM($Y124))&lt;&gt;"n/a",COUNTIF($Y$2:$Y$528,$Y124)&gt;1),AND($Z124&lt;&gt;"",LOWER(TRIM($Z124))&lt;&gt;"n/a",COUNTIF($Z$2:$Z$528,$Z124)&gt;1)),"Yes","No"),IF(AND($AL124&lt;&gt;"",LOWER(TRIM($AL124))&lt;&gt;"n/a",COUNTIF($AL$2:$AL$528,$AL124)&gt;1),"Yes","No"))))</f>
        <v>No</v>
      </c>
      <c r="F124" t="str">
        <f>IF($B124&lt;&gt;"Yes","",
IF($A124="Neuron",
IF(OR(
AND($R124&lt;&gt;"",LOWER(TRIM($R124))&lt;&gt;"n/a",COUNTIFS($B$2:$B$528,"Yes",$A$2:$A$528,"Neuron",$S$2:$S$528,$R124)&gt;1),
AND($T124&lt;&gt;"",LOWER(TRIM($T124))&lt;&gt;"n/a",COUNTIFS($B$2:$B$528,"Yes",$A$2:$A$528,"Neuron",$T$2:$T$528,$T124)&gt;1),
AND($W124&lt;&gt;"",LOWER(TRIM($W124))&lt;&gt;"n/a",COUNTIFS($B$2:$B$528,"Yes",$A$2:$A$528,"Neuron",$W$2:$W$528,$W124)&gt;1)
),"Yes","No"),
IF($A124="Cybernet",
IF(OR(
AND($Y124&lt;&gt;"",LOWER(TRIM($Y124))&lt;&gt;"n/a",COUNTIFS($B$2:$B$528,"Yes",$A$2:$A$528,"Cybernet",$Y$2:$Y$528,$Y124)&gt;1),
AND($Z124&lt;&gt;"",LOWER(TRIM($Z124))&lt;&gt;"n/a",COUNTIFS($B$2:$B$528,"Yes",$A$2:$A$528,"Cybernet",$Z$2:$Z$528,$Z124)&gt;1)
),"Yes","No"),
IF(AND($AL124&lt;&gt;"",LOWER(TRIM($AL124))&lt;&gt;"n/a"),
IF(COUNTIFS($B$2:$B$528,"Yes",$A$2:$A$528,$A124,$AL$2:$AL$528,$AL124)&gt;1,"Yes","No"),
"No")
)
)
)</f>
        <v/>
      </c>
      <c r="G124" s="62" t="s">
        <v>1698</v>
      </c>
      <c r="H124" s="4" t="s">
        <v>1891</v>
      </c>
      <c r="I124" s="4"/>
      <c r="J124" s="2" t="s">
        <v>1441</v>
      </c>
      <c r="K124" s="2" t="s">
        <v>1460</v>
      </c>
      <c r="L124" s="2" t="s">
        <v>1460</v>
      </c>
      <c r="M124" s="2"/>
      <c r="N124" s="4"/>
      <c r="O124" s="4"/>
      <c r="P124" s="4"/>
      <c r="Q124" s="4"/>
      <c r="R124" s="4" t="s">
        <v>1934</v>
      </c>
      <c r="T124" s="4"/>
      <c r="U124" s="4"/>
      <c r="V124" s="4"/>
      <c r="W124" s="4"/>
      <c r="X124" s="4"/>
      <c r="Y124" s="4" t="s">
        <v>1935</v>
      </c>
      <c r="Z124" s="4" t="s">
        <v>1936</v>
      </c>
      <c r="AA124" s="4"/>
      <c r="AB124" s="4"/>
      <c r="AC124" s="4"/>
      <c r="AD124" s="4"/>
      <c r="AE124" s="8"/>
      <c r="AF124" s="4"/>
      <c r="AG124" s="4"/>
      <c r="AH124" s="1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8"/>
      <c r="AX124" s="8"/>
      <c r="AY124" s="8"/>
      <c r="AZ124" s="8"/>
      <c r="BA124" s="12"/>
      <c r="BB124" s="8"/>
      <c r="BC124" s="4"/>
      <c r="BD124" s="4"/>
      <c r="BE124" s="8"/>
      <c r="BF124" s="8"/>
      <c r="BG124" s="8"/>
      <c r="BH124" s="8"/>
      <c r="BI124" s="8"/>
      <c r="BJ124" s="8"/>
      <c r="BK124" s="8"/>
      <c r="BL124" s="4" t="str">
        <f t="shared" si="6"/>
        <v/>
      </c>
      <c r="BM124" s="8" t="str">
        <f t="shared" si="7"/>
        <v/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</row>
    <row r="125" spans="1:70">
      <c r="A125" s="8" t="s">
        <v>1651</v>
      </c>
      <c r="B125" s="8"/>
      <c r="C125" s="15" t="s">
        <v>1460</v>
      </c>
      <c r="D125" s="15" t="str">
        <f t="shared" si="5"/>
        <v/>
      </c>
      <c r="E125" s="15" t="str">
        <f>IF($A125="","",IF($A125="Neuron",IF(OR(AND($R125&lt;&gt;"",LOWER(TRIM($R125))&lt;&gt;"n/a",COUNTIF($S$2:$S$528,$R125)&gt;1),AND($T125&lt;&gt;"",LOWER(TRIM($T125))&lt;&gt;"n/a",COUNTIF($T$2:$T$528,$T125)&gt;1),AND($W125&lt;&gt;"",LOWER(TRIM($W125))&lt;&gt;"n/a",COUNTIF($W$2:$W$528,$W125)&gt;1)),"Yes","No"),IF($A125="Cybernet",IF(OR(AND($Y125&lt;&gt;"",LOWER(TRIM($Y125))&lt;&gt;"n/a",COUNTIF($Y$2:$Y$528,$Y125)&gt;1),AND($Z125&lt;&gt;"",LOWER(TRIM($Z125))&lt;&gt;"n/a",COUNTIF($Z$2:$Z$528,$Z125)&gt;1)),"Yes","No"),IF(AND($AL125&lt;&gt;"",LOWER(TRIM($AL125))&lt;&gt;"n/a",COUNTIF($AL$2:$AL$528,$AL125)&gt;1),"Yes","No"))))</f>
        <v>No</v>
      </c>
      <c r="F125" t="str">
        <f>IF($B125&lt;&gt;"Yes","",
IF($A125="Neuron",
IF(OR(
AND($R125&lt;&gt;"",LOWER(TRIM($R125))&lt;&gt;"n/a",COUNTIFS($B$2:$B$528,"Yes",$A$2:$A$528,"Neuron",$S$2:$S$528,$R125)&gt;1),
AND($T125&lt;&gt;"",LOWER(TRIM($T125))&lt;&gt;"n/a",COUNTIFS($B$2:$B$528,"Yes",$A$2:$A$528,"Neuron",$T$2:$T$528,$T125)&gt;1),
AND($W125&lt;&gt;"",LOWER(TRIM($W125))&lt;&gt;"n/a",COUNTIFS($B$2:$B$528,"Yes",$A$2:$A$528,"Neuron",$W$2:$W$528,$W125)&gt;1)
),"Yes","No"),
IF($A125="Cybernet",
IF(OR(
AND($Y125&lt;&gt;"",LOWER(TRIM($Y125))&lt;&gt;"n/a",COUNTIFS($B$2:$B$528,"Yes",$A$2:$A$528,"Cybernet",$Y$2:$Y$528,$Y125)&gt;1),
AND($Z125&lt;&gt;"",LOWER(TRIM($Z125))&lt;&gt;"n/a",COUNTIFS($B$2:$B$528,"Yes",$A$2:$A$528,"Cybernet",$Z$2:$Z$528,$Z125)&gt;1)
),"Yes","No"),
IF(AND($AL125&lt;&gt;"",LOWER(TRIM($AL125))&lt;&gt;"n/a"),
IF(COUNTIFS($B$2:$B$528,"Yes",$A$2:$A$528,$A125,$AL$2:$AL$528,$AL125)&gt;1,"Yes","No"),
"No")
)
)
)</f>
        <v/>
      </c>
      <c r="G125" s="59" t="s">
        <v>1698</v>
      </c>
      <c r="H125" s="4" t="s">
        <v>1891</v>
      </c>
      <c r="I125" s="4"/>
      <c r="J125" s="2" t="s">
        <v>1441</v>
      </c>
      <c r="K125" s="2" t="s">
        <v>1460</v>
      </c>
      <c r="L125" s="2" t="s">
        <v>1460</v>
      </c>
      <c r="M125" s="2"/>
      <c r="N125" s="4"/>
      <c r="O125" s="4"/>
      <c r="P125" s="4"/>
      <c r="Q125" s="4"/>
      <c r="R125" s="4" t="s">
        <v>1937</v>
      </c>
      <c r="T125" s="4"/>
      <c r="U125" s="4"/>
      <c r="V125" s="4"/>
      <c r="W125" s="4"/>
      <c r="X125" s="4"/>
      <c r="Y125" s="4" t="s">
        <v>1938</v>
      </c>
      <c r="Z125" s="4" t="s">
        <v>1939</v>
      </c>
      <c r="AA125" s="4"/>
      <c r="AB125" s="4"/>
      <c r="AC125" s="4"/>
      <c r="AD125" s="4"/>
      <c r="AE125" s="8"/>
      <c r="AF125" s="4"/>
      <c r="AG125" s="4"/>
      <c r="AH125" s="1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8"/>
      <c r="AX125" s="8"/>
      <c r="AY125" s="8"/>
      <c r="AZ125" s="8"/>
      <c r="BA125" s="12"/>
      <c r="BB125" s="8"/>
      <c r="BC125" s="4"/>
      <c r="BD125" s="4"/>
      <c r="BE125" s="8"/>
      <c r="BF125" s="8"/>
      <c r="BG125" s="8"/>
      <c r="BH125" s="8"/>
      <c r="BI125" s="8"/>
      <c r="BJ125" s="8"/>
      <c r="BK125" s="8"/>
      <c r="BL125" s="4" t="str">
        <f t="shared" si="6"/>
        <v/>
      </c>
      <c r="BM125" s="8" t="str">
        <f t="shared" si="7"/>
        <v/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</row>
    <row r="126" spans="1:70">
      <c r="A126" s="8" t="s">
        <v>1651</v>
      </c>
      <c r="B126" s="8"/>
      <c r="C126" s="15" t="s">
        <v>1460</v>
      </c>
      <c r="D126" s="15" t="str">
        <f t="shared" si="5"/>
        <v/>
      </c>
      <c r="E126" s="15" t="str">
        <f>IF($A126="","",IF($A126="Neuron",IF(OR(AND($R126&lt;&gt;"",LOWER(TRIM($R126))&lt;&gt;"n/a",COUNTIF($S$2:$S$528,$R126)&gt;1),AND($T126&lt;&gt;"",LOWER(TRIM($T126))&lt;&gt;"n/a",COUNTIF($T$2:$T$528,$T126)&gt;1),AND($W126&lt;&gt;"",LOWER(TRIM($W126))&lt;&gt;"n/a",COUNTIF($W$2:$W$528,$W126)&gt;1)),"Yes","No"),IF($A126="Cybernet",IF(OR(AND($Y126&lt;&gt;"",LOWER(TRIM($Y126))&lt;&gt;"n/a",COUNTIF($Y$2:$Y$528,$Y126)&gt;1),AND($Z126&lt;&gt;"",LOWER(TRIM($Z126))&lt;&gt;"n/a",COUNTIF($Z$2:$Z$528,$Z126)&gt;1)),"Yes","No"),IF(AND($AL126&lt;&gt;"",LOWER(TRIM($AL126))&lt;&gt;"n/a",COUNTIF($AL$2:$AL$528,$AL126)&gt;1),"Yes","No"))))</f>
        <v>No</v>
      </c>
      <c r="F126" t="str">
        <f>IF($B126&lt;&gt;"Yes","",
IF($A126="Neuron",
IF(OR(
AND($R126&lt;&gt;"",LOWER(TRIM($R126))&lt;&gt;"n/a",COUNTIFS($B$2:$B$528,"Yes",$A$2:$A$528,"Neuron",$S$2:$S$528,$R126)&gt;1),
AND($T126&lt;&gt;"",LOWER(TRIM($T126))&lt;&gt;"n/a",COUNTIFS($B$2:$B$528,"Yes",$A$2:$A$528,"Neuron",$T$2:$T$528,$T126)&gt;1),
AND($W126&lt;&gt;"",LOWER(TRIM($W126))&lt;&gt;"n/a",COUNTIFS($B$2:$B$528,"Yes",$A$2:$A$528,"Neuron",$W$2:$W$528,$W126)&gt;1)
),"Yes","No"),
IF($A126="Cybernet",
IF(OR(
AND($Y126&lt;&gt;"",LOWER(TRIM($Y126))&lt;&gt;"n/a",COUNTIFS($B$2:$B$528,"Yes",$A$2:$A$528,"Cybernet",$Y$2:$Y$528,$Y126)&gt;1),
AND($Z126&lt;&gt;"",LOWER(TRIM($Z126))&lt;&gt;"n/a",COUNTIFS($B$2:$B$528,"Yes",$A$2:$A$528,"Cybernet",$Z$2:$Z$528,$Z126)&gt;1)
),"Yes","No"),
IF(AND($AL126&lt;&gt;"",LOWER(TRIM($AL126))&lt;&gt;"n/a"),
IF(COUNTIFS($B$2:$B$528,"Yes",$A$2:$A$528,$A126,$AL$2:$AL$528,$AL126)&gt;1,"Yes","No"),
"No")
)
)
)</f>
        <v/>
      </c>
      <c r="G126" s="62" t="s">
        <v>1698</v>
      </c>
      <c r="H126" s="4" t="s">
        <v>1891</v>
      </c>
      <c r="I126" s="4"/>
      <c r="J126" s="2" t="s">
        <v>1441</v>
      </c>
      <c r="K126" s="2" t="s">
        <v>1460</v>
      </c>
      <c r="L126" s="2" t="s">
        <v>1460</v>
      </c>
      <c r="M126" s="2"/>
      <c r="N126" s="4"/>
      <c r="O126" s="4"/>
      <c r="P126" s="4"/>
      <c r="Q126" s="4"/>
      <c r="R126" s="4" t="s">
        <v>1940</v>
      </c>
      <c r="T126" s="4"/>
      <c r="U126" s="4"/>
      <c r="V126" s="4"/>
      <c r="W126" s="4"/>
      <c r="X126" s="4"/>
      <c r="Y126" s="4" t="s">
        <v>1941</v>
      </c>
      <c r="Z126" s="4" t="s">
        <v>1942</v>
      </c>
      <c r="AA126" s="4"/>
      <c r="AB126" s="4"/>
      <c r="AC126" s="4"/>
      <c r="AD126" s="4"/>
      <c r="AE126" s="8"/>
      <c r="AF126" s="4"/>
      <c r="AG126" s="4"/>
      <c r="AH126" s="1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8"/>
      <c r="AX126" s="8"/>
      <c r="AY126" s="8"/>
      <c r="AZ126" s="8"/>
      <c r="BA126" s="12"/>
      <c r="BB126" s="8"/>
      <c r="BC126" s="4"/>
      <c r="BD126" s="4"/>
      <c r="BE126" s="8"/>
      <c r="BF126" s="8"/>
      <c r="BG126" s="8"/>
      <c r="BH126" s="8"/>
      <c r="BI126" s="8"/>
      <c r="BJ126" s="8"/>
      <c r="BK126" s="8"/>
      <c r="BL126" s="4" t="str">
        <f t="shared" si="6"/>
        <v/>
      </c>
      <c r="BM126" s="8" t="str">
        <f t="shared" si="7"/>
        <v/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</row>
    <row r="127" spans="1:70">
      <c r="A127" s="8" t="s">
        <v>1651</v>
      </c>
      <c r="B127" s="8" t="s">
        <v>1460</v>
      </c>
      <c r="C127" s="15" t="s">
        <v>1460</v>
      </c>
      <c r="D127" s="15" t="str">
        <f t="shared" si="5"/>
        <v/>
      </c>
      <c r="E127" s="15" t="str">
        <f>IF($A127="","",IF($A127="Neuron",IF(OR(AND($R127&lt;&gt;"",LOWER(TRIM($R127))&lt;&gt;"n/a",COUNTIF($S$2:$S$528,$R127)&gt;1),AND($T127&lt;&gt;"",LOWER(TRIM($T127))&lt;&gt;"n/a",COUNTIF($T$2:$T$528,$T127)&gt;1),AND($W127&lt;&gt;"",LOWER(TRIM($W127))&lt;&gt;"n/a",COUNTIF($W$2:$W$528,$W127)&gt;1)),"Yes","No"),IF($A127="Cybernet",IF(OR(AND($Y127&lt;&gt;"",LOWER(TRIM($Y127))&lt;&gt;"n/a",COUNTIF($Y$2:$Y$528,$Y127)&gt;1),AND($Z127&lt;&gt;"",LOWER(TRIM($Z127))&lt;&gt;"n/a",COUNTIF($Z$2:$Z$528,$Z127)&gt;1)),"Yes","No"),IF(AND($AL127&lt;&gt;"",LOWER(TRIM($AL127))&lt;&gt;"n/a",COUNTIF($AL$2:$AL$528,$AL127)&gt;1),"Yes","No"))))</f>
        <v>No</v>
      </c>
      <c r="F127" t="str">
        <f>IF($B127&lt;&gt;"Yes","",
IF($A127="Neuron",
IF(OR(
AND($R127&lt;&gt;"",LOWER(TRIM($R127))&lt;&gt;"n/a",COUNTIFS($B$2:$B$528,"Yes",$A$2:$A$528,"Neuron",$S$2:$S$528,$R127)&gt;1),
AND($T127&lt;&gt;"",LOWER(TRIM($T127))&lt;&gt;"n/a",COUNTIFS($B$2:$B$528,"Yes",$A$2:$A$528,"Neuron",$T$2:$T$528,$T127)&gt;1),
AND($W127&lt;&gt;"",LOWER(TRIM($W127))&lt;&gt;"n/a",COUNTIFS($B$2:$B$528,"Yes",$A$2:$A$528,"Neuron",$W$2:$W$528,$W127)&gt;1)
),"Yes","No"),
IF($A127="Cybernet",
IF(OR(
AND($Y127&lt;&gt;"",LOWER(TRIM($Y127))&lt;&gt;"n/a",COUNTIFS($B$2:$B$528,"Yes",$A$2:$A$528,"Cybernet",$Y$2:$Y$528,$Y127)&gt;1),
AND($Z127&lt;&gt;"",LOWER(TRIM($Z127))&lt;&gt;"n/a",COUNTIFS($B$2:$B$528,"Yes",$A$2:$A$528,"Cybernet",$Z$2:$Z$528,$Z127)&gt;1)
),"Yes","No"),
IF(AND($AL127&lt;&gt;"",LOWER(TRIM($AL127))&lt;&gt;"n/a"),
IF(COUNTIFS($B$2:$B$528,"Yes",$A$2:$A$528,$A127,$AL$2:$AL$528,$AL127)&gt;1,"Yes","No"),
"No")
)
)
)</f>
        <v/>
      </c>
      <c r="G127" s="59" t="s">
        <v>1698</v>
      </c>
      <c r="H127" s="4" t="s">
        <v>1891</v>
      </c>
      <c r="I127" s="4"/>
      <c r="J127" s="2" t="s">
        <v>1441</v>
      </c>
      <c r="K127" s="2" t="s">
        <v>1460</v>
      </c>
      <c r="L127" s="2" t="s">
        <v>1460</v>
      </c>
      <c r="M127" s="2"/>
      <c r="N127" s="4"/>
      <c r="O127" s="4"/>
      <c r="P127" s="4"/>
      <c r="Q127" s="4"/>
      <c r="R127" s="4" t="s">
        <v>1943</v>
      </c>
      <c r="T127" s="4"/>
      <c r="U127" s="4"/>
      <c r="V127" s="4"/>
      <c r="W127" s="4"/>
      <c r="X127" s="4"/>
      <c r="Y127" s="4" t="s">
        <v>1944</v>
      </c>
      <c r="Z127" s="4" t="s">
        <v>1945</v>
      </c>
      <c r="AA127" s="4"/>
      <c r="AB127" s="4"/>
      <c r="AC127" s="4"/>
      <c r="AD127" s="4"/>
      <c r="AE127" s="8"/>
      <c r="AF127" s="4"/>
      <c r="AG127" s="4"/>
      <c r="AH127" s="1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8"/>
      <c r="AX127" s="8"/>
      <c r="AY127" s="8"/>
      <c r="AZ127" s="8"/>
      <c r="BA127" s="12"/>
      <c r="BB127" s="8"/>
      <c r="BC127" s="4"/>
      <c r="BD127" s="4"/>
      <c r="BE127" s="8"/>
      <c r="BF127" s="8"/>
      <c r="BG127" s="8"/>
      <c r="BH127" s="8"/>
      <c r="BI127" s="8"/>
      <c r="BJ127" s="8"/>
      <c r="BK127" s="8"/>
      <c r="BL127" s="4" t="str">
        <f t="shared" si="6"/>
        <v/>
      </c>
      <c r="BM127" s="8" t="str">
        <f t="shared" si="7"/>
        <v/>
      </c>
      <c r="BP127" t="str">
        <f>IF($BO127="","",IFERROR(VLOOKUP($BO127,'01_Warehouse_Ledger'!$A:$N,4,FALSE),""))</f>
        <v/>
      </c>
      <c r="BQ127" t="str">
        <f>IF($BO127="","",IFERROR(VLOOKUP($BO127,'01_Warehouse_Ledger'!$A:$N,5,FALSE),""))</f>
        <v/>
      </c>
      <c r="BR127" t="str">
        <f>IF($BO127="","",IFERROR(VLOOKUP($BO127,'01_Warehouse_Ledger'!$A:$N,13,FALSE),""))</f>
        <v/>
      </c>
    </row>
    <row r="128" spans="1:70">
      <c r="A128" s="8" t="s">
        <v>1651</v>
      </c>
      <c r="B128" s="8"/>
      <c r="C128" s="15" t="s">
        <v>1460</v>
      </c>
      <c r="D128" s="15" t="str">
        <f t="shared" si="5"/>
        <v/>
      </c>
      <c r="E128" s="15" t="str">
        <f>IF($A128="","",IF($A128="Neuron",IF(OR(AND($R128&lt;&gt;"",LOWER(TRIM($R128))&lt;&gt;"n/a",COUNTIF($S$2:$S$528,$R128)&gt;1),AND($T128&lt;&gt;"",LOWER(TRIM($T128))&lt;&gt;"n/a",COUNTIF($T$2:$T$528,$T128)&gt;1),AND($W128&lt;&gt;"",LOWER(TRIM($W128))&lt;&gt;"n/a",COUNTIF($W$2:$W$528,$W128)&gt;1)),"Yes","No"),IF($A128="Cybernet",IF(OR(AND($Y128&lt;&gt;"",LOWER(TRIM($Y128))&lt;&gt;"n/a",COUNTIF($Y$2:$Y$528,$Y128)&gt;1),AND($Z128&lt;&gt;"",LOWER(TRIM($Z128))&lt;&gt;"n/a",COUNTIF($Z$2:$Z$528,$Z128)&gt;1)),"Yes","No"),IF(AND($AL128&lt;&gt;"",LOWER(TRIM($AL128))&lt;&gt;"n/a",COUNTIF($AL$2:$AL$528,$AL128)&gt;1),"Yes","No"))))</f>
        <v>No</v>
      </c>
      <c r="F128" t="str">
        <f>IF($B128&lt;&gt;"Yes","",
IF($A128="Neuron",
IF(OR(
AND($R128&lt;&gt;"",LOWER(TRIM($R128))&lt;&gt;"n/a",COUNTIFS($B$2:$B$528,"Yes",$A$2:$A$528,"Neuron",$S$2:$S$528,$R128)&gt;1),
AND($T128&lt;&gt;"",LOWER(TRIM($T128))&lt;&gt;"n/a",COUNTIFS($B$2:$B$528,"Yes",$A$2:$A$528,"Neuron",$T$2:$T$528,$T128)&gt;1),
AND($W128&lt;&gt;"",LOWER(TRIM($W128))&lt;&gt;"n/a",COUNTIFS($B$2:$B$528,"Yes",$A$2:$A$528,"Neuron",$W$2:$W$528,$W128)&gt;1)
),"Yes","No"),
IF($A128="Cybernet",
IF(OR(
AND($Y128&lt;&gt;"",LOWER(TRIM($Y128))&lt;&gt;"n/a",COUNTIFS($B$2:$B$528,"Yes",$A$2:$A$528,"Cybernet",$Y$2:$Y$528,$Y128)&gt;1),
AND($Z128&lt;&gt;"",LOWER(TRIM($Z128))&lt;&gt;"n/a",COUNTIFS($B$2:$B$528,"Yes",$A$2:$A$528,"Cybernet",$Z$2:$Z$528,$Z128)&gt;1)
),"Yes","No"),
IF(AND($AL128&lt;&gt;"",LOWER(TRIM($AL128))&lt;&gt;"n/a"),
IF(COUNTIFS($B$2:$B$528,"Yes",$A$2:$A$528,$A128,$AL$2:$AL$528,$AL128)&gt;1,"Yes","No"),
"No")
)
)
)</f>
        <v/>
      </c>
      <c r="G128" s="62" t="s">
        <v>1698</v>
      </c>
      <c r="H128" s="4" t="s">
        <v>1891</v>
      </c>
      <c r="I128" s="4"/>
      <c r="J128" s="2" t="s">
        <v>1441</v>
      </c>
      <c r="K128" s="2" t="s">
        <v>1460</v>
      </c>
      <c r="L128" s="2" t="s">
        <v>1460</v>
      </c>
      <c r="M128" s="2"/>
      <c r="N128" s="4"/>
      <c r="O128" s="4"/>
      <c r="P128" s="4"/>
      <c r="Q128" s="4"/>
      <c r="R128" s="4" t="s">
        <v>1946</v>
      </c>
      <c r="T128" s="4"/>
      <c r="U128" s="4"/>
      <c r="V128" s="4"/>
      <c r="W128" s="4"/>
      <c r="X128" s="4"/>
      <c r="Y128" s="4" t="s">
        <v>1947</v>
      </c>
      <c r="Z128" s="4" t="s">
        <v>1948</v>
      </c>
      <c r="AA128" s="4"/>
      <c r="AB128" s="4"/>
      <c r="AC128" s="4"/>
      <c r="AD128" s="4"/>
      <c r="AE128" s="8"/>
      <c r="AF128" s="4"/>
      <c r="AG128" s="4"/>
      <c r="AH128" s="1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8"/>
      <c r="AX128" s="8"/>
      <c r="AY128" s="8"/>
      <c r="AZ128" s="8"/>
      <c r="BA128" s="12"/>
      <c r="BB128" s="8"/>
      <c r="BC128" s="4"/>
      <c r="BD128" s="4"/>
      <c r="BE128" s="8"/>
      <c r="BF128" s="8"/>
      <c r="BG128" s="8"/>
      <c r="BH128" s="8"/>
      <c r="BI128" s="8"/>
      <c r="BJ128" s="8"/>
      <c r="BK128" s="8"/>
      <c r="BL128" s="4" t="str">
        <f t="shared" si="6"/>
        <v/>
      </c>
      <c r="BM128" s="8" t="str">
        <f t="shared" si="7"/>
        <v/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</row>
    <row r="129" spans="1:74">
      <c r="A129" s="8" t="s">
        <v>1651</v>
      </c>
      <c r="B129" s="8" t="s">
        <v>1460</v>
      </c>
      <c r="C129" s="15" t="s">
        <v>1460</v>
      </c>
      <c r="D129" s="15" t="str">
        <f t="shared" si="5"/>
        <v/>
      </c>
      <c r="E129" s="15" t="str">
        <f>IF($A129="","",IF($A129="Neuron",IF(OR(AND($R129&lt;&gt;"",LOWER(TRIM($R129))&lt;&gt;"n/a",COUNTIF($S$2:$S$528,$R129)&gt;1),AND($T129&lt;&gt;"",LOWER(TRIM($T129))&lt;&gt;"n/a",COUNTIF($T$2:$T$528,$T129)&gt;1),AND($W129&lt;&gt;"",LOWER(TRIM($W129))&lt;&gt;"n/a",COUNTIF($W$2:$W$528,$W129)&gt;1)),"Yes","No"),IF($A129="Cybernet",IF(OR(AND($Y129&lt;&gt;"",LOWER(TRIM($Y129))&lt;&gt;"n/a",COUNTIF($Y$2:$Y$528,$Y129)&gt;1),AND($Z129&lt;&gt;"",LOWER(TRIM($Z129))&lt;&gt;"n/a",COUNTIF($Z$2:$Z$528,$Z129)&gt;1)),"Yes","No"),IF(AND($AL129&lt;&gt;"",LOWER(TRIM($AL129))&lt;&gt;"n/a",COUNTIF($AL$2:$AL$528,$AL129)&gt;1),"Yes","No"))))</f>
        <v>No</v>
      </c>
      <c r="F129" t="str">
        <f>IF($B129&lt;&gt;"Yes","",
IF($A129="Neuron",
IF(OR(
AND($R129&lt;&gt;"",LOWER(TRIM($R129))&lt;&gt;"n/a",COUNTIFS($B$2:$B$528,"Yes",$A$2:$A$528,"Neuron",$S$2:$S$528,$R129)&gt;1),
AND($T129&lt;&gt;"",LOWER(TRIM($T129))&lt;&gt;"n/a",COUNTIFS($B$2:$B$528,"Yes",$A$2:$A$528,"Neuron",$T$2:$T$528,$T129)&gt;1),
AND($W129&lt;&gt;"",LOWER(TRIM($W129))&lt;&gt;"n/a",COUNTIFS($B$2:$B$528,"Yes",$A$2:$A$528,"Neuron",$W$2:$W$528,$W129)&gt;1)
),"Yes","No"),
IF($A129="Cybernet",
IF(OR(
AND($Y129&lt;&gt;"",LOWER(TRIM($Y129))&lt;&gt;"n/a",COUNTIFS($B$2:$B$528,"Yes",$A$2:$A$528,"Cybernet",$Y$2:$Y$528,$Y129)&gt;1),
AND($Z129&lt;&gt;"",LOWER(TRIM($Z129))&lt;&gt;"n/a",COUNTIFS($B$2:$B$528,"Yes",$A$2:$A$528,"Cybernet",$Z$2:$Z$528,$Z129)&gt;1)
),"Yes","No"),
IF(AND($AL129&lt;&gt;"",LOWER(TRIM($AL129))&lt;&gt;"n/a"),
IF(COUNTIFS($B$2:$B$528,"Yes",$A$2:$A$528,$A129,$AL$2:$AL$528,$AL129)&gt;1,"Yes","No"),
"No")
)
)
)</f>
        <v/>
      </c>
      <c r="G129" t="s">
        <v>1698</v>
      </c>
      <c r="H129" s="4" t="s">
        <v>1891</v>
      </c>
      <c r="I129" s="4"/>
      <c r="J129" s="2" t="s">
        <v>1441</v>
      </c>
      <c r="K129" s="2" t="s">
        <v>1460</v>
      </c>
      <c r="L129" s="2" t="s">
        <v>1460</v>
      </c>
      <c r="M129" s="2"/>
      <c r="N129" s="4"/>
      <c r="O129" s="4"/>
      <c r="P129" s="4"/>
      <c r="Q129" s="4"/>
      <c r="R129" s="4" t="s">
        <v>1949</v>
      </c>
      <c r="T129" s="4"/>
      <c r="U129" s="4"/>
      <c r="V129" s="4"/>
      <c r="W129" s="4"/>
      <c r="X129" s="4"/>
      <c r="Y129" s="4" t="s">
        <v>1950</v>
      </c>
      <c r="Z129" s="4" t="s">
        <v>1951</v>
      </c>
      <c r="AA129" s="4"/>
      <c r="AB129" s="4"/>
      <c r="AC129" s="4"/>
      <c r="AD129" s="4"/>
      <c r="AE129" s="8"/>
      <c r="AF129" s="4"/>
      <c r="AG129" s="4"/>
      <c r="AH129" s="1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8"/>
      <c r="AX129" s="8"/>
      <c r="AY129" s="8"/>
      <c r="AZ129" s="8"/>
      <c r="BA129" s="12"/>
      <c r="BB129" s="8"/>
      <c r="BC129" s="4"/>
      <c r="BD129" s="4"/>
      <c r="BE129" s="8"/>
      <c r="BF129" s="8"/>
      <c r="BG129" s="8"/>
      <c r="BH129" s="8"/>
      <c r="BI129" s="8"/>
      <c r="BJ129" s="8"/>
      <c r="BK129" s="8"/>
      <c r="BL129" s="4" t="str">
        <f t="shared" si="6"/>
        <v/>
      </c>
      <c r="BM129" s="8" t="str">
        <f t="shared" si="7"/>
        <v/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</row>
    <row r="130" spans="1:74">
      <c r="A130" s="8" t="s">
        <v>1651</v>
      </c>
      <c r="B130" s="8"/>
      <c r="C130" s="15" t="s">
        <v>1460</v>
      </c>
      <c r="D130" s="15" t="str">
        <f t="shared" ref="D130:D137" si="8">IF($B130&lt;&gt;"Yes","",IF($C130="No","Yes",IF($C130="Yes","No","")))</f>
        <v/>
      </c>
      <c r="E130" s="15" t="str">
        <f>IF($A130="","",IF($A130="Neuron",IF(OR(AND($R130&lt;&gt;"",LOWER(TRIM($R130))&lt;&gt;"n/a",COUNTIF($S$2:$S$528,$R130)&gt;1),AND($T130&lt;&gt;"",LOWER(TRIM($T130))&lt;&gt;"n/a",COUNTIF($T$2:$T$528,$T130)&gt;1),AND($W130&lt;&gt;"",LOWER(TRIM($W130))&lt;&gt;"n/a",COUNTIF($W$2:$W$528,$W130)&gt;1)),"Yes","No"),IF($A130="Cybernet",IF(OR(AND($Y130&lt;&gt;"",LOWER(TRIM($Y130))&lt;&gt;"n/a",COUNTIF($Y$2:$Y$528,$Y130)&gt;1),AND($Z130&lt;&gt;"",LOWER(TRIM($Z130))&lt;&gt;"n/a",COUNTIF($Z$2:$Z$528,$Z130)&gt;1)),"Yes","No"),IF(AND($AL130&lt;&gt;"",LOWER(TRIM($AL130))&lt;&gt;"n/a",COUNTIF($AL$2:$AL$528,$AL130)&gt;1),"Yes","No"))))</f>
        <v>No</v>
      </c>
      <c r="F130" t="str">
        <f>IF($B130&lt;&gt;"Yes","",
IF($A130="Neuron",
IF(OR(
AND($R130&lt;&gt;"",LOWER(TRIM($R130))&lt;&gt;"n/a",COUNTIFS($B$2:$B$528,"Yes",$A$2:$A$528,"Neuron",$S$2:$S$528,$R130)&gt;1),
AND($T130&lt;&gt;"",LOWER(TRIM($T130))&lt;&gt;"n/a",COUNTIFS($B$2:$B$528,"Yes",$A$2:$A$528,"Neuron",$T$2:$T$528,$T130)&gt;1),
AND($W130&lt;&gt;"",LOWER(TRIM($W130))&lt;&gt;"n/a",COUNTIFS($B$2:$B$528,"Yes",$A$2:$A$528,"Neuron",$W$2:$W$528,$W130)&gt;1)
),"Yes","No"),
IF($A130="Cybernet",
IF(OR(
AND($Y130&lt;&gt;"",LOWER(TRIM($Y130))&lt;&gt;"n/a",COUNTIFS($B$2:$B$528,"Yes",$A$2:$A$528,"Cybernet",$Y$2:$Y$528,$Y130)&gt;1),
AND($Z130&lt;&gt;"",LOWER(TRIM($Z130))&lt;&gt;"n/a",COUNTIFS($B$2:$B$528,"Yes",$A$2:$A$528,"Cybernet",$Z$2:$Z$528,$Z130)&gt;1)
),"Yes","No"),
IF(AND($AL130&lt;&gt;"",LOWER(TRIM($AL130))&lt;&gt;"n/a"),
IF(COUNTIFS($B$2:$B$528,"Yes",$A$2:$A$528,$A130,$AL$2:$AL$528,$AL130)&gt;1,"Yes","No"),
"No")
)
)
)</f>
        <v/>
      </c>
      <c r="G130" s="62" t="s">
        <v>1698</v>
      </c>
      <c r="H130" s="4" t="s">
        <v>1891</v>
      </c>
      <c r="I130" s="4"/>
      <c r="J130" s="2" t="s">
        <v>1441</v>
      </c>
      <c r="K130" s="2" t="s">
        <v>1460</v>
      </c>
      <c r="L130" s="2" t="s">
        <v>1460</v>
      </c>
      <c r="M130" s="2"/>
      <c r="N130" s="4"/>
      <c r="O130" s="4"/>
      <c r="P130" s="4"/>
      <c r="Q130" s="4"/>
      <c r="R130" s="4" t="s">
        <v>1952</v>
      </c>
      <c r="T130" s="4"/>
      <c r="U130" s="4"/>
      <c r="V130" s="4"/>
      <c r="W130" s="4"/>
      <c r="X130" s="4"/>
      <c r="Y130" s="4" t="s">
        <v>1953</v>
      </c>
      <c r="Z130" s="4" t="s">
        <v>1954</v>
      </c>
      <c r="AA130" s="4"/>
      <c r="AB130" s="4"/>
      <c r="AC130" s="4"/>
      <c r="AD130" s="4"/>
      <c r="AE130" s="8"/>
      <c r="AF130" s="4"/>
      <c r="AG130" s="4"/>
      <c r="AH130" s="1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8"/>
      <c r="AX130" s="8"/>
      <c r="AY130" s="8"/>
      <c r="AZ130" s="8"/>
      <c r="BA130" s="12"/>
      <c r="BB130" s="8"/>
      <c r="BC130" s="4"/>
      <c r="BD130" s="4"/>
      <c r="BE130" s="8"/>
      <c r="BF130" s="8"/>
      <c r="BG130" s="8"/>
      <c r="BH130" s="8"/>
      <c r="BI130" s="8"/>
      <c r="BJ130" s="8"/>
      <c r="BK130" s="8"/>
      <c r="BL130" s="4" t="str">
        <f t="shared" si="6"/>
        <v/>
      </c>
      <c r="BM130" s="8" t="str">
        <f t="shared" si="7"/>
        <v/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</row>
    <row r="131" spans="1:74">
      <c r="A131" s="8" t="s">
        <v>1651</v>
      </c>
      <c r="B131" s="8"/>
      <c r="C131" s="15" t="s">
        <v>1460</v>
      </c>
      <c r="D131" s="15" t="str">
        <f t="shared" si="8"/>
        <v/>
      </c>
      <c r="E131" s="15" t="str">
        <f>IF($A131="","",IF($A131="Neuron",IF(OR(AND($R131&lt;&gt;"",LOWER(TRIM($R131))&lt;&gt;"n/a",COUNTIF($S$2:$S$528,$R131)&gt;1),AND($T131&lt;&gt;"",LOWER(TRIM($T131))&lt;&gt;"n/a",COUNTIF($T$2:$T$528,$T131)&gt;1),AND($W131&lt;&gt;"",LOWER(TRIM($W131))&lt;&gt;"n/a",COUNTIF($W$2:$W$528,$W131)&gt;1)),"Yes","No"),IF($A131="Cybernet",IF(OR(AND($Y131&lt;&gt;"",LOWER(TRIM($Y131))&lt;&gt;"n/a",COUNTIF($Y$2:$Y$528,$Y131)&gt;1),AND($Z131&lt;&gt;"",LOWER(TRIM($Z131))&lt;&gt;"n/a",COUNTIF($Z$2:$Z$528,$Z131)&gt;1)),"Yes","No"),IF(AND($AL131&lt;&gt;"",LOWER(TRIM($AL131))&lt;&gt;"n/a",COUNTIF($AL$2:$AL$528,$AL131)&gt;1),"Yes","No"))))</f>
        <v>No</v>
      </c>
      <c r="F131" t="str">
        <f>IF($B131&lt;&gt;"Yes","",
IF($A131="Neuron",
IF(OR(
AND($R131&lt;&gt;"",LOWER(TRIM($R131))&lt;&gt;"n/a",COUNTIFS($B$2:$B$528,"Yes",$A$2:$A$528,"Neuron",$S$2:$S$528,$R131)&gt;1),
AND($T131&lt;&gt;"",LOWER(TRIM($T131))&lt;&gt;"n/a",COUNTIFS($B$2:$B$528,"Yes",$A$2:$A$528,"Neuron",$T$2:$T$528,$T131)&gt;1),
AND($W131&lt;&gt;"",LOWER(TRIM($W131))&lt;&gt;"n/a",COUNTIFS($B$2:$B$528,"Yes",$A$2:$A$528,"Neuron",$W$2:$W$528,$W131)&gt;1)
),"Yes","No"),
IF($A131="Cybernet",
IF(OR(
AND($Y131&lt;&gt;"",LOWER(TRIM($Y131))&lt;&gt;"n/a",COUNTIFS($B$2:$B$528,"Yes",$A$2:$A$528,"Cybernet",$Y$2:$Y$528,$Y131)&gt;1),
AND($Z131&lt;&gt;"",LOWER(TRIM($Z131))&lt;&gt;"n/a",COUNTIFS($B$2:$B$528,"Yes",$A$2:$A$528,"Cybernet",$Z$2:$Z$528,$Z131)&gt;1)
),"Yes","No"),
IF(AND($AL131&lt;&gt;"",LOWER(TRIM($AL131))&lt;&gt;"n/a"),
IF(COUNTIFS($B$2:$B$528,"Yes",$A$2:$A$528,$A131,$AL$2:$AL$528,$AL131)&gt;1,"Yes","No"),
"No")
)
)
)</f>
        <v/>
      </c>
      <c r="G131" s="59" t="s">
        <v>1698</v>
      </c>
      <c r="H131" s="4" t="s">
        <v>1891</v>
      </c>
      <c r="I131" s="4"/>
      <c r="J131" s="2" t="s">
        <v>1441</v>
      </c>
      <c r="K131" s="2" t="s">
        <v>1460</v>
      </c>
      <c r="L131" s="2" t="s">
        <v>1460</v>
      </c>
      <c r="M131" s="2"/>
      <c r="N131" s="4"/>
      <c r="O131" s="4"/>
      <c r="P131" s="4"/>
      <c r="Q131" s="4"/>
      <c r="R131" s="4" t="s">
        <v>1955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8"/>
      <c r="AF131" s="4"/>
      <c r="AG131" s="4"/>
      <c r="AH131" s="1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8"/>
      <c r="AX131" s="8"/>
      <c r="AY131" s="8"/>
      <c r="AZ131" s="8"/>
      <c r="BA131" s="12"/>
      <c r="BB131" s="8"/>
      <c r="BC131" s="4"/>
      <c r="BD131" s="4"/>
      <c r="BE131" s="8"/>
      <c r="BF131" s="8"/>
      <c r="BG131" s="8"/>
      <c r="BH131" s="8"/>
      <c r="BI131" s="8"/>
      <c r="BJ131" s="8"/>
      <c r="BK131" s="8"/>
      <c r="BL131" s="4" t="str">
        <f t="shared" si="6"/>
        <v/>
      </c>
      <c r="BM131" s="8" t="str">
        <f t="shared" si="7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4">
      <c r="A132" s="8" t="s">
        <v>1651</v>
      </c>
      <c r="B132" s="8"/>
      <c r="C132" s="15" t="s">
        <v>1460</v>
      </c>
      <c r="D132" s="15" t="str">
        <f t="shared" si="8"/>
        <v/>
      </c>
      <c r="E132" s="15" t="str">
        <f>IF($A132="","",IF($A132="Neuron",IF(OR(AND($R132&lt;&gt;"",LOWER(TRIM($R132))&lt;&gt;"n/a",COUNTIF($S$2:$S$528,$R132)&gt;1),AND($T132&lt;&gt;"",LOWER(TRIM($T132))&lt;&gt;"n/a",COUNTIF($T$2:$T$528,$T132)&gt;1),AND($W132&lt;&gt;"",LOWER(TRIM($W132))&lt;&gt;"n/a",COUNTIF($W$2:$W$528,$W132)&gt;1)),"Yes","No"),IF($A132="Cybernet",IF(OR(AND($Y132&lt;&gt;"",LOWER(TRIM($Y132))&lt;&gt;"n/a",COUNTIF($Y$2:$Y$528,$Y132)&gt;1),AND($Z132&lt;&gt;"",LOWER(TRIM($Z132))&lt;&gt;"n/a",COUNTIF($Z$2:$Z$528,$Z132)&gt;1)),"Yes","No"),IF(AND($AL132&lt;&gt;"",LOWER(TRIM($AL132))&lt;&gt;"n/a",COUNTIF($AL$2:$AL$528,$AL132)&gt;1),"Yes","No"))))</f>
        <v>No</v>
      </c>
      <c r="F132" t="str">
        <f>IF($B132&lt;&gt;"Yes","",
IF($A132="Neuron",
IF(OR(
AND($R132&lt;&gt;"",LOWER(TRIM($R132))&lt;&gt;"n/a",COUNTIFS($B$2:$B$528,"Yes",$A$2:$A$528,"Neuron",$S$2:$S$528,$R132)&gt;1),
AND($T132&lt;&gt;"",LOWER(TRIM($T132))&lt;&gt;"n/a",COUNTIFS($B$2:$B$528,"Yes",$A$2:$A$528,"Neuron",$T$2:$T$528,$T132)&gt;1),
AND($W132&lt;&gt;"",LOWER(TRIM($W132))&lt;&gt;"n/a",COUNTIFS($B$2:$B$528,"Yes",$A$2:$A$528,"Neuron",$W$2:$W$528,$W132)&gt;1)
),"Yes","No"),
IF($A132="Cybernet",
IF(OR(
AND($Y132&lt;&gt;"",LOWER(TRIM($Y132))&lt;&gt;"n/a",COUNTIFS($B$2:$B$528,"Yes",$A$2:$A$528,"Cybernet",$Y$2:$Y$528,$Y132)&gt;1),
AND($Z132&lt;&gt;"",LOWER(TRIM($Z132))&lt;&gt;"n/a",COUNTIFS($B$2:$B$528,"Yes",$A$2:$A$528,"Cybernet",$Z$2:$Z$528,$Z132)&gt;1)
),"Yes","No"),
IF(AND($AL132&lt;&gt;"",LOWER(TRIM($AL132))&lt;&gt;"n/a"),
IF(COUNTIFS($B$2:$B$528,"Yes",$A$2:$A$528,$A132,$AL$2:$AL$528,$AL132)&gt;1,"Yes","No"),
"No")
)
)
)</f>
        <v/>
      </c>
      <c r="G132" s="62" t="s">
        <v>1698</v>
      </c>
      <c r="H132" s="4" t="s">
        <v>1891</v>
      </c>
      <c r="I132" s="4"/>
      <c r="J132" s="2" t="s">
        <v>1441</v>
      </c>
      <c r="K132" s="2" t="s">
        <v>1460</v>
      </c>
      <c r="L132" s="2" t="s">
        <v>1460</v>
      </c>
      <c r="M132" s="2"/>
      <c r="N132" s="4"/>
      <c r="O132" s="4"/>
      <c r="P132" s="4"/>
      <c r="Q132" s="4"/>
      <c r="R132" s="4" t="s">
        <v>1956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8"/>
      <c r="AF132" s="4"/>
      <c r="AG132" s="4"/>
      <c r="AH132" s="1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8"/>
      <c r="AX132" s="8"/>
      <c r="AY132" s="8"/>
      <c r="AZ132" s="8"/>
      <c r="BA132" s="12"/>
      <c r="BB132" s="8"/>
      <c r="BC132" s="4"/>
      <c r="BD132" s="4"/>
      <c r="BE132" s="8"/>
      <c r="BF132" s="8"/>
      <c r="BG132" s="8"/>
      <c r="BH132" s="8"/>
      <c r="BI132" s="8"/>
      <c r="BJ132" s="8"/>
      <c r="BK132" s="8"/>
      <c r="BL132" s="4" t="str">
        <f t="shared" si="6"/>
        <v/>
      </c>
      <c r="BM132" s="8" t="str">
        <f t="shared" si="7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4">
      <c r="A133" s="8" t="s">
        <v>1651</v>
      </c>
      <c r="B133" s="8"/>
      <c r="C133" s="15" t="s">
        <v>1460</v>
      </c>
      <c r="D133" s="15" t="str">
        <f t="shared" si="8"/>
        <v/>
      </c>
      <c r="E133" s="15" t="str">
        <f>IF($A133="","",IF($A133="Neuron",IF(OR(AND($R133&lt;&gt;"",LOWER(TRIM($R133))&lt;&gt;"n/a",COUNTIF($S$2:$S$528,$R133)&gt;1),AND($T133&lt;&gt;"",LOWER(TRIM($T133))&lt;&gt;"n/a",COUNTIF($T$2:$T$528,$T133)&gt;1),AND($W133&lt;&gt;"",LOWER(TRIM($W133))&lt;&gt;"n/a",COUNTIF($W$2:$W$528,$W133)&gt;1)),"Yes","No"),IF($A133="Cybernet",IF(OR(AND($Y133&lt;&gt;"",LOWER(TRIM($Y133))&lt;&gt;"n/a",COUNTIF($Y$2:$Y$528,$Y133)&gt;1),AND($Z133&lt;&gt;"",LOWER(TRIM($Z133))&lt;&gt;"n/a",COUNTIF($Z$2:$Z$528,$Z133)&gt;1)),"Yes","No"),IF(AND($AL133&lt;&gt;"",LOWER(TRIM($AL133))&lt;&gt;"n/a",COUNTIF($AL$2:$AL$528,$AL133)&gt;1),"Yes","No"))))</f>
        <v>No</v>
      </c>
      <c r="F133" t="str">
        <f>IF($B133&lt;&gt;"Yes","",
IF($A133="Neuron",
IF(OR(
AND($R133&lt;&gt;"",LOWER(TRIM($R133))&lt;&gt;"n/a",COUNTIFS($B$2:$B$528,"Yes",$A$2:$A$528,"Neuron",$S$2:$S$528,$R133)&gt;1),
AND($T133&lt;&gt;"",LOWER(TRIM($T133))&lt;&gt;"n/a",COUNTIFS($B$2:$B$528,"Yes",$A$2:$A$528,"Neuron",$T$2:$T$528,$T133)&gt;1),
AND($W133&lt;&gt;"",LOWER(TRIM($W133))&lt;&gt;"n/a",COUNTIFS($B$2:$B$528,"Yes",$A$2:$A$528,"Neuron",$W$2:$W$528,$W133)&gt;1)
),"Yes","No"),
IF($A133="Cybernet",
IF(OR(
AND($Y133&lt;&gt;"",LOWER(TRIM($Y133))&lt;&gt;"n/a",COUNTIFS($B$2:$B$528,"Yes",$A$2:$A$528,"Cybernet",$Y$2:$Y$528,$Y133)&gt;1),
AND($Z133&lt;&gt;"",LOWER(TRIM($Z133))&lt;&gt;"n/a",COUNTIFS($B$2:$B$528,"Yes",$A$2:$A$528,"Cybernet",$Z$2:$Z$528,$Z133)&gt;1)
),"Yes","No"),
IF(AND($AL133&lt;&gt;"",LOWER(TRIM($AL133))&lt;&gt;"n/a"),
IF(COUNTIFS($B$2:$B$528,"Yes",$A$2:$A$528,$A133,$AL$2:$AL$528,$AL133)&gt;1,"Yes","No"),
"No")
)
)
)</f>
        <v/>
      </c>
      <c r="G133" t="s">
        <v>1698</v>
      </c>
      <c r="H133" s="4" t="s">
        <v>1891</v>
      </c>
      <c r="I133" s="4"/>
      <c r="J133" s="2" t="s">
        <v>1441</v>
      </c>
      <c r="K133" s="2" t="s">
        <v>1460</v>
      </c>
      <c r="L133" s="2" t="s">
        <v>1460</v>
      </c>
      <c r="M133" s="2"/>
      <c r="N133" s="4"/>
      <c r="O133" s="4"/>
      <c r="P133" s="4"/>
      <c r="Q133" s="4"/>
      <c r="R133" s="4" t="s">
        <v>1957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8"/>
      <c r="AF133" s="4"/>
      <c r="AG133" s="4"/>
      <c r="AH133" s="1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8"/>
      <c r="AX133" s="8"/>
      <c r="AY133" s="8"/>
      <c r="AZ133" s="8"/>
      <c r="BA133" s="12"/>
      <c r="BB133" s="8"/>
      <c r="BC133" s="4"/>
      <c r="BD133" s="4"/>
      <c r="BE133" s="8"/>
      <c r="BF133" s="8"/>
      <c r="BG133" s="8"/>
      <c r="BH133" s="8"/>
      <c r="BI133" s="8"/>
      <c r="BJ133" s="8"/>
      <c r="BK133" s="8"/>
      <c r="BL133" s="4" t="str">
        <f t="shared" si="6"/>
        <v/>
      </c>
      <c r="BM133" s="8" t="str">
        <f t="shared" si="7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4">
      <c r="A134" s="8" t="s">
        <v>1651</v>
      </c>
      <c r="B134" s="8"/>
      <c r="C134" s="15" t="s">
        <v>1460</v>
      </c>
      <c r="D134" s="15" t="str">
        <f t="shared" si="8"/>
        <v/>
      </c>
      <c r="E134" s="15" t="str">
        <f>IF($A134="","",IF($A134="Neuron",IF(OR(AND($R134&lt;&gt;"",LOWER(TRIM($R134))&lt;&gt;"n/a",COUNTIF($S$2:$S$528,$R134)&gt;1),AND($T134&lt;&gt;"",LOWER(TRIM($T134))&lt;&gt;"n/a",COUNTIF($T$2:$T$528,$T134)&gt;1),AND($W134&lt;&gt;"",LOWER(TRIM($W134))&lt;&gt;"n/a",COUNTIF($W$2:$W$528,$W134)&gt;1)),"Yes","No"),IF($A134="Cybernet",IF(OR(AND($Y134&lt;&gt;"",LOWER(TRIM($Y134))&lt;&gt;"n/a",COUNTIF($Y$2:$Y$528,$Y134)&gt;1),AND($Z134&lt;&gt;"",LOWER(TRIM($Z134))&lt;&gt;"n/a",COUNTIF($Z$2:$Z$528,$Z134)&gt;1)),"Yes","No"),IF(AND($AL134&lt;&gt;"",LOWER(TRIM($AL134))&lt;&gt;"n/a",COUNTIF($AL$2:$AL$528,$AL134)&gt;1),"Yes","No"))))</f>
        <v>No</v>
      </c>
      <c r="F134" t="str">
        <f>IF($B134&lt;&gt;"Yes","",
IF($A134="Neuron",
IF(OR(
AND($R134&lt;&gt;"",LOWER(TRIM($R134))&lt;&gt;"n/a",COUNTIFS($B$2:$B$528,"Yes",$A$2:$A$528,"Neuron",$S$2:$S$528,$R134)&gt;1),
AND($T134&lt;&gt;"",LOWER(TRIM($T134))&lt;&gt;"n/a",COUNTIFS($B$2:$B$528,"Yes",$A$2:$A$528,"Neuron",$T$2:$T$528,$T134)&gt;1),
AND($W134&lt;&gt;"",LOWER(TRIM($W134))&lt;&gt;"n/a",COUNTIFS($B$2:$B$528,"Yes",$A$2:$A$528,"Neuron",$W$2:$W$528,$W134)&gt;1)
),"Yes","No"),
IF($A134="Cybernet",
IF(OR(
AND($Y134&lt;&gt;"",LOWER(TRIM($Y134))&lt;&gt;"n/a",COUNTIFS($B$2:$B$528,"Yes",$A$2:$A$528,"Cybernet",$Y$2:$Y$528,$Y134)&gt;1),
AND($Z134&lt;&gt;"",LOWER(TRIM($Z134))&lt;&gt;"n/a",COUNTIFS($B$2:$B$528,"Yes",$A$2:$A$528,"Cybernet",$Z$2:$Z$528,$Z134)&gt;1)
),"Yes","No"),
IF(AND($AL134&lt;&gt;"",LOWER(TRIM($AL134))&lt;&gt;"n/a"),
IF(COUNTIFS($B$2:$B$528,"Yes",$A$2:$A$528,$A134,$AL$2:$AL$528,$AL134)&gt;1,"Yes","No"),
"No")
)
)
)</f>
        <v/>
      </c>
      <c r="G134" s="62" t="s">
        <v>1698</v>
      </c>
      <c r="H134" s="4" t="s">
        <v>1891</v>
      </c>
      <c r="I134" s="4"/>
      <c r="J134" s="2" t="s">
        <v>1441</v>
      </c>
      <c r="K134" s="2" t="s">
        <v>1460</v>
      </c>
      <c r="L134" s="2" t="s">
        <v>1460</v>
      </c>
      <c r="M134" s="2"/>
      <c r="N134" s="4"/>
      <c r="O134" s="4"/>
      <c r="P134" s="4"/>
      <c r="Q134" s="4"/>
      <c r="R134" s="4" t="s">
        <v>1958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8"/>
      <c r="AF134" s="4"/>
      <c r="AG134" s="4"/>
      <c r="AH134" s="1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8"/>
      <c r="AX134" s="8"/>
      <c r="AY134" s="8"/>
      <c r="AZ134" s="8"/>
      <c r="BA134" s="12"/>
      <c r="BB134" s="8"/>
      <c r="BC134" s="4"/>
      <c r="BD134" s="4"/>
      <c r="BE134" s="8"/>
      <c r="BF134" s="8"/>
      <c r="BG134" s="8"/>
      <c r="BH134" s="8"/>
      <c r="BI134" s="8"/>
      <c r="BJ134" s="8"/>
      <c r="BK134" s="8"/>
      <c r="BL134" s="4" t="str">
        <f t="shared" si="6"/>
        <v/>
      </c>
      <c r="BM134" s="8" t="str">
        <f t="shared" si="7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4">
      <c r="A135" s="8" t="s">
        <v>1651</v>
      </c>
      <c r="B135" s="8"/>
      <c r="C135" s="15" t="s">
        <v>1460</v>
      </c>
      <c r="D135" s="15" t="str">
        <f t="shared" si="8"/>
        <v/>
      </c>
      <c r="E135" s="15" t="str">
        <f>IF($A135="","",IF($A135="Neuron",IF(OR(AND($R135&lt;&gt;"",LOWER(TRIM($R135))&lt;&gt;"n/a",COUNTIF($S$2:$S$528,$R135)&gt;1),AND($T135&lt;&gt;"",LOWER(TRIM($T135))&lt;&gt;"n/a",COUNTIF($T$2:$T$528,$T135)&gt;1),AND($W135&lt;&gt;"",LOWER(TRIM($W135))&lt;&gt;"n/a",COUNTIF($W$2:$W$528,$W135)&gt;1)),"Yes","No"),IF($A135="Cybernet",IF(OR(AND($Y135&lt;&gt;"",LOWER(TRIM($Y135))&lt;&gt;"n/a",COUNTIF($Y$2:$Y$528,$Y135)&gt;1),AND($Z135&lt;&gt;"",LOWER(TRIM($Z135))&lt;&gt;"n/a",COUNTIF($Z$2:$Z$528,$Z135)&gt;1)),"Yes","No"),IF(AND($AL135&lt;&gt;"",LOWER(TRIM($AL135))&lt;&gt;"n/a",COUNTIF($AL$2:$AL$528,$AL135)&gt;1),"Yes","No"))))</f>
        <v>No</v>
      </c>
      <c r="F135" t="str">
        <f>IF($B135&lt;&gt;"Yes","",
IF($A135="Neuron",
IF(OR(
AND($R135&lt;&gt;"",LOWER(TRIM($R135))&lt;&gt;"n/a",COUNTIFS($B$2:$B$528,"Yes",$A$2:$A$528,"Neuron",$S$2:$S$528,$R135)&gt;1),
AND($T135&lt;&gt;"",LOWER(TRIM($T135))&lt;&gt;"n/a",COUNTIFS($B$2:$B$528,"Yes",$A$2:$A$528,"Neuron",$T$2:$T$528,$T135)&gt;1),
AND($W135&lt;&gt;"",LOWER(TRIM($W135))&lt;&gt;"n/a",COUNTIFS($B$2:$B$528,"Yes",$A$2:$A$528,"Neuron",$W$2:$W$528,$W135)&gt;1)
),"Yes","No"),
IF($A135="Cybernet",
IF(OR(
AND($Y135&lt;&gt;"",LOWER(TRIM($Y135))&lt;&gt;"n/a",COUNTIFS($B$2:$B$528,"Yes",$A$2:$A$528,"Cybernet",$Y$2:$Y$528,$Y135)&gt;1),
AND($Z135&lt;&gt;"",LOWER(TRIM($Z135))&lt;&gt;"n/a",COUNTIFS($B$2:$B$528,"Yes",$A$2:$A$528,"Cybernet",$Z$2:$Z$528,$Z135)&gt;1)
),"Yes","No"),
IF(AND($AL135&lt;&gt;"",LOWER(TRIM($AL135))&lt;&gt;"n/a"),
IF(COUNTIFS($B$2:$B$528,"Yes",$A$2:$A$528,$A135,$AL$2:$AL$528,$AL135)&gt;1,"Yes","No"),
"No")
)
)
)</f>
        <v/>
      </c>
      <c r="G135" s="59" t="s">
        <v>1698</v>
      </c>
      <c r="H135" s="4" t="s">
        <v>1891</v>
      </c>
      <c r="I135" s="4"/>
      <c r="J135" s="2" t="s">
        <v>1441</v>
      </c>
      <c r="K135" s="2" t="s">
        <v>1460</v>
      </c>
      <c r="L135" s="2" t="s">
        <v>1460</v>
      </c>
      <c r="M135" s="2"/>
      <c r="N135" s="4"/>
      <c r="O135" s="4"/>
      <c r="P135" s="4"/>
      <c r="Q135" s="4"/>
      <c r="R135" s="4" t="s">
        <v>1959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8"/>
      <c r="AF135" s="4"/>
      <c r="AG135" s="4"/>
      <c r="AH135" s="1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8"/>
      <c r="AX135" s="8"/>
      <c r="AY135" s="8"/>
      <c r="AZ135" s="8"/>
      <c r="BA135" s="12"/>
      <c r="BB135" s="8"/>
      <c r="BC135" s="4"/>
      <c r="BD135" s="4"/>
      <c r="BE135" s="8"/>
      <c r="BF135" s="8"/>
      <c r="BG135" s="8"/>
      <c r="BH135" s="8"/>
      <c r="BI135" s="8"/>
      <c r="BJ135" s="8"/>
      <c r="BK135" s="8"/>
      <c r="BL135" s="4" t="str">
        <f t="shared" si="6"/>
        <v/>
      </c>
      <c r="BM135" s="8" t="str">
        <f t="shared" si="7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4">
      <c r="A136" s="8" t="s">
        <v>1651</v>
      </c>
      <c r="B136" s="8"/>
      <c r="C136" s="15" t="s">
        <v>1460</v>
      </c>
      <c r="D136" s="15" t="str">
        <f t="shared" si="8"/>
        <v/>
      </c>
      <c r="E136" s="15" t="str">
        <f>IF($A136="","",IF($A136="Neuron",IF(OR(AND($R136&lt;&gt;"",LOWER(TRIM($R136))&lt;&gt;"n/a",COUNTIF($S$2:$S$528,$R136)&gt;1),AND($T136&lt;&gt;"",LOWER(TRIM($T136))&lt;&gt;"n/a",COUNTIF($T$2:$T$528,$T136)&gt;1),AND($W136&lt;&gt;"",LOWER(TRIM($W136))&lt;&gt;"n/a",COUNTIF($W$2:$W$528,$W136)&gt;1)),"Yes","No"),IF($A136="Cybernet",IF(OR(AND($Y136&lt;&gt;"",LOWER(TRIM($Y136))&lt;&gt;"n/a",COUNTIF($Y$2:$Y$528,$Y136)&gt;1),AND($Z136&lt;&gt;"",LOWER(TRIM($Z136))&lt;&gt;"n/a",COUNTIF($Z$2:$Z$528,$Z136)&gt;1)),"Yes","No"),IF(AND($AL136&lt;&gt;"",LOWER(TRIM($AL136))&lt;&gt;"n/a",COUNTIF($AL$2:$AL$528,$AL136)&gt;1),"Yes","No"))))</f>
        <v>No</v>
      </c>
      <c r="F136" t="str">
        <f>IF($B136&lt;&gt;"Yes","",
IF($A136="Neuron",
IF(OR(
AND($R136&lt;&gt;"",LOWER(TRIM($R136))&lt;&gt;"n/a",COUNTIFS($B$2:$B$528,"Yes",$A$2:$A$528,"Neuron",$S$2:$S$528,$R136)&gt;1),
AND($T136&lt;&gt;"",LOWER(TRIM($T136))&lt;&gt;"n/a",COUNTIFS($B$2:$B$528,"Yes",$A$2:$A$528,"Neuron",$T$2:$T$528,$T136)&gt;1),
AND($W136&lt;&gt;"",LOWER(TRIM($W136))&lt;&gt;"n/a",COUNTIFS($B$2:$B$528,"Yes",$A$2:$A$528,"Neuron",$W$2:$W$528,$W136)&gt;1)
),"Yes","No"),
IF($A136="Cybernet",
IF(OR(
AND($Y136&lt;&gt;"",LOWER(TRIM($Y136))&lt;&gt;"n/a",COUNTIFS($B$2:$B$528,"Yes",$A$2:$A$528,"Cybernet",$Y$2:$Y$528,$Y136)&gt;1),
AND($Z136&lt;&gt;"",LOWER(TRIM($Z136))&lt;&gt;"n/a",COUNTIFS($B$2:$B$528,"Yes",$A$2:$A$528,"Cybernet",$Z$2:$Z$528,$Z136)&gt;1)
),"Yes","No"),
IF(AND($AL136&lt;&gt;"",LOWER(TRIM($AL136))&lt;&gt;"n/a"),
IF(COUNTIFS($B$2:$B$528,"Yes",$A$2:$A$528,$A136,$AL$2:$AL$528,$AL136)&gt;1,"Yes","No"),
"No")
)
)
)</f>
        <v/>
      </c>
      <c r="G136" s="62" t="s">
        <v>1698</v>
      </c>
      <c r="H136" s="4" t="s">
        <v>1891</v>
      </c>
      <c r="I136" s="4"/>
      <c r="J136" s="2" t="s">
        <v>1441</v>
      </c>
      <c r="K136" s="2" t="s">
        <v>1460</v>
      </c>
      <c r="L136" s="2" t="s">
        <v>1460</v>
      </c>
      <c r="M136" s="2"/>
      <c r="N136" s="4"/>
      <c r="O136" s="4"/>
      <c r="P136" s="4"/>
      <c r="Q136" s="4"/>
      <c r="R136" s="4" t="s">
        <v>1960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8"/>
      <c r="AF136" s="4"/>
      <c r="AG136" s="4"/>
      <c r="AH136" s="1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8"/>
      <c r="AX136" s="8"/>
      <c r="AY136" s="8"/>
      <c r="AZ136" s="8"/>
      <c r="BA136" s="12"/>
      <c r="BB136" s="8"/>
      <c r="BC136" s="4"/>
      <c r="BD136" s="4"/>
      <c r="BE136" s="8"/>
      <c r="BF136" s="8"/>
      <c r="BG136" s="8"/>
      <c r="BH136" s="8"/>
      <c r="BI136" s="8"/>
      <c r="BJ136" s="8"/>
      <c r="BK136" s="8"/>
      <c r="BL136" s="4" t="str">
        <f t="shared" si="6"/>
        <v/>
      </c>
      <c r="BM136" s="8" t="str">
        <f t="shared" si="7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4">
      <c r="A137" s="8" t="s">
        <v>1651</v>
      </c>
      <c r="B137" s="8"/>
      <c r="C137" s="15" t="s">
        <v>1460</v>
      </c>
      <c r="D137" s="15" t="str">
        <f t="shared" si="8"/>
        <v/>
      </c>
      <c r="E137" s="15" t="str">
        <f>IF($A137="","",IF($A137="Neuron",IF(OR(AND($R137&lt;&gt;"",LOWER(TRIM($R137))&lt;&gt;"n/a",COUNTIF($S$2:$S$528,$R137)&gt;1),AND($T137&lt;&gt;"",LOWER(TRIM($T137))&lt;&gt;"n/a",COUNTIF($T$2:$T$528,$T137)&gt;1),AND($W137&lt;&gt;"",LOWER(TRIM($W137))&lt;&gt;"n/a",COUNTIF($W$2:$W$528,$W137)&gt;1)),"Yes","No"),IF($A137="Cybernet",IF(OR(AND($Y137&lt;&gt;"",LOWER(TRIM($Y137))&lt;&gt;"n/a",COUNTIF($Y$2:$Y$528,$Y137)&gt;1),AND($Z137&lt;&gt;"",LOWER(TRIM($Z137))&lt;&gt;"n/a",COUNTIF($Z$2:$Z$528,$Z137)&gt;1)),"Yes","No"),IF(AND($AL137&lt;&gt;"",LOWER(TRIM($AL137))&lt;&gt;"n/a",COUNTIF($AL$2:$AL$528,$AL137)&gt;1),"Yes","No"))))</f>
        <v>No</v>
      </c>
      <c r="F137" t="str">
        <f>IF($B137&lt;&gt;"Yes","",
IF($A137="Neuron",
IF(OR(
AND($R137&lt;&gt;"",LOWER(TRIM($R137))&lt;&gt;"n/a",COUNTIFS($B$2:$B$528,"Yes",$A$2:$A$528,"Neuron",$S$2:$S$528,$R137)&gt;1),
AND($T137&lt;&gt;"",LOWER(TRIM($T137))&lt;&gt;"n/a",COUNTIFS($B$2:$B$528,"Yes",$A$2:$A$528,"Neuron",$T$2:$T$528,$T137)&gt;1),
AND($W137&lt;&gt;"",LOWER(TRIM($W137))&lt;&gt;"n/a",COUNTIFS($B$2:$B$528,"Yes",$A$2:$A$528,"Neuron",$W$2:$W$528,$W137)&gt;1)
),"Yes","No"),
IF($A137="Cybernet",
IF(OR(
AND($Y137&lt;&gt;"",LOWER(TRIM($Y137))&lt;&gt;"n/a",COUNTIFS($B$2:$B$528,"Yes",$A$2:$A$528,"Cybernet",$Y$2:$Y$528,$Y137)&gt;1),
AND($Z137&lt;&gt;"",LOWER(TRIM($Z137))&lt;&gt;"n/a",COUNTIFS($B$2:$B$528,"Yes",$A$2:$A$528,"Cybernet",$Z$2:$Z$528,$Z137)&gt;1)
),"Yes","No"),
IF(AND($AL137&lt;&gt;"",LOWER(TRIM($AL137))&lt;&gt;"n/a"),
IF(COUNTIFS($B$2:$B$528,"Yes",$A$2:$A$528,$A137,$AL$2:$AL$528,$AL137)&gt;1,"Yes","No"),
"No")
)
)
)</f>
        <v/>
      </c>
      <c r="G137" t="s">
        <v>1698</v>
      </c>
      <c r="H137" s="4" t="s">
        <v>1891</v>
      </c>
      <c r="I137" s="4"/>
      <c r="J137" s="2" t="s">
        <v>1441</v>
      </c>
      <c r="K137" s="2" t="s">
        <v>1460</v>
      </c>
      <c r="L137" s="2" t="s">
        <v>1460</v>
      </c>
      <c r="M137" s="2"/>
      <c r="N137" s="4"/>
      <c r="O137" s="4"/>
      <c r="P137" s="4"/>
      <c r="Q137" s="4"/>
      <c r="R137" s="4" t="s">
        <v>1961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8"/>
      <c r="AF137" s="4"/>
      <c r="AG137" s="4"/>
      <c r="AH137" s="1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8"/>
      <c r="AX137" s="8"/>
      <c r="AY137" s="8"/>
      <c r="AZ137" s="8"/>
      <c r="BA137" s="12"/>
      <c r="BB137" s="8"/>
      <c r="BC137" s="4"/>
      <c r="BD137" s="4"/>
      <c r="BE137" s="8"/>
      <c r="BF137" s="8"/>
      <c r="BG137" s="8"/>
      <c r="BH137" s="8"/>
      <c r="BI137" s="8"/>
      <c r="BJ137" s="8"/>
      <c r="BK137" s="8"/>
      <c r="BL137" s="4" t="str">
        <f t="shared" si="6"/>
        <v/>
      </c>
      <c r="BM137" s="8" t="str">
        <f t="shared" si="7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4">
      <c r="A138" s="8" t="s">
        <v>1651</v>
      </c>
      <c r="B138" s="8"/>
      <c r="C138" s="15" t="s">
        <v>1460</v>
      </c>
      <c r="E138" s="15" t="str">
        <f>IF($A138="","",IF($A138="Neuron",IF(OR(AND($R138&lt;&gt;"",LOWER(TRIM($R138))&lt;&gt;"n/a",COUNTIF($S$2:$S$528,$R138)&gt;1),AND($T138&lt;&gt;"",LOWER(TRIM($T138))&lt;&gt;"n/a",COUNTIF($T$2:$T$528,$T138)&gt;1),AND($W138&lt;&gt;"",LOWER(TRIM($W138))&lt;&gt;"n/a",COUNTIF($W$2:$W$528,$W138)&gt;1)),"Yes","No"),IF($A138="Cybernet",IF(OR(AND($Y138&lt;&gt;"",LOWER(TRIM($Y138))&lt;&gt;"n/a",COUNTIF($Y$2:$Y$528,$Y138)&gt;1),AND($Z138&lt;&gt;"",LOWER(TRIM($Z138))&lt;&gt;"n/a",COUNTIF($Z$2:$Z$528,$Z138)&gt;1)),"Yes","No"),IF(AND($AL138&lt;&gt;"",LOWER(TRIM($AL138))&lt;&gt;"n/a",COUNTIF($AL$2:$AL$528,$AL138)&gt;1),"Yes","No"))))</f>
        <v>No</v>
      </c>
      <c r="F138" t="str">
        <f>IF($B138&lt;&gt;"Yes","",IF($A138="Neuron",IF(OR(AND($R138&lt;&gt;"",LOWER(TRIM($R138))&lt;&gt;"n/a",COUNTIFS($B$2:$B$528,"Yes",$A$2:$A$528,"Neuron",$S$2:$S$528,$R138)&gt;1),AND($T138&lt;&gt;"",LOWER(TRIM($T138))&lt;&gt;"n/a",COUNTIFS($B$2:$B$528,"Yes",$A$2:$A$528,"Neuron",$T$2:$T$528,$T138)&gt;1),AND($W138&lt;&gt;"",LOWER(TRIM($W138))&lt;&gt;"n/a",COUNTIFS($B$2:$B$528,"Yes",$A$2:$A$528,"Neuron",$W$2:$W$528,$W138)&gt;1)),"Yes","No"),IF($A138="Cybernet",IF(OR(AND($Y138&lt;&gt;"",LOWER(TRIM($Y138))&lt;&gt;"n/a",COUNTIFS($B$2:$B$528,"Yes",$A$2:$A$528,"Cybernet",$Y$2:$Y$528,$Y138)&gt;1),AND($Z138&lt;&gt;"",LOWER(TRIM($Z138))&lt;&gt;"n/a",COUNTIFS($B$2:$B$528,"Yes",$A$2:$A$528,"Cybernet",$Z$2:$Z$528,$Z138)&gt;1)),"Yes","No"),IF(AND($AL138&lt;&gt;"",LOWER(TRIM($AL138))&lt;&gt;"n/a"),IF(COUNTIFS($B$2:$B$528,"Yes",$A$2:$A$528,$A138,$AL$2:$AL$528,$AL138)&gt;1,"Yes","No"),"No"))))</f>
        <v/>
      </c>
      <c r="H138" s="4"/>
      <c r="I138" s="4"/>
      <c r="J138" s="2"/>
      <c r="K138" s="2"/>
      <c r="L138" s="2"/>
      <c r="M138" s="2"/>
      <c r="N138" s="4"/>
      <c r="O138" s="4"/>
      <c r="P138" s="4"/>
      <c r="Q138" s="4"/>
      <c r="R138" s="4" t="s">
        <v>1962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8"/>
      <c r="AF138" s="4"/>
      <c r="AG138" s="4"/>
      <c r="AH138" s="1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8"/>
      <c r="AX138" s="8"/>
      <c r="AY138" s="8"/>
      <c r="AZ138" s="8"/>
      <c r="BA138" s="12"/>
      <c r="BB138" s="8"/>
      <c r="BC138" s="4"/>
      <c r="BD138" s="4"/>
      <c r="BE138" s="8"/>
      <c r="BF138" s="8"/>
      <c r="BG138" s="8"/>
      <c r="BH138" s="8"/>
      <c r="BI138" s="8"/>
      <c r="BJ138" s="8"/>
      <c r="BK138" s="8"/>
      <c r="BL138" s="4" t="str">
        <f>IF($T138="","",IF((IF(AND($AW138&lt;&gt;"Yes",$AW138&lt;&gt;"N/A"),"Power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",""))="","",LEFT(IF(AND($AW138&lt;&gt;"Yes",$AW138&lt;&gt;"N/A"),"Power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",""),LEN(IF(AND($AW138&lt;&gt;"Yes",$AW138&lt;&gt;"N/A"),"Power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",""))-2)))</f>
        <v/>
      </c>
      <c r="BM138" s="8" t="str">
        <f>IF($T138="","",IF($BL138="","Yes","Blocked"))</f>
        <v/>
      </c>
    </row>
    <row r="139" spans="1:74" ht="45.75">
      <c r="A139" s="8" t="s">
        <v>1963</v>
      </c>
      <c r="B139" s="8" t="s">
        <v>1441</v>
      </c>
      <c r="C139" s="15" t="s">
        <v>1441</v>
      </c>
      <c r="D139" s="15" t="str">
        <f t="shared" ref="D139:D202" si="9">IF($B139&lt;&gt;"Yes","",IF($C139="No","Yes",IF($C139="Yes","No","")))</f>
        <v>No</v>
      </c>
      <c r="E139" s="15" t="str">
        <f>IF($A139="","",IF($A139="Neuron",IF(OR(AND($R139&lt;&gt;"",LOWER(TRIM($R139))&lt;&gt;"n/a",COUNTIF($S$2:$S$528,$R139)&gt;1),AND($T139&lt;&gt;"",LOWER(TRIM($T139))&lt;&gt;"n/a",COUNTIF($T$2:$T$528,$T139)&gt;1),AND($W139&lt;&gt;"",LOWER(TRIM($W139))&lt;&gt;"n/a",COUNTIF($W$2:$W$528,$W139)&gt;1)),"Yes","No"),IF($A139="Cybernet",IF(OR(AND($Y139&lt;&gt;"",LOWER(TRIM($Y139))&lt;&gt;"n/a",COUNTIF($Y$2:$Y$528,$Y139)&gt;1),AND($Z139&lt;&gt;"",LOWER(TRIM($Z139))&lt;&gt;"n/a",COUNTIF($Z$2:$Z$528,$Z139)&gt;1)),"Yes","No"),IF(AND($AL139&lt;&gt;"",LOWER(TRIM($AL139))&lt;&gt;"n/a",COUNTIF($AL$2:$AL$528,$AL139)&gt;1),"Yes","No"))))</f>
        <v>No</v>
      </c>
      <c r="F139" t="str">
        <f>IF($B139&lt;&gt;"Yes","",
IF($A139="Neuron",
IF(OR(
AND($R139&lt;&gt;"",LOWER(TRIM($R139))&lt;&gt;"n/a",COUNTIFS($B$2:$B$528,"Yes",$A$2:$A$528,"Neuron",$S$2:$S$528,$R139)&gt;1),
AND($T139&lt;&gt;"",LOWER(TRIM($T139))&lt;&gt;"n/a",COUNTIFS($B$2:$B$528,"Yes",$A$2:$A$528,"Neuron",$T$2:$T$528,$T139)&gt;1),
AND($W139&lt;&gt;"",LOWER(TRIM($W139))&lt;&gt;"n/a",COUNTIFS($B$2:$B$528,"Yes",$A$2:$A$528,"Neuron",$W$2:$W$528,$W139)&gt;1)
),"Yes","No"),
IF($A139="Cybernet",
IF(OR(
AND($Y139&lt;&gt;"",LOWER(TRIM($Y139))&lt;&gt;"n/a",COUNTIFS($B$2:$B$528,"Yes",$A$2:$A$528,"Cybernet",$Y$2:$Y$528,$Y139)&gt;1),
AND($Z139&lt;&gt;"",LOWER(TRIM($Z139))&lt;&gt;"n/a",COUNTIFS($B$2:$B$528,"Yes",$A$2:$A$528,"Cybernet",$Z$2:$Z$528,$Z139)&gt;1)
),"Yes","No"),
IF(AND($AL139&lt;&gt;"",LOWER(TRIM($AL139))&lt;&gt;"n/a"),
IF(COUNTIFS($B$2:$B$528,"Yes",$A$2:$A$528,$A139,$AL$2:$AL$528,$AL139)&gt;1,"Yes","No"),
"No")
)
)
)</f>
        <v>No</v>
      </c>
      <c r="G139" s="4" t="s">
        <v>1964</v>
      </c>
      <c r="H139" s="4" t="s">
        <v>1964</v>
      </c>
      <c r="I139" s="4"/>
      <c r="J139" s="4"/>
      <c r="K139" s="4"/>
      <c r="L139" s="4"/>
      <c r="M139" s="4"/>
      <c r="N139" s="4"/>
      <c r="O139" s="4"/>
      <c r="P139" s="4"/>
      <c r="Q139" s="4"/>
      <c r="R139" s="4" t="s">
        <v>1965</v>
      </c>
      <c r="T139" s="4" t="s">
        <v>1966</v>
      </c>
      <c r="U139" s="4"/>
      <c r="V139" s="4"/>
      <c r="W139" s="4" t="s">
        <v>1967</v>
      </c>
      <c r="X139" s="4" t="s">
        <v>1964</v>
      </c>
      <c r="Y139" s="4" t="s">
        <v>1968</v>
      </c>
      <c r="Z139" s="4" t="s">
        <v>1969</v>
      </c>
      <c r="AA139" s="4" t="s">
        <v>1642</v>
      </c>
      <c r="AB139" s="4"/>
      <c r="AC139" s="4"/>
      <c r="AD139" s="4" t="s">
        <v>1970</v>
      </c>
      <c r="AE139" s="8">
        <v>1</v>
      </c>
      <c r="AF139" s="4" t="s">
        <v>1971</v>
      </c>
      <c r="AG139" s="4" t="s">
        <v>1972</v>
      </c>
      <c r="AH139" s="14"/>
      <c r="AI139" s="4"/>
      <c r="AJ139" s="4" t="s">
        <v>1973</v>
      </c>
      <c r="AK139" s="4"/>
      <c r="AL139" s="4"/>
      <c r="AM139" s="4" t="s">
        <v>1307</v>
      </c>
      <c r="AN139" s="4"/>
      <c r="AO139" s="4"/>
      <c r="AP139" s="4"/>
      <c r="AQ139" s="4"/>
      <c r="AR139" s="4" t="s">
        <v>1974</v>
      </c>
      <c r="AS139" s="4" t="s">
        <v>1975</v>
      </c>
      <c r="AT139" s="4"/>
      <c r="AU139" s="4"/>
      <c r="AV139" s="4"/>
      <c r="AW139" s="8"/>
      <c r="AX139" s="8"/>
      <c r="AY139" s="8" t="s">
        <v>1441</v>
      </c>
      <c r="AZ139" s="8" t="s">
        <v>1441</v>
      </c>
      <c r="BA139" s="12"/>
      <c r="BB139" s="8" t="s">
        <v>1441</v>
      </c>
      <c r="BC139" s="4" t="s">
        <v>1976</v>
      </c>
      <c r="BD139" s="4"/>
      <c r="BE139" s="8"/>
      <c r="BF139" s="8"/>
      <c r="BG139" s="8"/>
      <c r="BH139" s="8"/>
      <c r="BI139" s="8"/>
      <c r="BJ139" s="8"/>
      <c r="BK139" s="8"/>
      <c r="BL139" s="4" t="str">
        <f t="shared" si="6"/>
        <v>Power Cable, Battery, Firmware Download, Device ID, Epic Beans Relay</v>
      </c>
      <c r="BM139" s="8" t="str">
        <f t="shared" si="7"/>
        <v>Blocked</v>
      </c>
      <c r="BP139" t="str">
        <f>IF($BO139="","",IFERROR(VLOOKUP($BO139,'01_Warehouse_Ledger'!$A:$N,4,FALSE),""))</f>
        <v/>
      </c>
      <c r="BQ139" t="str">
        <f>IF($BO139="","",IFERROR(VLOOKUP($BO139,'01_Warehouse_Ledger'!$A:$N,5,FALSE),""))</f>
        <v/>
      </c>
      <c r="BR139" t="str">
        <f>IF($BO139="","",IFERROR(VLOOKUP($BO139,'01_Warehouse_Ledger'!$A:$N,13,FALSE),""))</f>
        <v/>
      </c>
      <c r="BS139" t="s">
        <v>1441</v>
      </c>
      <c r="BT139" t="s">
        <v>1441</v>
      </c>
      <c r="BU139" t="s">
        <v>1441</v>
      </c>
      <c r="BV139" t="s">
        <v>1441</v>
      </c>
    </row>
    <row r="140" spans="1:74" ht="45.75">
      <c r="A140" s="8" t="s">
        <v>1963</v>
      </c>
      <c r="B140" s="8" t="s">
        <v>1441</v>
      </c>
      <c r="C140" s="15" t="s">
        <v>1441</v>
      </c>
      <c r="D140" s="15" t="str">
        <f t="shared" si="9"/>
        <v>No</v>
      </c>
      <c r="E140" s="15" t="str">
        <f>IF($A140="","",IF($A140="Neuron",IF(OR(AND($R140&lt;&gt;"",LOWER(TRIM($R140))&lt;&gt;"n/a",COUNTIF($S$2:$S$528,$R140)&gt;1),AND($T140&lt;&gt;"",LOWER(TRIM($T140))&lt;&gt;"n/a",COUNTIF($T$2:$T$528,$T140)&gt;1),AND($W140&lt;&gt;"",LOWER(TRIM($W140))&lt;&gt;"n/a",COUNTIF($W$2:$W$528,$W140)&gt;1)),"Yes","No"),IF($A140="Cybernet",IF(OR(AND($Y140&lt;&gt;"",LOWER(TRIM($Y140))&lt;&gt;"n/a",COUNTIF($Y$2:$Y$528,$Y140)&gt;1),AND($Z140&lt;&gt;"",LOWER(TRIM($Z140))&lt;&gt;"n/a",COUNTIF($Z$2:$Z$528,$Z140)&gt;1)),"Yes","No"),IF(AND($AL140&lt;&gt;"",LOWER(TRIM($AL140))&lt;&gt;"n/a",COUNTIF($AL$2:$AL$528,$AL140)&gt;1),"Yes","No"))))</f>
        <v>No</v>
      </c>
      <c r="F140" t="str">
        <f>IF($B140&lt;&gt;"Yes","",
IF($A140="Neuron",
IF(OR(
AND($R140&lt;&gt;"",LOWER(TRIM($R140))&lt;&gt;"n/a",COUNTIFS($B$2:$B$528,"Yes",$A$2:$A$528,"Neuron",$S$2:$S$528,$R140)&gt;1),
AND($T140&lt;&gt;"",LOWER(TRIM($T140))&lt;&gt;"n/a",COUNTIFS($B$2:$B$528,"Yes",$A$2:$A$528,"Neuron",$T$2:$T$528,$T140)&gt;1),
AND($W140&lt;&gt;"",LOWER(TRIM($W140))&lt;&gt;"n/a",COUNTIFS($B$2:$B$528,"Yes",$A$2:$A$528,"Neuron",$W$2:$W$528,$W140)&gt;1)
),"Yes","No"),
IF($A140="Cybernet",
IF(OR(
AND($Y140&lt;&gt;"",LOWER(TRIM($Y140))&lt;&gt;"n/a",COUNTIFS($B$2:$B$528,"Yes",$A$2:$A$528,"Cybernet",$Y$2:$Y$528,$Y140)&gt;1),
AND($Z140&lt;&gt;"",LOWER(TRIM($Z140))&lt;&gt;"n/a",COUNTIFS($B$2:$B$528,"Yes",$A$2:$A$528,"Cybernet",$Z$2:$Z$528,$Z140)&gt;1)
),"Yes","No"),
IF(AND($AL140&lt;&gt;"",LOWER(TRIM($AL140))&lt;&gt;"n/a"),
IF(COUNTIFS($B$2:$B$528,"Yes",$A$2:$A$528,$A140,$AL$2:$AL$528,$AL140)&gt;1,"Yes","No"),
"No")
)
)
)</f>
        <v>No</v>
      </c>
      <c r="G140" s="4" t="s">
        <v>1964</v>
      </c>
      <c r="H140" s="4" t="s">
        <v>1964</v>
      </c>
      <c r="I140" s="4"/>
      <c r="J140" s="4"/>
      <c r="K140" s="4"/>
      <c r="L140" s="4"/>
      <c r="M140" s="4"/>
      <c r="N140" s="4"/>
      <c r="O140" s="4"/>
      <c r="P140" s="4"/>
      <c r="Q140" s="4"/>
      <c r="R140" s="4" t="s">
        <v>1977</v>
      </c>
      <c r="T140" s="4" t="s">
        <v>1978</v>
      </c>
      <c r="U140" s="4"/>
      <c r="V140" s="4"/>
      <c r="W140" s="4" t="s">
        <v>1979</v>
      </c>
      <c r="X140" s="4"/>
      <c r="Y140" s="4" t="s">
        <v>1980</v>
      </c>
      <c r="Z140" s="4" t="s">
        <v>1450</v>
      </c>
      <c r="AA140" s="4" t="s">
        <v>1642</v>
      </c>
      <c r="AB140" s="4"/>
      <c r="AC140" s="4"/>
      <c r="AD140" s="4" t="s">
        <v>1970</v>
      </c>
      <c r="AE140" s="8">
        <v>1</v>
      </c>
      <c r="AF140" s="4" t="s">
        <v>1981</v>
      </c>
      <c r="AG140" s="4" t="s">
        <v>1982</v>
      </c>
      <c r="AH140" s="14"/>
      <c r="AI140" s="4"/>
      <c r="AJ140" s="4" t="s">
        <v>1983</v>
      </c>
      <c r="AK140" s="4"/>
      <c r="AL140" s="4"/>
      <c r="AM140" s="4"/>
      <c r="AN140" s="4"/>
      <c r="AO140" s="4"/>
      <c r="AP140" s="4"/>
      <c r="AQ140" s="4"/>
      <c r="AR140" s="4" t="s">
        <v>1341</v>
      </c>
      <c r="AS140" s="4" t="s">
        <v>1984</v>
      </c>
      <c r="AT140" s="4"/>
      <c r="AU140" s="4"/>
      <c r="AV140" s="4"/>
      <c r="AW140" s="8"/>
      <c r="AX140" s="8"/>
      <c r="AY140" s="8" t="s">
        <v>1441</v>
      </c>
      <c r="AZ140" s="8" t="s">
        <v>1441</v>
      </c>
      <c r="BA140" s="12"/>
      <c r="BB140" s="8" t="s">
        <v>1441</v>
      </c>
      <c r="BC140" s="4" t="s">
        <v>1976</v>
      </c>
      <c r="BD140" s="4"/>
      <c r="BE140" s="8"/>
      <c r="BF140" s="8"/>
      <c r="BG140" s="8"/>
      <c r="BH140" s="8"/>
      <c r="BI140" s="8"/>
      <c r="BJ140" s="8"/>
      <c r="BK140" s="8"/>
      <c r="BL140" s="4" t="str">
        <f t="shared" si="6"/>
        <v>Power Cable, Battery, Firmware Download, Device ID, Epic Beans Relay</v>
      </c>
      <c r="BM140" s="8" t="str">
        <f t="shared" si="7"/>
        <v>Blocked</v>
      </c>
      <c r="BP140" t="str">
        <f>IF($BO140="","",IFERROR(VLOOKUP($BO140,'01_Warehouse_Ledger'!$A:$N,4,FALSE),""))</f>
        <v/>
      </c>
      <c r="BQ140" t="str">
        <f>IF($BO140="","",IFERROR(VLOOKUP($BO140,'01_Warehouse_Ledger'!$A:$N,5,FALSE),""))</f>
        <v/>
      </c>
      <c r="BR140" t="str">
        <f>IF($BO140="","",IFERROR(VLOOKUP($BO140,'01_Warehouse_Ledger'!$A:$N,13,FALSE),""))</f>
        <v/>
      </c>
      <c r="BS140" t="s">
        <v>1441</v>
      </c>
      <c r="BT140" t="s">
        <v>1441</v>
      </c>
      <c r="BU140" t="s">
        <v>1441</v>
      </c>
      <c r="BV140" t="s">
        <v>1441</v>
      </c>
    </row>
    <row r="141" spans="1:74" ht="45.75">
      <c r="A141" s="8" t="s">
        <v>1963</v>
      </c>
      <c r="B141" s="8" t="s">
        <v>1441</v>
      </c>
      <c r="C141" s="15" t="s">
        <v>1441</v>
      </c>
      <c r="D141" s="15" t="str">
        <f t="shared" si="9"/>
        <v>No</v>
      </c>
      <c r="E141" s="15" t="str">
        <f>IF($A141="","",IF($A141="Neuron",IF(OR(AND($R141&lt;&gt;"",LOWER(TRIM($R141))&lt;&gt;"n/a",COUNTIF($S$2:$S$528,$R141)&gt;1),AND($T141&lt;&gt;"",LOWER(TRIM($T141))&lt;&gt;"n/a",COUNTIF($T$2:$T$528,$T141)&gt;1),AND($W141&lt;&gt;"",LOWER(TRIM($W141))&lt;&gt;"n/a",COUNTIF($W$2:$W$528,$W141)&gt;1)),"Yes","No"),IF($A141="Cybernet",IF(OR(AND($Y141&lt;&gt;"",LOWER(TRIM($Y141))&lt;&gt;"n/a",COUNTIF($Y$2:$Y$528,$Y141)&gt;1),AND($Z141&lt;&gt;"",LOWER(TRIM($Z141))&lt;&gt;"n/a",COUNTIF($Z$2:$Z$528,$Z141)&gt;1)),"Yes","No"),IF(AND($AL141&lt;&gt;"",LOWER(TRIM($AL141))&lt;&gt;"n/a",COUNTIF($AL$2:$AL$528,$AL141)&gt;1),"Yes","No"))))</f>
        <v>No</v>
      </c>
      <c r="F141" t="str">
        <f>IF($B141&lt;&gt;"Yes","",
IF($A141="Neuron",
IF(OR(
AND($R141&lt;&gt;"",LOWER(TRIM($R141))&lt;&gt;"n/a",COUNTIFS($B$2:$B$528,"Yes",$A$2:$A$528,"Neuron",$S$2:$S$528,$R141)&gt;1),
AND($T141&lt;&gt;"",LOWER(TRIM($T141))&lt;&gt;"n/a",COUNTIFS($B$2:$B$528,"Yes",$A$2:$A$528,"Neuron",$T$2:$T$528,$T141)&gt;1),
AND($W141&lt;&gt;"",LOWER(TRIM($W141))&lt;&gt;"n/a",COUNTIFS($B$2:$B$528,"Yes",$A$2:$A$528,"Neuron",$W$2:$W$528,$W141)&gt;1)
),"Yes","No"),
IF($A141="Cybernet",
IF(OR(
AND($Y141&lt;&gt;"",LOWER(TRIM($Y141))&lt;&gt;"n/a",COUNTIFS($B$2:$B$528,"Yes",$A$2:$A$528,"Cybernet",$Y$2:$Y$528,$Y141)&gt;1),
AND($Z141&lt;&gt;"",LOWER(TRIM($Z141))&lt;&gt;"n/a",COUNTIFS($B$2:$B$528,"Yes",$A$2:$A$528,"Cybernet",$Z$2:$Z$528,$Z141)&gt;1)
),"Yes","No"),
IF(AND($AL141&lt;&gt;"",LOWER(TRIM($AL141))&lt;&gt;"n/a"),
IF(COUNTIFS($B$2:$B$528,"Yes",$A$2:$A$528,$A141,$AL$2:$AL$528,$AL141)&gt;1,"Yes","No"),
"No")
)
)
)</f>
        <v>No</v>
      </c>
      <c r="G141" s="4" t="s">
        <v>1964</v>
      </c>
      <c r="H141" s="4" t="s">
        <v>1964</v>
      </c>
      <c r="I141" s="4"/>
      <c r="J141" s="4"/>
      <c r="K141" s="4"/>
      <c r="L141" s="4"/>
      <c r="M141" s="4"/>
      <c r="N141" s="4"/>
      <c r="O141" s="4"/>
      <c r="P141" s="4"/>
      <c r="Q141" s="4"/>
      <c r="R141" s="4" t="s">
        <v>1985</v>
      </c>
      <c r="T141" s="4" t="s">
        <v>1986</v>
      </c>
      <c r="U141" s="4"/>
      <c r="V141" s="4"/>
      <c r="W141" s="4" t="s">
        <v>1987</v>
      </c>
      <c r="X141" s="4"/>
      <c r="Y141" s="4" t="s">
        <v>1988</v>
      </c>
      <c r="Z141" s="4" t="s">
        <v>1646</v>
      </c>
      <c r="AA141" s="4" t="s">
        <v>1642</v>
      </c>
      <c r="AB141" s="4"/>
      <c r="AC141" s="4"/>
      <c r="AD141" s="4" t="s">
        <v>1970</v>
      </c>
      <c r="AE141" s="8">
        <v>1</v>
      </c>
      <c r="AF141" s="4" t="s">
        <v>1981</v>
      </c>
      <c r="AG141" s="4" t="s">
        <v>1989</v>
      </c>
      <c r="AH141" s="14"/>
      <c r="AI141" s="4"/>
      <c r="AJ141" s="4" t="s">
        <v>1983</v>
      </c>
      <c r="AK141" s="4"/>
      <c r="AL141" s="4"/>
      <c r="AM141" s="4"/>
      <c r="AN141" s="4"/>
      <c r="AO141" s="4"/>
      <c r="AP141" s="4"/>
      <c r="AQ141" s="4"/>
      <c r="AR141" s="4" t="s">
        <v>1341</v>
      </c>
      <c r="AS141" s="4" t="s">
        <v>1990</v>
      </c>
      <c r="AT141" s="4"/>
      <c r="AU141" s="4"/>
      <c r="AV141" s="4"/>
      <c r="AW141" s="8"/>
      <c r="AX141" s="8"/>
      <c r="AY141" s="8" t="s">
        <v>1441</v>
      </c>
      <c r="AZ141" s="8" t="s">
        <v>1460</v>
      </c>
      <c r="BA141" s="12"/>
      <c r="BB141" s="8" t="s">
        <v>1441</v>
      </c>
      <c r="BC141" s="4" t="s">
        <v>1991</v>
      </c>
      <c r="BD141" s="4"/>
      <c r="BE141" s="8"/>
      <c r="BF141" s="8"/>
      <c r="BG141" s="8"/>
      <c r="BH141" s="8"/>
      <c r="BI141" s="8"/>
      <c r="BJ141" s="8"/>
      <c r="BK141" s="8"/>
      <c r="BL141" s="4" t="str">
        <f t="shared" si="6"/>
        <v>Power Cable, Battery, Firmware Download, Device ID, Epic Beans Relay</v>
      </c>
      <c r="BM141" s="8" t="str">
        <f t="shared" si="7"/>
        <v>Blocked</v>
      </c>
      <c r="BP141" t="str">
        <f>IF($BO141="","",IFERROR(VLOOKUP($BO141,'01_Warehouse_Ledger'!$A:$N,4,FALSE),""))</f>
        <v/>
      </c>
      <c r="BQ141" t="str">
        <f>IF($BO141="","",IFERROR(VLOOKUP($BO141,'01_Warehouse_Ledger'!$A:$N,5,FALSE),""))</f>
        <v/>
      </c>
      <c r="BR141" t="str">
        <f>IF($BO141="","",IFERROR(VLOOKUP($BO141,'01_Warehouse_Ledger'!$A:$N,13,FALSE),""))</f>
        <v/>
      </c>
      <c r="BS141" t="s">
        <v>1441</v>
      </c>
      <c r="BT141" t="s">
        <v>1441</v>
      </c>
      <c r="BU141" t="s">
        <v>1441</v>
      </c>
      <c r="BV141" t="s">
        <v>1441</v>
      </c>
    </row>
    <row r="142" spans="1:74" ht="76.5">
      <c r="A142" s="8" t="s">
        <v>1963</v>
      </c>
      <c r="B142" s="8" t="s">
        <v>1441</v>
      </c>
      <c r="C142" s="15" t="s">
        <v>1441</v>
      </c>
      <c r="D142" s="15" t="str">
        <f t="shared" si="9"/>
        <v>No</v>
      </c>
      <c r="E142" s="15" t="str">
        <f>IF($A142="","",IF($A142="Neuron",IF(OR(AND($R142&lt;&gt;"",LOWER(TRIM($R142))&lt;&gt;"n/a",COUNTIF($S$2:$S$528,$R142)&gt;1),AND($T142&lt;&gt;"",LOWER(TRIM($T142))&lt;&gt;"n/a",COUNTIF($T$2:$T$528,$T142)&gt;1),AND($W142&lt;&gt;"",LOWER(TRIM($W142))&lt;&gt;"n/a",COUNTIF($W$2:$W$528,$W142)&gt;1)),"Yes","No"),IF($A142="Cybernet",IF(OR(AND($Y142&lt;&gt;"",LOWER(TRIM($Y142))&lt;&gt;"n/a",COUNTIF($Y$2:$Y$528,$Y142)&gt;1),AND($Z142&lt;&gt;"",LOWER(TRIM($Z142))&lt;&gt;"n/a",COUNTIF($Z$2:$Z$528,$Z142)&gt;1)),"Yes","No"),IF(AND($AL142&lt;&gt;"",LOWER(TRIM($AL142))&lt;&gt;"n/a",COUNTIF($AL$2:$AL$528,$AL142)&gt;1),"Yes","No"))))</f>
        <v>No</v>
      </c>
      <c r="F142" t="str">
        <f>IF($B142&lt;&gt;"Yes","",
IF($A142="Neuron",
IF(OR(
AND($R142&lt;&gt;"",LOWER(TRIM($R142))&lt;&gt;"n/a",COUNTIFS($B$2:$B$528,"Yes",$A$2:$A$528,"Neuron",$S$2:$S$528,$R142)&gt;1),
AND($T142&lt;&gt;"",LOWER(TRIM($T142))&lt;&gt;"n/a",COUNTIFS($B$2:$B$528,"Yes",$A$2:$A$528,"Neuron",$T$2:$T$528,$T142)&gt;1),
AND($W142&lt;&gt;"",LOWER(TRIM($W142))&lt;&gt;"n/a",COUNTIFS($B$2:$B$528,"Yes",$A$2:$A$528,"Neuron",$W$2:$W$528,$W142)&gt;1)
),"Yes","No"),
IF($A142="Cybernet",
IF(OR(
AND($Y142&lt;&gt;"",LOWER(TRIM($Y142))&lt;&gt;"n/a",COUNTIFS($B$2:$B$528,"Yes",$A$2:$A$528,"Cybernet",$Y$2:$Y$528,$Y142)&gt;1),
AND($Z142&lt;&gt;"",LOWER(TRIM($Z142))&lt;&gt;"n/a",COUNTIFS($B$2:$B$528,"Yes",$A$2:$A$528,"Cybernet",$Z$2:$Z$528,$Z142)&gt;1)
),"Yes","No"),
IF(AND($AL142&lt;&gt;"",LOWER(TRIM($AL142))&lt;&gt;"n/a"),
IF(COUNTIFS($B$2:$B$528,"Yes",$A$2:$A$528,$A142,$AL$2:$AL$528,$AL142)&gt;1,"Yes","No"),
"No")
)
)
)</f>
        <v>No</v>
      </c>
      <c r="G142" s="4" t="s">
        <v>1964</v>
      </c>
      <c r="H142" s="4" t="s">
        <v>1964</v>
      </c>
      <c r="I142" s="4"/>
      <c r="J142" s="4"/>
      <c r="K142" s="4"/>
      <c r="L142" s="4"/>
      <c r="M142" s="4"/>
      <c r="N142" s="4"/>
      <c r="O142" s="4"/>
      <c r="P142" s="4"/>
      <c r="Q142" s="4"/>
      <c r="R142" s="4" t="s">
        <v>1992</v>
      </c>
      <c r="T142" s="4" t="s">
        <v>1993</v>
      </c>
      <c r="U142" s="4"/>
      <c r="V142" s="4"/>
      <c r="W142" s="4" t="s">
        <v>1994</v>
      </c>
      <c r="X142" s="4"/>
      <c r="Y142" s="4" t="s">
        <v>1995</v>
      </c>
      <c r="Z142" s="4" t="s">
        <v>1646</v>
      </c>
      <c r="AA142" s="4" t="s">
        <v>1642</v>
      </c>
      <c r="AB142" s="4"/>
      <c r="AC142" s="4"/>
      <c r="AD142" s="4" t="s">
        <v>1970</v>
      </c>
      <c r="AE142" s="8">
        <v>1</v>
      </c>
      <c r="AF142" s="4" t="s">
        <v>1981</v>
      </c>
      <c r="AG142" s="4" t="s">
        <v>1996</v>
      </c>
      <c r="AH142" s="14"/>
      <c r="AI142" s="4"/>
      <c r="AJ142" s="4" t="s">
        <v>1997</v>
      </c>
      <c r="AK142" s="4"/>
      <c r="AL142" s="4"/>
      <c r="AM142" s="4"/>
      <c r="AN142" s="4"/>
      <c r="AO142" s="4"/>
      <c r="AP142" s="4"/>
      <c r="AQ142" s="4"/>
      <c r="AR142" s="4" t="s">
        <v>1341</v>
      </c>
      <c r="AS142" s="4" t="s">
        <v>1998</v>
      </c>
      <c r="AT142" s="4"/>
      <c r="AU142" s="4"/>
      <c r="AV142" s="4"/>
      <c r="AW142" s="8"/>
      <c r="AX142" s="8"/>
      <c r="AY142" s="8" t="s">
        <v>1441</v>
      </c>
      <c r="AZ142" s="8" t="s">
        <v>1460</v>
      </c>
      <c r="BA142" s="12"/>
      <c r="BB142" s="8" t="s">
        <v>1441</v>
      </c>
      <c r="BC142" s="4" t="s">
        <v>1999</v>
      </c>
      <c r="BD142" s="4"/>
      <c r="BE142" s="8"/>
      <c r="BF142" s="8"/>
      <c r="BG142" s="8"/>
      <c r="BH142" s="8"/>
      <c r="BI142" s="8"/>
      <c r="BJ142" s="8"/>
      <c r="BK142" s="8"/>
      <c r="BL142" s="4" t="str">
        <f t="shared" si="6"/>
        <v>Power Cable, Battery, Firmware Download, Device ID, Epic Beans Relay</v>
      </c>
      <c r="BM142" s="8" t="str">
        <f t="shared" si="7"/>
        <v>Blocked</v>
      </c>
      <c r="BP142" t="str">
        <f>IF($BO142="","",IFERROR(VLOOKUP($BO142,'01_Warehouse_Ledger'!$A:$N,4,FALSE),""))</f>
        <v/>
      </c>
      <c r="BQ142" t="str">
        <f>IF($BO142="","",IFERROR(VLOOKUP($BO142,'01_Warehouse_Ledger'!$A:$N,5,FALSE),""))</f>
        <v/>
      </c>
      <c r="BR142" t="str">
        <f>IF($BO142="","",IFERROR(VLOOKUP($BO142,'01_Warehouse_Ledger'!$A:$N,13,FALSE),""))</f>
        <v/>
      </c>
      <c r="BS142" t="s">
        <v>1441</v>
      </c>
      <c r="BT142" t="s">
        <v>1441</v>
      </c>
      <c r="BU142" t="s">
        <v>1441</v>
      </c>
      <c r="BV142" t="s">
        <v>1441</v>
      </c>
    </row>
    <row r="143" spans="1:74" ht="45.75">
      <c r="A143" s="8" t="s">
        <v>1963</v>
      </c>
      <c r="B143" s="8" t="s">
        <v>1441</v>
      </c>
      <c r="C143" s="15" t="s">
        <v>1441</v>
      </c>
      <c r="D143" s="15" t="str">
        <f t="shared" si="9"/>
        <v>No</v>
      </c>
      <c r="E143" s="15" t="str">
        <f>IF($A143="","",IF($A143="Neuron",IF(OR(AND($R143&lt;&gt;"",LOWER(TRIM($R143))&lt;&gt;"n/a",COUNTIF($S$2:$S$528,$R143)&gt;1),AND($T143&lt;&gt;"",LOWER(TRIM($T143))&lt;&gt;"n/a",COUNTIF($T$2:$T$528,$T143)&gt;1),AND($W143&lt;&gt;"",LOWER(TRIM($W143))&lt;&gt;"n/a",COUNTIF($W$2:$W$528,$W143)&gt;1)),"Yes","No"),IF($A143="Cybernet",IF(OR(AND($Y143&lt;&gt;"",LOWER(TRIM($Y143))&lt;&gt;"n/a",COUNTIF($Y$2:$Y$528,$Y143)&gt;1),AND($Z143&lt;&gt;"",LOWER(TRIM($Z143))&lt;&gt;"n/a",COUNTIF($Z$2:$Z$528,$Z143)&gt;1)),"Yes","No"),IF(AND($AL143&lt;&gt;"",LOWER(TRIM($AL143))&lt;&gt;"n/a",COUNTIF($AL$2:$AL$528,$AL143)&gt;1),"Yes","No"))))</f>
        <v>No</v>
      </c>
      <c r="F143" t="str">
        <f>IF($B143&lt;&gt;"Yes","",
IF($A143="Neuron",
IF(OR(
AND($R143&lt;&gt;"",LOWER(TRIM($R143))&lt;&gt;"n/a",COUNTIFS($B$2:$B$528,"Yes",$A$2:$A$528,"Neuron",$S$2:$S$528,$R143)&gt;1),
AND($T143&lt;&gt;"",LOWER(TRIM($T143))&lt;&gt;"n/a",COUNTIFS($B$2:$B$528,"Yes",$A$2:$A$528,"Neuron",$T$2:$T$528,$T143)&gt;1),
AND($W143&lt;&gt;"",LOWER(TRIM($W143))&lt;&gt;"n/a",COUNTIFS($B$2:$B$528,"Yes",$A$2:$A$528,"Neuron",$W$2:$W$528,$W143)&gt;1)
),"Yes","No"),
IF($A143="Cybernet",
IF(OR(
AND($Y143&lt;&gt;"",LOWER(TRIM($Y143))&lt;&gt;"n/a",COUNTIFS($B$2:$B$528,"Yes",$A$2:$A$528,"Cybernet",$Y$2:$Y$528,$Y143)&gt;1),
AND($Z143&lt;&gt;"",LOWER(TRIM($Z143))&lt;&gt;"n/a",COUNTIFS($B$2:$B$528,"Yes",$A$2:$A$528,"Cybernet",$Z$2:$Z$528,$Z143)&gt;1)
),"Yes","No"),
IF(AND($AL143&lt;&gt;"",LOWER(TRIM($AL143))&lt;&gt;"n/a"),
IF(COUNTIFS($B$2:$B$528,"Yes",$A$2:$A$528,$A143,$AL$2:$AL$528,$AL143)&gt;1,"Yes","No"),
"No")
)
)
)</f>
        <v>No</v>
      </c>
      <c r="G143" s="4" t="s">
        <v>1964</v>
      </c>
      <c r="H143" s="4" t="s">
        <v>1964</v>
      </c>
      <c r="I143" s="4"/>
      <c r="J143" s="4"/>
      <c r="K143" s="4"/>
      <c r="L143" s="4"/>
      <c r="M143" s="4"/>
      <c r="N143" s="4"/>
      <c r="O143" s="4"/>
      <c r="P143" s="4"/>
      <c r="Q143" s="4"/>
      <c r="R143" s="4" t="s">
        <v>2000</v>
      </c>
      <c r="T143" s="4" t="s">
        <v>2001</v>
      </c>
      <c r="U143" s="4"/>
      <c r="V143" s="4"/>
      <c r="W143" s="4" t="s">
        <v>2002</v>
      </c>
      <c r="X143" s="4"/>
      <c r="Y143" s="4" t="s">
        <v>2003</v>
      </c>
      <c r="Z143" s="4"/>
      <c r="AA143" s="4" t="s">
        <v>1642</v>
      </c>
      <c r="AB143" s="4"/>
      <c r="AC143" s="4"/>
      <c r="AD143" s="4" t="s">
        <v>1970</v>
      </c>
      <c r="AE143" s="8">
        <v>1</v>
      </c>
      <c r="AF143" s="4" t="s">
        <v>1981</v>
      </c>
      <c r="AG143" s="4" t="s">
        <v>2004</v>
      </c>
      <c r="AH143" s="14"/>
      <c r="AI143" s="4"/>
      <c r="AJ143" s="4" t="s">
        <v>1997</v>
      </c>
      <c r="AK143" s="4"/>
      <c r="AL143" s="4"/>
      <c r="AM143" s="4"/>
      <c r="AN143" s="4"/>
      <c r="AO143" s="4"/>
      <c r="AP143" s="4"/>
      <c r="AQ143" s="4"/>
      <c r="AR143" s="4" t="s">
        <v>1341</v>
      </c>
      <c r="AS143" s="4" t="s">
        <v>1984</v>
      </c>
      <c r="AT143" s="4"/>
      <c r="AU143" s="4"/>
      <c r="AV143" s="4"/>
      <c r="AW143" s="8"/>
      <c r="AX143" s="8"/>
      <c r="AY143" s="8" t="s">
        <v>1441</v>
      </c>
      <c r="AZ143" s="8" t="s">
        <v>1441</v>
      </c>
      <c r="BA143" s="12"/>
      <c r="BB143" s="8" t="s">
        <v>1441</v>
      </c>
      <c r="BC143" s="4" t="s">
        <v>2005</v>
      </c>
      <c r="BD143" s="4"/>
      <c r="BE143" s="8"/>
      <c r="BF143" s="8"/>
      <c r="BG143" s="8"/>
      <c r="BH143" s="8"/>
      <c r="BI143" s="8"/>
      <c r="BJ143" s="8"/>
      <c r="BK143" s="8"/>
      <c r="BL143" s="4" t="str">
        <f t="shared" si="6"/>
        <v>Power Cable, Battery, Firmware Download, Device ID, Epic Beans Relay</v>
      </c>
      <c r="BM143" s="8" t="str">
        <f t="shared" si="7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1441</v>
      </c>
      <c r="BT143" t="s">
        <v>1441</v>
      </c>
      <c r="BU143" t="s">
        <v>1441</v>
      </c>
      <c r="BV143" t="s">
        <v>1441</v>
      </c>
    </row>
    <row r="144" spans="1:74" ht="45.75">
      <c r="A144" s="8" t="s">
        <v>1963</v>
      </c>
      <c r="B144" s="8" t="s">
        <v>1441</v>
      </c>
      <c r="C144" s="15" t="s">
        <v>1441</v>
      </c>
      <c r="D144" s="15" t="str">
        <f t="shared" si="9"/>
        <v>No</v>
      </c>
      <c r="E144" s="15" t="str">
        <f>IF($A144="","",IF($A144="Neuron",IF(OR(AND($R144&lt;&gt;"",LOWER(TRIM($R144))&lt;&gt;"n/a",COUNTIF($S$2:$S$528,$R144)&gt;1),AND($T144&lt;&gt;"",LOWER(TRIM($T144))&lt;&gt;"n/a",COUNTIF($T$2:$T$528,$T144)&gt;1),AND($W144&lt;&gt;"",LOWER(TRIM($W144))&lt;&gt;"n/a",COUNTIF($W$2:$W$528,$W144)&gt;1)),"Yes","No"),IF($A144="Cybernet",IF(OR(AND($Y144&lt;&gt;"",LOWER(TRIM($Y144))&lt;&gt;"n/a",COUNTIF($Y$2:$Y$528,$Y144)&gt;1),AND($Z144&lt;&gt;"",LOWER(TRIM($Z144))&lt;&gt;"n/a",COUNTIF($Z$2:$Z$528,$Z144)&gt;1)),"Yes","No"),IF(AND($AL144&lt;&gt;"",LOWER(TRIM($AL144))&lt;&gt;"n/a",COUNTIF($AL$2:$AL$528,$AL144)&gt;1),"Yes","No"))))</f>
        <v>No</v>
      </c>
      <c r="F144" t="str">
        <f>IF($B144&lt;&gt;"Yes","",
IF($A144="Neuron",
IF(OR(
AND($R144&lt;&gt;"",LOWER(TRIM($R144))&lt;&gt;"n/a",COUNTIFS($B$2:$B$528,"Yes",$A$2:$A$528,"Neuron",$S$2:$S$528,$R144)&gt;1),
AND($T144&lt;&gt;"",LOWER(TRIM($T144))&lt;&gt;"n/a",COUNTIFS($B$2:$B$528,"Yes",$A$2:$A$528,"Neuron",$T$2:$T$528,$T144)&gt;1),
AND($W144&lt;&gt;"",LOWER(TRIM($W144))&lt;&gt;"n/a",COUNTIFS($B$2:$B$528,"Yes",$A$2:$A$528,"Neuron",$W$2:$W$528,$W144)&gt;1)
),"Yes","No"),
IF($A144="Cybernet",
IF(OR(
AND($Y144&lt;&gt;"",LOWER(TRIM($Y144))&lt;&gt;"n/a",COUNTIFS($B$2:$B$528,"Yes",$A$2:$A$528,"Cybernet",$Y$2:$Y$528,$Y144)&gt;1),
AND($Z144&lt;&gt;"",LOWER(TRIM($Z144))&lt;&gt;"n/a",COUNTIFS($B$2:$B$528,"Yes",$A$2:$A$528,"Cybernet",$Z$2:$Z$528,$Z144)&gt;1)
),"Yes","No"),
IF(AND($AL144&lt;&gt;"",LOWER(TRIM($AL144))&lt;&gt;"n/a"),
IF(COUNTIFS($B$2:$B$528,"Yes",$A$2:$A$528,$A144,$AL$2:$AL$528,$AL144)&gt;1,"Yes","No"),
"No")
)
)
)</f>
        <v>No</v>
      </c>
      <c r="G144" s="4" t="s">
        <v>1964</v>
      </c>
      <c r="H144" s="4" t="s">
        <v>1964</v>
      </c>
      <c r="I144" s="4"/>
      <c r="J144" s="4"/>
      <c r="K144" s="4"/>
      <c r="L144" s="4"/>
      <c r="M144" s="4"/>
      <c r="N144" s="4"/>
      <c r="O144" s="4"/>
      <c r="P144" s="4"/>
      <c r="Q144" s="4"/>
      <c r="R144" s="4" t="s">
        <v>2006</v>
      </c>
      <c r="T144" s="4" t="s">
        <v>2007</v>
      </c>
      <c r="U144" s="4"/>
      <c r="V144" s="4"/>
      <c r="W144" s="4" t="s">
        <v>2008</v>
      </c>
      <c r="X144" s="4"/>
      <c r="Y144" s="4" t="s">
        <v>2009</v>
      </c>
      <c r="Z144" s="4"/>
      <c r="AA144" s="4" t="s">
        <v>1642</v>
      </c>
      <c r="AB144" s="4"/>
      <c r="AC144" s="4"/>
      <c r="AD144" s="4" t="s">
        <v>1970</v>
      </c>
      <c r="AE144" s="8">
        <v>1</v>
      </c>
      <c r="AF144" s="4" t="s">
        <v>1981</v>
      </c>
      <c r="AG144" s="4" t="s">
        <v>2010</v>
      </c>
      <c r="AH144" s="14"/>
      <c r="AI144" s="4"/>
      <c r="AJ144" s="4" t="s">
        <v>2011</v>
      </c>
      <c r="AK144" s="4"/>
      <c r="AL144" s="4"/>
      <c r="AM144" s="4"/>
      <c r="AN144" s="4"/>
      <c r="AO144" s="4"/>
      <c r="AP144" s="4"/>
      <c r="AQ144" s="4"/>
      <c r="AR144" s="4" t="s">
        <v>2012</v>
      </c>
      <c r="AS144" s="4" t="s">
        <v>1984</v>
      </c>
      <c r="AT144" s="4"/>
      <c r="AU144" s="4"/>
      <c r="AV144" s="4"/>
      <c r="AW144" s="8"/>
      <c r="AX144" s="8"/>
      <c r="AY144" s="8" t="s">
        <v>1441</v>
      </c>
      <c r="AZ144" s="8" t="s">
        <v>1441</v>
      </c>
      <c r="BA144" s="12"/>
      <c r="BB144" s="8" t="s">
        <v>1441</v>
      </c>
      <c r="BC144" s="4" t="s">
        <v>2013</v>
      </c>
      <c r="BD144" s="4"/>
      <c r="BE144" s="8"/>
      <c r="BF144" s="8"/>
      <c r="BG144" s="8"/>
      <c r="BH144" s="8"/>
      <c r="BI144" s="8"/>
      <c r="BJ144" s="8"/>
      <c r="BK144" s="8"/>
      <c r="BL144" s="4" t="str">
        <f t="shared" si="6"/>
        <v>Power Cable, Battery, Firmware Download, Device ID, Epic Beans Relay</v>
      </c>
      <c r="BM144" s="8" t="str">
        <f t="shared" si="7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1441</v>
      </c>
      <c r="BT144" t="s">
        <v>1441</v>
      </c>
      <c r="BU144" t="s">
        <v>1441</v>
      </c>
      <c r="BV144" t="s">
        <v>1441</v>
      </c>
    </row>
    <row r="145" spans="1:75" ht="45.75">
      <c r="A145" s="8" t="s">
        <v>1963</v>
      </c>
      <c r="B145" s="8" t="s">
        <v>1441</v>
      </c>
      <c r="C145" s="15" t="s">
        <v>1441</v>
      </c>
      <c r="D145" s="15" t="str">
        <f t="shared" si="9"/>
        <v>No</v>
      </c>
      <c r="E145" s="15" t="str">
        <f>IF($A145="","",IF($A145="Neuron",IF(OR(AND($R145&lt;&gt;"",LOWER(TRIM($R145))&lt;&gt;"n/a",COUNTIF($S$2:$S$528,$R145)&gt;1),AND($T145&lt;&gt;"",LOWER(TRIM($T145))&lt;&gt;"n/a",COUNTIF($T$2:$T$528,$T145)&gt;1),AND($W145&lt;&gt;"",LOWER(TRIM($W145))&lt;&gt;"n/a",COUNTIF($W$2:$W$528,$W145)&gt;1)),"Yes","No"),IF($A145="Cybernet",IF(OR(AND($Y145&lt;&gt;"",LOWER(TRIM($Y145))&lt;&gt;"n/a",COUNTIF($Y$2:$Y$528,$Y145)&gt;1),AND($Z145&lt;&gt;"",LOWER(TRIM($Z145))&lt;&gt;"n/a",COUNTIF($Z$2:$Z$528,$Z145)&gt;1)),"Yes","No"),IF(AND($AL145&lt;&gt;"",LOWER(TRIM($AL145))&lt;&gt;"n/a",COUNTIF($AL$2:$AL$528,$AL145)&gt;1),"Yes","No"))))</f>
        <v>No</v>
      </c>
      <c r="F145" t="str">
        <f>IF($B145&lt;&gt;"Yes","",
IF($A145="Neuron",
IF(OR(
AND($R145&lt;&gt;"",LOWER(TRIM($R145))&lt;&gt;"n/a",COUNTIFS($B$2:$B$528,"Yes",$A$2:$A$528,"Neuron",$S$2:$S$528,$R145)&gt;1),
AND($T145&lt;&gt;"",LOWER(TRIM($T145))&lt;&gt;"n/a",COUNTIFS($B$2:$B$528,"Yes",$A$2:$A$528,"Neuron",$T$2:$T$528,$T145)&gt;1),
AND($W145&lt;&gt;"",LOWER(TRIM($W145))&lt;&gt;"n/a",COUNTIFS($B$2:$B$528,"Yes",$A$2:$A$528,"Neuron",$W$2:$W$528,$W145)&gt;1)
),"Yes","No"),
IF($A145="Cybernet",
IF(OR(
AND($Y145&lt;&gt;"",LOWER(TRIM($Y145))&lt;&gt;"n/a",COUNTIFS($B$2:$B$528,"Yes",$A$2:$A$528,"Cybernet",$Y$2:$Y$528,$Y145)&gt;1),
AND($Z145&lt;&gt;"",LOWER(TRIM($Z145))&lt;&gt;"n/a",COUNTIFS($B$2:$B$528,"Yes",$A$2:$A$528,"Cybernet",$Z$2:$Z$528,$Z145)&gt;1)
),"Yes","No"),
IF(AND($AL145&lt;&gt;"",LOWER(TRIM($AL145))&lt;&gt;"n/a"),
IF(COUNTIFS($B$2:$B$528,"Yes",$A$2:$A$528,$A145,$AL$2:$AL$528,$AL145)&gt;1,"Yes","No"),
"No")
)
)
)</f>
        <v>No</v>
      </c>
      <c r="G145" s="4" t="s">
        <v>1964</v>
      </c>
      <c r="H145" s="4" t="s">
        <v>1964</v>
      </c>
      <c r="I145" s="4"/>
      <c r="J145" s="4"/>
      <c r="K145" s="4"/>
      <c r="L145" s="4"/>
      <c r="M145" s="4"/>
      <c r="N145" s="4"/>
      <c r="O145" s="4"/>
      <c r="P145" s="4"/>
      <c r="Q145" s="4"/>
      <c r="R145" s="4" t="s">
        <v>2014</v>
      </c>
      <c r="T145" s="4" t="s">
        <v>2015</v>
      </c>
      <c r="U145" s="4"/>
      <c r="V145" s="4"/>
      <c r="W145" s="4" t="s">
        <v>2016</v>
      </c>
      <c r="X145" s="4"/>
      <c r="Y145" s="4" t="s">
        <v>2017</v>
      </c>
      <c r="Z145" s="4"/>
      <c r="AA145" s="4" t="s">
        <v>1642</v>
      </c>
      <c r="AB145" s="4"/>
      <c r="AC145" s="4"/>
      <c r="AD145" s="4" t="s">
        <v>1970</v>
      </c>
      <c r="AE145" s="8">
        <v>1</v>
      </c>
      <c r="AF145" s="4" t="s">
        <v>1981</v>
      </c>
      <c r="AG145" s="4" t="s">
        <v>2018</v>
      </c>
      <c r="AH145" s="14"/>
      <c r="AI145" s="4"/>
      <c r="AJ145" s="4" t="s">
        <v>1983</v>
      </c>
      <c r="AK145" s="4"/>
      <c r="AL145" s="4"/>
      <c r="AM145" s="4"/>
      <c r="AN145" s="4"/>
      <c r="AO145" s="4"/>
      <c r="AP145" s="4"/>
      <c r="AQ145" s="4"/>
      <c r="AR145" s="4" t="s">
        <v>2012</v>
      </c>
      <c r="AS145" s="4" t="s">
        <v>2019</v>
      </c>
      <c r="AT145" s="4"/>
      <c r="AU145" s="4"/>
      <c r="AV145" s="4"/>
      <c r="AW145" s="8"/>
      <c r="AX145" s="8"/>
      <c r="AY145" s="8" t="s">
        <v>1441</v>
      </c>
      <c r="AZ145" s="8" t="s">
        <v>1441</v>
      </c>
      <c r="BA145" s="12"/>
      <c r="BB145" s="8" t="s">
        <v>1441</v>
      </c>
      <c r="BC145" s="4" t="s">
        <v>2005</v>
      </c>
      <c r="BD145" s="4"/>
      <c r="BE145" s="8"/>
      <c r="BF145" s="8"/>
      <c r="BG145" s="8"/>
      <c r="BH145" s="8"/>
      <c r="BI145" s="8"/>
      <c r="BJ145" s="8"/>
      <c r="BK145" s="8"/>
      <c r="BL145" s="4" t="str">
        <f t="shared" si="6"/>
        <v>Power Cable, Battery, Firmware Download, Device ID, Epic Beans Relay</v>
      </c>
      <c r="BM145" s="8" t="str">
        <f t="shared" si="7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1441</v>
      </c>
      <c r="BT145" t="s">
        <v>1441</v>
      </c>
      <c r="BU145" t="s">
        <v>1441</v>
      </c>
      <c r="BV145" t="s">
        <v>1441</v>
      </c>
    </row>
    <row r="146" spans="1:75">
      <c r="A146" s="8" t="s">
        <v>1963</v>
      </c>
      <c r="B146" s="8" t="s">
        <v>1460</v>
      </c>
      <c r="C146" s="15" t="s">
        <v>1460</v>
      </c>
      <c r="D146" s="15" t="str">
        <f t="shared" si="9"/>
        <v/>
      </c>
      <c r="E146" s="15" t="str">
        <f>IF($A146="","",IF($A146="Neuron",IF(OR(AND($S146&lt;&gt;"",LOWER(TRIM($S146))&lt;&gt;"n/a",COUNTIF($S$2:$S$528,$S146)&gt;1),AND($T146&lt;&gt;"",LOWER(TRIM($T146))&lt;&gt;"n/a",COUNTIF($T$2:$T$528,$T146)&gt;1),AND($W146&lt;&gt;"",LOWER(TRIM($W146))&lt;&gt;"n/a",COUNTIF($W$2:$W$528,$W146)&gt;1)),"Yes","No"),IF($A146="Cybernet",IF(OR(AND($Y146&lt;&gt;"",LOWER(TRIM($Y146))&lt;&gt;"n/a",COUNTIF($Y$2:$Y$528,$Y146)&gt;1),AND($Z146&lt;&gt;"",LOWER(TRIM($Z146))&lt;&gt;"n/a",COUNTIF($Z$2:$Z$528,$Z146)&gt;1)),"Yes","No"),IF(AND($AL146&lt;&gt;"",LOWER(TRIM($AL146))&lt;&gt;"n/a",COUNTIF($AL$2:$AL$528,$AL146)&gt;1),"Yes","No"))))</f>
        <v>No</v>
      </c>
      <c r="F146" t="str">
        <f>IF($B146&lt;&gt;"Yes","",
IF($A146="Neuron",
IF(OR(
AND($S146&lt;&gt;"",LOWER(TRIM($S146))&lt;&gt;"n/a",COUNTIFS($B$2:$B$528,"Yes",$A$2:$A$528,"Neuron",$S$2:$S$528,$S146)&gt;1),
AND($T146&lt;&gt;"",LOWER(TRIM($T146))&lt;&gt;"n/a",COUNTIFS($B$2:$B$528,"Yes",$A$2:$A$528,"Neuron",$T$2:$T$528,$T146)&gt;1),
AND($W146&lt;&gt;"",LOWER(TRIM($W146))&lt;&gt;"n/a",COUNTIFS($B$2:$B$528,"Yes",$A$2:$A$528,"Neuron",$W$2:$W$528,$W146)&gt;1)
),"Yes","No"),
IF($A146="Cybernet",
IF(OR(
AND($Y146&lt;&gt;"",LOWER(TRIM($Y146))&lt;&gt;"n/a",COUNTIFS($B$2:$B$528,"Yes",$A$2:$A$528,"Cybernet",$Y$2:$Y$528,$Y146)&gt;1),
AND($Z146&lt;&gt;"",LOWER(TRIM($Z146))&lt;&gt;"n/a",COUNTIFS($B$2:$B$528,"Yes",$A$2:$A$528,"Cybernet",$Z$2:$Z$528,$Z146)&gt;1)
),"Yes","No"),
IF(AND($AL146&lt;&gt;"",LOWER(TRIM($AL146))&lt;&gt;"n/a"),
IF(COUNTIFS($B$2:$B$528,"Yes",$A$2:$A$528,$A146,$AL$2:$AL$528,$AL146)&gt;1,"Yes","No"),
"No")
)
)
)</f>
        <v/>
      </c>
      <c r="G146" s="4" t="s">
        <v>1964</v>
      </c>
      <c r="H146" s="4" t="s">
        <v>1964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 t="s">
        <v>1642</v>
      </c>
      <c r="AB146" s="4"/>
      <c r="AC146" s="4"/>
      <c r="AD146" s="4" t="s">
        <v>1970</v>
      </c>
      <c r="AE146" s="8">
        <v>1</v>
      </c>
      <c r="AF146" s="4"/>
      <c r="AG146" s="4"/>
      <c r="AH146" s="1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8"/>
      <c r="AX146" s="8"/>
      <c r="AY146" s="8" t="s">
        <v>1460</v>
      </c>
      <c r="AZ146" s="8" t="s">
        <v>1441</v>
      </c>
      <c r="BA146" s="12"/>
      <c r="BB146" s="8" t="s">
        <v>1441</v>
      </c>
      <c r="BC146" s="4" t="s">
        <v>2340</v>
      </c>
      <c r="BD146" s="4"/>
      <c r="BE146" s="8"/>
      <c r="BF146" s="8"/>
      <c r="BG146" s="8"/>
      <c r="BH146" s="8"/>
      <c r="BI146" s="8"/>
      <c r="BJ146" s="8"/>
      <c r="BK146" s="8"/>
      <c r="BL146" s="4" t="str">
        <f t="shared" si="6"/>
        <v/>
      </c>
      <c r="BM146" s="8" t="str">
        <f t="shared" si="7"/>
        <v/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1441</v>
      </c>
      <c r="BT146" t="s">
        <v>1441</v>
      </c>
      <c r="BU146" t="s">
        <v>1441</v>
      </c>
      <c r="BV146" t="s">
        <v>1441</v>
      </c>
    </row>
    <row r="147" spans="1:75">
      <c r="A147" s="8" t="s">
        <v>1963</v>
      </c>
      <c r="B147" s="8" t="s">
        <v>1460</v>
      </c>
      <c r="C147" s="15" t="s">
        <v>1460</v>
      </c>
      <c r="D147" s="15" t="str">
        <f t="shared" si="9"/>
        <v/>
      </c>
      <c r="E147" s="15" t="str">
        <f>IF($A147="","",IF($A147="Neuron",IF(OR(AND($S147&lt;&gt;"",LOWER(TRIM($S147))&lt;&gt;"n/a",COUNTIF($S$2:$S$528,$S147)&gt;1),AND($T147&lt;&gt;"",LOWER(TRIM($T147))&lt;&gt;"n/a",COUNTIF($T$2:$T$528,$T147)&gt;1),AND($W147&lt;&gt;"",LOWER(TRIM($W147))&lt;&gt;"n/a",COUNTIF($W$2:$W$528,$W147)&gt;1)),"Yes","No"),IF($A147="Cybernet",IF(OR(AND($Y147&lt;&gt;"",LOWER(TRIM($Y147))&lt;&gt;"n/a",COUNTIF($Y$2:$Y$528,$Y147)&gt;1),AND($Z147&lt;&gt;"",LOWER(TRIM($Z147))&lt;&gt;"n/a",COUNTIF($Z$2:$Z$528,$Z147)&gt;1)),"Yes","No"),IF(AND($AL147&lt;&gt;"",LOWER(TRIM($AL147))&lt;&gt;"n/a",COUNTIF($AL$2:$AL$528,$AL147)&gt;1),"Yes","No"))))</f>
        <v>No</v>
      </c>
      <c r="F147" t="str">
        <f>IF($B147&lt;&gt;"Yes","",
IF($A147="Neuron",
IF(OR(
AND($S147&lt;&gt;"",LOWER(TRIM($S147))&lt;&gt;"n/a",COUNTIFS($B$2:$B$528,"Yes",$A$2:$A$528,"Neuron",$S$2:$S$528,$S147)&gt;1),
AND($T147&lt;&gt;"",LOWER(TRIM($T147))&lt;&gt;"n/a",COUNTIFS($B$2:$B$528,"Yes",$A$2:$A$528,"Neuron",$T$2:$T$528,$T147)&gt;1),
AND($W147&lt;&gt;"",LOWER(TRIM($W147))&lt;&gt;"n/a",COUNTIFS($B$2:$B$528,"Yes",$A$2:$A$528,"Neuron",$W$2:$W$528,$W147)&gt;1)
),"Yes","No"),
IF($A147="Cybernet",
IF(OR(
AND($Y147&lt;&gt;"",LOWER(TRIM($Y147))&lt;&gt;"n/a",COUNTIFS($B$2:$B$528,"Yes",$A$2:$A$528,"Cybernet",$Y$2:$Y$528,$Y147)&gt;1),
AND($Z147&lt;&gt;"",LOWER(TRIM($Z147))&lt;&gt;"n/a",COUNTIFS($B$2:$B$528,"Yes",$A$2:$A$528,"Cybernet",$Z$2:$Z$528,$Z147)&gt;1)
),"Yes","No"),
IF(AND($AL147&lt;&gt;"",LOWER(TRIM($AL147))&lt;&gt;"n/a"),
IF(COUNTIFS($B$2:$B$528,"Yes",$A$2:$A$528,$A147,$AL$2:$AL$528,$AL147)&gt;1,"Yes","No"),
"No")
)
)
)</f>
        <v/>
      </c>
      <c r="G147" s="4" t="s">
        <v>1964</v>
      </c>
      <c r="H147" s="4" t="s">
        <v>1964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 t="s">
        <v>1642</v>
      </c>
      <c r="AB147" s="4"/>
      <c r="AC147" s="4"/>
      <c r="AD147" s="4" t="s">
        <v>1970</v>
      </c>
      <c r="AE147" s="8">
        <v>1</v>
      </c>
      <c r="AF147" s="4"/>
      <c r="AG147" s="4"/>
      <c r="AH147" s="1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8"/>
      <c r="AX147" s="8"/>
      <c r="AY147" s="8" t="s">
        <v>1460</v>
      </c>
      <c r="AZ147" s="8" t="s">
        <v>1441</v>
      </c>
      <c r="BA147" s="12"/>
      <c r="BB147" s="8" t="s">
        <v>1441</v>
      </c>
      <c r="BC147" s="4" t="s">
        <v>2340</v>
      </c>
      <c r="BD147" s="4"/>
      <c r="BE147" s="8"/>
      <c r="BF147" s="8"/>
      <c r="BG147" s="8"/>
      <c r="BH147" s="8"/>
      <c r="BI147" s="8"/>
      <c r="BJ147" s="8"/>
      <c r="BK147" s="8"/>
      <c r="BL147" s="4" t="str">
        <f t="shared" si="6"/>
        <v/>
      </c>
      <c r="BM147" s="8" t="str">
        <f t="shared" si="7"/>
        <v/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1441</v>
      </c>
      <c r="BT147" t="s">
        <v>1441</v>
      </c>
      <c r="BU147" t="s">
        <v>1441</v>
      </c>
      <c r="BV147" t="s">
        <v>1441</v>
      </c>
    </row>
    <row r="148" spans="1:75">
      <c r="A148" s="8" t="s">
        <v>1963</v>
      </c>
      <c r="B148" s="8" t="s">
        <v>1460</v>
      </c>
      <c r="C148" s="15" t="s">
        <v>1460</v>
      </c>
      <c r="D148" s="15" t="str">
        <f t="shared" si="9"/>
        <v/>
      </c>
      <c r="E148" s="15" t="str">
        <f>IF($A148="","",IF($A148="Neuron",IF(OR(AND($S148&lt;&gt;"",LOWER(TRIM($S148))&lt;&gt;"n/a",COUNTIF($S$2:$S$528,$S148)&gt;1),AND($T148&lt;&gt;"",LOWER(TRIM($T148))&lt;&gt;"n/a",COUNTIF($T$2:$T$528,$T148)&gt;1),AND($W148&lt;&gt;"",LOWER(TRIM($W148))&lt;&gt;"n/a",COUNTIF($W$2:$W$528,$W148)&gt;1)),"Yes","No"),IF($A148="Cybernet",IF(OR(AND($Y148&lt;&gt;"",LOWER(TRIM($Y148))&lt;&gt;"n/a",COUNTIF($Y$2:$Y$528,$Y148)&gt;1),AND($Z148&lt;&gt;"",LOWER(TRIM($Z148))&lt;&gt;"n/a",COUNTIF($Z$2:$Z$528,$Z148)&gt;1)),"Yes","No"),IF(AND($AL148&lt;&gt;"",LOWER(TRIM($AL148))&lt;&gt;"n/a",COUNTIF($AL$2:$AL$528,$AL148)&gt;1),"Yes","No"))))</f>
        <v>No</v>
      </c>
      <c r="F148" t="str">
        <f>IF($B148&lt;&gt;"Yes","",
IF($A148="Neuron",
IF(OR(
AND($S148&lt;&gt;"",LOWER(TRIM($S148))&lt;&gt;"n/a",COUNTIFS($B$2:$B$528,"Yes",$A$2:$A$528,"Neuron",$S$2:$S$528,$S148)&gt;1),
AND($T148&lt;&gt;"",LOWER(TRIM($T148))&lt;&gt;"n/a",COUNTIFS($B$2:$B$528,"Yes",$A$2:$A$528,"Neuron",$T$2:$T$528,$T148)&gt;1),
AND($W148&lt;&gt;"",LOWER(TRIM($W148))&lt;&gt;"n/a",COUNTIFS($B$2:$B$528,"Yes",$A$2:$A$528,"Neuron",$W$2:$W$528,$W148)&gt;1)
),"Yes","No"),
IF($A148="Cybernet",
IF(OR(
AND($Y148&lt;&gt;"",LOWER(TRIM($Y148))&lt;&gt;"n/a",COUNTIFS($B$2:$B$528,"Yes",$A$2:$A$528,"Cybernet",$Y$2:$Y$528,$Y148)&gt;1),
AND($Z148&lt;&gt;"",LOWER(TRIM($Z148))&lt;&gt;"n/a",COUNTIFS($B$2:$B$528,"Yes",$A$2:$A$528,"Cybernet",$Z$2:$Z$528,$Z148)&gt;1)
),"Yes","No"),
IF(AND($AL148&lt;&gt;"",LOWER(TRIM($AL148))&lt;&gt;"n/a"),
IF(COUNTIFS($B$2:$B$528,"Yes",$A$2:$A$528,$A148,$AL$2:$AL$528,$AL148)&gt;1,"Yes","No"),
"No")
)
)
)</f>
        <v/>
      </c>
      <c r="G148" s="4" t="s">
        <v>1964</v>
      </c>
      <c r="H148" s="4" t="s">
        <v>1964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 t="s">
        <v>1642</v>
      </c>
      <c r="AB148" s="4"/>
      <c r="AC148" s="4"/>
      <c r="AD148" s="4" t="s">
        <v>1970</v>
      </c>
      <c r="AE148" s="8">
        <v>1</v>
      </c>
      <c r="AF148" s="4"/>
      <c r="AG148" s="4"/>
      <c r="AH148" s="1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8"/>
      <c r="AX148" s="8"/>
      <c r="AY148" s="8" t="s">
        <v>1460</v>
      </c>
      <c r="AZ148" s="8" t="s">
        <v>1441</v>
      </c>
      <c r="BA148" s="12"/>
      <c r="BB148" s="8" t="s">
        <v>1441</v>
      </c>
      <c r="BC148" s="4" t="s">
        <v>2340</v>
      </c>
      <c r="BD148" s="4"/>
      <c r="BE148" s="8"/>
      <c r="BF148" s="8"/>
      <c r="BG148" s="8"/>
      <c r="BH148" s="8"/>
      <c r="BI148" s="8"/>
      <c r="BJ148" s="8"/>
      <c r="BK148" s="8"/>
      <c r="BL148" s="4" t="str">
        <f t="shared" si="6"/>
        <v/>
      </c>
      <c r="BM148" s="8" t="str">
        <f t="shared" si="7"/>
        <v/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1441</v>
      </c>
      <c r="BT148" t="s">
        <v>1441</v>
      </c>
      <c r="BU148" t="s">
        <v>1441</v>
      </c>
      <c r="BV148" t="s">
        <v>1441</v>
      </c>
    </row>
    <row r="149" spans="1:75" ht="15" customHeight="1">
      <c r="A149" s="8" t="s">
        <v>1651</v>
      </c>
      <c r="B149" s="8" t="s">
        <v>1441</v>
      </c>
      <c r="C149" s="15" t="s">
        <v>1441</v>
      </c>
      <c r="D149" s="15" t="str">
        <f t="shared" si="9"/>
        <v>No</v>
      </c>
      <c r="E149" s="15" t="str">
        <f>IF($A149="","",IF($A149="Neuron",IF(OR(AND($S149&lt;&gt;"",LOWER(TRIM($S149))&lt;&gt;"n/a",COUNTIF($S$2:$S$528,$S149)&gt;1),AND($T149&lt;&gt;"",LOWER(TRIM($T149))&lt;&gt;"n/a",COUNTIF($T$2:$T$528,$T149)&gt;1),AND($W149&lt;&gt;"",LOWER(TRIM($W149))&lt;&gt;"n/a",COUNTIF($W$2:$W$528,$W149)&gt;1)),"Yes","No"),IF($A149="Cybernet",IF(OR(AND($Y149&lt;&gt;"",LOWER(TRIM($Y149))&lt;&gt;"n/a",COUNTIF($Y$2:$Y$528,$Y149)&gt;1),AND($Z149&lt;&gt;"",LOWER(TRIM($Z149))&lt;&gt;"n/a",COUNTIF($Z$2:$Z$528,$Z149)&gt;1)),"Yes","No"),IF(AND($AL149&lt;&gt;"",LOWER(TRIM($AL149))&lt;&gt;"n/a",COUNTIF($AL$2:$AL$528,$AL149)&gt;1),"Yes","No"))))</f>
        <v>No</v>
      </c>
      <c r="F149" t="str">
        <f>IF($B149&lt;&gt;"Yes","",
IF($A149="Neuron",
IF(OR(
AND($S149&lt;&gt;"",LOWER(TRIM($S149))&lt;&gt;"n/a",COUNTIFS($B$2:$B$528,"Yes",$A$2:$A$528,"Neuron",$S$2:$S$528,$S149)&gt;1),
AND($T149&lt;&gt;"",LOWER(TRIM($T149))&lt;&gt;"n/a",COUNTIFS($B$2:$B$528,"Yes",$A$2:$A$528,"Neuron",$T$2:$T$528,$T149)&gt;1),
AND($W149&lt;&gt;"",LOWER(TRIM($W149))&lt;&gt;"n/a",COUNTIFS($B$2:$B$528,"Yes",$A$2:$A$528,"Neuron",$W$2:$W$528,$W149)&gt;1)
),"Yes","No"),
IF($A149="Cybernet",
IF(OR(
AND($Y149&lt;&gt;"",LOWER(TRIM($Y149))&lt;&gt;"n/a",COUNTIFS($B$2:$B$528,"Yes",$A$2:$A$528,"Cybernet",$Y$2:$Y$528,$Y149)&gt;1),
AND($Z149&lt;&gt;"",LOWER(TRIM($Z149))&lt;&gt;"n/a",COUNTIFS($B$2:$B$528,"Yes",$A$2:$A$528,"Cybernet",$Z$2:$Z$528,$Z149)&gt;1)
),"Yes","No"),
IF(AND($AL149&lt;&gt;"",LOWER(TRIM($AL149))&lt;&gt;"n/a"),
IF(COUNTIFS($B$2:$B$528,"Yes",$A$2:$A$528,$A149,$AL$2:$AL$528,$AL149)&gt;1,"Yes","No"),
"No")
)
)
)</f>
        <v>No</v>
      </c>
      <c r="G149" s="4" t="s">
        <v>1674</v>
      </c>
      <c r="H149" s="4" t="s">
        <v>1674</v>
      </c>
      <c r="I149" s="4" t="s">
        <v>2341</v>
      </c>
      <c r="J149" s="4" t="s">
        <v>2342</v>
      </c>
      <c r="K149" s="4" t="s">
        <v>2343</v>
      </c>
      <c r="L149" s="4" t="s">
        <v>2343</v>
      </c>
      <c r="M149" s="4" t="s">
        <v>2344</v>
      </c>
      <c r="N149" s="4" t="s">
        <v>2345</v>
      </c>
      <c r="O149" s="4" t="s">
        <v>1450</v>
      </c>
      <c r="P149" s="4" t="s">
        <v>2346</v>
      </c>
      <c r="Q149" s="42">
        <v>46067</v>
      </c>
      <c r="R149" s="4" t="s">
        <v>2347</v>
      </c>
      <c r="S149" s="4"/>
      <c r="T149" s="4"/>
      <c r="U149" s="4" t="s">
        <v>2348</v>
      </c>
      <c r="V149" s="4"/>
      <c r="W149" s="4"/>
      <c r="X149" s="4"/>
      <c r="Y149" s="4" t="s">
        <v>2349</v>
      </c>
      <c r="Z149" s="4"/>
      <c r="AA149" s="4" t="s">
        <v>1642</v>
      </c>
      <c r="AB149" s="4"/>
      <c r="AC149" s="4"/>
      <c r="AD149" s="4" t="s">
        <v>2350</v>
      </c>
      <c r="AE149" s="8">
        <v>2</v>
      </c>
      <c r="AF149" s="4" t="s">
        <v>2351</v>
      </c>
      <c r="AG149" s="4" t="s">
        <v>2352</v>
      </c>
      <c r="AH149" s="14"/>
      <c r="AI149" s="4">
        <v>5601483</v>
      </c>
      <c r="AJ149" s="4" t="s">
        <v>1983</v>
      </c>
      <c r="AK149" s="4" t="s">
        <v>2353</v>
      </c>
      <c r="AL149" s="4" t="s">
        <v>2354</v>
      </c>
      <c r="AM149" s="4" t="s">
        <v>1450</v>
      </c>
      <c r="AN149" s="4" t="s">
        <v>1450</v>
      </c>
      <c r="AO149" s="4" t="s">
        <v>1450</v>
      </c>
      <c r="AP149" s="4" t="s">
        <v>1450</v>
      </c>
      <c r="AQ149" s="4" t="s">
        <v>1450</v>
      </c>
      <c r="AR149" s="4" t="s">
        <v>1341</v>
      </c>
      <c r="AS149" s="4" t="s">
        <v>2355</v>
      </c>
      <c r="AT149" s="4"/>
      <c r="AU149" s="4"/>
      <c r="AV149" s="4"/>
      <c r="AW149" s="8"/>
      <c r="AX149" s="8"/>
      <c r="AY149" s="8" t="s">
        <v>1460</v>
      </c>
      <c r="AZ149" s="8" t="s">
        <v>1441</v>
      </c>
      <c r="BA149" s="12"/>
      <c r="BB149" s="8" t="s">
        <v>1441</v>
      </c>
      <c r="BC149" s="4"/>
      <c r="BD149" s="4"/>
      <c r="BE149" s="8"/>
      <c r="BF149" s="8"/>
      <c r="BG149" s="8"/>
      <c r="BH149" s="8"/>
      <c r="BI149" s="8"/>
      <c r="BJ149" s="8"/>
      <c r="BK149" s="8"/>
      <c r="BL149" s="4" t="str">
        <f t="shared" si="6"/>
        <v/>
      </c>
      <c r="BM149" s="8" t="str">
        <f t="shared" si="7"/>
        <v/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1460</v>
      </c>
      <c r="BT149" t="s">
        <v>1441</v>
      </c>
      <c r="BU149" t="s">
        <v>1441</v>
      </c>
      <c r="BV149" t="s">
        <v>1460</v>
      </c>
      <c r="BW149" t="s">
        <v>1441</v>
      </c>
    </row>
    <row r="150" spans="1:75" ht="15" customHeight="1">
      <c r="A150" s="8" t="s">
        <v>1651</v>
      </c>
      <c r="B150" s="8" t="s">
        <v>1441</v>
      </c>
      <c r="C150" s="15" t="s">
        <v>1441</v>
      </c>
      <c r="D150" s="15" t="str">
        <f t="shared" si="9"/>
        <v>No</v>
      </c>
      <c r="E150" s="15" t="s">
        <v>1460</v>
      </c>
      <c r="F150" t="s">
        <v>1460</v>
      </c>
      <c r="G150" s="4" t="s">
        <v>1674</v>
      </c>
      <c r="H150" s="4" t="s">
        <v>1674</v>
      </c>
      <c r="I150" s="4" t="s">
        <v>2341</v>
      </c>
      <c r="J150" s="4" t="s">
        <v>2342</v>
      </c>
      <c r="K150" s="4" t="s">
        <v>2343</v>
      </c>
      <c r="L150" s="4" t="s">
        <v>2343</v>
      </c>
      <c r="M150" s="4" t="s">
        <v>2344</v>
      </c>
      <c r="N150" s="4" t="s">
        <v>2345</v>
      </c>
      <c r="O150" s="4" t="s">
        <v>1450</v>
      </c>
      <c r="P150" s="4" t="s">
        <v>2346</v>
      </c>
      <c r="Q150" s="42">
        <v>46067</v>
      </c>
      <c r="R150" s="4" t="s">
        <v>2356</v>
      </c>
      <c r="S150" s="4"/>
      <c r="T150" s="4"/>
      <c r="U150" s="4"/>
      <c r="V150" s="4"/>
      <c r="W150" s="4"/>
      <c r="X150" s="4"/>
      <c r="Y150" s="4" t="s">
        <v>2357</v>
      </c>
      <c r="Z150" s="4"/>
      <c r="AA150" s="4" t="s">
        <v>1642</v>
      </c>
      <c r="AB150" s="4"/>
      <c r="AC150" s="4"/>
      <c r="AD150" s="4" t="s">
        <v>2358</v>
      </c>
      <c r="AE150" s="8">
        <v>2</v>
      </c>
      <c r="AF150" s="4" t="s">
        <v>2351</v>
      </c>
      <c r="AG150" s="4" t="s">
        <v>1996</v>
      </c>
      <c r="AH150" s="14"/>
      <c r="AI150" s="4">
        <v>5601483</v>
      </c>
      <c r="AJ150" s="4" t="s">
        <v>1983</v>
      </c>
      <c r="AK150" s="4" t="s">
        <v>2353</v>
      </c>
      <c r="AL150" s="4" t="s">
        <v>2354</v>
      </c>
      <c r="AM150" s="4" t="s">
        <v>1450</v>
      </c>
      <c r="AN150" s="4" t="s">
        <v>1450</v>
      </c>
      <c r="AO150" s="4" t="s">
        <v>1450</v>
      </c>
      <c r="AP150" s="4" t="s">
        <v>1450</v>
      </c>
      <c r="AQ150" s="4" t="s">
        <v>1450</v>
      </c>
      <c r="AR150" s="4" t="s">
        <v>1341</v>
      </c>
      <c r="AS150" s="4" t="s">
        <v>2355</v>
      </c>
      <c r="AT150" s="4"/>
      <c r="AU150" s="4"/>
      <c r="AV150" s="4"/>
      <c r="AW150" s="8"/>
      <c r="AX150" s="8"/>
      <c r="AY150" s="8" t="s">
        <v>1460</v>
      </c>
      <c r="AZ150" s="8" t="s">
        <v>1441</v>
      </c>
      <c r="BA150" s="12"/>
      <c r="BB150" s="8" t="s">
        <v>1441</v>
      </c>
      <c r="BC150" s="4"/>
      <c r="BD150" s="4"/>
      <c r="BE150" s="8"/>
      <c r="BF150" s="8"/>
      <c r="BG150" s="8"/>
      <c r="BH150" s="8"/>
      <c r="BI150" s="8"/>
      <c r="BJ150" s="8"/>
      <c r="BK150" s="8"/>
      <c r="BL150" s="4" t="s">
        <v>2359</v>
      </c>
      <c r="BM150" s="8" t="s">
        <v>2359</v>
      </c>
      <c r="BP150" t="s">
        <v>2359</v>
      </c>
      <c r="BQ150" t="s">
        <v>2359</v>
      </c>
      <c r="BR150" t="s">
        <v>2359</v>
      </c>
      <c r="BS150" t="s">
        <v>1460</v>
      </c>
      <c r="BT150" t="s">
        <v>1441</v>
      </c>
      <c r="BU150" t="s">
        <v>1441</v>
      </c>
      <c r="BV150" t="s">
        <v>1460</v>
      </c>
      <c r="BW150" t="s">
        <v>1441</v>
      </c>
    </row>
    <row r="151" spans="1:75" ht="15" customHeight="1">
      <c r="A151" s="8" t="s">
        <v>1651</v>
      </c>
      <c r="B151" s="8" t="s">
        <v>1441</v>
      </c>
      <c r="C151" s="15" t="s">
        <v>1441</v>
      </c>
      <c r="D151" s="15" t="str">
        <f t="shared" si="9"/>
        <v>No</v>
      </c>
      <c r="E151" s="15" t="s">
        <v>1460</v>
      </c>
      <c r="F151" t="s">
        <v>1460</v>
      </c>
      <c r="G151" s="4" t="s">
        <v>1674</v>
      </c>
      <c r="H151" s="4" t="s">
        <v>1674</v>
      </c>
      <c r="I151" s="4" t="s">
        <v>2341</v>
      </c>
      <c r="J151" s="4" t="s">
        <v>2342</v>
      </c>
      <c r="K151" s="4" t="s">
        <v>2343</v>
      </c>
      <c r="L151" s="4" t="s">
        <v>2343</v>
      </c>
      <c r="M151" s="4" t="s">
        <v>2344</v>
      </c>
      <c r="N151" s="4" t="s">
        <v>2345</v>
      </c>
      <c r="O151" s="4" t="s">
        <v>1450</v>
      </c>
      <c r="P151" s="4" t="s">
        <v>2346</v>
      </c>
      <c r="Q151" s="42">
        <v>46067</v>
      </c>
      <c r="R151" s="4" t="s">
        <v>2360</v>
      </c>
      <c r="S151" s="4"/>
      <c r="T151" s="4"/>
      <c r="U151" s="4"/>
      <c r="V151" s="4"/>
      <c r="W151" s="4"/>
      <c r="X151" s="4"/>
      <c r="Y151" s="4" t="s">
        <v>2361</v>
      </c>
      <c r="Z151" s="4"/>
      <c r="AA151" s="4" t="s">
        <v>1642</v>
      </c>
      <c r="AB151" s="4"/>
      <c r="AC151" s="4"/>
      <c r="AD151" s="4" t="s">
        <v>2362</v>
      </c>
      <c r="AE151" s="8">
        <v>2</v>
      </c>
      <c r="AF151" s="4" t="s">
        <v>2351</v>
      </c>
      <c r="AG151" s="4" t="s">
        <v>2004</v>
      </c>
      <c r="AH151" s="14"/>
      <c r="AI151" s="4">
        <v>5601483</v>
      </c>
      <c r="AJ151" s="4" t="s">
        <v>1983</v>
      </c>
      <c r="AK151" s="4" t="s">
        <v>2353</v>
      </c>
      <c r="AL151" s="4" t="s">
        <v>2354</v>
      </c>
      <c r="AM151" s="4" t="s">
        <v>1450</v>
      </c>
      <c r="AN151" s="4" t="s">
        <v>1450</v>
      </c>
      <c r="AO151" s="4" t="s">
        <v>1450</v>
      </c>
      <c r="AP151" s="4" t="s">
        <v>1450</v>
      </c>
      <c r="AQ151" s="4" t="s">
        <v>1450</v>
      </c>
      <c r="AR151" s="4" t="s">
        <v>1341</v>
      </c>
      <c r="AS151" s="4" t="s">
        <v>2355</v>
      </c>
      <c r="AT151" s="4"/>
      <c r="AU151" s="4"/>
      <c r="AV151" s="4"/>
      <c r="AW151" s="8"/>
      <c r="AX151" s="8"/>
      <c r="AY151" s="8" t="s">
        <v>1460</v>
      </c>
      <c r="AZ151" s="8" t="s">
        <v>1441</v>
      </c>
      <c r="BA151" s="12"/>
      <c r="BB151" s="8" t="s">
        <v>1441</v>
      </c>
      <c r="BC151" s="4"/>
      <c r="BD151" s="4"/>
      <c r="BE151" s="8"/>
      <c r="BF151" s="8"/>
      <c r="BG151" s="8"/>
      <c r="BH151" s="8"/>
      <c r="BI151" s="8"/>
      <c r="BJ151" s="8"/>
      <c r="BK151" s="8"/>
      <c r="BL151" s="4" t="s">
        <v>2359</v>
      </c>
      <c r="BM151" s="8" t="s">
        <v>2359</v>
      </c>
      <c r="BP151" t="s">
        <v>2359</v>
      </c>
      <c r="BQ151" t="s">
        <v>2359</v>
      </c>
      <c r="BR151" t="s">
        <v>2359</v>
      </c>
      <c r="BS151" t="s">
        <v>1460</v>
      </c>
      <c r="BT151" t="s">
        <v>1441</v>
      </c>
      <c r="BU151" t="s">
        <v>1441</v>
      </c>
      <c r="BV151" t="s">
        <v>1460</v>
      </c>
      <c r="BW151" t="s">
        <v>1441</v>
      </c>
    </row>
    <row r="152" spans="1:75" ht="15" customHeight="1">
      <c r="A152" s="8" t="s">
        <v>1651</v>
      </c>
      <c r="B152" s="8" t="s">
        <v>1441</v>
      </c>
      <c r="C152" s="15" t="s">
        <v>1441</v>
      </c>
      <c r="D152" s="15" t="str">
        <f t="shared" si="9"/>
        <v>No</v>
      </c>
      <c r="E152" s="15" t="s">
        <v>1460</v>
      </c>
      <c r="F152" t="s">
        <v>1460</v>
      </c>
      <c r="G152" s="4" t="s">
        <v>1674</v>
      </c>
      <c r="H152" s="4" t="s">
        <v>1674</v>
      </c>
      <c r="I152" s="4" t="s">
        <v>2341</v>
      </c>
      <c r="J152" s="4" t="s">
        <v>2342</v>
      </c>
      <c r="K152" s="4" t="s">
        <v>2343</v>
      </c>
      <c r="L152" s="4" t="s">
        <v>2343</v>
      </c>
      <c r="M152" s="4" t="s">
        <v>2344</v>
      </c>
      <c r="N152" s="4" t="s">
        <v>2345</v>
      </c>
      <c r="O152" s="4" t="s">
        <v>1450</v>
      </c>
      <c r="P152" s="4" t="s">
        <v>2346</v>
      </c>
      <c r="Q152" s="42">
        <v>46067</v>
      </c>
      <c r="R152" s="4" t="s">
        <v>2363</v>
      </c>
      <c r="S152" s="4"/>
      <c r="T152" s="4"/>
      <c r="U152" s="4"/>
      <c r="V152" s="4"/>
      <c r="W152" s="4"/>
      <c r="X152" s="4"/>
      <c r="Y152" s="4" t="s">
        <v>2364</v>
      </c>
      <c r="Z152" s="4"/>
      <c r="AA152" s="4" t="s">
        <v>1642</v>
      </c>
      <c r="AB152" s="4"/>
      <c r="AC152" s="4"/>
      <c r="AD152" s="4" t="s">
        <v>2365</v>
      </c>
      <c r="AE152" s="8">
        <v>2</v>
      </c>
      <c r="AF152" s="4" t="s">
        <v>2351</v>
      </c>
      <c r="AG152" s="4" t="s">
        <v>2010</v>
      </c>
      <c r="AH152" s="14"/>
      <c r="AI152" s="4">
        <v>5601483</v>
      </c>
      <c r="AJ152" s="4" t="s">
        <v>1983</v>
      </c>
      <c r="AK152" s="4" t="s">
        <v>2353</v>
      </c>
      <c r="AL152" s="4" t="s">
        <v>2354</v>
      </c>
      <c r="AM152" s="4" t="s">
        <v>1450</v>
      </c>
      <c r="AN152" s="4" t="s">
        <v>1450</v>
      </c>
      <c r="AO152" s="4" t="s">
        <v>1450</v>
      </c>
      <c r="AP152" s="4" t="s">
        <v>1450</v>
      </c>
      <c r="AQ152" s="4" t="s">
        <v>1450</v>
      </c>
      <c r="AR152" s="4" t="s">
        <v>1341</v>
      </c>
      <c r="AS152" s="4" t="s">
        <v>2355</v>
      </c>
      <c r="AT152" s="4"/>
      <c r="AU152" s="4"/>
      <c r="AV152" s="4"/>
      <c r="AW152" s="8"/>
      <c r="AX152" s="8"/>
      <c r="AY152" s="8" t="s">
        <v>1460</v>
      </c>
      <c r="AZ152" s="8" t="s">
        <v>1441</v>
      </c>
      <c r="BA152" s="12"/>
      <c r="BB152" s="8" t="s">
        <v>1441</v>
      </c>
      <c r="BC152" s="4"/>
      <c r="BD152" s="4"/>
      <c r="BE152" s="8"/>
      <c r="BF152" s="8"/>
      <c r="BG152" s="8"/>
      <c r="BH152" s="8"/>
      <c r="BI152" s="8"/>
      <c r="BJ152" s="8"/>
      <c r="BK152" s="8"/>
      <c r="BL152" s="4" t="s">
        <v>2359</v>
      </c>
      <c r="BM152" s="8" t="s">
        <v>2359</v>
      </c>
      <c r="BP152" t="s">
        <v>2359</v>
      </c>
      <c r="BQ152" t="s">
        <v>2359</v>
      </c>
      <c r="BR152" t="s">
        <v>2359</v>
      </c>
      <c r="BS152" t="s">
        <v>1460</v>
      </c>
      <c r="BT152" t="s">
        <v>1441</v>
      </c>
      <c r="BU152" t="s">
        <v>1441</v>
      </c>
      <c r="BV152" t="s">
        <v>1460</v>
      </c>
      <c r="BW152" t="s">
        <v>1441</v>
      </c>
    </row>
    <row r="153" spans="1:75" ht="15" customHeight="1">
      <c r="A153" s="8" t="s">
        <v>1651</v>
      </c>
      <c r="B153" s="8" t="s">
        <v>1441</v>
      </c>
      <c r="C153" s="15" t="s">
        <v>1441</v>
      </c>
      <c r="D153" s="15" t="str">
        <f t="shared" si="9"/>
        <v>No</v>
      </c>
      <c r="E153" s="15" t="s">
        <v>1460</v>
      </c>
      <c r="F153" t="s">
        <v>1460</v>
      </c>
      <c r="G153" s="4" t="s">
        <v>1674</v>
      </c>
      <c r="H153" s="4" t="s">
        <v>1674</v>
      </c>
      <c r="I153" s="4" t="s">
        <v>2341</v>
      </c>
      <c r="J153" s="4" t="s">
        <v>2342</v>
      </c>
      <c r="K153" s="4" t="s">
        <v>2343</v>
      </c>
      <c r="L153" s="4" t="s">
        <v>2343</v>
      </c>
      <c r="M153" s="4" t="s">
        <v>2344</v>
      </c>
      <c r="N153" s="4" t="s">
        <v>2345</v>
      </c>
      <c r="O153" s="4" t="s">
        <v>1450</v>
      </c>
      <c r="P153" s="4" t="s">
        <v>2346</v>
      </c>
      <c r="Q153" s="42">
        <v>46067</v>
      </c>
      <c r="R153" s="4" t="s">
        <v>2347</v>
      </c>
      <c r="S153" s="4"/>
      <c r="T153" s="4"/>
      <c r="U153" s="4"/>
      <c r="V153" s="4"/>
      <c r="W153" s="4"/>
      <c r="X153" s="4"/>
      <c r="Y153" s="4" t="s">
        <v>2366</v>
      </c>
      <c r="Z153" s="4"/>
      <c r="AA153" s="4" t="s">
        <v>1642</v>
      </c>
      <c r="AB153" s="4"/>
      <c r="AC153" s="4"/>
      <c r="AD153" s="4" t="s">
        <v>2367</v>
      </c>
      <c r="AE153" s="8">
        <v>2</v>
      </c>
      <c r="AF153" s="4" t="s">
        <v>2351</v>
      </c>
      <c r="AG153" s="4" t="s">
        <v>1982</v>
      </c>
      <c r="AH153" s="14"/>
      <c r="AI153" s="4">
        <v>5601483</v>
      </c>
      <c r="AJ153" s="4" t="s">
        <v>1983</v>
      </c>
      <c r="AK153" s="4" t="s">
        <v>2353</v>
      </c>
      <c r="AL153" s="4" t="s">
        <v>2354</v>
      </c>
      <c r="AM153" s="4" t="s">
        <v>1450</v>
      </c>
      <c r="AN153" s="4" t="s">
        <v>1450</v>
      </c>
      <c r="AO153" s="4" t="s">
        <v>1450</v>
      </c>
      <c r="AP153" s="4" t="s">
        <v>1450</v>
      </c>
      <c r="AQ153" s="4" t="s">
        <v>1450</v>
      </c>
      <c r="AR153" s="4" t="s">
        <v>1341</v>
      </c>
      <c r="AS153" s="4" t="s">
        <v>2355</v>
      </c>
      <c r="AT153" s="4"/>
      <c r="AU153" s="4"/>
      <c r="AV153" s="4"/>
      <c r="AW153" s="8"/>
      <c r="AX153" s="8"/>
      <c r="AY153" s="8" t="s">
        <v>1460</v>
      </c>
      <c r="AZ153" s="8" t="s">
        <v>1441</v>
      </c>
      <c r="BA153" s="12"/>
      <c r="BB153" s="8" t="s">
        <v>1441</v>
      </c>
      <c r="BC153" s="4"/>
      <c r="BD153" s="4"/>
      <c r="BE153" s="8"/>
      <c r="BF153" s="8"/>
      <c r="BG153" s="8"/>
      <c r="BH153" s="8"/>
      <c r="BI153" s="8"/>
      <c r="BJ153" s="8"/>
      <c r="BK153" s="8"/>
      <c r="BL153" s="4" t="s">
        <v>2359</v>
      </c>
      <c r="BM153" s="8" t="s">
        <v>2359</v>
      </c>
      <c r="BP153" t="s">
        <v>2359</v>
      </c>
      <c r="BQ153" t="s">
        <v>2359</v>
      </c>
      <c r="BR153" t="s">
        <v>2359</v>
      </c>
      <c r="BS153" t="s">
        <v>1460</v>
      </c>
      <c r="BT153" t="s">
        <v>1441</v>
      </c>
      <c r="BU153" t="s">
        <v>1441</v>
      </c>
      <c r="BV153" t="s">
        <v>1460</v>
      </c>
      <c r="BW153" t="s">
        <v>1441</v>
      </c>
    </row>
    <row r="154" spans="1:75" ht="15" customHeight="1">
      <c r="A154" s="8" t="s">
        <v>1651</v>
      </c>
      <c r="B154" s="8" t="s">
        <v>1441</v>
      </c>
      <c r="C154" s="15" t="s">
        <v>1441</v>
      </c>
      <c r="D154" s="15" t="str">
        <f t="shared" si="9"/>
        <v>No</v>
      </c>
      <c r="E154" s="15" t="s">
        <v>1460</v>
      </c>
      <c r="F154" t="s">
        <v>1460</v>
      </c>
      <c r="G154" s="4" t="s">
        <v>1674</v>
      </c>
      <c r="H154" s="4" t="s">
        <v>1674</v>
      </c>
      <c r="I154" s="4" t="s">
        <v>2341</v>
      </c>
      <c r="J154" s="4" t="s">
        <v>2342</v>
      </c>
      <c r="K154" s="4" t="s">
        <v>2343</v>
      </c>
      <c r="L154" s="4" t="s">
        <v>2343</v>
      </c>
      <c r="M154" s="4" t="s">
        <v>2344</v>
      </c>
      <c r="N154" s="4" t="s">
        <v>2345</v>
      </c>
      <c r="O154" s="4" t="s">
        <v>1450</v>
      </c>
      <c r="P154" s="4" t="s">
        <v>2346</v>
      </c>
      <c r="Q154" s="42">
        <v>46067</v>
      </c>
      <c r="R154" s="4" t="s">
        <v>2347</v>
      </c>
      <c r="S154" s="4"/>
      <c r="T154" s="4"/>
      <c r="U154" s="4"/>
      <c r="V154" s="4"/>
      <c r="W154" s="4"/>
      <c r="X154" s="4"/>
      <c r="Y154" s="4" t="s">
        <v>2368</v>
      </c>
      <c r="Z154" s="4"/>
      <c r="AA154" s="4" t="s">
        <v>1642</v>
      </c>
      <c r="AB154" s="4"/>
      <c r="AC154" s="4"/>
      <c r="AD154" s="4" t="s">
        <v>2369</v>
      </c>
      <c r="AE154" s="8">
        <v>2</v>
      </c>
      <c r="AF154" s="4" t="s">
        <v>2351</v>
      </c>
      <c r="AG154" s="4" t="s">
        <v>1989</v>
      </c>
      <c r="AH154" s="14"/>
      <c r="AI154" s="4">
        <v>5601483</v>
      </c>
      <c r="AJ154" s="4" t="s">
        <v>1983</v>
      </c>
      <c r="AK154" s="4" t="s">
        <v>2353</v>
      </c>
      <c r="AL154" s="4" t="s">
        <v>2354</v>
      </c>
      <c r="AM154" s="4" t="s">
        <v>1450</v>
      </c>
      <c r="AN154" s="4" t="s">
        <v>1450</v>
      </c>
      <c r="AO154" s="4" t="s">
        <v>1450</v>
      </c>
      <c r="AP154" s="4" t="s">
        <v>1450</v>
      </c>
      <c r="AQ154" s="4" t="s">
        <v>1450</v>
      </c>
      <c r="AR154" s="4" t="s">
        <v>1341</v>
      </c>
      <c r="AS154" s="4" t="s">
        <v>2355</v>
      </c>
      <c r="AT154" s="4"/>
      <c r="AU154" s="4"/>
      <c r="AV154" s="4"/>
      <c r="AW154" s="8"/>
      <c r="AX154" s="8"/>
      <c r="AY154" s="8" t="s">
        <v>1460</v>
      </c>
      <c r="AZ154" s="8" t="s">
        <v>1441</v>
      </c>
      <c r="BA154" s="12"/>
      <c r="BB154" s="8" t="s">
        <v>1441</v>
      </c>
      <c r="BC154" s="4"/>
      <c r="BD154" s="4"/>
      <c r="BE154" s="8"/>
      <c r="BF154" s="8"/>
      <c r="BG154" s="8"/>
      <c r="BH154" s="8"/>
      <c r="BI154" s="8"/>
      <c r="BJ154" s="8"/>
      <c r="BK154" s="8"/>
      <c r="BL154" s="4" t="s">
        <v>2359</v>
      </c>
      <c r="BM154" s="8" t="s">
        <v>2359</v>
      </c>
      <c r="BP154" t="s">
        <v>2359</v>
      </c>
      <c r="BQ154" t="s">
        <v>2359</v>
      </c>
      <c r="BR154" t="s">
        <v>2359</v>
      </c>
      <c r="BS154" t="s">
        <v>1460</v>
      </c>
      <c r="BT154" t="s">
        <v>1441</v>
      </c>
      <c r="BU154" t="s">
        <v>1441</v>
      </c>
      <c r="BV154" t="s">
        <v>1460</v>
      </c>
      <c r="BW154" t="s">
        <v>1441</v>
      </c>
    </row>
    <row r="155" spans="1:75" ht="15" customHeight="1">
      <c r="A155" s="8" t="s">
        <v>1651</v>
      </c>
      <c r="B155" s="8" t="s">
        <v>1441</v>
      </c>
      <c r="C155" s="15" t="s">
        <v>1441</v>
      </c>
      <c r="D155" s="15" t="str">
        <f t="shared" si="9"/>
        <v>No</v>
      </c>
      <c r="E155" s="15" t="s">
        <v>1460</v>
      </c>
      <c r="F155" t="s">
        <v>1460</v>
      </c>
      <c r="G155" s="4" t="s">
        <v>1674</v>
      </c>
      <c r="H155" s="4" t="s">
        <v>1674</v>
      </c>
      <c r="I155" s="4" t="s">
        <v>2341</v>
      </c>
      <c r="J155" s="4" t="s">
        <v>2342</v>
      </c>
      <c r="K155" s="4" t="s">
        <v>2343</v>
      </c>
      <c r="L155" s="4" t="s">
        <v>2343</v>
      </c>
      <c r="M155" s="4" t="s">
        <v>2344</v>
      </c>
      <c r="N155" s="4" t="s">
        <v>2345</v>
      </c>
      <c r="O155" s="4" t="s">
        <v>1450</v>
      </c>
      <c r="P155" s="4" t="s">
        <v>2346</v>
      </c>
      <c r="Q155" s="42">
        <v>46067</v>
      </c>
      <c r="R155" s="4" t="s">
        <v>2347</v>
      </c>
      <c r="S155" s="4"/>
      <c r="T155" s="4"/>
      <c r="U155" s="4"/>
      <c r="V155" s="4"/>
      <c r="W155" s="4"/>
      <c r="X155" s="4"/>
      <c r="Y155" s="4" t="s">
        <v>2370</v>
      </c>
      <c r="Z155" s="4"/>
      <c r="AA155" s="4" t="s">
        <v>1642</v>
      </c>
      <c r="AB155" s="4"/>
      <c r="AC155" s="4"/>
      <c r="AD155" s="4" t="s">
        <v>2371</v>
      </c>
      <c r="AE155" s="8">
        <v>2</v>
      </c>
      <c r="AF155" s="4" t="s">
        <v>2351</v>
      </c>
      <c r="AG155" s="4" t="s">
        <v>2372</v>
      </c>
      <c r="AH155" s="14"/>
      <c r="AI155" s="4">
        <v>5601483</v>
      </c>
      <c r="AJ155" s="4" t="s">
        <v>1983</v>
      </c>
      <c r="AK155" s="4" t="s">
        <v>2353</v>
      </c>
      <c r="AL155" s="4" t="s">
        <v>2354</v>
      </c>
      <c r="AM155" s="4" t="s">
        <v>1450</v>
      </c>
      <c r="AN155" s="4" t="s">
        <v>1450</v>
      </c>
      <c r="AO155" s="4" t="s">
        <v>1450</v>
      </c>
      <c r="AP155" s="4" t="s">
        <v>1450</v>
      </c>
      <c r="AQ155" s="4" t="s">
        <v>1450</v>
      </c>
      <c r="AR155" s="4" t="s">
        <v>1341</v>
      </c>
      <c r="AS155" s="4" t="s">
        <v>2355</v>
      </c>
      <c r="AT155" s="4"/>
      <c r="AU155" s="4"/>
      <c r="AV155" s="4"/>
      <c r="AW155" s="8"/>
      <c r="AX155" s="8"/>
      <c r="AY155" s="8" t="s">
        <v>1460</v>
      </c>
      <c r="AZ155" s="8" t="s">
        <v>1441</v>
      </c>
      <c r="BA155" s="12"/>
      <c r="BB155" s="8" t="s">
        <v>1441</v>
      </c>
      <c r="BC155" s="4"/>
      <c r="BD155" s="4"/>
      <c r="BE155" s="8"/>
      <c r="BF155" s="8"/>
      <c r="BG155" s="8"/>
      <c r="BH155" s="8"/>
      <c r="BI155" s="8"/>
      <c r="BJ155" s="8"/>
      <c r="BK155" s="8"/>
      <c r="BL155" s="4" t="s">
        <v>2359</v>
      </c>
      <c r="BM155" s="8" t="s">
        <v>2359</v>
      </c>
      <c r="BP155" t="s">
        <v>2359</v>
      </c>
      <c r="BQ155" t="s">
        <v>2359</v>
      </c>
      <c r="BR155" t="s">
        <v>2359</v>
      </c>
      <c r="BS155" t="s">
        <v>1460</v>
      </c>
      <c r="BT155" t="s">
        <v>1441</v>
      </c>
      <c r="BU155" t="s">
        <v>1441</v>
      </c>
      <c r="BV155" t="s">
        <v>1460</v>
      </c>
      <c r="BW155" t="s">
        <v>1441</v>
      </c>
    </row>
    <row r="156" spans="1:75" ht="15" customHeight="1">
      <c r="A156" s="8" t="s">
        <v>1651</v>
      </c>
      <c r="B156" s="8" t="s">
        <v>1441</v>
      </c>
      <c r="C156" s="15" t="s">
        <v>1441</v>
      </c>
      <c r="D156" s="15" t="str">
        <f t="shared" si="9"/>
        <v>No</v>
      </c>
      <c r="E156" s="15" t="s">
        <v>1460</v>
      </c>
      <c r="F156" t="s">
        <v>1460</v>
      </c>
      <c r="G156" s="4" t="s">
        <v>1674</v>
      </c>
      <c r="H156" s="4" t="s">
        <v>1674</v>
      </c>
      <c r="I156" s="4" t="s">
        <v>2341</v>
      </c>
      <c r="J156" s="4" t="s">
        <v>2342</v>
      </c>
      <c r="K156" s="4" t="s">
        <v>2343</v>
      </c>
      <c r="L156" s="4" t="s">
        <v>2343</v>
      </c>
      <c r="M156" s="4" t="s">
        <v>2344</v>
      </c>
      <c r="N156" s="4" t="s">
        <v>2345</v>
      </c>
      <c r="O156" s="4" t="s">
        <v>1450</v>
      </c>
      <c r="P156" s="4" t="s">
        <v>2346</v>
      </c>
      <c r="Q156" s="42">
        <v>46067</v>
      </c>
      <c r="R156" s="4" t="s">
        <v>1769</v>
      </c>
      <c r="S156" s="4"/>
      <c r="T156" s="4"/>
      <c r="U156" s="4"/>
      <c r="V156" s="4"/>
      <c r="W156" s="4"/>
      <c r="X156" s="4"/>
      <c r="Y156" s="4" t="s">
        <v>2373</v>
      </c>
      <c r="Z156" s="4"/>
      <c r="AA156" s="4" t="s">
        <v>1642</v>
      </c>
      <c r="AB156" s="4"/>
      <c r="AC156" s="4"/>
      <c r="AD156" s="4" t="s">
        <v>2374</v>
      </c>
      <c r="AE156" s="8">
        <v>2</v>
      </c>
      <c r="AF156" s="4" t="s">
        <v>2351</v>
      </c>
      <c r="AG156" s="4" t="s">
        <v>2018</v>
      </c>
      <c r="AH156" s="14"/>
      <c r="AI156" s="4">
        <v>5601483</v>
      </c>
      <c r="AJ156" s="4" t="s">
        <v>1983</v>
      </c>
      <c r="AK156" s="4" t="s">
        <v>2353</v>
      </c>
      <c r="AL156" s="4" t="s">
        <v>2354</v>
      </c>
      <c r="AM156" s="4" t="s">
        <v>1450</v>
      </c>
      <c r="AN156" s="4" t="s">
        <v>1450</v>
      </c>
      <c r="AO156" s="4" t="s">
        <v>1450</v>
      </c>
      <c r="AP156" s="4" t="s">
        <v>1450</v>
      </c>
      <c r="AQ156" s="4" t="s">
        <v>1450</v>
      </c>
      <c r="AR156" s="4" t="s">
        <v>1341</v>
      </c>
      <c r="AS156" s="4" t="s">
        <v>2355</v>
      </c>
      <c r="AT156" s="4"/>
      <c r="AU156" s="4"/>
      <c r="AV156" s="4"/>
      <c r="AW156" s="8"/>
      <c r="AX156" s="8"/>
      <c r="AY156" s="8" t="s">
        <v>1460</v>
      </c>
      <c r="AZ156" s="8" t="s">
        <v>1441</v>
      </c>
      <c r="BA156" s="12"/>
      <c r="BB156" s="8" t="s">
        <v>1441</v>
      </c>
      <c r="BC156" s="4"/>
      <c r="BD156" s="4"/>
      <c r="BE156" s="8"/>
      <c r="BF156" s="8"/>
      <c r="BG156" s="8"/>
      <c r="BH156" s="8"/>
      <c r="BI156" s="8"/>
      <c r="BJ156" s="8"/>
      <c r="BK156" s="8"/>
      <c r="BL156" s="4" t="s">
        <v>2359</v>
      </c>
      <c r="BM156" s="8" t="s">
        <v>2359</v>
      </c>
      <c r="BP156" t="s">
        <v>2359</v>
      </c>
      <c r="BQ156" t="s">
        <v>2359</v>
      </c>
      <c r="BR156" t="s">
        <v>2359</v>
      </c>
      <c r="BS156" t="s">
        <v>1460</v>
      </c>
      <c r="BT156" t="s">
        <v>1441</v>
      </c>
      <c r="BU156" t="s">
        <v>1441</v>
      </c>
      <c r="BV156" t="s">
        <v>1460</v>
      </c>
      <c r="BW156" t="s">
        <v>1441</v>
      </c>
    </row>
    <row r="157" spans="1:75" ht="15" customHeight="1">
      <c r="A157" s="8" t="s">
        <v>1651</v>
      </c>
      <c r="B157" s="8" t="s">
        <v>1441</v>
      </c>
      <c r="C157" s="15" t="s">
        <v>1441</v>
      </c>
      <c r="D157" s="15" t="str">
        <f t="shared" si="9"/>
        <v>No</v>
      </c>
      <c r="E157" s="15" t="s">
        <v>1460</v>
      </c>
      <c r="F157" t="s">
        <v>1460</v>
      </c>
      <c r="G157" s="4" t="s">
        <v>1674</v>
      </c>
      <c r="H157" s="4" t="s">
        <v>1674</v>
      </c>
      <c r="I157" s="4" t="s">
        <v>2341</v>
      </c>
      <c r="J157" s="4" t="s">
        <v>2342</v>
      </c>
      <c r="K157" s="4" t="s">
        <v>2343</v>
      </c>
      <c r="L157" s="4" t="s">
        <v>2343</v>
      </c>
      <c r="M157" s="4" t="s">
        <v>2344</v>
      </c>
      <c r="N157" s="4" t="s">
        <v>2345</v>
      </c>
      <c r="O157" s="4" t="s">
        <v>1450</v>
      </c>
      <c r="P157" s="4" t="s">
        <v>2346</v>
      </c>
      <c r="Q157" s="42">
        <v>46067</v>
      </c>
      <c r="R157" s="4" t="s">
        <v>2375</v>
      </c>
      <c r="S157" s="4"/>
      <c r="T157" s="4"/>
      <c r="U157" s="4"/>
      <c r="V157" s="4"/>
      <c r="W157" s="4"/>
      <c r="X157" s="4"/>
      <c r="Y157" s="4" t="s">
        <v>2376</v>
      </c>
      <c r="Z157" s="4"/>
      <c r="AA157" s="4" t="s">
        <v>1642</v>
      </c>
      <c r="AB157" s="4"/>
      <c r="AC157" s="4"/>
      <c r="AD157" s="4" t="s">
        <v>2377</v>
      </c>
      <c r="AE157" s="8">
        <v>2</v>
      </c>
      <c r="AF157" s="4" t="s">
        <v>2351</v>
      </c>
      <c r="AG157" s="4" t="s">
        <v>2378</v>
      </c>
      <c r="AH157" s="14"/>
      <c r="AI157" s="4">
        <v>5601483</v>
      </c>
      <c r="AJ157" s="4" t="s">
        <v>1983</v>
      </c>
      <c r="AK157" s="4" t="s">
        <v>2353</v>
      </c>
      <c r="AL157" s="4" t="s">
        <v>2354</v>
      </c>
      <c r="AM157" s="4" t="s">
        <v>1450</v>
      </c>
      <c r="AN157" s="4" t="s">
        <v>1450</v>
      </c>
      <c r="AO157" s="4" t="s">
        <v>1450</v>
      </c>
      <c r="AP157" s="4" t="s">
        <v>1450</v>
      </c>
      <c r="AQ157" s="4" t="s">
        <v>1450</v>
      </c>
      <c r="AR157" s="4" t="s">
        <v>1341</v>
      </c>
      <c r="AS157" s="4" t="s">
        <v>2355</v>
      </c>
      <c r="AT157" s="4"/>
      <c r="AU157" s="4"/>
      <c r="AV157" s="4"/>
      <c r="AW157" s="8"/>
      <c r="AX157" s="8"/>
      <c r="AY157" s="8" t="s">
        <v>1460</v>
      </c>
      <c r="AZ157" s="8" t="s">
        <v>1441</v>
      </c>
      <c r="BA157" s="12"/>
      <c r="BB157" s="8" t="s">
        <v>1441</v>
      </c>
      <c r="BC157" s="4"/>
      <c r="BD157" s="4"/>
      <c r="BE157" s="8"/>
      <c r="BF157" s="8"/>
      <c r="BG157" s="8"/>
      <c r="BH157" s="8"/>
      <c r="BI157" s="8"/>
      <c r="BJ157" s="8"/>
      <c r="BK157" s="8"/>
      <c r="BL157" s="4" t="s">
        <v>2359</v>
      </c>
      <c r="BM157" s="8" t="s">
        <v>2359</v>
      </c>
      <c r="BP157" t="s">
        <v>2359</v>
      </c>
      <c r="BQ157" t="s">
        <v>2359</v>
      </c>
      <c r="BR157" t="s">
        <v>2359</v>
      </c>
      <c r="BS157" t="s">
        <v>1460</v>
      </c>
      <c r="BT157" t="s">
        <v>1441</v>
      </c>
      <c r="BU157" t="s">
        <v>1441</v>
      </c>
      <c r="BV157" t="s">
        <v>1460</v>
      </c>
      <c r="BW157" t="s">
        <v>1441</v>
      </c>
    </row>
    <row r="158" spans="1:75" ht="15" customHeight="1">
      <c r="A158" s="8"/>
      <c r="B158" s="8"/>
      <c r="D158" s="15" t="str">
        <f t="shared" si="9"/>
        <v/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2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8"/>
      <c r="AF158" s="4"/>
      <c r="AG158" s="4"/>
      <c r="AH158" s="1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8"/>
      <c r="AX158" s="8"/>
      <c r="AY158" s="8"/>
      <c r="AZ158" s="8"/>
      <c r="BA158" s="12"/>
      <c r="BB158" s="8"/>
      <c r="BC158" s="4"/>
      <c r="BD158" s="4"/>
      <c r="BE158" s="8"/>
      <c r="BF158" s="8"/>
      <c r="BG158" s="8"/>
      <c r="BH158" s="8"/>
      <c r="BI158" s="8"/>
      <c r="BJ158" s="8"/>
      <c r="BK158" s="8"/>
      <c r="BL158" s="4"/>
      <c r="BM158" s="8"/>
    </row>
    <row r="159" spans="1:75" ht="15" customHeight="1">
      <c r="A159" s="8"/>
      <c r="B159" s="8"/>
      <c r="D159" s="15" t="str">
        <f t="shared" si="9"/>
        <v/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2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8"/>
      <c r="AF159" s="4"/>
      <c r="AG159" s="4"/>
      <c r="AH159" s="1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8"/>
      <c r="AX159" s="8"/>
      <c r="AY159" s="8"/>
      <c r="AZ159" s="8"/>
      <c r="BA159" s="12"/>
      <c r="BB159" s="8"/>
      <c r="BC159" s="4"/>
      <c r="BD159" s="4"/>
      <c r="BE159" s="8"/>
      <c r="BF159" s="8"/>
      <c r="BG159" s="8"/>
      <c r="BH159" s="8"/>
      <c r="BI159" s="8"/>
      <c r="BJ159" s="8"/>
      <c r="BK159" s="8"/>
      <c r="BL159" s="4"/>
      <c r="BM159" s="8"/>
    </row>
    <row r="160" spans="1:75" ht="15" customHeight="1">
      <c r="A160" s="8"/>
      <c r="B160" s="8"/>
      <c r="D160" s="15" t="str">
        <f t="shared" si="9"/>
        <v/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2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8"/>
      <c r="AF160" s="4"/>
      <c r="AG160" s="4"/>
      <c r="AH160" s="1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8"/>
      <c r="AX160" s="8"/>
      <c r="AY160" s="8"/>
      <c r="AZ160" s="8"/>
      <c r="BA160" s="12"/>
      <c r="BB160" s="8"/>
      <c r="BC160" s="4"/>
      <c r="BD160" s="4"/>
      <c r="BE160" s="8"/>
      <c r="BF160" s="8"/>
      <c r="BG160" s="8"/>
      <c r="BH160" s="8"/>
      <c r="BI160" s="8"/>
      <c r="BJ160" s="8"/>
      <c r="BK160" s="8"/>
      <c r="BL160" s="4"/>
      <c r="BM160" s="8"/>
    </row>
    <row r="161" spans="1:70" ht="15" customHeight="1">
      <c r="A161" s="8"/>
      <c r="B161" s="8"/>
      <c r="D161" s="15" t="str">
        <f t="shared" si="9"/>
        <v/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2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8"/>
      <c r="AF161" s="4"/>
      <c r="AG161" s="4"/>
      <c r="AH161" s="1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8"/>
      <c r="AX161" s="8"/>
      <c r="AY161" s="8"/>
      <c r="AZ161" s="8"/>
      <c r="BA161" s="12"/>
      <c r="BB161" s="8"/>
      <c r="BC161" s="4"/>
      <c r="BD161" s="4"/>
      <c r="BE161" s="8"/>
      <c r="BF161" s="8"/>
      <c r="BG161" s="8"/>
      <c r="BH161" s="8"/>
      <c r="BI161" s="8"/>
      <c r="BJ161" s="8"/>
      <c r="BK161" s="8"/>
      <c r="BL161" s="4"/>
      <c r="BM161" s="8"/>
    </row>
    <row r="162" spans="1:70" ht="15" customHeight="1">
      <c r="A162" s="8"/>
      <c r="B162" s="8"/>
      <c r="D162" s="15" t="str">
        <f t="shared" si="9"/>
        <v/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2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8"/>
      <c r="AF162" s="4"/>
      <c r="AG162" s="4"/>
      <c r="AH162" s="1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8"/>
      <c r="AX162" s="8"/>
      <c r="AY162" s="8"/>
      <c r="AZ162" s="8"/>
      <c r="BA162" s="12"/>
      <c r="BB162" s="8"/>
      <c r="BC162" s="4"/>
      <c r="BD162" s="4"/>
      <c r="BE162" s="8"/>
      <c r="BF162" s="8"/>
      <c r="BG162" s="8"/>
      <c r="BH162" s="8"/>
      <c r="BI162" s="8"/>
      <c r="BJ162" s="8"/>
      <c r="BK162" s="8"/>
      <c r="BL162" s="4"/>
      <c r="BM162" s="8"/>
    </row>
    <row r="163" spans="1:70" ht="15" customHeight="1">
      <c r="A163" s="8"/>
      <c r="B163" s="8"/>
      <c r="D163" s="15" t="str">
        <f t="shared" si="9"/>
        <v/>
      </c>
      <c r="E163" s="15" t="str">
        <f>IF($A163="","",IF($A163="Neuron",IF(OR(AND($S163&lt;&gt;"",LOWER(TRIM($S163))&lt;&gt;"n/a",COUNTIF($S$2:$S$528,$S163)&gt;1),AND($T163&lt;&gt;"",LOWER(TRIM($T163))&lt;&gt;"n/a",COUNTIF($T$2:$T$528,$T163)&gt;1),AND($W163&lt;&gt;"",LOWER(TRIM($W163))&lt;&gt;"n/a",COUNTIF($W$2:$W$528,$W163)&gt;1)),"Yes","No"),IF($A163="Cybernet",IF(OR(AND($Y163&lt;&gt;"",LOWER(TRIM($Y163))&lt;&gt;"n/a",COUNTIF($Y$2:$Y$528,$Y163)&gt;1),AND($Z163&lt;&gt;"",LOWER(TRIM($Z163))&lt;&gt;"n/a",COUNTIF($Z$2:$Z$528,$Z163)&gt;1)),"Yes","No"),IF(AND($AL163&lt;&gt;"",LOWER(TRIM($AL163))&lt;&gt;"n/a",COUNTIF($AL$2:$AL$528,$AL163)&gt;1),"Yes","No"))))</f>
        <v/>
      </c>
      <c r="F163" t="str">
        <f>IF($B163&lt;&gt;"Yes","",
IF($A163="Neuron",
IF(OR(
AND($S163&lt;&gt;"",LOWER(TRIM($S163))&lt;&gt;"n/a",COUNTIFS($B$2:$B$528,"Yes",$A$2:$A$528,"Neuron",$S$2:$S$528,$S163)&gt;1),
AND($T163&lt;&gt;"",LOWER(TRIM($T163))&lt;&gt;"n/a",COUNTIFS($B$2:$B$528,"Yes",$A$2:$A$528,"Neuron",$T$2:$T$528,$T163)&gt;1),
AND($W163&lt;&gt;"",LOWER(TRIM($W163))&lt;&gt;"n/a",COUNTIFS($B$2:$B$528,"Yes",$A$2:$A$528,"Neuron",$W$2:$W$528,$W163)&gt;1)
),"Yes","No"),
IF($A163="Cybernet",
IF(OR(
AND($Y163&lt;&gt;"",LOWER(TRIM($Y163))&lt;&gt;"n/a",COUNTIFS($B$2:$B$528,"Yes",$A$2:$A$528,"Cybernet",$Y$2:$Y$528,$Y163)&gt;1),
AND($Z163&lt;&gt;"",LOWER(TRIM($Z163))&lt;&gt;"n/a",COUNTIFS($B$2:$B$528,"Yes",$A$2:$A$528,"Cybernet",$Z$2:$Z$528,$Z163)&gt;1)
),"Yes","No"),
IF(AND($AL163&lt;&gt;"",LOWER(TRIM($AL163))&lt;&gt;"n/a"),
IF(COUNTIFS($B$2:$B$528,"Yes",$A$2:$A$528,$A163,$AL$2:$AL$528,$AL163)&gt;1,"Yes","No"),
"No")
)
)
)</f>
        <v/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8"/>
      <c r="AF163" s="4"/>
      <c r="AG163" s="4"/>
      <c r="AH163" s="1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8"/>
      <c r="AX163" s="8"/>
      <c r="AY163" s="8"/>
      <c r="AZ163" s="8"/>
      <c r="BA163" s="12"/>
      <c r="BB163" s="8"/>
      <c r="BC163" s="4"/>
      <c r="BD163" s="4"/>
      <c r="BE163" s="8"/>
      <c r="BF163" s="8"/>
      <c r="BG163" s="8"/>
      <c r="BH163" s="8"/>
      <c r="BI163" s="8"/>
      <c r="BJ163" s="8"/>
      <c r="BK163" s="8"/>
      <c r="BL163" s="4" t="str">
        <f t="shared" si="6"/>
        <v/>
      </c>
      <c r="BM163" s="8" t="str">
        <f t="shared" si="7"/>
        <v/>
      </c>
      <c r="BP163" t="str">
        <f>IF($BO163="","",IFERROR(VLOOKUP($BO163,'01_Warehouse_Ledger'!$A:$N,4,FALSE),""))</f>
        <v/>
      </c>
      <c r="BQ163" t="str">
        <f>IF($BO163="","",IFERROR(VLOOKUP($BO163,'01_Warehouse_Ledger'!$A:$N,5,FALSE),""))</f>
        <v/>
      </c>
      <c r="BR163" t="str">
        <f>IF($BO163="","",IFERROR(VLOOKUP($BO163,'01_Warehouse_Ledger'!$A:$N,13,FALSE),""))</f>
        <v/>
      </c>
    </row>
    <row r="164" spans="1:70" ht="15" customHeight="1">
      <c r="A164" s="8"/>
      <c r="B164" s="8"/>
      <c r="D164" s="15" t="str">
        <f t="shared" si="9"/>
        <v/>
      </c>
      <c r="E164" s="15" t="str">
        <f>IF($A164="","",IF($A164="Neuron",IF(OR(AND($S164&lt;&gt;"",LOWER(TRIM($S164))&lt;&gt;"n/a",COUNTIF($S$2:$S$528,$S164)&gt;1),AND($T164&lt;&gt;"",LOWER(TRIM($T164))&lt;&gt;"n/a",COUNTIF($T$2:$T$528,$T164)&gt;1),AND($W164&lt;&gt;"",LOWER(TRIM($W164))&lt;&gt;"n/a",COUNTIF($W$2:$W$528,$W164)&gt;1)),"Yes","No"),IF($A164="Cybernet",IF(OR(AND($Y164&lt;&gt;"",LOWER(TRIM($Y164))&lt;&gt;"n/a",COUNTIF($Y$2:$Y$528,$Y164)&gt;1),AND($Z164&lt;&gt;"",LOWER(TRIM($Z164))&lt;&gt;"n/a",COUNTIF($Z$2:$Z$528,$Z164)&gt;1)),"Yes","No"),IF(AND($AL164&lt;&gt;"",LOWER(TRIM($AL164))&lt;&gt;"n/a",COUNTIF($AL$2:$AL$528,$AL164)&gt;1),"Yes","No"))))</f>
        <v/>
      </c>
      <c r="F164" t="str">
        <f>IF($B164&lt;&gt;"Yes","",
IF($A164="Neuron",
IF(OR(
AND($S164&lt;&gt;"",LOWER(TRIM($S164))&lt;&gt;"n/a",COUNTIFS($B$2:$B$528,"Yes",$A$2:$A$528,"Neuron",$S$2:$S$528,$S164)&gt;1),
AND($T164&lt;&gt;"",LOWER(TRIM($T164))&lt;&gt;"n/a",COUNTIFS($B$2:$B$528,"Yes",$A$2:$A$528,"Neuron",$T$2:$T$528,$T164)&gt;1),
AND($W164&lt;&gt;"",LOWER(TRIM($W164))&lt;&gt;"n/a",COUNTIFS($B$2:$B$528,"Yes",$A$2:$A$528,"Neuron",$W$2:$W$528,$W164)&gt;1)
),"Yes","No"),
IF($A164="Cybernet",
IF(OR(
AND($Y164&lt;&gt;"",LOWER(TRIM($Y164))&lt;&gt;"n/a",COUNTIFS($B$2:$B$528,"Yes",$A$2:$A$528,"Cybernet",$Y$2:$Y$528,$Y164)&gt;1),
AND($Z164&lt;&gt;"",LOWER(TRIM($Z164))&lt;&gt;"n/a",COUNTIFS($B$2:$B$528,"Yes",$A$2:$A$528,"Cybernet",$Z$2:$Z$528,$Z164)&gt;1)
),"Yes","No"),
IF(AND($AL164&lt;&gt;"",LOWER(TRIM($AL164))&lt;&gt;"n/a"),
IF(COUNTIFS($B$2:$B$528,"Yes",$A$2:$A$528,$A164,$AL$2:$AL$528,$AL164)&gt;1,"Yes","No"),
"No")
)
)
)</f>
        <v/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8"/>
      <c r="AF164" s="4"/>
      <c r="AG164" s="4"/>
      <c r="AH164" s="1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8"/>
      <c r="AX164" s="8"/>
      <c r="AY164" s="8"/>
      <c r="AZ164" s="8"/>
      <c r="BA164" s="12"/>
      <c r="BB164" s="8"/>
      <c r="BC164" s="4"/>
      <c r="BD164" s="4"/>
      <c r="BE164" s="8"/>
      <c r="BF164" s="8"/>
      <c r="BG164" s="8"/>
      <c r="BH164" s="8"/>
      <c r="BI164" s="8"/>
      <c r="BJ164" s="8"/>
      <c r="BK164" s="8"/>
      <c r="BL164" s="4" t="str">
        <f t="shared" si="6"/>
        <v/>
      </c>
      <c r="BM164" s="8" t="str">
        <f t="shared" si="7"/>
        <v/>
      </c>
      <c r="BP164" t="str">
        <f>IF($BO164="","",IFERROR(VLOOKUP($BO164,'01_Warehouse_Ledger'!$A:$N,4,FALSE),""))</f>
        <v/>
      </c>
      <c r="BQ164" t="str">
        <f>IF($BO164="","",IFERROR(VLOOKUP($BO164,'01_Warehouse_Ledger'!$A:$N,5,FALSE),""))</f>
        <v/>
      </c>
      <c r="BR164" t="str">
        <f>IF($BO164="","",IFERROR(VLOOKUP($BO164,'01_Warehouse_Ledger'!$A:$N,13,FALSE),""))</f>
        <v/>
      </c>
    </row>
    <row r="165" spans="1:70" ht="15" customHeight="1">
      <c r="A165" s="8"/>
      <c r="B165" s="8"/>
      <c r="D165" s="15" t="str">
        <f t="shared" si="9"/>
        <v/>
      </c>
      <c r="E165" s="15" t="str">
        <f>IF($A165="","",IF($A165="Neuron",IF(OR(AND($S165&lt;&gt;"",LOWER(TRIM($S165))&lt;&gt;"n/a",COUNTIF($S$2:$S$528,$S165)&gt;1),AND($T165&lt;&gt;"",LOWER(TRIM($T165))&lt;&gt;"n/a",COUNTIF($T$2:$T$528,$T165)&gt;1),AND($W165&lt;&gt;"",LOWER(TRIM($W165))&lt;&gt;"n/a",COUNTIF($W$2:$W$528,$W165)&gt;1)),"Yes","No"),IF($A165="Cybernet",IF(OR(AND($Y165&lt;&gt;"",LOWER(TRIM($Y165))&lt;&gt;"n/a",COUNTIF($Y$2:$Y$528,$Y165)&gt;1),AND($Z165&lt;&gt;"",LOWER(TRIM($Z165))&lt;&gt;"n/a",COUNTIF($Z$2:$Z$528,$Z165)&gt;1)),"Yes","No"),IF(AND($AL165&lt;&gt;"",LOWER(TRIM($AL165))&lt;&gt;"n/a",COUNTIF($AL$2:$AL$528,$AL165)&gt;1),"Yes","No"))))</f>
        <v/>
      </c>
      <c r="F165" t="str">
        <f>IF($B165&lt;&gt;"Yes","",
IF($A165="Neuron",
IF(OR(
AND($S165&lt;&gt;"",LOWER(TRIM($S165))&lt;&gt;"n/a",COUNTIFS($B$2:$B$528,"Yes",$A$2:$A$528,"Neuron",$S$2:$S$528,$S165)&gt;1),
AND($T165&lt;&gt;"",LOWER(TRIM($T165))&lt;&gt;"n/a",COUNTIFS($B$2:$B$528,"Yes",$A$2:$A$528,"Neuron",$T$2:$T$528,$T165)&gt;1),
AND($W165&lt;&gt;"",LOWER(TRIM($W165))&lt;&gt;"n/a",COUNTIFS($B$2:$B$528,"Yes",$A$2:$A$528,"Neuron",$W$2:$W$528,$W165)&gt;1)
),"Yes","No"),
IF($A165="Cybernet",
IF(OR(
AND($Y165&lt;&gt;"",LOWER(TRIM($Y165))&lt;&gt;"n/a",COUNTIFS($B$2:$B$528,"Yes",$A$2:$A$528,"Cybernet",$Y$2:$Y$528,$Y165)&gt;1),
AND($Z165&lt;&gt;"",LOWER(TRIM($Z165))&lt;&gt;"n/a",COUNTIFS($B$2:$B$528,"Yes",$A$2:$A$528,"Cybernet",$Z$2:$Z$528,$Z165)&gt;1)
),"Yes","No"),
IF(AND($AL165&lt;&gt;"",LOWER(TRIM($AL165))&lt;&gt;"n/a"),
IF(COUNTIFS($B$2:$B$528,"Yes",$A$2:$A$528,$A165,$AL$2:$AL$528,$AL165)&gt;1,"Yes","No"),
"No")
)
)
)</f>
        <v/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8"/>
      <c r="AF165" s="4"/>
      <c r="AG165" s="4"/>
      <c r="AH165" s="1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8"/>
      <c r="AX165" s="8"/>
      <c r="AY165" s="8"/>
      <c r="AZ165" s="8"/>
      <c r="BA165" s="12"/>
      <c r="BB165" s="8"/>
      <c r="BC165" s="4"/>
      <c r="BD165" s="4"/>
      <c r="BE165" s="8"/>
      <c r="BF165" s="8"/>
      <c r="BG165" s="8"/>
      <c r="BH165" s="8"/>
      <c r="BI165" s="8"/>
      <c r="BJ165" s="8"/>
      <c r="BK165" s="8"/>
      <c r="BL165" s="4" t="str">
        <f t="shared" si="6"/>
        <v/>
      </c>
      <c r="BM165" s="8" t="str">
        <f t="shared" si="7"/>
        <v/>
      </c>
      <c r="BP165" t="str">
        <f>IF($BO165="","",IFERROR(VLOOKUP($BO165,'01_Warehouse_Ledger'!$A:$N,4,FALSE),""))</f>
        <v/>
      </c>
      <c r="BQ165" t="str">
        <f>IF($BO165="","",IFERROR(VLOOKUP($BO165,'01_Warehouse_Ledger'!$A:$N,5,FALSE),""))</f>
        <v/>
      </c>
      <c r="BR165" t="str">
        <f>IF($BO165="","",IFERROR(VLOOKUP($BO165,'01_Warehouse_Ledger'!$A:$N,13,FALSE),""))</f>
        <v/>
      </c>
    </row>
    <row r="166" spans="1:70" ht="15" customHeight="1">
      <c r="A166" s="8"/>
      <c r="B166" s="8"/>
      <c r="D166" s="15" t="str">
        <f t="shared" si="9"/>
        <v/>
      </c>
      <c r="E166" s="15" t="str">
        <f>IF($A166="","",IF($A166="Neuron",IF(OR(AND($S166&lt;&gt;"",LOWER(TRIM($S166))&lt;&gt;"n/a",COUNTIF($S$2:$S$528,$S166)&gt;1),AND($T166&lt;&gt;"",LOWER(TRIM($T166))&lt;&gt;"n/a",COUNTIF($T$2:$T$528,$T166)&gt;1),AND($W166&lt;&gt;"",LOWER(TRIM($W166))&lt;&gt;"n/a",COUNTIF($W$2:$W$528,$W166)&gt;1)),"Yes","No"),IF($A166="Cybernet",IF(OR(AND($Y166&lt;&gt;"",LOWER(TRIM($Y166))&lt;&gt;"n/a",COUNTIF($Y$2:$Y$528,$Y166)&gt;1),AND($Z166&lt;&gt;"",LOWER(TRIM($Z166))&lt;&gt;"n/a",COUNTIF($Z$2:$Z$528,$Z166)&gt;1)),"Yes","No"),IF(AND($AL166&lt;&gt;"",LOWER(TRIM($AL166))&lt;&gt;"n/a",COUNTIF($AL$2:$AL$528,$AL166)&gt;1),"Yes","No"))))</f>
        <v/>
      </c>
      <c r="F166" t="str">
        <f>IF($B166&lt;&gt;"Yes","",
IF($A166="Neuron",
IF(OR(
AND($S166&lt;&gt;"",LOWER(TRIM($S166))&lt;&gt;"n/a",COUNTIFS($B$2:$B$528,"Yes",$A$2:$A$528,"Neuron",$S$2:$S$528,$S166)&gt;1),
AND($T166&lt;&gt;"",LOWER(TRIM($T166))&lt;&gt;"n/a",COUNTIFS($B$2:$B$528,"Yes",$A$2:$A$528,"Neuron",$T$2:$T$528,$T166)&gt;1),
AND($W166&lt;&gt;"",LOWER(TRIM($W166))&lt;&gt;"n/a",COUNTIFS($B$2:$B$528,"Yes",$A$2:$A$528,"Neuron",$W$2:$W$528,$W166)&gt;1)
),"Yes","No"),
IF($A166="Cybernet",
IF(OR(
AND($Y166&lt;&gt;"",LOWER(TRIM($Y166))&lt;&gt;"n/a",COUNTIFS($B$2:$B$528,"Yes",$A$2:$A$528,"Cybernet",$Y$2:$Y$528,$Y166)&gt;1),
AND($Z166&lt;&gt;"",LOWER(TRIM($Z166))&lt;&gt;"n/a",COUNTIFS($B$2:$B$528,"Yes",$A$2:$A$528,"Cybernet",$Z$2:$Z$528,$Z166)&gt;1)
),"Yes","No"),
IF(AND($AL166&lt;&gt;"",LOWER(TRIM($AL166))&lt;&gt;"n/a"),
IF(COUNTIFS($B$2:$B$528,"Yes",$A$2:$A$528,$A166,$AL$2:$AL$528,$AL166)&gt;1,"Yes","No"),
"No")
)
)
)</f>
        <v/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8"/>
      <c r="AF166" s="4"/>
      <c r="AG166" s="4"/>
      <c r="AH166" s="1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8"/>
      <c r="AX166" s="8"/>
      <c r="AY166" s="8"/>
      <c r="AZ166" s="8"/>
      <c r="BA166" s="12"/>
      <c r="BB166" s="8"/>
      <c r="BC166" s="4"/>
      <c r="BD166" s="4"/>
      <c r="BE166" s="8"/>
      <c r="BF166" s="8"/>
      <c r="BG166" s="8"/>
      <c r="BH166" s="8"/>
      <c r="BI166" s="8"/>
      <c r="BJ166" s="8"/>
      <c r="BK166" s="8"/>
      <c r="BL166" s="4" t="str">
        <f t="shared" si="6"/>
        <v/>
      </c>
      <c r="BM166" s="8" t="str">
        <f t="shared" si="7"/>
        <v/>
      </c>
      <c r="BP166" t="str">
        <f>IF($BO166="","",IFERROR(VLOOKUP($BO166,'01_Warehouse_Ledger'!$A:$N,4,FALSE),""))</f>
        <v/>
      </c>
      <c r="BQ166" t="str">
        <f>IF($BO166="","",IFERROR(VLOOKUP($BO166,'01_Warehouse_Ledger'!$A:$N,5,FALSE),""))</f>
        <v/>
      </c>
      <c r="BR166" t="str">
        <f>IF($BO166="","",IFERROR(VLOOKUP($BO166,'01_Warehouse_Ledger'!$A:$N,13,FALSE),""))</f>
        <v/>
      </c>
    </row>
    <row r="167" spans="1:70" ht="15" customHeight="1">
      <c r="A167" s="8"/>
      <c r="B167" s="8"/>
      <c r="D167" s="15" t="str">
        <f t="shared" si="9"/>
        <v/>
      </c>
      <c r="E167" s="15" t="str">
        <f>IF($A167="","",IF($A167="Neuron",IF(OR(AND($S167&lt;&gt;"",LOWER(TRIM($S167))&lt;&gt;"n/a",COUNTIF($S$2:$S$528,$S167)&gt;1),AND($T167&lt;&gt;"",LOWER(TRIM($T167))&lt;&gt;"n/a",COUNTIF($T$2:$T$528,$T167)&gt;1),AND($W167&lt;&gt;"",LOWER(TRIM($W167))&lt;&gt;"n/a",COUNTIF($W$2:$W$528,$W167)&gt;1)),"Yes","No"),IF($A167="Cybernet",IF(OR(AND($Y167&lt;&gt;"",LOWER(TRIM($Y167))&lt;&gt;"n/a",COUNTIF($Y$2:$Y$528,$Y167)&gt;1),AND($Z167&lt;&gt;"",LOWER(TRIM($Z167))&lt;&gt;"n/a",COUNTIF($Z$2:$Z$528,$Z167)&gt;1)),"Yes","No"),IF(AND($AL167&lt;&gt;"",LOWER(TRIM($AL167))&lt;&gt;"n/a",COUNTIF($AL$2:$AL$528,$AL167)&gt;1),"Yes","No"))))</f>
        <v/>
      </c>
      <c r="F167" t="str">
        <f>IF($B167&lt;&gt;"Yes","",
IF($A167="Neuron",
IF(OR(
AND($S167&lt;&gt;"",LOWER(TRIM($S167))&lt;&gt;"n/a",COUNTIFS($B$2:$B$528,"Yes",$A$2:$A$528,"Neuron",$S$2:$S$528,$S167)&gt;1),
AND($T167&lt;&gt;"",LOWER(TRIM($T167))&lt;&gt;"n/a",COUNTIFS($B$2:$B$528,"Yes",$A$2:$A$528,"Neuron",$T$2:$T$528,$T167)&gt;1),
AND($W167&lt;&gt;"",LOWER(TRIM($W167))&lt;&gt;"n/a",COUNTIFS($B$2:$B$528,"Yes",$A$2:$A$528,"Neuron",$W$2:$W$528,$W167)&gt;1)
),"Yes","No"),
IF($A167="Cybernet",
IF(OR(
AND($Y167&lt;&gt;"",LOWER(TRIM($Y167))&lt;&gt;"n/a",COUNTIFS($B$2:$B$528,"Yes",$A$2:$A$528,"Cybernet",$Y$2:$Y$528,$Y167)&gt;1),
AND($Z167&lt;&gt;"",LOWER(TRIM($Z167))&lt;&gt;"n/a",COUNTIFS($B$2:$B$528,"Yes",$A$2:$A$528,"Cybernet",$Z$2:$Z$528,$Z167)&gt;1)
),"Yes","No"),
IF(AND($AL167&lt;&gt;"",LOWER(TRIM($AL167))&lt;&gt;"n/a"),
IF(COUNTIFS($B$2:$B$528,"Yes",$A$2:$A$528,$A167,$AL$2:$AL$528,$AL167)&gt;1,"Yes","No"),
"No")
)
)
)</f>
        <v/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8"/>
      <c r="AF167" s="4"/>
      <c r="AG167" s="4"/>
      <c r="AH167" s="1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8"/>
      <c r="AX167" s="8"/>
      <c r="AY167" s="8"/>
      <c r="AZ167" s="8"/>
      <c r="BA167" s="12"/>
      <c r="BB167" s="8"/>
      <c r="BC167" s="4"/>
      <c r="BD167" s="4"/>
      <c r="BE167" s="8"/>
      <c r="BF167" s="8"/>
      <c r="BG167" s="8"/>
      <c r="BH167" s="8"/>
      <c r="BI167" s="8"/>
      <c r="BJ167" s="8"/>
      <c r="BK167" s="8"/>
      <c r="BL167" s="4" t="str">
        <f t="shared" si="6"/>
        <v/>
      </c>
      <c r="BM167" s="8" t="str">
        <f t="shared" si="7"/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0" ht="15" customHeight="1">
      <c r="A168" s="8"/>
      <c r="B168" s="8"/>
      <c r="D168" s="15" t="str">
        <f t="shared" si="9"/>
        <v/>
      </c>
      <c r="E168" s="15" t="str">
        <f>IF($A168="","",IF($A168="Neuron",IF(OR(AND($S168&lt;&gt;"",LOWER(TRIM($S168))&lt;&gt;"n/a",COUNTIF($S$2:$S$528,$S168)&gt;1),AND($T168&lt;&gt;"",LOWER(TRIM($T168))&lt;&gt;"n/a",COUNTIF($T$2:$T$528,$T168)&gt;1),AND($W168&lt;&gt;"",LOWER(TRIM($W168))&lt;&gt;"n/a",COUNTIF($W$2:$W$528,$W168)&gt;1)),"Yes","No"),IF($A168="Cybernet",IF(OR(AND($Y168&lt;&gt;"",LOWER(TRIM($Y168))&lt;&gt;"n/a",COUNTIF($Y$2:$Y$528,$Y168)&gt;1),AND($Z168&lt;&gt;"",LOWER(TRIM($Z168))&lt;&gt;"n/a",COUNTIF($Z$2:$Z$528,$Z168)&gt;1)),"Yes","No"),IF(AND($AL168&lt;&gt;"",LOWER(TRIM($AL168))&lt;&gt;"n/a",COUNTIF($AL$2:$AL$528,$AL168)&gt;1),"Yes","No"))))</f>
        <v/>
      </c>
      <c r="F168" t="str">
        <f>IF($B168&lt;&gt;"Yes","",
IF($A168="Neuron",
IF(OR(
AND($S168&lt;&gt;"",LOWER(TRIM($S168))&lt;&gt;"n/a",COUNTIFS($B$2:$B$528,"Yes",$A$2:$A$528,"Neuron",$S$2:$S$528,$S168)&gt;1),
AND($T168&lt;&gt;"",LOWER(TRIM($T168))&lt;&gt;"n/a",COUNTIFS($B$2:$B$528,"Yes",$A$2:$A$528,"Neuron",$T$2:$T$528,$T168)&gt;1),
AND($W168&lt;&gt;"",LOWER(TRIM($W168))&lt;&gt;"n/a",COUNTIFS($B$2:$B$528,"Yes",$A$2:$A$528,"Neuron",$W$2:$W$528,$W168)&gt;1)
),"Yes","No"),
IF($A168="Cybernet",
IF(OR(
AND($Y168&lt;&gt;"",LOWER(TRIM($Y168))&lt;&gt;"n/a",COUNTIFS($B$2:$B$528,"Yes",$A$2:$A$528,"Cybernet",$Y$2:$Y$528,$Y168)&gt;1),
AND($Z168&lt;&gt;"",LOWER(TRIM($Z168))&lt;&gt;"n/a",COUNTIFS($B$2:$B$528,"Yes",$A$2:$A$528,"Cybernet",$Z$2:$Z$528,$Z168)&gt;1)
),"Yes","No"),
IF(AND($AL168&lt;&gt;"",LOWER(TRIM($AL168))&lt;&gt;"n/a"),
IF(COUNTIFS($B$2:$B$528,"Yes",$A$2:$A$528,$A168,$AL$2:$AL$528,$AL168)&gt;1,"Yes","No"),
"No")
)
)
)</f>
        <v/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8"/>
      <c r="AF168" s="4"/>
      <c r="AG168" s="4"/>
      <c r="AH168" s="1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8"/>
      <c r="AX168" s="8"/>
      <c r="AY168" s="8"/>
      <c r="AZ168" s="8"/>
      <c r="BA168" s="12"/>
      <c r="BB168" s="8"/>
      <c r="BC168" s="4"/>
      <c r="BD168" s="4"/>
      <c r="BE168" s="8"/>
      <c r="BF168" s="8"/>
      <c r="BG168" s="8"/>
      <c r="BH168" s="8"/>
      <c r="BI168" s="8"/>
      <c r="BJ168" s="8"/>
      <c r="BK168" s="8"/>
      <c r="BL168" s="4" t="str">
        <f t="shared" si="6"/>
        <v/>
      </c>
      <c r="BM168" s="8" t="str">
        <f t="shared" si="7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0" ht="15" customHeight="1">
      <c r="A169" s="8"/>
      <c r="B169" s="8"/>
      <c r="D169" s="15" t="str">
        <f t="shared" si="9"/>
        <v/>
      </c>
      <c r="E169" s="15" t="str">
        <f>IF($A169="","",IF($A169="Neuron",IF(OR(AND($S169&lt;&gt;"",LOWER(TRIM($S169))&lt;&gt;"n/a",COUNTIF($S$2:$S$528,$S169)&gt;1),AND($T169&lt;&gt;"",LOWER(TRIM($T169))&lt;&gt;"n/a",COUNTIF($T$2:$T$528,$T169)&gt;1),AND($W169&lt;&gt;"",LOWER(TRIM($W169))&lt;&gt;"n/a",COUNTIF($W$2:$W$528,$W169)&gt;1)),"Yes","No"),IF($A169="Cybernet",IF(OR(AND($Y169&lt;&gt;"",LOWER(TRIM($Y169))&lt;&gt;"n/a",COUNTIF($Y$2:$Y$528,$Y169)&gt;1),AND($Z169&lt;&gt;"",LOWER(TRIM($Z169))&lt;&gt;"n/a",COUNTIF($Z$2:$Z$528,$Z169)&gt;1)),"Yes","No"),IF(AND($AL169&lt;&gt;"",LOWER(TRIM($AL169))&lt;&gt;"n/a",COUNTIF($AL$2:$AL$528,$AL169)&gt;1),"Yes","No"))))</f>
        <v/>
      </c>
      <c r="F169" t="str">
        <f>IF($B169&lt;&gt;"Yes","",
IF($A169="Neuron",
IF(OR(
AND($S169&lt;&gt;"",LOWER(TRIM($S169))&lt;&gt;"n/a",COUNTIFS($B$2:$B$528,"Yes",$A$2:$A$528,"Neuron",$S$2:$S$528,$S169)&gt;1),
AND($T169&lt;&gt;"",LOWER(TRIM($T169))&lt;&gt;"n/a",COUNTIFS($B$2:$B$528,"Yes",$A$2:$A$528,"Neuron",$T$2:$T$528,$T169)&gt;1),
AND($W169&lt;&gt;"",LOWER(TRIM($W169))&lt;&gt;"n/a",COUNTIFS($B$2:$B$528,"Yes",$A$2:$A$528,"Neuron",$W$2:$W$528,$W169)&gt;1)
),"Yes","No"),
IF($A169="Cybernet",
IF(OR(
AND($Y169&lt;&gt;"",LOWER(TRIM($Y169))&lt;&gt;"n/a",COUNTIFS($B$2:$B$528,"Yes",$A$2:$A$528,"Cybernet",$Y$2:$Y$528,$Y169)&gt;1),
AND($Z169&lt;&gt;"",LOWER(TRIM($Z169))&lt;&gt;"n/a",COUNTIFS($B$2:$B$528,"Yes",$A$2:$A$528,"Cybernet",$Z$2:$Z$528,$Z169)&gt;1)
),"Yes","No"),
IF(AND($AL169&lt;&gt;"",LOWER(TRIM($AL169))&lt;&gt;"n/a"),
IF(COUNTIFS($B$2:$B$528,"Yes",$A$2:$A$528,$A169,$AL$2:$AL$528,$AL169)&gt;1,"Yes","No"),
"No")
)
)
)</f>
        <v/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8"/>
      <c r="AF169" s="4"/>
      <c r="AG169" s="4"/>
      <c r="AH169" s="1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8"/>
      <c r="AX169" s="8"/>
      <c r="AY169" s="8"/>
      <c r="AZ169" s="8"/>
      <c r="BA169" s="12"/>
      <c r="BB169" s="8"/>
      <c r="BC169" s="4"/>
      <c r="BD169" s="4"/>
      <c r="BE169" s="8"/>
      <c r="BF169" s="8"/>
      <c r="BG169" s="8"/>
      <c r="BH169" s="8"/>
      <c r="BI169" s="8"/>
      <c r="BJ169" s="8"/>
      <c r="BK169" s="8"/>
      <c r="BL169" s="4" t="str">
        <f t="shared" si="6"/>
        <v/>
      </c>
      <c r="BM169" s="8" t="str">
        <f t="shared" si="7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0" ht="15" customHeight="1">
      <c r="A170" s="8"/>
      <c r="B170" s="8"/>
      <c r="D170" s="15" t="str">
        <f t="shared" si="9"/>
        <v/>
      </c>
      <c r="E170" s="15" t="str">
        <f>IF($A170="","",IF($A170="Neuron",IF(OR(AND($S170&lt;&gt;"",LOWER(TRIM($S170))&lt;&gt;"n/a",COUNTIF($S$2:$S$528,$S170)&gt;1),AND($T170&lt;&gt;"",LOWER(TRIM($T170))&lt;&gt;"n/a",COUNTIF($T$2:$T$528,$T170)&gt;1),AND($W170&lt;&gt;"",LOWER(TRIM($W170))&lt;&gt;"n/a",COUNTIF($W$2:$W$528,$W170)&gt;1)),"Yes","No"),IF($A170="Cybernet",IF(OR(AND($Y170&lt;&gt;"",LOWER(TRIM($Y170))&lt;&gt;"n/a",COUNTIF($Y$2:$Y$528,$Y170)&gt;1),AND($Z170&lt;&gt;"",LOWER(TRIM($Z170))&lt;&gt;"n/a",COUNTIF($Z$2:$Z$528,$Z170)&gt;1)),"Yes","No"),IF(AND($AL170&lt;&gt;"",LOWER(TRIM($AL170))&lt;&gt;"n/a",COUNTIF($AL$2:$AL$528,$AL170)&gt;1),"Yes","No"))))</f>
        <v/>
      </c>
      <c r="F170" t="str">
        <f>IF($B170&lt;&gt;"Yes","",
IF($A170="Neuron",
IF(OR(
AND($S170&lt;&gt;"",LOWER(TRIM($S170))&lt;&gt;"n/a",COUNTIFS($B$2:$B$528,"Yes",$A$2:$A$528,"Neuron",$S$2:$S$528,$S170)&gt;1),
AND($T170&lt;&gt;"",LOWER(TRIM($T170))&lt;&gt;"n/a",COUNTIFS($B$2:$B$528,"Yes",$A$2:$A$528,"Neuron",$T$2:$T$528,$T170)&gt;1),
AND($W170&lt;&gt;"",LOWER(TRIM($W170))&lt;&gt;"n/a",COUNTIFS($B$2:$B$528,"Yes",$A$2:$A$528,"Neuron",$W$2:$W$528,$W170)&gt;1)
),"Yes","No"),
IF($A170="Cybernet",
IF(OR(
AND($Y170&lt;&gt;"",LOWER(TRIM($Y170))&lt;&gt;"n/a",COUNTIFS($B$2:$B$528,"Yes",$A$2:$A$528,"Cybernet",$Y$2:$Y$528,$Y170)&gt;1),
AND($Z170&lt;&gt;"",LOWER(TRIM($Z170))&lt;&gt;"n/a",COUNTIFS($B$2:$B$528,"Yes",$A$2:$A$528,"Cybernet",$Z$2:$Z$528,$Z170)&gt;1)
),"Yes","No"),
IF(AND($AL170&lt;&gt;"",LOWER(TRIM($AL170))&lt;&gt;"n/a"),
IF(COUNTIFS($B$2:$B$528,"Yes",$A$2:$A$528,$A170,$AL$2:$AL$528,$AL170)&gt;1,"Yes","No"),
"No")
)
)
)</f>
        <v/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8"/>
      <c r="AF170" s="4"/>
      <c r="AG170" s="4"/>
      <c r="AH170" s="1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8"/>
      <c r="AX170" s="8"/>
      <c r="AY170" s="8"/>
      <c r="AZ170" s="8"/>
      <c r="BA170" s="12"/>
      <c r="BB170" s="8"/>
      <c r="BC170" s="4"/>
      <c r="BD170" s="4"/>
      <c r="BE170" s="8"/>
      <c r="BF170" s="8"/>
      <c r="BG170" s="8"/>
      <c r="BH170" s="8"/>
      <c r="BI170" s="8"/>
      <c r="BJ170" s="8"/>
      <c r="BK170" s="8"/>
      <c r="BL170" s="4" t="str">
        <f t="shared" si="6"/>
        <v/>
      </c>
      <c r="BM170" s="8" t="str">
        <f t="shared" si="7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0" ht="15" customHeight="1">
      <c r="A171" s="8"/>
      <c r="B171" s="8"/>
      <c r="D171" s="15" t="str">
        <f t="shared" si="9"/>
        <v/>
      </c>
      <c r="E171" s="15" t="str">
        <f>IF($A171="","",IF($A171="Neuron",IF(OR(AND($S171&lt;&gt;"",LOWER(TRIM($S171))&lt;&gt;"n/a",COUNTIF($S$2:$S$528,$S171)&gt;1),AND($T171&lt;&gt;"",LOWER(TRIM($T171))&lt;&gt;"n/a",COUNTIF($T$2:$T$528,$T171)&gt;1),AND($W171&lt;&gt;"",LOWER(TRIM($W171))&lt;&gt;"n/a",COUNTIF($W$2:$W$528,$W171)&gt;1)),"Yes","No"),IF($A171="Cybernet",IF(OR(AND($Y171&lt;&gt;"",LOWER(TRIM($Y171))&lt;&gt;"n/a",COUNTIF($Y$2:$Y$528,$Y171)&gt;1),AND($Z171&lt;&gt;"",LOWER(TRIM($Z171))&lt;&gt;"n/a",COUNTIF($Z$2:$Z$528,$Z171)&gt;1)),"Yes","No"),IF(AND($AL171&lt;&gt;"",LOWER(TRIM($AL171))&lt;&gt;"n/a",COUNTIF($AL$2:$AL$528,$AL171)&gt;1),"Yes","No"))))</f>
        <v/>
      </c>
      <c r="F171" t="str">
        <f>IF($B171&lt;&gt;"Yes","",
IF($A171="Neuron",
IF(OR(
AND($S171&lt;&gt;"",LOWER(TRIM($S171))&lt;&gt;"n/a",COUNTIFS($B$2:$B$528,"Yes",$A$2:$A$528,"Neuron",$S$2:$S$528,$S171)&gt;1),
AND($T171&lt;&gt;"",LOWER(TRIM($T171))&lt;&gt;"n/a",COUNTIFS($B$2:$B$528,"Yes",$A$2:$A$528,"Neuron",$T$2:$T$528,$T171)&gt;1),
AND($W171&lt;&gt;"",LOWER(TRIM($W171))&lt;&gt;"n/a",COUNTIFS($B$2:$B$528,"Yes",$A$2:$A$528,"Neuron",$W$2:$W$528,$W171)&gt;1)
),"Yes","No"),
IF($A171="Cybernet",
IF(OR(
AND($Y171&lt;&gt;"",LOWER(TRIM($Y171))&lt;&gt;"n/a",COUNTIFS($B$2:$B$528,"Yes",$A$2:$A$528,"Cybernet",$Y$2:$Y$528,$Y171)&gt;1),
AND($Z171&lt;&gt;"",LOWER(TRIM($Z171))&lt;&gt;"n/a",COUNTIFS($B$2:$B$528,"Yes",$A$2:$A$528,"Cybernet",$Z$2:$Z$528,$Z171)&gt;1)
),"Yes","No"),
IF(AND($AL171&lt;&gt;"",LOWER(TRIM($AL171))&lt;&gt;"n/a"),
IF(COUNTIFS($B$2:$B$528,"Yes",$A$2:$A$528,$A171,$AL$2:$AL$528,$AL171)&gt;1,"Yes","No"),
"No")
)
)
)</f>
        <v/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8"/>
      <c r="AF171" s="4"/>
      <c r="AG171" s="4"/>
      <c r="AH171" s="1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8"/>
      <c r="AX171" s="8"/>
      <c r="AY171" s="8"/>
      <c r="AZ171" s="8"/>
      <c r="BA171" s="12"/>
      <c r="BB171" s="8"/>
      <c r="BC171" s="4"/>
      <c r="BD171" s="4"/>
      <c r="BE171" s="8"/>
      <c r="BF171" s="8"/>
      <c r="BG171" s="8"/>
      <c r="BH171" s="8"/>
      <c r="BI171" s="8"/>
      <c r="BJ171" s="8"/>
      <c r="BK171" s="8"/>
      <c r="BL171" s="4" t="str">
        <f t="shared" si="6"/>
        <v/>
      </c>
      <c r="BM171" s="8" t="str">
        <f t="shared" si="7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0" ht="15" customHeight="1">
      <c r="A172" s="8"/>
      <c r="B172" s="8"/>
      <c r="D172" s="15" t="str">
        <f t="shared" si="9"/>
        <v/>
      </c>
      <c r="E172" s="15" t="str">
        <f>IF($A172="","",IF($A172="Neuron",IF(OR(AND($S172&lt;&gt;"",LOWER(TRIM($S172))&lt;&gt;"n/a",COUNTIF($S$2:$S$528,$S172)&gt;1),AND($T172&lt;&gt;"",LOWER(TRIM($T172))&lt;&gt;"n/a",COUNTIF($T$2:$T$528,$T172)&gt;1),AND($W172&lt;&gt;"",LOWER(TRIM($W172))&lt;&gt;"n/a",COUNTIF($W$2:$W$528,$W172)&gt;1)),"Yes","No"),IF($A172="Cybernet",IF(OR(AND($Y172&lt;&gt;"",LOWER(TRIM($Y172))&lt;&gt;"n/a",COUNTIF($Y$2:$Y$528,$Y172)&gt;1),AND($Z172&lt;&gt;"",LOWER(TRIM($Z172))&lt;&gt;"n/a",COUNTIF($Z$2:$Z$528,$Z172)&gt;1)),"Yes","No"),IF(AND($AL172&lt;&gt;"",LOWER(TRIM($AL172))&lt;&gt;"n/a",COUNTIF($AL$2:$AL$528,$AL172)&gt;1),"Yes","No"))))</f>
        <v/>
      </c>
      <c r="F172" t="str">
        <f>IF($B172&lt;&gt;"Yes","",
IF($A172="Neuron",
IF(OR(
AND($S172&lt;&gt;"",LOWER(TRIM($S172))&lt;&gt;"n/a",COUNTIFS($B$2:$B$528,"Yes",$A$2:$A$528,"Neuron",$S$2:$S$528,$S172)&gt;1),
AND($T172&lt;&gt;"",LOWER(TRIM($T172))&lt;&gt;"n/a",COUNTIFS($B$2:$B$528,"Yes",$A$2:$A$528,"Neuron",$T$2:$T$528,$T172)&gt;1),
AND($W172&lt;&gt;"",LOWER(TRIM($W172))&lt;&gt;"n/a",COUNTIFS($B$2:$B$528,"Yes",$A$2:$A$528,"Neuron",$W$2:$W$528,$W172)&gt;1)
),"Yes","No"),
IF($A172="Cybernet",
IF(OR(
AND($Y172&lt;&gt;"",LOWER(TRIM($Y172))&lt;&gt;"n/a",COUNTIFS($B$2:$B$528,"Yes",$A$2:$A$528,"Cybernet",$Y$2:$Y$528,$Y172)&gt;1),
AND($Z172&lt;&gt;"",LOWER(TRIM($Z172))&lt;&gt;"n/a",COUNTIFS($B$2:$B$528,"Yes",$A$2:$A$528,"Cybernet",$Z$2:$Z$528,$Z172)&gt;1)
),"Yes","No"),
IF(AND($AL172&lt;&gt;"",LOWER(TRIM($AL172))&lt;&gt;"n/a"),
IF(COUNTIFS($B$2:$B$528,"Yes",$A$2:$A$528,$A172,$AL$2:$AL$528,$AL172)&gt;1,"Yes","No"),
"No")
)
)
)</f>
        <v/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8"/>
      <c r="AF172" s="4"/>
      <c r="AG172" s="4"/>
      <c r="AH172" s="1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8"/>
      <c r="AX172" s="8"/>
      <c r="AY172" s="8"/>
      <c r="AZ172" s="8"/>
      <c r="BA172" s="12"/>
      <c r="BB172" s="8"/>
      <c r="BC172" s="4"/>
      <c r="BD172" s="4"/>
      <c r="BE172" s="8"/>
      <c r="BF172" s="8"/>
      <c r="BG172" s="8"/>
      <c r="BH172" s="8"/>
      <c r="BI172" s="8"/>
      <c r="BJ172" s="8"/>
      <c r="BK172" s="8"/>
      <c r="BL172" s="4" t="str">
        <f t="shared" si="6"/>
        <v/>
      </c>
      <c r="BM172" s="8" t="str">
        <f t="shared" si="7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0" ht="15" customHeight="1">
      <c r="A173" s="8"/>
      <c r="B173" s="8"/>
      <c r="D173" s="15" t="str">
        <f t="shared" si="9"/>
        <v/>
      </c>
      <c r="E173" s="15" t="str">
        <f>IF($A173="","",IF($A173="Neuron",IF(OR(AND($S173&lt;&gt;"",LOWER(TRIM($S173))&lt;&gt;"n/a",COUNTIF($S$2:$S$528,$S173)&gt;1),AND($T173&lt;&gt;"",LOWER(TRIM($T173))&lt;&gt;"n/a",COUNTIF($T$2:$T$528,$T173)&gt;1),AND($W173&lt;&gt;"",LOWER(TRIM($W173))&lt;&gt;"n/a",COUNTIF($W$2:$W$528,$W173)&gt;1)),"Yes","No"),IF($A173="Cybernet",IF(OR(AND($Y173&lt;&gt;"",LOWER(TRIM($Y173))&lt;&gt;"n/a",COUNTIF($Y$2:$Y$528,$Y173)&gt;1),AND($Z173&lt;&gt;"",LOWER(TRIM($Z173))&lt;&gt;"n/a",COUNTIF($Z$2:$Z$528,$Z173)&gt;1)),"Yes","No"),IF(AND($AL173&lt;&gt;"",LOWER(TRIM($AL173))&lt;&gt;"n/a",COUNTIF($AL$2:$AL$528,$AL173)&gt;1),"Yes","No"))))</f>
        <v/>
      </c>
      <c r="F173" t="str">
        <f>IF($B173&lt;&gt;"Yes","",
IF($A173="Neuron",
IF(OR(
AND($S173&lt;&gt;"",LOWER(TRIM($S173))&lt;&gt;"n/a",COUNTIFS($B$2:$B$528,"Yes",$A$2:$A$528,"Neuron",$S$2:$S$528,$S173)&gt;1),
AND($T173&lt;&gt;"",LOWER(TRIM($T173))&lt;&gt;"n/a",COUNTIFS($B$2:$B$528,"Yes",$A$2:$A$528,"Neuron",$T$2:$T$528,$T173)&gt;1),
AND($W173&lt;&gt;"",LOWER(TRIM($W173))&lt;&gt;"n/a",COUNTIFS($B$2:$B$528,"Yes",$A$2:$A$528,"Neuron",$W$2:$W$528,$W173)&gt;1)
),"Yes","No"),
IF($A173="Cybernet",
IF(OR(
AND($Y173&lt;&gt;"",LOWER(TRIM($Y173))&lt;&gt;"n/a",COUNTIFS($B$2:$B$528,"Yes",$A$2:$A$528,"Cybernet",$Y$2:$Y$528,$Y173)&gt;1),
AND($Z173&lt;&gt;"",LOWER(TRIM($Z173))&lt;&gt;"n/a",COUNTIFS($B$2:$B$528,"Yes",$A$2:$A$528,"Cybernet",$Z$2:$Z$528,$Z173)&gt;1)
),"Yes","No"),
IF(AND($AL173&lt;&gt;"",LOWER(TRIM($AL173))&lt;&gt;"n/a"),
IF(COUNTIFS($B$2:$B$528,"Yes",$A$2:$A$528,$A173,$AL$2:$AL$528,$AL173)&gt;1,"Yes","No"),
"No")
)
)
)</f>
        <v/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8"/>
      <c r="AF173" s="4"/>
      <c r="AG173" s="4"/>
      <c r="AH173" s="1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8"/>
      <c r="AX173" s="8"/>
      <c r="AY173" s="8"/>
      <c r="AZ173" s="8"/>
      <c r="BA173" s="12"/>
      <c r="BB173" s="8"/>
      <c r="BC173" s="4"/>
      <c r="BD173" s="4"/>
      <c r="BE173" s="8"/>
      <c r="BF173" s="8"/>
      <c r="BG173" s="8"/>
      <c r="BH173" s="8"/>
      <c r="BI173" s="8"/>
      <c r="BJ173" s="8"/>
      <c r="BK173" s="8"/>
      <c r="BL173" s="4" t="str">
        <f t="shared" si="6"/>
        <v/>
      </c>
      <c r="BM173" s="8" t="str">
        <f t="shared" si="7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0" ht="15" customHeight="1">
      <c r="A174" s="8"/>
      <c r="B174" s="8"/>
      <c r="D174" s="15" t="str">
        <f t="shared" si="9"/>
        <v/>
      </c>
      <c r="E174" s="15" t="str">
        <f>IF($A174="","",IF($A174="Neuron",IF(OR(AND($S174&lt;&gt;"",LOWER(TRIM($S174))&lt;&gt;"n/a",COUNTIF($S$2:$S$528,$S174)&gt;1),AND($T174&lt;&gt;"",LOWER(TRIM($T174))&lt;&gt;"n/a",COUNTIF($T$2:$T$528,$T174)&gt;1),AND($W174&lt;&gt;"",LOWER(TRIM($W174))&lt;&gt;"n/a",COUNTIF($W$2:$W$528,$W174)&gt;1)),"Yes","No"),IF($A174="Cybernet",IF(OR(AND($Y174&lt;&gt;"",LOWER(TRIM($Y174))&lt;&gt;"n/a",COUNTIF($Y$2:$Y$528,$Y174)&gt;1),AND($Z174&lt;&gt;"",LOWER(TRIM($Z174))&lt;&gt;"n/a",COUNTIF($Z$2:$Z$528,$Z174)&gt;1)),"Yes","No"),IF(AND($AL174&lt;&gt;"",LOWER(TRIM($AL174))&lt;&gt;"n/a",COUNTIF($AL$2:$AL$528,$AL174)&gt;1),"Yes","No"))))</f>
        <v/>
      </c>
      <c r="F174" t="str">
        <f>IF($B174&lt;&gt;"Yes","",
IF($A174="Neuron",
IF(OR(
AND($S174&lt;&gt;"",LOWER(TRIM($S174))&lt;&gt;"n/a",COUNTIFS($B$2:$B$528,"Yes",$A$2:$A$528,"Neuron",$S$2:$S$528,$S174)&gt;1),
AND($T174&lt;&gt;"",LOWER(TRIM($T174))&lt;&gt;"n/a",COUNTIFS($B$2:$B$528,"Yes",$A$2:$A$528,"Neuron",$T$2:$T$528,$T174)&gt;1),
AND($W174&lt;&gt;"",LOWER(TRIM($W174))&lt;&gt;"n/a",COUNTIFS($B$2:$B$528,"Yes",$A$2:$A$528,"Neuron",$W$2:$W$528,$W174)&gt;1)
),"Yes","No"),
IF($A174="Cybernet",
IF(OR(
AND($Y174&lt;&gt;"",LOWER(TRIM($Y174))&lt;&gt;"n/a",COUNTIFS($B$2:$B$528,"Yes",$A$2:$A$528,"Cybernet",$Y$2:$Y$528,$Y174)&gt;1),
AND($Z174&lt;&gt;"",LOWER(TRIM($Z174))&lt;&gt;"n/a",COUNTIFS($B$2:$B$528,"Yes",$A$2:$A$528,"Cybernet",$Z$2:$Z$528,$Z174)&gt;1)
),"Yes","No"),
IF(AND($AL174&lt;&gt;"",LOWER(TRIM($AL174))&lt;&gt;"n/a"),
IF(COUNTIFS($B$2:$B$528,"Yes",$A$2:$A$528,$A174,$AL$2:$AL$528,$AL174)&gt;1,"Yes","No"),
"No")
)
)
)</f>
        <v/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8"/>
      <c r="AF174" s="4"/>
      <c r="AG174" s="4"/>
      <c r="AH174" s="1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8"/>
      <c r="AX174" s="8"/>
      <c r="AY174" s="8"/>
      <c r="AZ174" s="8"/>
      <c r="BA174" s="12"/>
      <c r="BB174" s="8"/>
      <c r="BC174" s="4"/>
      <c r="BD174" s="4"/>
      <c r="BE174" s="8"/>
      <c r="BF174" s="8"/>
      <c r="BG174" s="8"/>
      <c r="BH174" s="8"/>
      <c r="BI174" s="8"/>
      <c r="BJ174" s="8"/>
      <c r="BK174" s="8"/>
      <c r="BL174" s="4" t="str">
        <f t="shared" si="6"/>
        <v/>
      </c>
      <c r="BM174" s="8" t="str">
        <f t="shared" si="7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0" ht="15" customHeight="1">
      <c r="A175" s="8"/>
      <c r="B175" s="8"/>
      <c r="D175" s="15" t="str">
        <f t="shared" si="9"/>
        <v/>
      </c>
      <c r="E175" s="15" t="str">
        <f>IF($A175="","",IF($A175="Neuron",IF(OR(AND($S175&lt;&gt;"",LOWER(TRIM($S175))&lt;&gt;"n/a",COUNTIF($S$2:$S$528,$S175)&gt;1),AND($T175&lt;&gt;"",LOWER(TRIM($T175))&lt;&gt;"n/a",COUNTIF($T$2:$T$528,$T175)&gt;1),AND($W175&lt;&gt;"",LOWER(TRIM($W175))&lt;&gt;"n/a",COUNTIF($W$2:$W$528,$W175)&gt;1)),"Yes","No"),IF($A175="Cybernet",IF(OR(AND($Y175&lt;&gt;"",LOWER(TRIM($Y175))&lt;&gt;"n/a",COUNTIF($Y$2:$Y$528,$Y175)&gt;1),AND($Z175&lt;&gt;"",LOWER(TRIM($Z175))&lt;&gt;"n/a",COUNTIF($Z$2:$Z$528,$Z175)&gt;1)),"Yes","No"),IF(AND($AL175&lt;&gt;"",LOWER(TRIM($AL175))&lt;&gt;"n/a",COUNTIF($AL$2:$AL$528,$AL175)&gt;1),"Yes","No"))))</f>
        <v/>
      </c>
      <c r="F175" t="str">
        <f>IF($B175&lt;&gt;"Yes","",
IF($A175="Neuron",
IF(OR(
AND($S175&lt;&gt;"",LOWER(TRIM($S175))&lt;&gt;"n/a",COUNTIFS($B$2:$B$528,"Yes",$A$2:$A$528,"Neuron",$S$2:$S$528,$S175)&gt;1),
AND($T175&lt;&gt;"",LOWER(TRIM($T175))&lt;&gt;"n/a",COUNTIFS($B$2:$B$528,"Yes",$A$2:$A$528,"Neuron",$T$2:$T$528,$T175)&gt;1),
AND($W175&lt;&gt;"",LOWER(TRIM($W175))&lt;&gt;"n/a",COUNTIFS($B$2:$B$528,"Yes",$A$2:$A$528,"Neuron",$W$2:$W$528,$W175)&gt;1)
),"Yes","No"),
IF($A175="Cybernet",
IF(OR(
AND($Y175&lt;&gt;"",LOWER(TRIM($Y175))&lt;&gt;"n/a",COUNTIFS($B$2:$B$528,"Yes",$A$2:$A$528,"Cybernet",$Y$2:$Y$528,$Y175)&gt;1),
AND($Z175&lt;&gt;"",LOWER(TRIM($Z175))&lt;&gt;"n/a",COUNTIFS($B$2:$B$528,"Yes",$A$2:$A$528,"Cybernet",$Z$2:$Z$528,$Z175)&gt;1)
),"Yes","No"),
IF(AND($AL175&lt;&gt;"",LOWER(TRIM($AL175))&lt;&gt;"n/a"),
IF(COUNTIFS($B$2:$B$528,"Yes",$A$2:$A$528,$A175,$AL$2:$AL$528,$AL175)&gt;1,"Yes","No"),
"No")
)
)
)</f>
        <v/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8"/>
      <c r="AF175" s="4"/>
      <c r="AG175" s="4"/>
      <c r="AH175" s="1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8"/>
      <c r="AX175" s="8"/>
      <c r="AY175" s="8"/>
      <c r="AZ175" s="8"/>
      <c r="BA175" s="12"/>
      <c r="BB175" s="8"/>
      <c r="BC175" s="4"/>
      <c r="BD175" s="4"/>
      <c r="BE175" s="8"/>
      <c r="BF175" s="8"/>
      <c r="BG175" s="8"/>
      <c r="BH175" s="8"/>
      <c r="BI175" s="8"/>
      <c r="BJ175" s="8"/>
      <c r="BK175" s="8"/>
      <c r="BL175" s="4" t="str">
        <f t="shared" si="6"/>
        <v/>
      </c>
      <c r="BM175" s="8" t="str">
        <f t="shared" si="7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0" ht="15" customHeight="1">
      <c r="A176" s="8"/>
      <c r="B176" s="8"/>
      <c r="D176" s="15" t="str">
        <f t="shared" si="9"/>
        <v/>
      </c>
      <c r="E176" s="15" t="str">
        <f>IF($A176="","",IF($A176="Neuron",IF(OR(AND($S176&lt;&gt;"",LOWER(TRIM($S176))&lt;&gt;"n/a",COUNTIF($S$2:$S$528,$S176)&gt;1),AND($T176&lt;&gt;"",LOWER(TRIM($T176))&lt;&gt;"n/a",COUNTIF($T$2:$T$528,$T176)&gt;1),AND($W176&lt;&gt;"",LOWER(TRIM($W176))&lt;&gt;"n/a",COUNTIF($W$2:$W$528,$W176)&gt;1)),"Yes","No"),IF($A176="Cybernet",IF(OR(AND($Y176&lt;&gt;"",LOWER(TRIM($Y176))&lt;&gt;"n/a",COUNTIF($Y$2:$Y$528,$Y176)&gt;1),AND($Z176&lt;&gt;"",LOWER(TRIM($Z176))&lt;&gt;"n/a",COUNTIF($Z$2:$Z$528,$Z176)&gt;1)),"Yes","No"),IF(AND($AL176&lt;&gt;"",LOWER(TRIM($AL176))&lt;&gt;"n/a",COUNTIF($AL$2:$AL$528,$AL176)&gt;1),"Yes","No"))))</f>
        <v/>
      </c>
      <c r="F176" t="str">
        <f>IF($B176&lt;&gt;"Yes","",
IF($A176="Neuron",
IF(OR(
AND($S176&lt;&gt;"",LOWER(TRIM($S176))&lt;&gt;"n/a",COUNTIFS($B$2:$B$528,"Yes",$A$2:$A$528,"Neuron",$S$2:$S$528,$S176)&gt;1),
AND($T176&lt;&gt;"",LOWER(TRIM($T176))&lt;&gt;"n/a",COUNTIFS($B$2:$B$528,"Yes",$A$2:$A$528,"Neuron",$T$2:$T$528,$T176)&gt;1),
AND($W176&lt;&gt;"",LOWER(TRIM($W176))&lt;&gt;"n/a",COUNTIFS($B$2:$B$528,"Yes",$A$2:$A$528,"Neuron",$W$2:$W$528,$W176)&gt;1)
),"Yes","No"),
IF($A176="Cybernet",
IF(OR(
AND($Y176&lt;&gt;"",LOWER(TRIM($Y176))&lt;&gt;"n/a",COUNTIFS($B$2:$B$528,"Yes",$A$2:$A$528,"Cybernet",$Y$2:$Y$528,$Y176)&gt;1),
AND($Z176&lt;&gt;"",LOWER(TRIM($Z176))&lt;&gt;"n/a",COUNTIFS($B$2:$B$528,"Yes",$A$2:$A$528,"Cybernet",$Z$2:$Z$528,$Z176)&gt;1)
),"Yes","No"),
IF(AND($AL176&lt;&gt;"",LOWER(TRIM($AL176))&lt;&gt;"n/a"),
IF(COUNTIFS($B$2:$B$528,"Yes",$A$2:$A$528,$A176,$AL$2:$AL$528,$AL176)&gt;1,"Yes","No"),
"No")
)
)
)</f>
        <v/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8"/>
      <c r="AF176" s="4"/>
      <c r="AG176" s="4"/>
      <c r="AH176" s="1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8"/>
      <c r="AX176" s="8"/>
      <c r="AY176" s="8"/>
      <c r="AZ176" s="8"/>
      <c r="BA176" s="12"/>
      <c r="BB176" s="8"/>
      <c r="BC176" s="4"/>
      <c r="BD176" s="4"/>
      <c r="BE176" s="8"/>
      <c r="BF176" s="8"/>
      <c r="BG176" s="8"/>
      <c r="BH176" s="8"/>
      <c r="BI176" s="8"/>
      <c r="BJ176" s="8"/>
      <c r="BK176" s="8"/>
      <c r="BL176" s="4" t="str">
        <f t="shared" si="6"/>
        <v/>
      </c>
      <c r="BM176" s="8" t="str">
        <f t="shared" si="7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1:70" ht="15" customHeight="1">
      <c r="A177" s="8"/>
      <c r="B177" s="8"/>
      <c r="D177" s="15" t="str">
        <f t="shared" si="9"/>
        <v/>
      </c>
      <c r="E177" s="15" t="str">
        <f>IF($A177="","",IF($A177="Neuron",IF(OR(AND($S177&lt;&gt;"",LOWER(TRIM($S177))&lt;&gt;"n/a",COUNTIF($S$2:$S$528,$S177)&gt;1),AND($T177&lt;&gt;"",LOWER(TRIM($T177))&lt;&gt;"n/a",COUNTIF($T$2:$T$528,$T177)&gt;1),AND($W177&lt;&gt;"",LOWER(TRIM($W177))&lt;&gt;"n/a",COUNTIF($W$2:$W$528,$W177)&gt;1)),"Yes","No"),IF($A177="Cybernet",IF(OR(AND($Y177&lt;&gt;"",LOWER(TRIM($Y177))&lt;&gt;"n/a",COUNTIF($Y$2:$Y$528,$Y177)&gt;1),AND($Z177&lt;&gt;"",LOWER(TRIM($Z177))&lt;&gt;"n/a",COUNTIF($Z$2:$Z$528,$Z177)&gt;1)),"Yes","No"),IF(AND($AL177&lt;&gt;"",LOWER(TRIM($AL177))&lt;&gt;"n/a",COUNTIF($AL$2:$AL$528,$AL177)&gt;1),"Yes","No"))))</f>
        <v/>
      </c>
      <c r="F177" t="str">
        <f>IF($B177&lt;&gt;"Yes","",
IF($A177="Neuron",
IF(OR(
AND($S177&lt;&gt;"",LOWER(TRIM($S177))&lt;&gt;"n/a",COUNTIFS($B$2:$B$528,"Yes",$A$2:$A$528,"Neuron",$S$2:$S$528,$S177)&gt;1),
AND($T177&lt;&gt;"",LOWER(TRIM($T177))&lt;&gt;"n/a",COUNTIFS($B$2:$B$528,"Yes",$A$2:$A$528,"Neuron",$T$2:$T$528,$T177)&gt;1),
AND($W177&lt;&gt;"",LOWER(TRIM($W177))&lt;&gt;"n/a",COUNTIFS($B$2:$B$528,"Yes",$A$2:$A$528,"Neuron",$W$2:$W$528,$W177)&gt;1)
),"Yes","No"),
IF($A177="Cybernet",
IF(OR(
AND($Y177&lt;&gt;"",LOWER(TRIM($Y177))&lt;&gt;"n/a",COUNTIFS($B$2:$B$528,"Yes",$A$2:$A$528,"Cybernet",$Y$2:$Y$528,$Y177)&gt;1),
AND($Z177&lt;&gt;"",LOWER(TRIM($Z177))&lt;&gt;"n/a",COUNTIFS($B$2:$B$528,"Yes",$A$2:$A$528,"Cybernet",$Z$2:$Z$528,$Z177)&gt;1)
),"Yes","No"),
IF(AND($AL177&lt;&gt;"",LOWER(TRIM($AL177))&lt;&gt;"n/a"),
IF(COUNTIFS($B$2:$B$528,"Yes",$A$2:$A$528,$A177,$AL$2:$AL$528,$AL177)&gt;1,"Yes","No"),
"No")
)
)
)</f>
        <v/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8"/>
      <c r="AF177" s="4"/>
      <c r="AG177" s="4"/>
      <c r="AH177" s="1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8"/>
      <c r="AX177" s="8"/>
      <c r="AY177" s="8"/>
      <c r="AZ177" s="8"/>
      <c r="BA177" s="12"/>
      <c r="BB177" s="8"/>
      <c r="BC177" s="4"/>
      <c r="BD177" s="4"/>
      <c r="BE177" s="8"/>
      <c r="BF177" s="8"/>
      <c r="BG177" s="8"/>
      <c r="BH177" s="8"/>
      <c r="BI177" s="8"/>
      <c r="BJ177" s="8"/>
      <c r="BK177" s="8"/>
      <c r="BL177" s="4" t="str">
        <f t="shared" si="6"/>
        <v/>
      </c>
      <c r="BM177" s="8" t="str">
        <f t="shared" si="7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1:70" ht="15" customHeight="1">
      <c r="A178" s="8"/>
      <c r="B178" s="8"/>
      <c r="D178" s="15" t="str">
        <f t="shared" si="9"/>
        <v/>
      </c>
      <c r="E178" s="15" t="str">
        <f>IF($A178="","",IF($A178="Neuron",IF(OR(AND($S178&lt;&gt;"",LOWER(TRIM($S178))&lt;&gt;"n/a",COUNTIF($S$2:$S$528,$S178)&gt;1),AND($T178&lt;&gt;"",LOWER(TRIM($T178))&lt;&gt;"n/a",COUNTIF($T$2:$T$528,$T178)&gt;1),AND($W178&lt;&gt;"",LOWER(TRIM($W178))&lt;&gt;"n/a",COUNTIF($W$2:$W$528,$W178)&gt;1)),"Yes","No"),IF($A178="Cybernet",IF(OR(AND($Y178&lt;&gt;"",LOWER(TRIM($Y178))&lt;&gt;"n/a",COUNTIF($Y$2:$Y$528,$Y178)&gt;1),AND($Z178&lt;&gt;"",LOWER(TRIM($Z178))&lt;&gt;"n/a",COUNTIF($Z$2:$Z$528,$Z178)&gt;1)),"Yes","No"),IF(AND($AL178&lt;&gt;"",LOWER(TRIM($AL178))&lt;&gt;"n/a",COUNTIF($AL$2:$AL$528,$AL178)&gt;1),"Yes","No"))))</f>
        <v/>
      </c>
      <c r="F178" t="str">
        <f>IF($B178&lt;&gt;"Yes","",
IF($A178="Neuron",
IF(OR(
AND($S178&lt;&gt;"",LOWER(TRIM($S178))&lt;&gt;"n/a",COUNTIFS($B$2:$B$528,"Yes",$A$2:$A$528,"Neuron",$S$2:$S$528,$S178)&gt;1),
AND($T178&lt;&gt;"",LOWER(TRIM($T178))&lt;&gt;"n/a",COUNTIFS($B$2:$B$528,"Yes",$A$2:$A$528,"Neuron",$T$2:$T$528,$T178)&gt;1),
AND($W178&lt;&gt;"",LOWER(TRIM($W178))&lt;&gt;"n/a",COUNTIFS($B$2:$B$528,"Yes",$A$2:$A$528,"Neuron",$W$2:$W$528,$W178)&gt;1)
),"Yes","No"),
IF($A178="Cybernet",
IF(OR(
AND($Y178&lt;&gt;"",LOWER(TRIM($Y178))&lt;&gt;"n/a",COUNTIFS($B$2:$B$528,"Yes",$A$2:$A$528,"Cybernet",$Y$2:$Y$528,$Y178)&gt;1),
AND($Z178&lt;&gt;"",LOWER(TRIM($Z178))&lt;&gt;"n/a",COUNTIFS($B$2:$B$528,"Yes",$A$2:$A$528,"Cybernet",$Z$2:$Z$528,$Z178)&gt;1)
),"Yes","No"),
IF(AND($AL178&lt;&gt;"",LOWER(TRIM($AL178))&lt;&gt;"n/a"),
IF(COUNTIFS($B$2:$B$528,"Yes",$A$2:$A$528,$A178,$AL$2:$AL$528,$AL178)&gt;1,"Yes","No"),
"No")
)
)
)</f>
        <v/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8"/>
      <c r="AF178" s="4"/>
      <c r="AG178" s="4"/>
      <c r="AH178" s="1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8"/>
      <c r="AX178" s="8"/>
      <c r="AY178" s="8"/>
      <c r="AZ178" s="8"/>
      <c r="BA178" s="12"/>
      <c r="BB178" s="8"/>
      <c r="BC178" s="4"/>
      <c r="BD178" s="4"/>
      <c r="BE178" s="8"/>
      <c r="BF178" s="8"/>
      <c r="BG178" s="8"/>
      <c r="BH178" s="8"/>
      <c r="BI178" s="8"/>
      <c r="BJ178" s="8"/>
      <c r="BK178" s="8"/>
      <c r="BL178" s="4" t="str">
        <f t="shared" si="6"/>
        <v/>
      </c>
      <c r="BM178" s="8" t="str">
        <f t="shared" si="7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1:70" ht="15" customHeight="1">
      <c r="A179" s="8"/>
      <c r="B179" s="8"/>
      <c r="D179" s="15" t="str">
        <f t="shared" si="9"/>
        <v/>
      </c>
      <c r="E179" s="15" t="str">
        <f>IF($A179="","",IF($A179="Neuron",IF(OR(AND($S179&lt;&gt;"",LOWER(TRIM($S179))&lt;&gt;"n/a",COUNTIF($S$2:$S$528,$S179)&gt;1),AND($T179&lt;&gt;"",LOWER(TRIM($T179))&lt;&gt;"n/a",COUNTIF($T$2:$T$528,$T179)&gt;1),AND($W179&lt;&gt;"",LOWER(TRIM($W179))&lt;&gt;"n/a",COUNTIF($W$2:$W$528,$W179)&gt;1)),"Yes","No"),IF($A179="Cybernet",IF(OR(AND($Y179&lt;&gt;"",LOWER(TRIM($Y179))&lt;&gt;"n/a",COUNTIF($Y$2:$Y$528,$Y179)&gt;1),AND($Z179&lt;&gt;"",LOWER(TRIM($Z179))&lt;&gt;"n/a",COUNTIF($Z$2:$Z$528,$Z179)&gt;1)),"Yes","No"),IF(AND($AL179&lt;&gt;"",LOWER(TRIM($AL179))&lt;&gt;"n/a",COUNTIF($AL$2:$AL$528,$AL179)&gt;1),"Yes","No"))))</f>
        <v/>
      </c>
      <c r="F179" t="str">
        <f>IF($B179&lt;&gt;"Yes","",
IF($A179="Neuron",
IF(OR(
AND($S179&lt;&gt;"",LOWER(TRIM($S179))&lt;&gt;"n/a",COUNTIFS($B$2:$B$528,"Yes",$A$2:$A$528,"Neuron",$S$2:$S$528,$S179)&gt;1),
AND($T179&lt;&gt;"",LOWER(TRIM($T179))&lt;&gt;"n/a",COUNTIFS($B$2:$B$528,"Yes",$A$2:$A$528,"Neuron",$T$2:$T$528,$T179)&gt;1),
AND($W179&lt;&gt;"",LOWER(TRIM($W179))&lt;&gt;"n/a",COUNTIFS($B$2:$B$528,"Yes",$A$2:$A$528,"Neuron",$W$2:$W$528,$W179)&gt;1)
),"Yes","No"),
IF($A179="Cybernet",
IF(OR(
AND($Y179&lt;&gt;"",LOWER(TRIM($Y179))&lt;&gt;"n/a",COUNTIFS($B$2:$B$528,"Yes",$A$2:$A$528,"Cybernet",$Y$2:$Y$528,$Y179)&gt;1),
AND($Z179&lt;&gt;"",LOWER(TRIM($Z179))&lt;&gt;"n/a",COUNTIFS($B$2:$B$528,"Yes",$A$2:$A$528,"Cybernet",$Z$2:$Z$528,$Z179)&gt;1)
),"Yes","No"),
IF(AND($AL179&lt;&gt;"",LOWER(TRIM($AL179))&lt;&gt;"n/a"),
IF(COUNTIFS($B$2:$B$528,"Yes",$A$2:$A$528,$A179,$AL$2:$AL$528,$AL179)&gt;1,"Yes","No"),
"No")
)
)
)</f>
        <v/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8"/>
      <c r="AF179" s="4"/>
      <c r="AG179" s="4"/>
      <c r="AH179" s="1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8"/>
      <c r="AX179" s="8"/>
      <c r="AY179" s="8"/>
      <c r="AZ179" s="8"/>
      <c r="BA179" s="12"/>
      <c r="BB179" s="8"/>
      <c r="BC179" s="4"/>
      <c r="BD179" s="4"/>
      <c r="BE179" s="8"/>
      <c r="BF179" s="8"/>
      <c r="BG179" s="8"/>
      <c r="BH179" s="8"/>
      <c r="BI179" s="8"/>
      <c r="BJ179" s="8"/>
      <c r="BK179" s="8"/>
      <c r="BL179" s="4" t="str">
        <f t="shared" ref="BL179:BL242" si="10">IF($T179="","",IF((IF(AND($AW179&lt;&gt;"Yes",$AW179&lt;&gt;"N/A"),"Power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",""))="","",LEFT(IF(AND($AW179&lt;&gt;"Yes",$AW179&lt;&gt;"N/A"),"Power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",""),LEN(IF(AND($AW179&lt;&gt;"Yes",$AW179&lt;&gt;"N/A"),"Power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",""))-2)))</f>
        <v/>
      </c>
      <c r="BM179" s="8" t="str">
        <f t="shared" ref="BM179:BM242" si="11">IF($T179="","",IF($BL179="","Yes","Blocked"))</f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1:70" ht="15" customHeight="1">
      <c r="A180" s="8"/>
      <c r="B180" s="8"/>
      <c r="D180" s="15" t="str">
        <f t="shared" si="9"/>
        <v/>
      </c>
      <c r="E180" s="15" t="str">
        <f>IF($A180="","",IF($A180="Neuron",IF(OR(AND($S180&lt;&gt;"",LOWER(TRIM($S180))&lt;&gt;"n/a",COUNTIF($S$2:$S$528,$S180)&gt;1),AND($T180&lt;&gt;"",LOWER(TRIM($T180))&lt;&gt;"n/a",COUNTIF($T$2:$T$528,$T180)&gt;1),AND($W180&lt;&gt;"",LOWER(TRIM($W180))&lt;&gt;"n/a",COUNTIF($W$2:$W$528,$W180)&gt;1)),"Yes","No"),IF($A180="Cybernet",IF(OR(AND($Y180&lt;&gt;"",LOWER(TRIM($Y180))&lt;&gt;"n/a",COUNTIF($Y$2:$Y$528,$Y180)&gt;1),AND($Z180&lt;&gt;"",LOWER(TRIM($Z180))&lt;&gt;"n/a",COUNTIF($Z$2:$Z$528,$Z180)&gt;1)),"Yes","No"),IF(AND($AL180&lt;&gt;"",LOWER(TRIM($AL180))&lt;&gt;"n/a",COUNTIF($AL$2:$AL$528,$AL180)&gt;1),"Yes","No"))))</f>
        <v/>
      </c>
      <c r="F180" t="str">
        <f>IF($B180&lt;&gt;"Yes","",
IF($A180="Neuron",
IF(OR(
AND($S180&lt;&gt;"",LOWER(TRIM($S180))&lt;&gt;"n/a",COUNTIFS($B$2:$B$528,"Yes",$A$2:$A$528,"Neuron",$S$2:$S$528,$S180)&gt;1),
AND($T180&lt;&gt;"",LOWER(TRIM($T180))&lt;&gt;"n/a",COUNTIFS($B$2:$B$528,"Yes",$A$2:$A$528,"Neuron",$T$2:$T$528,$T180)&gt;1),
AND($W180&lt;&gt;"",LOWER(TRIM($W180))&lt;&gt;"n/a",COUNTIFS($B$2:$B$528,"Yes",$A$2:$A$528,"Neuron",$W$2:$W$528,$W180)&gt;1)
),"Yes","No"),
IF($A180="Cybernet",
IF(OR(
AND($Y180&lt;&gt;"",LOWER(TRIM($Y180))&lt;&gt;"n/a",COUNTIFS($B$2:$B$528,"Yes",$A$2:$A$528,"Cybernet",$Y$2:$Y$528,$Y180)&gt;1),
AND($Z180&lt;&gt;"",LOWER(TRIM($Z180))&lt;&gt;"n/a",COUNTIFS($B$2:$B$528,"Yes",$A$2:$A$528,"Cybernet",$Z$2:$Z$528,$Z180)&gt;1)
),"Yes","No"),
IF(AND($AL180&lt;&gt;"",LOWER(TRIM($AL180))&lt;&gt;"n/a"),
IF(COUNTIFS($B$2:$B$528,"Yes",$A$2:$A$528,$A180,$AL$2:$AL$528,$AL180)&gt;1,"Yes","No"),
"No")
)
)
)</f>
        <v/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8"/>
      <c r="AF180" s="4"/>
      <c r="AG180" s="4"/>
      <c r="AH180" s="1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8"/>
      <c r="AX180" s="8"/>
      <c r="AY180" s="8"/>
      <c r="AZ180" s="8"/>
      <c r="BA180" s="12"/>
      <c r="BB180" s="8"/>
      <c r="BC180" s="4"/>
      <c r="BD180" s="4"/>
      <c r="BE180" s="8"/>
      <c r="BF180" s="8"/>
      <c r="BG180" s="8"/>
      <c r="BH180" s="8"/>
      <c r="BI180" s="8"/>
      <c r="BJ180" s="8"/>
      <c r="BK180" s="8"/>
      <c r="BL180" s="4" t="str">
        <f t="shared" si="10"/>
        <v/>
      </c>
      <c r="BM180" s="8" t="str">
        <f t="shared" si="11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1:70" ht="15" customHeight="1">
      <c r="A181" s="8"/>
      <c r="B181" s="8"/>
      <c r="D181" s="15" t="str">
        <f t="shared" si="9"/>
        <v/>
      </c>
      <c r="E181" s="15" t="str">
        <f>IF($A181="","",IF($A181="Neuron",IF(OR(AND($S181&lt;&gt;"",LOWER(TRIM($S181))&lt;&gt;"n/a",COUNTIF($S$2:$S$528,$S181)&gt;1),AND($T181&lt;&gt;"",LOWER(TRIM($T181))&lt;&gt;"n/a",COUNTIF($T$2:$T$528,$T181)&gt;1),AND($W181&lt;&gt;"",LOWER(TRIM($W181))&lt;&gt;"n/a",COUNTIF($W$2:$W$528,$W181)&gt;1)),"Yes","No"),IF($A181="Cybernet",IF(OR(AND($Y181&lt;&gt;"",LOWER(TRIM($Y181))&lt;&gt;"n/a",COUNTIF($Y$2:$Y$528,$Y181)&gt;1),AND($Z181&lt;&gt;"",LOWER(TRIM($Z181))&lt;&gt;"n/a",COUNTIF($Z$2:$Z$528,$Z181)&gt;1)),"Yes","No"),IF(AND($AL181&lt;&gt;"",LOWER(TRIM($AL181))&lt;&gt;"n/a",COUNTIF($AL$2:$AL$528,$AL181)&gt;1),"Yes","No"))))</f>
        <v/>
      </c>
      <c r="F181" t="str">
        <f>IF($B181&lt;&gt;"Yes","",
IF($A181="Neuron",
IF(OR(
AND($S181&lt;&gt;"",LOWER(TRIM($S181))&lt;&gt;"n/a",COUNTIFS($B$2:$B$528,"Yes",$A$2:$A$528,"Neuron",$S$2:$S$528,$S181)&gt;1),
AND($T181&lt;&gt;"",LOWER(TRIM($T181))&lt;&gt;"n/a",COUNTIFS($B$2:$B$528,"Yes",$A$2:$A$528,"Neuron",$T$2:$T$528,$T181)&gt;1),
AND($W181&lt;&gt;"",LOWER(TRIM($W181))&lt;&gt;"n/a",COUNTIFS($B$2:$B$528,"Yes",$A$2:$A$528,"Neuron",$W$2:$W$528,$W181)&gt;1)
),"Yes","No"),
IF($A181="Cybernet",
IF(OR(
AND($Y181&lt;&gt;"",LOWER(TRIM($Y181))&lt;&gt;"n/a",COUNTIFS($B$2:$B$528,"Yes",$A$2:$A$528,"Cybernet",$Y$2:$Y$528,$Y181)&gt;1),
AND($Z181&lt;&gt;"",LOWER(TRIM($Z181))&lt;&gt;"n/a",COUNTIFS($B$2:$B$528,"Yes",$A$2:$A$528,"Cybernet",$Z$2:$Z$528,$Z181)&gt;1)
),"Yes","No"),
IF(AND($AL181&lt;&gt;"",LOWER(TRIM($AL181))&lt;&gt;"n/a"),
IF(COUNTIFS($B$2:$B$528,"Yes",$A$2:$A$528,$A181,$AL$2:$AL$528,$AL181)&gt;1,"Yes","No"),
"No")
)
)
)</f>
        <v/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8"/>
      <c r="AF181" s="4"/>
      <c r="AG181" s="4"/>
      <c r="AH181" s="1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8"/>
      <c r="AX181" s="8"/>
      <c r="AY181" s="8"/>
      <c r="AZ181" s="8"/>
      <c r="BA181" s="12"/>
      <c r="BB181" s="8"/>
      <c r="BC181" s="4"/>
      <c r="BD181" s="4"/>
      <c r="BE181" s="8"/>
      <c r="BF181" s="8"/>
      <c r="BG181" s="8"/>
      <c r="BH181" s="8"/>
      <c r="BI181" s="8"/>
      <c r="BJ181" s="8"/>
      <c r="BK181" s="8"/>
      <c r="BL181" s="4" t="str">
        <f t="shared" si="10"/>
        <v/>
      </c>
      <c r="BM181" s="8" t="str">
        <f t="shared" si="11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1:70" ht="15" customHeight="1">
      <c r="A182" s="8"/>
      <c r="B182" s="8"/>
      <c r="D182" s="15" t="str">
        <f t="shared" si="9"/>
        <v/>
      </c>
      <c r="E182" s="15" t="str">
        <f>IF($A182="","",IF($A182="Neuron",IF(OR(AND($S182&lt;&gt;"",LOWER(TRIM($S182))&lt;&gt;"n/a",COUNTIF($S$2:$S$528,$S182)&gt;1),AND($T182&lt;&gt;"",LOWER(TRIM($T182))&lt;&gt;"n/a",COUNTIF($T$2:$T$528,$T182)&gt;1),AND($W182&lt;&gt;"",LOWER(TRIM($W182))&lt;&gt;"n/a",COUNTIF($W$2:$W$528,$W182)&gt;1)),"Yes","No"),IF($A182="Cybernet",IF(OR(AND($Y182&lt;&gt;"",LOWER(TRIM($Y182))&lt;&gt;"n/a",COUNTIF($Y$2:$Y$528,$Y182)&gt;1),AND($Z182&lt;&gt;"",LOWER(TRIM($Z182))&lt;&gt;"n/a",COUNTIF($Z$2:$Z$528,$Z182)&gt;1)),"Yes","No"),IF(AND($AL182&lt;&gt;"",LOWER(TRIM($AL182))&lt;&gt;"n/a",COUNTIF($AL$2:$AL$528,$AL182)&gt;1),"Yes","No"))))</f>
        <v/>
      </c>
      <c r="F182" t="str">
        <f>IF($B182&lt;&gt;"Yes","",
IF($A182="Neuron",
IF(OR(
AND($S182&lt;&gt;"",LOWER(TRIM($S182))&lt;&gt;"n/a",COUNTIFS($B$2:$B$528,"Yes",$A$2:$A$528,"Neuron",$S$2:$S$528,$S182)&gt;1),
AND($T182&lt;&gt;"",LOWER(TRIM($T182))&lt;&gt;"n/a",COUNTIFS($B$2:$B$528,"Yes",$A$2:$A$528,"Neuron",$T$2:$T$528,$T182)&gt;1),
AND($W182&lt;&gt;"",LOWER(TRIM($W182))&lt;&gt;"n/a",COUNTIFS($B$2:$B$528,"Yes",$A$2:$A$528,"Neuron",$W$2:$W$528,$W182)&gt;1)
),"Yes","No"),
IF($A182="Cybernet",
IF(OR(
AND($Y182&lt;&gt;"",LOWER(TRIM($Y182))&lt;&gt;"n/a",COUNTIFS($B$2:$B$528,"Yes",$A$2:$A$528,"Cybernet",$Y$2:$Y$528,$Y182)&gt;1),
AND($Z182&lt;&gt;"",LOWER(TRIM($Z182))&lt;&gt;"n/a",COUNTIFS($B$2:$B$528,"Yes",$A$2:$A$528,"Cybernet",$Z$2:$Z$528,$Z182)&gt;1)
),"Yes","No"),
IF(AND($AL182&lt;&gt;"",LOWER(TRIM($AL182))&lt;&gt;"n/a"),
IF(COUNTIFS($B$2:$B$528,"Yes",$A$2:$A$528,$A182,$AL$2:$AL$528,$AL182)&gt;1,"Yes","No"),
"No")
)
)
)</f>
        <v/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8"/>
      <c r="AF182" s="4"/>
      <c r="AG182" s="4"/>
      <c r="AH182" s="1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8"/>
      <c r="AX182" s="8"/>
      <c r="AY182" s="8"/>
      <c r="AZ182" s="8"/>
      <c r="BA182" s="12"/>
      <c r="BB182" s="8"/>
      <c r="BC182" s="4"/>
      <c r="BD182" s="4"/>
      <c r="BE182" s="8"/>
      <c r="BF182" s="8"/>
      <c r="BG182" s="8"/>
      <c r="BH182" s="8"/>
      <c r="BI182" s="8"/>
      <c r="BJ182" s="8"/>
      <c r="BK182" s="8"/>
      <c r="BL182" s="4" t="str">
        <f t="shared" si="10"/>
        <v/>
      </c>
      <c r="BM182" s="8" t="str">
        <f t="shared" si="11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1:70" ht="15" customHeight="1">
      <c r="A183" s="8"/>
      <c r="B183" s="8"/>
      <c r="D183" s="15" t="str">
        <f t="shared" si="9"/>
        <v/>
      </c>
      <c r="E183" s="15" t="str">
        <f>IF($A183="","",IF($A183="Neuron",IF(OR(AND($S183&lt;&gt;"",LOWER(TRIM($S183))&lt;&gt;"n/a",COUNTIF($S$2:$S$528,$S183)&gt;1),AND($T183&lt;&gt;"",LOWER(TRIM($T183))&lt;&gt;"n/a",COUNTIF($T$2:$T$528,$T183)&gt;1),AND($W183&lt;&gt;"",LOWER(TRIM($W183))&lt;&gt;"n/a",COUNTIF($W$2:$W$528,$W183)&gt;1)),"Yes","No"),IF($A183="Cybernet",IF(OR(AND($Y183&lt;&gt;"",LOWER(TRIM($Y183))&lt;&gt;"n/a",COUNTIF($Y$2:$Y$528,$Y183)&gt;1),AND($Z183&lt;&gt;"",LOWER(TRIM($Z183))&lt;&gt;"n/a",COUNTIF($Z$2:$Z$528,$Z183)&gt;1)),"Yes","No"),IF(AND($AL183&lt;&gt;"",LOWER(TRIM($AL183))&lt;&gt;"n/a",COUNTIF($AL$2:$AL$528,$AL183)&gt;1),"Yes","No"))))</f>
        <v/>
      </c>
      <c r="F183" t="str">
        <f>IF($B183&lt;&gt;"Yes","",
IF($A183="Neuron",
IF(OR(
AND($S183&lt;&gt;"",LOWER(TRIM($S183))&lt;&gt;"n/a",COUNTIFS($B$2:$B$528,"Yes",$A$2:$A$528,"Neuron",$S$2:$S$528,$S183)&gt;1),
AND($T183&lt;&gt;"",LOWER(TRIM($T183))&lt;&gt;"n/a",COUNTIFS($B$2:$B$528,"Yes",$A$2:$A$528,"Neuron",$T$2:$T$528,$T183)&gt;1),
AND($W183&lt;&gt;"",LOWER(TRIM($W183))&lt;&gt;"n/a",COUNTIFS($B$2:$B$528,"Yes",$A$2:$A$528,"Neuron",$W$2:$W$528,$W183)&gt;1)
),"Yes","No"),
IF($A183="Cybernet",
IF(OR(
AND($Y183&lt;&gt;"",LOWER(TRIM($Y183))&lt;&gt;"n/a",COUNTIFS($B$2:$B$528,"Yes",$A$2:$A$528,"Cybernet",$Y$2:$Y$528,$Y183)&gt;1),
AND($Z183&lt;&gt;"",LOWER(TRIM($Z183))&lt;&gt;"n/a",COUNTIFS($B$2:$B$528,"Yes",$A$2:$A$528,"Cybernet",$Z$2:$Z$528,$Z183)&gt;1)
),"Yes","No"),
IF(AND($AL183&lt;&gt;"",LOWER(TRIM($AL183))&lt;&gt;"n/a"),
IF(COUNTIFS($B$2:$B$528,"Yes",$A$2:$A$528,$A183,$AL$2:$AL$528,$AL183)&gt;1,"Yes","No"),
"No")
)
)
)</f>
        <v/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8"/>
      <c r="AF183" s="4"/>
      <c r="AG183" s="4"/>
      <c r="AH183" s="1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8"/>
      <c r="AX183" s="8"/>
      <c r="AY183" s="8"/>
      <c r="AZ183" s="8"/>
      <c r="BA183" s="12"/>
      <c r="BB183" s="8"/>
      <c r="BC183" s="4"/>
      <c r="BD183" s="4"/>
      <c r="BE183" s="8"/>
      <c r="BF183" s="8"/>
      <c r="BG183" s="8"/>
      <c r="BH183" s="8"/>
      <c r="BI183" s="8"/>
      <c r="BJ183" s="8"/>
      <c r="BK183" s="8"/>
      <c r="BL183" s="4" t="str">
        <f t="shared" si="10"/>
        <v/>
      </c>
      <c r="BM183" s="8" t="str">
        <f t="shared" si="11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1:70" ht="15" customHeight="1">
      <c r="A184" s="8"/>
      <c r="B184" s="8"/>
      <c r="D184" s="15" t="str">
        <f t="shared" si="9"/>
        <v/>
      </c>
      <c r="E184" s="15" t="str">
        <f>IF($A184="","",IF($A184="Neuron",IF(OR(AND($S184&lt;&gt;"",LOWER(TRIM($S184))&lt;&gt;"n/a",COUNTIF($S$2:$S$528,$S184)&gt;1),AND($T184&lt;&gt;"",LOWER(TRIM($T184))&lt;&gt;"n/a",COUNTIF($T$2:$T$528,$T184)&gt;1),AND($W184&lt;&gt;"",LOWER(TRIM($W184))&lt;&gt;"n/a",COUNTIF($W$2:$W$528,$W184)&gt;1)),"Yes","No"),IF($A184="Cybernet",IF(OR(AND($Y184&lt;&gt;"",LOWER(TRIM($Y184))&lt;&gt;"n/a",COUNTIF($Y$2:$Y$528,$Y184)&gt;1),AND($Z184&lt;&gt;"",LOWER(TRIM($Z184))&lt;&gt;"n/a",COUNTIF($Z$2:$Z$528,$Z184)&gt;1)),"Yes","No"),IF(AND($AL184&lt;&gt;"",LOWER(TRIM($AL184))&lt;&gt;"n/a",COUNTIF($AL$2:$AL$528,$AL184)&gt;1),"Yes","No"))))</f>
        <v/>
      </c>
      <c r="F184" t="str">
        <f>IF($B184&lt;&gt;"Yes","",
IF($A184="Neuron",
IF(OR(
AND($S184&lt;&gt;"",LOWER(TRIM($S184))&lt;&gt;"n/a",COUNTIFS($B$2:$B$528,"Yes",$A$2:$A$528,"Neuron",$S$2:$S$528,$S184)&gt;1),
AND($T184&lt;&gt;"",LOWER(TRIM($T184))&lt;&gt;"n/a",COUNTIFS($B$2:$B$528,"Yes",$A$2:$A$528,"Neuron",$T$2:$T$528,$T184)&gt;1),
AND($W184&lt;&gt;"",LOWER(TRIM($W184))&lt;&gt;"n/a",COUNTIFS($B$2:$B$528,"Yes",$A$2:$A$528,"Neuron",$W$2:$W$528,$W184)&gt;1)
),"Yes","No"),
IF($A184="Cybernet",
IF(OR(
AND($Y184&lt;&gt;"",LOWER(TRIM($Y184))&lt;&gt;"n/a",COUNTIFS($B$2:$B$528,"Yes",$A$2:$A$528,"Cybernet",$Y$2:$Y$528,$Y184)&gt;1),
AND($Z184&lt;&gt;"",LOWER(TRIM($Z184))&lt;&gt;"n/a",COUNTIFS($B$2:$B$528,"Yes",$A$2:$A$528,"Cybernet",$Z$2:$Z$528,$Z184)&gt;1)
),"Yes","No"),
IF(AND($AL184&lt;&gt;"",LOWER(TRIM($AL184))&lt;&gt;"n/a"),
IF(COUNTIFS($B$2:$B$528,"Yes",$A$2:$A$528,$A184,$AL$2:$AL$528,$AL184)&gt;1,"Yes","No"),
"No")
)
)
)</f>
        <v/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8"/>
      <c r="AF184" s="4"/>
      <c r="AG184" s="4"/>
      <c r="AH184" s="1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8"/>
      <c r="AX184" s="8"/>
      <c r="AY184" s="8"/>
      <c r="AZ184" s="8"/>
      <c r="BA184" s="12"/>
      <c r="BB184" s="8"/>
      <c r="BC184" s="4"/>
      <c r="BD184" s="4"/>
      <c r="BE184" s="8"/>
      <c r="BF184" s="8"/>
      <c r="BG184" s="8"/>
      <c r="BH184" s="8"/>
      <c r="BI184" s="8"/>
      <c r="BJ184" s="8"/>
      <c r="BK184" s="8"/>
      <c r="BL184" s="4" t="str">
        <f t="shared" si="10"/>
        <v/>
      </c>
      <c r="BM184" s="8" t="str">
        <f t="shared" si="11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1:70" ht="15" customHeight="1">
      <c r="A185" s="8"/>
      <c r="B185" s="8"/>
      <c r="D185" s="15" t="str">
        <f t="shared" si="9"/>
        <v/>
      </c>
      <c r="E185" s="15" t="str">
        <f>IF($A185="","",IF($A185="Neuron",IF(OR(AND($S185&lt;&gt;"",LOWER(TRIM($S185))&lt;&gt;"n/a",COUNTIF($S$2:$S$528,$S185)&gt;1),AND($T185&lt;&gt;"",LOWER(TRIM($T185))&lt;&gt;"n/a",COUNTIF($T$2:$T$528,$T185)&gt;1),AND($W185&lt;&gt;"",LOWER(TRIM($W185))&lt;&gt;"n/a",COUNTIF($W$2:$W$528,$W185)&gt;1)),"Yes","No"),IF($A185="Cybernet",IF(OR(AND($Y185&lt;&gt;"",LOWER(TRIM($Y185))&lt;&gt;"n/a",COUNTIF($Y$2:$Y$528,$Y185)&gt;1),AND($Z185&lt;&gt;"",LOWER(TRIM($Z185))&lt;&gt;"n/a",COUNTIF($Z$2:$Z$528,$Z185)&gt;1)),"Yes","No"),IF(AND($AL185&lt;&gt;"",LOWER(TRIM($AL185))&lt;&gt;"n/a",COUNTIF($AL$2:$AL$528,$AL185)&gt;1),"Yes","No"))))</f>
        <v/>
      </c>
      <c r="F185" t="str">
        <f>IF($B185&lt;&gt;"Yes","",
IF($A185="Neuron",
IF(OR(
AND($S185&lt;&gt;"",LOWER(TRIM($S185))&lt;&gt;"n/a",COUNTIFS($B$2:$B$528,"Yes",$A$2:$A$528,"Neuron",$S$2:$S$528,$S185)&gt;1),
AND($T185&lt;&gt;"",LOWER(TRIM($T185))&lt;&gt;"n/a",COUNTIFS($B$2:$B$528,"Yes",$A$2:$A$528,"Neuron",$T$2:$T$528,$T185)&gt;1),
AND($W185&lt;&gt;"",LOWER(TRIM($W185))&lt;&gt;"n/a",COUNTIFS($B$2:$B$528,"Yes",$A$2:$A$528,"Neuron",$W$2:$W$528,$W185)&gt;1)
),"Yes","No"),
IF($A185="Cybernet",
IF(OR(
AND($Y185&lt;&gt;"",LOWER(TRIM($Y185))&lt;&gt;"n/a",COUNTIFS($B$2:$B$528,"Yes",$A$2:$A$528,"Cybernet",$Y$2:$Y$528,$Y185)&gt;1),
AND($Z185&lt;&gt;"",LOWER(TRIM($Z185))&lt;&gt;"n/a",COUNTIFS($B$2:$B$528,"Yes",$A$2:$A$528,"Cybernet",$Z$2:$Z$528,$Z185)&gt;1)
),"Yes","No"),
IF(AND($AL185&lt;&gt;"",LOWER(TRIM($AL185))&lt;&gt;"n/a"),
IF(COUNTIFS($B$2:$B$528,"Yes",$A$2:$A$528,$A185,$AL$2:$AL$528,$AL185)&gt;1,"Yes","No"),
"No")
)
)
)</f>
        <v/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8"/>
      <c r="AF185" s="4"/>
      <c r="AG185" s="4"/>
      <c r="AH185" s="1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8"/>
      <c r="AX185" s="8"/>
      <c r="AY185" s="8"/>
      <c r="AZ185" s="8"/>
      <c r="BA185" s="12"/>
      <c r="BB185" s="8"/>
      <c r="BC185" s="4"/>
      <c r="BD185" s="4"/>
      <c r="BE185" s="8"/>
      <c r="BF185" s="8"/>
      <c r="BG185" s="8"/>
      <c r="BH185" s="8"/>
      <c r="BI185" s="8"/>
      <c r="BJ185" s="8"/>
      <c r="BK185" s="8"/>
      <c r="BL185" s="4" t="str">
        <f t="shared" si="10"/>
        <v/>
      </c>
      <c r="BM185" s="8" t="str">
        <f t="shared" si="11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1:70" ht="15" customHeight="1">
      <c r="A186" s="8"/>
      <c r="B186" s="8"/>
      <c r="D186" s="15" t="str">
        <f t="shared" si="9"/>
        <v/>
      </c>
      <c r="E186" s="15" t="str">
        <f>IF($A186="","",IF($A186="Neuron",IF(OR(AND($S186&lt;&gt;"",LOWER(TRIM($S186))&lt;&gt;"n/a",COUNTIF($S$2:$S$528,$S186)&gt;1),AND($T186&lt;&gt;"",LOWER(TRIM($T186))&lt;&gt;"n/a",COUNTIF($T$2:$T$528,$T186)&gt;1),AND($W186&lt;&gt;"",LOWER(TRIM($W186))&lt;&gt;"n/a",COUNTIF($W$2:$W$528,$W186)&gt;1)),"Yes","No"),IF($A186="Cybernet",IF(OR(AND($Y186&lt;&gt;"",LOWER(TRIM($Y186))&lt;&gt;"n/a",COUNTIF($Y$2:$Y$528,$Y186)&gt;1),AND($Z186&lt;&gt;"",LOWER(TRIM($Z186))&lt;&gt;"n/a",COUNTIF($Z$2:$Z$528,$Z186)&gt;1)),"Yes","No"),IF(AND($AL186&lt;&gt;"",LOWER(TRIM($AL186))&lt;&gt;"n/a",COUNTIF($AL$2:$AL$528,$AL186)&gt;1),"Yes","No"))))</f>
        <v/>
      </c>
      <c r="F186" t="str">
        <f>IF($B186&lt;&gt;"Yes","",
IF($A186="Neuron",
IF(OR(
AND($S186&lt;&gt;"",LOWER(TRIM($S186))&lt;&gt;"n/a",COUNTIFS($B$2:$B$528,"Yes",$A$2:$A$528,"Neuron",$S$2:$S$528,$S186)&gt;1),
AND($T186&lt;&gt;"",LOWER(TRIM($T186))&lt;&gt;"n/a",COUNTIFS($B$2:$B$528,"Yes",$A$2:$A$528,"Neuron",$T$2:$T$528,$T186)&gt;1),
AND($W186&lt;&gt;"",LOWER(TRIM($W186))&lt;&gt;"n/a",COUNTIFS($B$2:$B$528,"Yes",$A$2:$A$528,"Neuron",$W$2:$W$528,$W186)&gt;1)
),"Yes","No"),
IF($A186="Cybernet",
IF(OR(
AND($Y186&lt;&gt;"",LOWER(TRIM($Y186))&lt;&gt;"n/a",COUNTIFS($B$2:$B$528,"Yes",$A$2:$A$528,"Cybernet",$Y$2:$Y$528,$Y186)&gt;1),
AND($Z186&lt;&gt;"",LOWER(TRIM($Z186))&lt;&gt;"n/a",COUNTIFS($B$2:$B$528,"Yes",$A$2:$A$528,"Cybernet",$Z$2:$Z$528,$Z186)&gt;1)
),"Yes","No"),
IF(AND($AL186&lt;&gt;"",LOWER(TRIM($AL186))&lt;&gt;"n/a"),
IF(COUNTIFS($B$2:$B$528,"Yes",$A$2:$A$528,$A186,$AL$2:$AL$528,$AL186)&gt;1,"Yes","No"),
"No")
)
)
)</f>
        <v/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8"/>
      <c r="AF186" s="4"/>
      <c r="AG186" s="4"/>
      <c r="AH186" s="1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8"/>
      <c r="AX186" s="8"/>
      <c r="AY186" s="8"/>
      <c r="AZ186" s="8"/>
      <c r="BA186" s="12"/>
      <c r="BB186" s="8"/>
      <c r="BC186" s="4"/>
      <c r="BD186" s="4"/>
      <c r="BE186" s="8"/>
      <c r="BF186" s="8"/>
      <c r="BG186" s="8"/>
      <c r="BH186" s="8"/>
      <c r="BI186" s="8"/>
      <c r="BJ186" s="8"/>
      <c r="BK186" s="8"/>
      <c r="BL186" s="4" t="str">
        <f t="shared" si="10"/>
        <v/>
      </c>
      <c r="BM186" s="8" t="str">
        <f t="shared" si="11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1:70" ht="15" customHeight="1">
      <c r="A187" s="8"/>
      <c r="B187" s="8"/>
      <c r="D187" s="15" t="str">
        <f t="shared" si="9"/>
        <v/>
      </c>
      <c r="E187" s="15" t="str">
        <f>IF($A187="","",IF($A187="Neuron",IF(OR(AND($S187&lt;&gt;"",LOWER(TRIM($S187))&lt;&gt;"n/a",COUNTIF($S$2:$S$528,$S187)&gt;1),AND($T187&lt;&gt;"",LOWER(TRIM($T187))&lt;&gt;"n/a",COUNTIF($T$2:$T$528,$T187)&gt;1),AND($W187&lt;&gt;"",LOWER(TRIM($W187))&lt;&gt;"n/a",COUNTIF($W$2:$W$528,$W187)&gt;1)),"Yes","No"),IF($A187="Cybernet",IF(OR(AND($Y187&lt;&gt;"",LOWER(TRIM($Y187))&lt;&gt;"n/a",COUNTIF($Y$2:$Y$528,$Y187)&gt;1),AND($Z187&lt;&gt;"",LOWER(TRIM($Z187))&lt;&gt;"n/a",COUNTIF($Z$2:$Z$528,$Z187)&gt;1)),"Yes","No"),IF(AND($AL187&lt;&gt;"",LOWER(TRIM($AL187))&lt;&gt;"n/a",COUNTIF($AL$2:$AL$528,$AL187)&gt;1),"Yes","No"))))</f>
        <v/>
      </c>
      <c r="F187" t="str">
        <f>IF($B187&lt;&gt;"Yes","",
IF($A187="Neuron",
IF(OR(
AND($S187&lt;&gt;"",LOWER(TRIM($S187))&lt;&gt;"n/a",COUNTIFS($B$2:$B$528,"Yes",$A$2:$A$528,"Neuron",$S$2:$S$528,$S187)&gt;1),
AND($T187&lt;&gt;"",LOWER(TRIM($T187))&lt;&gt;"n/a",COUNTIFS($B$2:$B$528,"Yes",$A$2:$A$528,"Neuron",$T$2:$T$528,$T187)&gt;1),
AND($W187&lt;&gt;"",LOWER(TRIM($W187))&lt;&gt;"n/a",COUNTIFS($B$2:$B$528,"Yes",$A$2:$A$528,"Neuron",$W$2:$W$528,$W187)&gt;1)
),"Yes","No"),
IF($A187="Cybernet",
IF(OR(
AND($Y187&lt;&gt;"",LOWER(TRIM($Y187))&lt;&gt;"n/a",COUNTIFS($B$2:$B$528,"Yes",$A$2:$A$528,"Cybernet",$Y$2:$Y$528,$Y187)&gt;1),
AND($Z187&lt;&gt;"",LOWER(TRIM($Z187))&lt;&gt;"n/a",COUNTIFS($B$2:$B$528,"Yes",$A$2:$A$528,"Cybernet",$Z$2:$Z$528,$Z187)&gt;1)
),"Yes","No"),
IF(AND($AL187&lt;&gt;"",LOWER(TRIM($AL187))&lt;&gt;"n/a"),
IF(COUNTIFS($B$2:$B$528,"Yes",$A$2:$A$528,$A187,$AL$2:$AL$528,$AL187)&gt;1,"Yes","No"),
"No")
)
)
)</f>
        <v/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8"/>
      <c r="AF187" s="4"/>
      <c r="AG187" s="4"/>
      <c r="AH187" s="1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8"/>
      <c r="AX187" s="8"/>
      <c r="AY187" s="8"/>
      <c r="AZ187" s="8"/>
      <c r="BA187" s="12"/>
      <c r="BB187" s="8"/>
      <c r="BC187" s="4"/>
      <c r="BD187" s="4"/>
      <c r="BE187" s="8"/>
      <c r="BF187" s="8"/>
      <c r="BG187" s="8"/>
      <c r="BH187" s="8"/>
      <c r="BI187" s="8"/>
      <c r="BJ187" s="8"/>
      <c r="BK187" s="8"/>
      <c r="BL187" s="4" t="str">
        <f t="shared" si="10"/>
        <v/>
      </c>
      <c r="BM187" s="8" t="str">
        <f t="shared" si="11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1:70" ht="15" customHeight="1">
      <c r="A188" s="8"/>
      <c r="B188" s="8"/>
      <c r="D188" s="15" t="str">
        <f t="shared" si="9"/>
        <v/>
      </c>
      <c r="E188" s="15" t="str">
        <f>IF($A188="","",IF($A188="Neuron",IF(OR(AND($S188&lt;&gt;"",LOWER(TRIM($S188))&lt;&gt;"n/a",COUNTIF($S$2:$S$528,$S188)&gt;1),AND($T188&lt;&gt;"",LOWER(TRIM($T188))&lt;&gt;"n/a",COUNTIF($T$2:$T$528,$T188)&gt;1),AND($W188&lt;&gt;"",LOWER(TRIM($W188))&lt;&gt;"n/a",COUNTIF($W$2:$W$528,$W188)&gt;1)),"Yes","No"),IF($A188="Cybernet",IF(OR(AND($Y188&lt;&gt;"",LOWER(TRIM($Y188))&lt;&gt;"n/a",COUNTIF($Y$2:$Y$528,$Y188)&gt;1),AND($Z188&lt;&gt;"",LOWER(TRIM($Z188))&lt;&gt;"n/a",COUNTIF($Z$2:$Z$528,$Z188)&gt;1)),"Yes","No"),IF(AND($AL188&lt;&gt;"",LOWER(TRIM($AL188))&lt;&gt;"n/a",COUNTIF($AL$2:$AL$528,$AL188)&gt;1),"Yes","No"))))</f>
        <v/>
      </c>
      <c r="F188" t="str">
        <f>IF($B188&lt;&gt;"Yes","",
IF($A188="Neuron",
IF(OR(
AND($S188&lt;&gt;"",LOWER(TRIM($S188))&lt;&gt;"n/a",COUNTIFS($B$2:$B$528,"Yes",$A$2:$A$528,"Neuron",$S$2:$S$528,$S188)&gt;1),
AND($T188&lt;&gt;"",LOWER(TRIM($T188))&lt;&gt;"n/a",COUNTIFS($B$2:$B$528,"Yes",$A$2:$A$528,"Neuron",$T$2:$T$528,$T188)&gt;1),
AND($W188&lt;&gt;"",LOWER(TRIM($W188))&lt;&gt;"n/a",COUNTIFS($B$2:$B$528,"Yes",$A$2:$A$528,"Neuron",$W$2:$W$528,$W188)&gt;1)
),"Yes","No"),
IF($A188="Cybernet",
IF(OR(
AND($Y188&lt;&gt;"",LOWER(TRIM($Y188))&lt;&gt;"n/a",COUNTIFS($B$2:$B$528,"Yes",$A$2:$A$528,"Cybernet",$Y$2:$Y$528,$Y188)&gt;1),
AND($Z188&lt;&gt;"",LOWER(TRIM($Z188))&lt;&gt;"n/a",COUNTIFS($B$2:$B$528,"Yes",$A$2:$A$528,"Cybernet",$Z$2:$Z$528,$Z188)&gt;1)
),"Yes","No"),
IF(AND($AL188&lt;&gt;"",LOWER(TRIM($AL188))&lt;&gt;"n/a"),
IF(COUNTIFS($B$2:$B$528,"Yes",$A$2:$A$528,$A188,$AL$2:$AL$528,$AL188)&gt;1,"Yes","No"),
"No")
)
)
)</f>
        <v/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8"/>
      <c r="AF188" s="4"/>
      <c r="AG188" s="4"/>
      <c r="AH188" s="1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8"/>
      <c r="AX188" s="8"/>
      <c r="AY188" s="8"/>
      <c r="AZ188" s="8"/>
      <c r="BA188" s="12"/>
      <c r="BB188" s="8"/>
      <c r="BC188" s="4"/>
      <c r="BD188" s="4"/>
      <c r="BE188" s="8"/>
      <c r="BF188" s="8"/>
      <c r="BG188" s="8"/>
      <c r="BH188" s="8"/>
      <c r="BI188" s="8"/>
      <c r="BJ188" s="8"/>
      <c r="BK188" s="8"/>
      <c r="BL188" s="4" t="str">
        <f t="shared" si="10"/>
        <v/>
      </c>
      <c r="BM188" s="8" t="str">
        <f t="shared" si="11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1:70" ht="15" customHeight="1">
      <c r="A189" s="8"/>
      <c r="B189" s="8"/>
      <c r="D189" s="15" t="str">
        <f t="shared" si="9"/>
        <v/>
      </c>
      <c r="E189" s="15" t="str">
        <f>IF($A189="","",IF($A189="Neuron",IF(OR(AND($S189&lt;&gt;"",LOWER(TRIM($S189))&lt;&gt;"n/a",COUNTIF($S$2:$S$528,$S189)&gt;1),AND($T189&lt;&gt;"",LOWER(TRIM($T189))&lt;&gt;"n/a",COUNTIF($T$2:$T$528,$T189)&gt;1),AND($W189&lt;&gt;"",LOWER(TRIM($W189))&lt;&gt;"n/a",COUNTIF($W$2:$W$528,$W189)&gt;1)),"Yes","No"),IF($A189="Cybernet",IF(OR(AND($Y189&lt;&gt;"",LOWER(TRIM($Y189))&lt;&gt;"n/a",COUNTIF($Y$2:$Y$528,$Y189)&gt;1),AND($Z189&lt;&gt;"",LOWER(TRIM($Z189))&lt;&gt;"n/a",COUNTIF($Z$2:$Z$528,$Z189)&gt;1)),"Yes","No"),IF(AND($AL189&lt;&gt;"",LOWER(TRIM($AL189))&lt;&gt;"n/a",COUNTIF($AL$2:$AL$528,$AL189)&gt;1),"Yes","No"))))</f>
        <v/>
      </c>
      <c r="F189" t="str">
        <f>IF($B189&lt;&gt;"Yes","",
IF($A189="Neuron",
IF(OR(
AND($S189&lt;&gt;"",LOWER(TRIM($S189))&lt;&gt;"n/a",COUNTIFS($B$2:$B$528,"Yes",$A$2:$A$528,"Neuron",$S$2:$S$528,$S189)&gt;1),
AND($T189&lt;&gt;"",LOWER(TRIM($T189))&lt;&gt;"n/a",COUNTIFS($B$2:$B$528,"Yes",$A$2:$A$528,"Neuron",$T$2:$T$528,$T189)&gt;1),
AND($W189&lt;&gt;"",LOWER(TRIM($W189))&lt;&gt;"n/a",COUNTIFS($B$2:$B$528,"Yes",$A$2:$A$528,"Neuron",$W$2:$W$528,$W189)&gt;1)
),"Yes","No"),
IF($A189="Cybernet",
IF(OR(
AND($Y189&lt;&gt;"",LOWER(TRIM($Y189))&lt;&gt;"n/a",COUNTIFS($B$2:$B$528,"Yes",$A$2:$A$528,"Cybernet",$Y$2:$Y$528,$Y189)&gt;1),
AND($Z189&lt;&gt;"",LOWER(TRIM($Z189))&lt;&gt;"n/a",COUNTIFS($B$2:$B$528,"Yes",$A$2:$A$528,"Cybernet",$Z$2:$Z$528,$Z189)&gt;1)
),"Yes","No"),
IF(AND($AL189&lt;&gt;"",LOWER(TRIM($AL189))&lt;&gt;"n/a"),
IF(COUNTIFS($B$2:$B$528,"Yes",$A$2:$A$528,$A189,$AL$2:$AL$528,$AL189)&gt;1,"Yes","No"),
"No")
)
)
)</f>
        <v/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8"/>
      <c r="AF189" s="4"/>
      <c r="AG189" s="4"/>
      <c r="AH189" s="1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8"/>
      <c r="AX189" s="8"/>
      <c r="AY189" s="8"/>
      <c r="AZ189" s="8"/>
      <c r="BA189" s="12"/>
      <c r="BB189" s="8"/>
      <c r="BC189" s="4"/>
      <c r="BD189" s="4"/>
      <c r="BE189" s="8"/>
      <c r="BF189" s="8"/>
      <c r="BG189" s="8"/>
      <c r="BH189" s="8"/>
      <c r="BI189" s="8"/>
      <c r="BJ189" s="8"/>
      <c r="BK189" s="8"/>
      <c r="BL189" s="4" t="str">
        <f t="shared" si="10"/>
        <v/>
      </c>
      <c r="BM189" s="8" t="str">
        <f t="shared" si="11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1:70" ht="15" customHeight="1">
      <c r="A190" s="8"/>
      <c r="B190" s="8"/>
      <c r="D190" s="15" t="str">
        <f t="shared" si="9"/>
        <v/>
      </c>
      <c r="E190" s="15" t="str">
        <f>IF($A190="","",IF($A190="Neuron",IF(OR(AND($S190&lt;&gt;"",LOWER(TRIM($S190))&lt;&gt;"n/a",COUNTIF($S$2:$S$528,$S190)&gt;1),AND($T190&lt;&gt;"",LOWER(TRIM($T190))&lt;&gt;"n/a",COUNTIF($T$2:$T$528,$T190)&gt;1),AND($W190&lt;&gt;"",LOWER(TRIM($W190))&lt;&gt;"n/a",COUNTIF($W$2:$W$528,$W190)&gt;1)),"Yes","No"),IF($A190="Cybernet",IF(OR(AND($Y190&lt;&gt;"",LOWER(TRIM($Y190))&lt;&gt;"n/a",COUNTIF($Y$2:$Y$528,$Y190)&gt;1),AND($Z190&lt;&gt;"",LOWER(TRIM($Z190))&lt;&gt;"n/a",COUNTIF($Z$2:$Z$528,$Z190)&gt;1)),"Yes","No"),IF(AND($AL190&lt;&gt;"",LOWER(TRIM($AL190))&lt;&gt;"n/a",COUNTIF($AL$2:$AL$528,$AL190)&gt;1),"Yes","No"))))</f>
        <v/>
      </c>
      <c r="F190" t="str">
        <f>IF($B190&lt;&gt;"Yes","",
IF($A190="Neuron",
IF(OR(
AND($S190&lt;&gt;"",LOWER(TRIM($S190))&lt;&gt;"n/a",COUNTIFS($B$2:$B$528,"Yes",$A$2:$A$528,"Neuron",$S$2:$S$528,$S190)&gt;1),
AND($T190&lt;&gt;"",LOWER(TRIM($T190))&lt;&gt;"n/a",COUNTIFS($B$2:$B$528,"Yes",$A$2:$A$528,"Neuron",$T$2:$T$528,$T190)&gt;1),
AND($W190&lt;&gt;"",LOWER(TRIM($W190))&lt;&gt;"n/a",COUNTIFS($B$2:$B$528,"Yes",$A$2:$A$528,"Neuron",$W$2:$W$528,$W190)&gt;1)
),"Yes","No"),
IF($A190="Cybernet",
IF(OR(
AND($Y190&lt;&gt;"",LOWER(TRIM($Y190))&lt;&gt;"n/a",COUNTIFS($B$2:$B$528,"Yes",$A$2:$A$528,"Cybernet",$Y$2:$Y$528,$Y190)&gt;1),
AND($Z190&lt;&gt;"",LOWER(TRIM($Z190))&lt;&gt;"n/a",COUNTIFS($B$2:$B$528,"Yes",$A$2:$A$528,"Cybernet",$Z$2:$Z$528,$Z190)&gt;1)
),"Yes","No"),
IF(AND($AL190&lt;&gt;"",LOWER(TRIM($AL190))&lt;&gt;"n/a"),
IF(COUNTIFS($B$2:$B$528,"Yes",$A$2:$A$528,$A190,$AL$2:$AL$528,$AL190)&gt;1,"Yes","No"),
"No")
)
)
)</f>
        <v/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8"/>
      <c r="AF190" s="4"/>
      <c r="AG190" s="4"/>
      <c r="AH190" s="1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8"/>
      <c r="AX190" s="8"/>
      <c r="AY190" s="8"/>
      <c r="AZ190" s="8"/>
      <c r="BA190" s="12"/>
      <c r="BB190" s="8"/>
      <c r="BC190" s="4"/>
      <c r="BD190" s="4"/>
      <c r="BE190" s="8"/>
      <c r="BF190" s="8"/>
      <c r="BG190" s="8"/>
      <c r="BH190" s="8"/>
      <c r="BI190" s="8"/>
      <c r="BJ190" s="8"/>
      <c r="BK190" s="8"/>
      <c r="BL190" s="4" t="str">
        <f t="shared" si="10"/>
        <v/>
      </c>
      <c r="BM190" s="8" t="str">
        <f t="shared" si="11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1:70" ht="15" customHeight="1">
      <c r="A191" s="8"/>
      <c r="B191" s="8"/>
      <c r="D191" s="15" t="str">
        <f t="shared" si="9"/>
        <v/>
      </c>
      <c r="E191" s="15" t="str">
        <f>IF($A191="","",IF($A191="Neuron",IF(OR(AND($S191&lt;&gt;"",LOWER(TRIM($S191))&lt;&gt;"n/a",COUNTIF($S$2:$S$528,$S191)&gt;1),AND($T191&lt;&gt;"",LOWER(TRIM($T191))&lt;&gt;"n/a",COUNTIF($T$2:$T$528,$T191)&gt;1),AND($W191&lt;&gt;"",LOWER(TRIM($W191))&lt;&gt;"n/a",COUNTIF($W$2:$W$528,$W191)&gt;1)),"Yes","No"),IF($A191="Cybernet",IF(OR(AND($Y191&lt;&gt;"",LOWER(TRIM($Y191))&lt;&gt;"n/a",COUNTIF($Y$2:$Y$528,$Y191)&gt;1),AND($Z191&lt;&gt;"",LOWER(TRIM($Z191))&lt;&gt;"n/a",COUNTIF($Z$2:$Z$528,$Z191)&gt;1)),"Yes","No"),IF(AND($AL191&lt;&gt;"",LOWER(TRIM($AL191))&lt;&gt;"n/a",COUNTIF($AL$2:$AL$528,$AL191)&gt;1),"Yes","No"))))</f>
        <v/>
      </c>
      <c r="F191" t="str">
        <f>IF($B191&lt;&gt;"Yes","",
IF($A191="Neuron",
IF(OR(
AND($S191&lt;&gt;"",LOWER(TRIM($S191))&lt;&gt;"n/a",COUNTIFS($B$2:$B$528,"Yes",$A$2:$A$528,"Neuron",$S$2:$S$528,$S191)&gt;1),
AND($T191&lt;&gt;"",LOWER(TRIM($T191))&lt;&gt;"n/a",COUNTIFS($B$2:$B$528,"Yes",$A$2:$A$528,"Neuron",$T$2:$T$528,$T191)&gt;1),
AND($W191&lt;&gt;"",LOWER(TRIM($W191))&lt;&gt;"n/a",COUNTIFS($B$2:$B$528,"Yes",$A$2:$A$528,"Neuron",$W$2:$W$528,$W191)&gt;1)
),"Yes","No"),
IF($A191="Cybernet",
IF(OR(
AND($Y191&lt;&gt;"",LOWER(TRIM($Y191))&lt;&gt;"n/a",COUNTIFS($B$2:$B$528,"Yes",$A$2:$A$528,"Cybernet",$Y$2:$Y$528,$Y191)&gt;1),
AND($Z191&lt;&gt;"",LOWER(TRIM($Z191))&lt;&gt;"n/a",COUNTIFS($B$2:$B$528,"Yes",$A$2:$A$528,"Cybernet",$Z$2:$Z$528,$Z191)&gt;1)
),"Yes","No"),
IF(AND($AL191&lt;&gt;"",LOWER(TRIM($AL191))&lt;&gt;"n/a"),
IF(COUNTIFS($B$2:$B$528,"Yes",$A$2:$A$528,$A191,$AL$2:$AL$528,$AL191)&gt;1,"Yes","No"),
"No")
)
)
)</f>
        <v/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8"/>
      <c r="AF191" s="4"/>
      <c r="AG191" s="4"/>
      <c r="AH191" s="1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8"/>
      <c r="AX191" s="8"/>
      <c r="AY191" s="8"/>
      <c r="AZ191" s="8"/>
      <c r="BA191" s="12"/>
      <c r="BB191" s="8"/>
      <c r="BC191" s="4"/>
      <c r="BD191" s="4"/>
      <c r="BE191" s="8"/>
      <c r="BF191" s="8"/>
      <c r="BG191" s="8"/>
      <c r="BH191" s="8"/>
      <c r="BI191" s="8"/>
      <c r="BJ191" s="8"/>
      <c r="BK191" s="8"/>
      <c r="BL191" s="4" t="str">
        <f t="shared" si="10"/>
        <v/>
      </c>
      <c r="BM191" s="8" t="str">
        <f t="shared" si="11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1:70" ht="15" customHeight="1">
      <c r="A192" s="8"/>
      <c r="B192" s="8"/>
      <c r="D192" s="15" t="str">
        <f t="shared" si="9"/>
        <v/>
      </c>
      <c r="E192" s="15" t="str">
        <f>IF($A192="","",IF($A192="Neuron",IF(OR(AND($S192&lt;&gt;"",LOWER(TRIM($S192))&lt;&gt;"n/a",COUNTIF($S$2:$S$528,$S192)&gt;1),AND($T192&lt;&gt;"",LOWER(TRIM($T192))&lt;&gt;"n/a",COUNTIF($T$2:$T$528,$T192)&gt;1),AND($W192&lt;&gt;"",LOWER(TRIM($W192))&lt;&gt;"n/a",COUNTIF($W$2:$W$528,$W192)&gt;1)),"Yes","No"),IF($A192="Cybernet",IF(OR(AND($Y192&lt;&gt;"",LOWER(TRIM($Y192))&lt;&gt;"n/a",COUNTIF($Y$2:$Y$528,$Y192)&gt;1),AND($Z192&lt;&gt;"",LOWER(TRIM($Z192))&lt;&gt;"n/a",COUNTIF($Z$2:$Z$528,$Z192)&gt;1)),"Yes","No"),IF(AND($AL192&lt;&gt;"",LOWER(TRIM($AL192))&lt;&gt;"n/a",COUNTIF($AL$2:$AL$528,$AL192)&gt;1),"Yes","No"))))</f>
        <v/>
      </c>
      <c r="F192" t="str">
        <f>IF($B192&lt;&gt;"Yes","",
IF($A192="Neuron",
IF(OR(
AND($S192&lt;&gt;"",LOWER(TRIM($S192))&lt;&gt;"n/a",COUNTIFS($B$2:$B$528,"Yes",$A$2:$A$528,"Neuron",$S$2:$S$528,$S192)&gt;1),
AND($T192&lt;&gt;"",LOWER(TRIM($T192))&lt;&gt;"n/a",COUNTIFS($B$2:$B$528,"Yes",$A$2:$A$528,"Neuron",$T$2:$T$528,$T192)&gt;1),
AND($W192&lt;&gt;"",LOWER(TRIM($W192))&lt;&gt;"n/a",COUNTIFS($B$2:$B$528,"Yes",$A$2:$A$528,"Neuron",$W$2:$W$528,$W192)&gt;1)
),"Yes","No"),
IF($A192="Cybernet",
IF(OR(
AND($Y192&lt;&gt;"",LOWER(TRIM($Y192))&lt;&gt;"n/a",COUNTIFS($B$2:$B$528,"Yes",$A$2:$A$528,"Cybernet",$Y$2:$Y$528,$Y192)&gt;1),
AND($Z192&lt;&gt;"",LOWER(TRIM($Z192))&lt;&gt;"n/a",COUNTIFS($B$2:$B$528,"Yes",$A$2:$A$528,"Cybernet",$Z$2:$Z$528,$Z192)&gt;1)
),"Yes","No"),
IF(AND($AL192&lt;&gt;"",LOWER(TRIM($AL192))&lt;&gt;"n/a"),
IF(COUNTIFS($B$2:$B$528,"Yes",$A$2:$A$528,$A192,$AL$2:$AL$528,$AL192)&gt;1,"Yes","No"),
"No")
)
)
)</f>
        <v/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8"/>
      <c r="AF192" s="4"/>
      <c r="AG192" s="4"/>
      <c r="AH192" s="1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8"/>
      <c r="AX192" s="8"/>
      <c r="AY192" s="8"/>
      <c r="AZ192" s="8"/>
      <c r="BA192" s="12"/>
      <c r="BB192" s="8"/>
      <c r="BC192" s="4"/>
      <c r="BD192" s="4"/>
      <c r="BE192" s="8"/>
      <c r="BF192" s="8"/>
      <c r="BG192" s="8"/>
      <c r="BH192" s="8"/>
      <c r="BI192" s="8"/>
      <c r="BJ192" s="8"/>
      <c r="BK192" s="8"/>
      <c r="BL192" s="4" t="str">
        <f t="shared" si="10"/>
        <v/>
      </c>
      <c r="BM192" s="8" t="str">
        <f t="shared" si="11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1:70" ht="15" customHeight="1">
      <c r="A193" s="8"/>
      <c r="B193" s="8"/>
      <c r="D193" s="15" t="str">
        <f t="shared" si="9"/>
        <v/>
      </c>
      <c r="E193" s="15" t="str">
        <f>IF($A193="","",IF($A193="Neuron",IF(OR(AND($S193&lt;&gt;"",LOWER(TRIM($S193))&lt;&gt;"n/a",COUNTIF($S$2:$S$528,$S193)&gt;1),AND($T193&lt;&gt;"",LOWER(TRIM($T193))&lt;&gt;"n/a",COUNTIF($T$2:$T$528,$T193)&gt;1),AND($W193&lt;&gt;"",LOWER(TRIM($W193))&lt;&gt;"n/a",COUNTIF($W$2:$W$528,$W193)&gt;1)),"Yes","No"),IF($A193="Cybernet",IF(OR(AND($Y193&lt;&gt;"",LOWER(TRIM($Y193))&lt;&gt;"n/a",COUNTIF($Y$2:$Y$528,$Y193)&gt;1),AND($Z193&lt;&gt;"",LOWER(TRIM($Z193))&lt;&gt;"n/a",COUNTIF($Z$2:$Z$528,$Z193)&gt;1)),"Yes","No"),IF(AND($AL193&lt;&gt;"",LOWER(TRIM($AL193))&lt;&gt;"n/a",COUNTIF($AL$2:$AL$528,$AL193)&gt;1),"Yes","No"))))</f>
        <v/>
      </c>
      <c r="F193" t="str">
        <f>IF($B193&lt;&gt;"Yes","",
IF($A193="Neuron",
IF(OR(
AND($S193&lt;&gt;"",LOWER(TRIM($S193))&lt;&gt;"n/a",COUNTIFS($B$2:$B$528,"Yes",$A$2:$A$528,"Neuron",$S$2:$S$528,$S193)&gt;1),
AND($T193&lt;&gt;"",LOWER(TRIM($T193))&lt;&gt;"n/a",COUNTIFS($B$2:$B$528,"Yes",$A$2:$A$528,"Neuron",$T$2:$T$528,$T193)&gt;1),
AND($W193&lt;&gt;"",LOWER(TRIM($W193))&lt;&gt;"n/a",COUNTIFS($B$2:$B$528,"Yes",$A$2:$A$528,"Neuron",$W$2:$W$528,$W193)&gt;1)
),"Yes","No"),
IF($A193="Cybernet",
IF(OR(
AND($Y193&lt;&gt;"",LOWER(TRIM($Y193))&lt;&gt;"n/a",COUNTIFS($B$2:$B$528,"Yes",$A$2:$A$528,"Cybernet",$Y$2:$Y$528,$Y193)&gt;1),
AND($Z193&lt;&gt;"",LOWER(TRIM($Z193))&lt;&gt;"n/a",COUNTIFS($B$2:$B$528,"Yes",$A$2:$A$528,"Cybernet",$Z$2:$Z$528,$Z193)&gt;1)
),"Yes","No"),
IF(AND($AL193&lt;&gt;"",LOWER(TRIM($AL193))&lt;&gt;"n/a"),
IF(COUNTIFS($B$2:$B$528,"Yes",$A$2:$A$528,$A193,$AL$2:$AL$528,$AL193)&gt;1,"Yes","No"),
"No")
)
)
)</f>
        <v/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8"/>
      <c r="AF193" s="4"/>
      <c r="AG193" s="4"/>
      <c r="AH193" s="1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8"/>
      <c r="AX193" s="8"/>
      <c r="AY193" s="8"/>
      <c r="AZ193" s="8"/>
      <c r="BA193" s="12"/>
      <c r="BB193" s="8"/>
      <c r="BC193" s="4"/>
      <c r="BD193" s="4"/>
      <c r="BE193" s="8"/>
      <c r="BF193" s="8"/>
      <c r="BG193" s="8"/>
      <c r="BH193" s="8"/>
      <c r="BI193" s="8"/>
      <c r="BJ193" s="8"/>
      <c r="BK193" s="8"/>
      <c r="BL193" s="4" t="str">
        <f t="shared" si="10"/>
        <v/>
      </c>
      <c r="BM193" s="8" t="str">
        <f t="shared" si="11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1:70" ht="15" customHeight="1">
      <c r="A194" s="8"/>
      <c r="B194" s="8"/>
      <c r="D194" s="15" t="str">
        <f t="shared" si="9"/>
        <v/>
      </c>
      <c r="E194" s="15" t="str">
        <f>IF($A194="","",IF($A194="Neuron",IF(OR(AND($S194&lt;&gt;"",LOWER(TRIM($S194))&lt;&gt;"n/a",COUNTIF($S$2:$S$528,$S194)&gt;1),AND($T194&lt;&gt;"",LOWER(TRIM($T194))&lt;&gt;"n/a",COUNTIF($T$2:$T$528,$T194)&gt;1),AND($W194&lt;&gt;"",LOWER(TRIM($W194))&lt;&gt;"n/a",COUNTIF($W$2:$W$528,$W194)&gt;1)),"Yes","No"),IF($A194="Cybernet",IF(OR(AND($Y194&lt;&gt;"",LOWER(TRIM($Y194))&lt;&gt;"n/a",COUNTIF($Y$2:$Y$528,$Y194)&gt;1),AND($Z194&lt;&gt;"",LOWER(TRIM($Z194))&lt;&gt;"n/a",COUNTIF($Z$2:$Z$528,$Z194)&gt;1)),"Yes","No"),IF(AND($AL194&lt;&gt;"",LOWER(TRIM($AL194))&lt;&gt;"n/a",COUNTIF($AL$2:$AL$528,$AL194)&gt;1),"Yes","No"))))</f>
        <v/>
      </c>
      <c r="F194" t="str">
        <f>IF($B194&lt;&gt;"Yes","",
IF($A194="Neuron",
IF(OR(
AND($S194&lt;&gt;"",LOWER(TRIM($S194))&lt;&gt;"n/a",COUNTIFS($B$2:$B$528,"Yes",$A$2:$A$528,"Neuron",$S$2:$S$528,$S194)&gt;1),
AND($T194&lt;&gt;"",LOWER(TRIM($T194))&lt;&gt;"n/a",COUNTIFS($B$2:$B$528,"Yes",$A$2:$A$528,"Neuron",$T$2:$T$528,$T194)&gt;1),
AND($W194&lt;&gt;"",LOWER(TRIM($W194))&lt;&gt;"n/a",COUNTIFS($B$2:$B$528,"Yes",$A$2:$A$528,"Neuron",$W$2:$W$528,$W194)&gt;1)
),"Yes","No"),
IF($A194="Cybernet",
IF(OR(
AND($Y194&lt;&gt;"",LOWER(TRIM($Y194))&lt;&gt;"n/a",COUNTIFS($B$2:$B$528,"Yes",$A$2:$A$528,"Cybernet",$Y$2:$Y$528,$Y194)&gt;1),
AND($Z194&lt;&gt;"",LOWER(TRIM($Z194))&lt;&gt;"n/a",COUNTIFS($B$2:$B$528,"Yes",$A$2:$A$528,"Cybernet",$Z$2:$Z$528,$Z194)&gt;1)
),"Yes","No"),
IF(AND($AL194&lt;&gt;"",LOWER(TRIM($AL194))&lt;&gt;"n/a"),
IF(COUNTIFS($B$2:$B$528,"Yes",$A$2:$A$528,$A194,$AL$2:$AL$528,$AL194)&gt;1,"Yes","No"),
"No")
)
)
)</f>
        <v/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8"/>
      <c r="AF194" s="4"/>
      <c r="AG194" s="4"/>
      <c r="AH194" s="1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8"/>
      <c r="AX194" s="8"/>
      <c r="AY194" s="8"/>
      <c r="AZ194" s="8"/>
      <c r="BA194" s="12"/>
      <c r="BB194" s="8"/>
      <c r="BC194" s="4"/>
      <c r="BD194" s="4"/>
      <c r="BE194" s="8"/>
      <c r="BF194" s="8"/>
      <c r="BG194" s="8"/>
      <c r="BH194" s="8"/>
      <c r="BI194" s="8"/>
      <c r="BJ194" s="8"/>
      <c r="BK194" s="8"/>
      <c r="BL194" s="4" t="str">
        <f t="shared" si="10"/>
        <v/>
      </c>
      <c r="BM194" s="8" t="str">
        <f t="shared" si="11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1:70" ht="15" customHeight="1">
      <c r="A195" s="8"/>
      <c r="B195" s="8"/>
      <c r="D195" s="15" t="str">
        <f t="shared" si="9"/>
        <v/>
      </c>
      <c r="E195" s="15" t="str">
        <f>IF($A195="","",IF($A195="Neuron",IF(OR(AND($S195&lt;&gt;"",LOWER(TRIM($S195))&lt;&gt;"n/a",COUNTIF($S$2:$S$528,$S195)&gt;1),AND($T195&lt;&gt;"",LOWER(TRIM($T195))&lt;&gt;"n/a",COUNTIF($T$2:$T$528,$T195)&gt;1),AND($W195&lt;&gt;"",LOWER(TRIM($W195))&lt;&gt;"n/a",COUNTIF($W$2:$W$528,$W195)&gt;1)),"Yes","No"),IF($A195="Cybernet",IF(OR(AND($Y195&lt;&gt;"",LOWER(TRIM($Y195))&lt;&gt;"n/a",COUNTIF($Y$2:$Y$528,$Y195)&gt;1),AND($Z195&lt;&gt;"",LOWER(TRIM($Z195))&lt;&gt;"n/a",COUNTIF($Z$2:$Z$528,$Z195)&gt;1)),"Yes","No"),IF(AND($AL195&lt;&gt;"",LOWER(TRIM($AL195))&lt;&gt;"n/a",COUNTIF($AL$2:$AL$528,$AL195)&gt;1),"Yes","No"))))</f>
        <v/>
      </c>
      <c r="F195" t="str">
        <f>IF($B195&lt;&gt;"Yes","",
IF($A195="Neuron",
IF(OR(
AND($S195&lt;&gt;"",LOWER(TRIM($S195))&lt;&gt;"n/a",COUNTIFS($B$2:$B$528,"Yes",$A$2:$A$528,"Neuron",$S$2:$S$528,$S195)&gt;1),
AND($T195&lt;&gt;"",LOWER(TRIM($T195))&lt;&gt;"n/a",COUNTIFS($B$2:$B$528,"Yes",$A$2:$A$528,"Neuron",$T$2:$T$528,$T195)&gt;1),
AND($W195&lt;&gt;"",LOWER(TRIM($W195))&lt;&gt;"n/a",COUNTIFS($B$2:$B$528,"Yes",$A$2:$A$528,"Neuron",$W$2:$W$528,$W195)&gt;1)
),"Yes","No"),
IF($A195="Cybernet",
IF(OR(
AND($Y195&lt;&gt;"",LOWER(TRIM($Y195))&lt;&gt;"n/a",COUNTIFS($B$2:$B$528,"Yes",$A$2:$A$528,"Cybernet",$Y$2:$Y$528,$Y195)&gt;1),
AND($Z195&lt;&gt;"",LOWER(TRIM($Z195))&lt;&gt;"n/a",COUNTIFS($B$2:$B$528,"Yes",$A$2:$A$528,"Cybernet",$Z$2:$Z$528,$Z195)&gt;1)
),"Yes","No"),
IF(AND($AL195&lt;&gt;"",LOWER(TRIM($AL195))&lt;&gt;"n/a"),
IF(COUNTIFS($B$2:$B$528,"Yes",$A$2:$A$528,$A195,$AL$2:$AL$528,$AL195)&gt;1,"Yes","No"),
"No")
)
)
)</f>
        <v/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8"/>
      <c r="AF195" s="4"/>
      <c r="AG195" s="4"/>
      <c r="AH195" s="1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8"/>
      <c r="AX195" s="8"/>
      <c r="AY195" s="8"/>
      <c r="AZ195" s="8"/>
      <c r="BA195" s="12"/>
      <c r="BB195" s="8"/>
      <c r="BC195" s="4"/>
      <c r="BD195" s="4"/>
      <c r="BE195" s="8"/>
      <c r="BF195" s="8"/>
      <c r="BG195" s="8"/>
      <c r="BH195" s="8"/>
      <c r="BI195" s="8"/>
      <c r="BJ195" s="8"/>
      <c r="BK195" s="8"/>
      <c r="BL195" s="4" t="str">
        <f t="shared" si="10"/>
        <v/>
      </c>
      <c r="BM195" s="8" t="str">
        <f t="shared" si="11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1:70" ht="15" customHeight="1">
      <c r="A196" s="8"/>
      <c r="B196" s="8"/>
      <c r="D196" s="15" t="str">
        <f t="shared" si="9"/>
        <v/>
      </c>
      <c r="E196" s="15" t="str">
        <f>IF($A196="","",IF($A196="Neuron",IF(OR(AND($S196&lt;&gt;"",LOWER(TRIM($S196))&lt;&gt;"n/a",COUNTIF($S$2:$S$528,$S196)&gt;1),AND($T196&lt;&gt;"",LOWER(TRIM($T196))&lt;&gt;"n/a",COUNTIF($T$2:$T$528,$T196)&gt;1),AND($W196&lt;&gt;"",LOWER(TRIM($W196))&lt;&gt;"n/a",COUNTIF($W$2:$W$528,$W196)&gt;1)),"Yes","No"),IF($A196="Cybernet",IF(OR(AND($Y196&lt;&gt;"",LOWER(TRIM($Y196))&lt;&gt;"n/a",COUNTIF($Y$2:$Y$528,$Y196)&gt;1),AND($Z196&lt;&gt;"",LOWER(TRIM($Z196))&lt;&gt;"n/a",COUNTIF($Z$2:$Z$528,$Z196)&gt;1)),"Yes","No"),IF(AND($AL196&lt;&gt;"",LOWER(TRIM($AL196))&lt;&gt;"n/a",COUNTIF($AL$2:$AL$528,$AL196)&gt;1),"Yes","No"))))</f>
        <v/>
      </c>
      <c r="F196" t="str">
        <f>IF($B196&lt;&gt;"Yes","",
IF($A196="Neuron",
IF(OR(
AND($S196&lt;&gt;"",LOWER(TRIM($S196))&lt;&gt;"n/a",COUNTIFS($B$2:$B$528,"Yes",$A$2:$A$528,"Neuron",$S$2:$S$528,$S196)&gt;1),
AND($T196&lt;&gt;"",LOWER(TRIM($T196))&lt;&gt;"n/a",COUNTIFS($B$2:$B$528,"Yes",$A$2:$A$528,"Neuron",$T$2:$T$528,$T196)&gt;1),
AND($W196&lt;&gt;"",LOWER(TRIM($W196))&lt;&gt;"n/a",COUNTIFS($B$2:$B$528,"Yes",$A$2:$A$528,"Neuron",$W$2:$W$528,$W196)&gt;1)
),"Yes","No"),
IF($A196="Cybernet",
IF(OR(
AND($Y196&lt;&gt;"",LOWER(TRIM($Y196))&lt;&gt;"n/a",COUNTIFS($B$2:$B$528,"Yes",$A$2:$A$528,"Cybernet",$Y$2:$Y$528,$Y196)&gt;1),
AND($Z196&lt;&gt;"",LOWER(TRIM($Z196))&lt;&gt;"n/a",COUNTIFS($B$2:$B$528,"Yes",$A$2:$A$528,"Cybernet",$Z$2:$Z$528,$Z196)&gt;1)
),"Yes","No"),
IF(AND($AL196&lt;&gt;"",LOWER(TRIM($AL196))&lt;&gt;"n/a"),
IF(COUNTIFS($B$2:$B$528,"Yes",$A$2:$A$528,$A196,$AL$2:$AL$528,$AL196)&gt;1,"Yes","No"),
"No")
)
)
)</f>
        <v/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8"/>
      <c r="AF196" s="4"/>
      <c r="AG196" s="4"/>
      <c r="AH196" s="1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8"/>
      <c r="AX196" s="8"/>
      <c r="AY196" s="8"/>
      <c r="AZ196" s="8"/>
      <c r="BA196" s="12"/>
      <c r="BB196" s="8"/>
      <c r="BC196" s="4"/>
      <c r="BD196" s="4"/>
      <c r="BE196" s="8"/>
      <c r="BF196" s="8"/>
      <c r="BG196" s="8"/>
      <c r="BH196" s="8"/>
      <c r="BI196" s="8"/>
      <c r="BJ196" s="8"/>
      <c r="BK196" s="8"/>
      <c r="BL196" s="4" t="str">
        <f t="shared" si="10"/>
        <v/>
      </c>
      <c r="BM196" s="8" t="str">
        <f t="shared" si="11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1:70" ht="15" customHeight="1">
      <c r="A197" s="8"/>
      <c r="B197" s="8"/>
      <c r="D197" s="15" t="str">
        <f t="shared" si="9"/>
        <v/>
      </c>
      <c r="E197" s="15" t="str">
        <f>IF($A197="","",IF($A197="Neuron",IF(OR(AND($S197&lt;&gt;"",LOWER(TRIM($S197))&lt;&gt;"n/a",COUNTIF($S$2:$S$528,$S197)&gt;1),AND($T197&lt;&gt;"",LOWER(TRIM($T197))&lt;&gt;"n/a",COUNTIF($T$2:$T$528,$T197)&gt;1),AND($W197&lt;&gt;"",LOWER(TRIM($W197))&lt;&gt;"n/a",COUNTIF($W$2:$W$528,$W197)&gt;1)),"Yes","No"),IF($A197="Cybernet",IF(OR(AND($Y197&lt;&gt;"",LOWER(TRIM($Y197))&lt;&gt;"n/a",COUNTIF($Y$2:$Y$528,$Y197)&gt;1),AND($Z197&lt;&gt;"",LOWER(TRIM($Z197))&lt;&gt;"n/a",COUNTIF($Z$2:$Z$528,$Z197)&gt;1)),"Yes","No"),IF(AND($AL197&lt;&gt;"",LOWER(TRIM($AL197))&lt;&gt;"n/a",COUNTIF($AL$2:$AL$528,$AL197)&gt;1),"Yes","No"))))</f>
        <v/>
      </c>
      <c r="F197" t="str">
        <f>IF($B197&lt;&gt;"Yes","",
IF($A197="Neuron",
IF(OR(
AND($S197&lt;&gt;"",LOWER(TRIM($S197))&lt;&gt;"n/a",COUNTIFS($B$2:$B$528,"Yes",$A$2:$A$528,"Neuron",$S$2:$S$528,$S197)&gt;1),
AND($T197&lt;&gt;"",LOWER(TRIM($T197))&lt;&gt;"n/a",COUNTIFS($B$2:$B$528,"Yes",$A$2:$A$528,"Neuron",$T$2:$T$528,$T197)&gt;1),
AND($W197&lt;&gt;"",LOWER(TRIM($W197))&lt;&gt;"n/a",COUNTIFS($B$2:$B$528,"Yes",$A$2:$A$528,"Neuron",$W$2:$W$528,$W197)&gt;1)
),"Yes","No"),
IF($A197="Cybernet",
IF(OR(
AND($Y197&lt;&gt;"",LOWER(TRIM($Y197))&lt;&gt;"n/a",COUNTIFS($B$2:$B$528,"Yes",$A$2:$A$528,"Cybernet",$Y$2:$Y$528,$Y197)&gt;1),
AND($Z197&lt;&gt;"",LOWER(TRIM($Z197))&lt;&gt;"n/a",COUNTIFS($B$2:$B$528,"Yes",$A$2:$A$528,"Cybernet",$Z$2:$Z$528,$Z197)&gt;1)
),"Yes","No"),
IF(AND($AL197&lt;&gt;"",LOWER(TRIM($AL197))&lt;&gt;"n/a"),
IF(COUNTIFS($B$2:$B$528,"Yes",$A$2:$A$528,$A197,$AL$2:$AL$528,$AL197)&gt;1,"Yes","No"),
"No")
)
)
)</f>
        <v/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8"/>
      <c r="AF197" s="4"/>
      <c r="AG197" s="4"/>
      <c r="AH197" s="1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8"/>
      <c r="AX197" s="8"/>
      <c r="AY197" s="8"/>
      <c r="AZ197" s="8"/>
      <c r="BA197" s="12"/>
      <c r="BB197" s="8"/>
      <c r="BC197" s="4"/>
      <c r="BD197" s="4"/>
      <c r="BE197" s="8"/>
      <c r="BF197" s="8"/>
      <c r="BG197" s="8"/>
      <c r="BH197" s="8"/>
      <c r="BI197" s="8"/>
      <c r="BJ197" s="8"/>
      <c r="BK197" s="8"/>
      <c r="BL197" s="4" t="str">
        <f t="shared" si="10"/>
        <v/>
      </c>
      <c r="BM197" s="8" t="str">
        <f t="shared" si="11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1:70" ht="15" customHeight="1">
      <c r="A198" s="8"/>
      <c r="B198" s="8"/>
      <c r="D198" s="15" t="str">
        <f t="shared" si="9"/>
        <v/>
      </c>
      <c r="E198" s="15" t="str">
        <f>IF($A198="","",IF($A198="Neuron",IF(OR(AND($S198&lt;&gt;"",LOWER(TRIM($S198))&lt;&gt;"n/a",COUNTIF($S$2:$S$528,$S198)&gt;1),AND($T198&lt;&gt;"",LOWER(TRIM($T198))&lt;&gt;"n/a",COUNTIF($T$2:$T$528,$T198)&gt;1),AND($W198&lt;&gt;"",LOWER(TRIM($W198))&lt;&gt;"n/a",COUNTIF($W$2:$W$528,$W198)&gt;1)),"Yes","No"),IF($A198="Cybernet",IF(OR(AND($Y198&lt;&gt;"",LOWER(TRIM($Y198))&lt;&gt;"n/a",COUNTIF($Y$2:$Y$528,$Y198)&gt;1),AND($Z198&lt;&gt;"",LOWER(TRIM($Z198))&lt;&gt;"n/a",COUNTIF($Z$2:$Z$528,$Z198)&gt;1)),"Yes","No"),IF(AND($AL198&lt;&gt;"",LOWER(TRIM($AL198))&lt;&gt;"n/a",COUNTIF($AL$2:$AL$528,$AL198)&gt;1),"Yes","No"))))</f>
        <v/>
      </c>
      <c r="F198" t="str">
        <f>IF($B198&lt;&gt;"Yes","",
IF($A198="Neuron",
IF(OR(
AND($S198&lt;&gt;"",LOWER(TRIM($S198))&lt;&gt;"n/a",COUNTIFS($B$2:$B$528,"Yes",$A$2:$A$528,"Neuron",$S$2:$S$528,$S198)&gt;1),
AND($T198&lt;&gt;"",LOWER(TRIM($T198))&lt;&gt;"n/a",COUNTIFS($B$2:$B$528,"Yes",$A$2:$A$528,"Neuron",$T$2:$T$528,$T198)&gt;1),
AND($W198&lt;&gt;"",LOWER(TRIM($W198))&lt;&gt;"n/a",COUNTIFS($B$2:$B$528,"Yes",$A$2:$A$528,"Neuron",$W$2:$W$528,$W198)&gt;1)
),"Yes","No"),
IF($A198="Cybernet",
IF(OR(
AND($Y198&lt;&gt;"",LOWER(TRIM($Y198))&lt;&gt;"n/a",COUNTIFS($B$2:$B$528,"Yes",$A$2:$A$528,"Cybernet",$Y$2:$Y$528,$Y198)&gt;1),
AND($Z198&lt;&gt;"",LOWER(TRIM($Z198))&lt;&gt;"n/a",COUNTIFS($B$2:$B$528,"Yes",$A$2:$A$528,"Cybernet",$Z$2:$Z$528,$Z198)&gt;1)
),"Yes","No"),
IF(AND($AL198&lt;&gt;"",LOWER(TRIM($AL198))&lt;&gt;"n/a"),
IF(COUNTIFS($B$2:$B$528,"Yes",$A$2:$A$528,$A198,$AL$2:$AL$528,$AL198)&gt;1,"Yes","No"),
"No")
)
)
)</f>
        <v/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8"/>
      <c r="AF198" s="4"/>
      <c r="AG198" s="4"/>
      <c r="AH198" s="1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8"/>
      <c r="AX198" s="8"/>
      <c r="AY198" s="8"/>
      <c r="AZ198" s="8"/>
      <c r="BA198" s="12"/>
      <c r="BB198" s="8"/>
      <c r="BC198" s="4"/>
      <c r="BD198" s="4"/>
      <c r="BE198" s="8"/>
      <c r="BF198" s="8"/>
      <c r="BG198" s="8"/>
      <c r="BH198" s="8"/>
      <c r="BI198" s="8"/>
      <c r="BJ198" s="8"/>
      <c r="BK198" s="8"/>
      <c r="BL198" s="4" t="str">
        <f t="shared" si="10"/>
        <v/>
      </c>
      <c r="BM198" s="8" t="str">
        <f t="shared" si="11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1:70" ht="15" customHeight="1">
      <c r="A199" s="8"/>
      <c r="B199" s="8"/>
      <c r="D199" s="15" t="str">
        <f t="shared" si="9"/>
        <v/>
      </c>
      <c r="E199" s="15" t="str">
        <f>IF($A199="","",IF($A199="Neuron",IF(OR(AND($S199&lt;&gt;"",LOWER(TRIM($S199))&lt;&gt;"n/a",COUNTIF($S$2:$S$528,$S199)&gt;1),AND($T199&lt;&gt;"",LOWER(TRIM($T199))&lt;&gt;"n/a",COUNTIF($T$2:$T$528,$T199)&gt;1),AND($W199&lt;&gt;"",LOWER(TRIM($W199))&lt;&gt;"n/a",COUNTIF($W$2:$W$528,$W199)&gt;1)),"Yes","No"),IF($A199="Cybernet",IF(OR(AND($Y199&lt;&gt;"",LOWER(TRIM($Y199))&lt;&gt;"n/a",COUNTIF($Y$2:$Y$528,$Y199)&gt;1),AND($Z199&lt;&gt;"",LOWER(TRIM($Z199))&lt;&gt;"n/a",COUNTIF($Z$2:$Z$528,$Z199)&gt;1)),"Yes","No"),IF(AND($AL199&lt;&gt;"",LOWER(TRIM($AL199))&lt;&gt;"n/a",COUNTIF($AL$2:$AL$528,$AL199)&gt;1),"Yes","No"))))</f>
        <v/>
      </c>
      <c r="F199" t="str">
        <f>IF($B199&lt;&gt;"Yes","",
IF($A199="Neuron",
IF(OR(
AND($S199&lt;&gt;"",LOWER(TRIM($S199))&lt;&gt;"n/a",COUNTIFS($B$2:$B$528,"Yes",$A$2:$A$528,"Neuron",$S$2:$S$528,$S199)&gt;1),
AND($T199&lt;&gt;"",LOWER(TRIM($T199))&lt;&gt;"n/a",COUNTIFS($B$2:$B$528,"Yes",$A$2:$A$528,"Neuron",$T$2:$T$528,$T199)&gt;1),
AND($W199&lt;&gt;"",LOWER(TRIM($W199))&lt;&gt;"n/a",COUNTIFS($B$2:$B$528,"Yes",$A$2:$A$528,"Neuron",$W$2:$W$528,$W199)&gt;1)
),"Yes","No"),
IF($A199="Cybernet",
IF(OR(
AND($Y199&lt;&gt;"",LOWER(TRIM($Y199))&lt;&gt;"n/a",COUNTIFS($B$2:$B$528,"Yes",$A$2:$A$528,"Cybernet",$Y$2:$Y$528,$Y199)&gt;1),
AND($Z199&lt;&gt;"",LOWER(TRIM($Z199))&lt;&gt;"n/a",COUNTIFS($B$2:$B$528,"Yes",$A$2:$A$528,"Cybernet",$Z$2:$Z$528,$Z199)&gt;1)
),"Yes","No"),
IF(AND($AL199&lt;&gt;"",LOWER(TRIM($AL199))&lt;&gt;"n/a"),
IF(COUNTIFS($B$2:$B$528,"Yes",$A$2:$A$528,$A199,$AL$2:$AL$528,$AL199)&gt;1,"Yes","No"),
"No")
)
)
)</f>
        <v/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8"/>
      <c r="AF199" s="4"/>
      <c r="AG199" s="4"/>
      <c r="AH199" s="1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8"/>
      <c r="AX199" s="8"/>
      <c r="AY199" s="8"/>
      <c r="AZ199" s="8"/>
      <c r="BA199" s="12"/>
      <c r="BB199" s="8"/>
      <c r="BC199" s="4"/>
      <c r="BD199" s="4"/>
      <c r="BE199" s="8"/>
      <c r="BF199" s="8"/>
      <c r="BG199" s="8"/>
      <c r="BH199" s="8"/>
      <c r="BI199" s="8"/>
      <c r="BJ199" s="8"/>
      <c r="BK199" s="8"/>
      <c r="BL199" s="4" t="str">
        <f t="shared" si="10"/>
        <v/>
      </c>
      <c r="BM199" s="8" t="str">
        <f t="shared" si="11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1:70" ht="15" customHeight="1">
      <c r="A200" s="8"/>
      <c r="B200" s="8"/>
      <c r="D200" s="15" t="str">
        <f t="shared" si="9"/>
        <v/>
      </c>
      <c r="E200" s="15" t="str">
        <f>IF($A200="","",IF($A200="Neuron",IF(OR(AND($S200&lt;&gt;"",LOWER(TRIM($S200))&lt;&gt;"n/a",COUNTIF($S$2:$S$528,$S200)&gt;1),AND($T200&lt;&gt;"",LOWER(TRIM($T200))&lt;&gt;"n/a",COUNTIF($T$2:$T$528,$T200)&gt;1),AND($W200&lt;&gt;"",LOWER(TRIM($W200))&lt;&gt;"n/a",COUNTIF($W$2:$W$528,$W200)&gt;1)),"Yes","No"),IF($A200="Cybernet",IF(OR(AND($Y200&lt;&gt;"",LOWER(TRIM($Y200))&lt;&gt;"n/a",COUNTIF($Y$2:$Y$528,$Y200)&gt;1),AND($Z200&lt;&gt;"",LOWER(TRIM($Z200))&lt;&gt;"n/a",COUNTIF($Z$2:$Z$528,$Z200)&gt;1)),"Yes","No"),IF(AND($AL200&lt;&gt;"",LOWER(TRIM($AL200))&lt;&gt;"n/a",COUNTIF($AL$2:$AL$528,$AL200)&gt;1),"Yes","No"))))</f>
        <v/>
      </c>
      <c r="F200" t="str">
        <f>IF($B200&lt;&gt;"Yes","",
IF($A200="Neuron",
IF(OR(
AND($S200&lt;&gt;"",LOWER(TRIM($S200))&lt;&gt;"n/a",COUNTIFS($B$2:$B$528,"Yes",$A$2:$A$528,"Neuron",$S$2:$S$528,$S200)&gt;1),
AND($T200&lt;&gt;"",LOWER(TRIM($T200))&lt;&gt;"n/a",COUNTIFS($B$2:$B$528,"Yes",$A$2:$A$528,"Neuron",$T$2:$T$528,$T200)&gt;1),
AND($W200&lt;&gt;"",LOWER(TRIM($W200))&lt;&gt;"n/a",COUNTIFS($B$2:$B$528,"Yes",$A$2:$A$528,"Neuron",$W$2:$W$528,$W200)&gt;1)
),"Yes","No"),
IF($A200="Cybernet",
IF(OR(
AND($Y200&lt;&gt;"",LOWER(TRIM($Y200))&lt;&gt;"n/a",COUNTIFS($B$2:$B$528,"Yes",$A$2:$A$528,"Cybernet",$Y$2:$Y$528,$Y200)&gt;1),
AND($Z200&lt;&gt;"",LOWER(TRIM($Z200))&lt;&gt;"n/a",COUNTIFS($B$2:$B$528,"Yes",$A$2:$A$528,"Cybernet",$Z$2:$Z$528,$Z200)&gt;1)
),"Yes","No"),
IF(AND($AL200&lt;&gt;"",LOWER(TRIM($AL200))&lt;&gt;"n/a"),
IF(COUNTIFS($B$2:$B$528,"Yes",$A$2:$A$528,$A200,$AL$2:$AL$528,$AL200)&gt;1,"Yes","No"),
"No")
)
)
)</f>
        <v/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8"/>
      <c r="AF200" s="4"/>
      <c r="AG200" s="4"/>
      <c r="AH200" s="1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8"/>
      <c r="AX200" s="8"/>
      <c r="AY200" s="8"/>
      <c r="AZ200" s="8"/>
      <c r="BA200" s="12"/>
      <c r="BB200" s="8"/>
      <c r="BC200" s="4"/>
      <c r="BD200" s="4"/>
      <c r="BE200" s="8"/>
      <c r="BF200" s="8"/>
      <c r="BG200" s="8"/>
      <c r="BH200" s="8"/>
      <c r="BI200" s="8"/>
      <c r="BJ200" s="8"/>
      <c r="BK200" s="8"/>
      <c r="BL200" s="4" t="str">
        <f t="shared" si="10"/>
        <v/>
      </c>
      <c r="BM200" s="8" t="str">
        <f t="shared" si="11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1:70" ht="15" customHeight="1">
      <c r="A201" s="8"/>
      <c r="B201" s="8"/>
      <c r="D201" s="15" t="str">
        <f t="shared" si="9"/>
        <v/>
      </c>
      <c r="E201" s="15" t="str">
        <f>IF($A201="","",IF($A201="Neuron",IF(OR(AND($S201&lt;&gt;"",LOWER(TRIM($S201))&lt;&gt;"n/a",COUNTIF($S$2:$S$528,$S201)&gt;1),AND($T201&lt;&gt;"",LOWER(TRIM($T201))&lt;&gt;"n/a",COUNTIF($T$2:$T$528,$T201)&gt;1),AND($W201&lt;&gt;"",LOWER(TRIM($W201))&lt;&gt;"n/a",COUNTIF($W$2:$W$528,$W201)&gt;1)),"Yes","No"),IF($A201="Cybernet",IF(OR(AND($Y201&lt;&gt;"",LOWER(TRIM($Y201))&lt;&gt;"n/a",COUNTIF($Y$2:$Y$528,$Y201)&gt;1),AND($Z201&lt;&gt;"",LOWER(TRIM($Z201))&lt;&gt;"n/a",COUNTIF($Z$2:$Z$528,$Z201)&gt;1)),"Yes","No"),IF(AND($AL201&lt;&gt;"",LOWER(TRIM($AL201))&lt;&gt;"n/a",COUNTIF($AL$2:$AL$528,$AL201)&gt;1),"Yes","No"))))</f>
        <v/>
      </c>
      <c r="F201" t="str">
        <f>IF($B201&lt;&gt;"Yes","",
IF($A201="Neuron",
IF(OR(
AND($S201&lt;&gt;"",LOWER(TRIM($S201))&lt;&gt;"n/a",COUNTIFS($B$2:$B$528,"Yes",$A$2:$A$528,"Neuron",$S$2:$S$528,$S201)&gt;1),
AND($T201&lt;&gt;"",LOWER(TRIM($T201))&lt;&gt;"n/a",COUNTIFS($B$2:$B$528,"Yes",$A$2:$A$528,"Neuron",$T$2:$T$528,$T201)&gt;1),
AND($W201&lt;&gt;"",LOWER(TRIM($W201))&lt;&gt;"n/a",COUNTIFS($B$2:$B$528,"Yes",$A$2:$A$528,"Neuron",$W$2:$W$528,$W201)&gt;1)
),"Yes","No"),
IF($A201="Cybernet",
IF(OR(
AND($Y201&lt;&gt;"",LOWER(TRIM($Y201))&lt;&gt;"n/a",COUNTIFS($B$2:$B$528,"Yes",$A$2:$A$528,"Cybernet",$Y$2:$Y$528,$Y201)&gt;1),
AND($Z201&lt;&gt;"",LOWER(TRIM($Z201))&lt;&gt;"n/a",COUNTIFS($B$2:$B$528,"Yes",$A$2:$A$528,"Cybernet",$Z$2:$Z$528,$Z201)&gt;1)
),"Yes","No"),
IF(AND($AL201&lt;&gt;"",LOWER(TRIM($AL201))&lt;&gt;"n/a"),
IF(COUNTIFS($B$2:$B$528,"Yes",$A$2:$A$528,$A201,$AL$2:$AL$528,$AL201)&gt;1,"Yes","No"),
"No")
)
)
)</f>
        <v/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8"/>
      <c r="AF201" s="4"/>
      <c r="AG201" s="4"/>
      <c r="AH201" s="1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8"/>
      <c r="AX201" s="8"/>
      <c r="AY201" s="8"/>
      <c r="AZ201" s="8"/>
      <c r="BA201" s="12"/>
      <c r="BB201" s="8"/>
      <c r="BC201" s="4"/>
      <c r="BD201" s="4"/>
      <c r="BE201" s="8"/>
      <c r="BF201" s="8"/>
      <c r="BG201" s="8"/>
      <c r="BH201" s="8"/>
      <c r="BI201" s="8"/>
      <c r="BJ201" s="8"/>
      <c r="BK201" s="8"/>
      <c r="BL201" s="4" t="str">
        <f t="shared" si="10"/>
        <v/>
      </c>
      <c r="BM201" s="8" t="str">
        <f t="shared" si="11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1:70" ht="15" customHeight="1">
      <c r="A202" s="8"/>
      <c r="B202" s="8"/>
      <c r="D202" s="15" t="str">
        <f t="shared" si="9"/>
        <v/>
      </c>
      <c r="E202" s="15" t="str">
        <f>IF($A202="","",IF($A202="Neuron",IF(OR(AND($S202&lt;&gt;"",LOWER(TRIM($S202))&lt;&gt;"n/a",COUNTIF($S$2:$S$528,$S202)&gt;1),AND($T202&lt;&gt;"",LOWER(TRIM($T202))&lt;&gt;"n/a",COUNTIF($T$2:$T$528,$T202)&gt;1),AND($W202&lt;&gt;"",LOWER(TRIM($W202))&lt;&gt;"n/a",COUNTIF($W$2:$W$528,$W202)&gt;1)),"Yes","No"),IF($A202="Cybernet",IF(OR(AND($Y202&lt;&gt;"",LOWER(TRIM($Y202))&lt;&gt;"n/a",COUNTIF($Y$2:$Y$528,$Y202)&gt;1),AND($Z202&lt;&gt;"",LOWER(TRIM($Z202))&lt;&gt;"n/a",COUNTIF($Z$2:$Z$528,$Z202)&gt;1)),"Yes","No"),IF(AND($AL202&lt;&gt;"",LOWER(TRIM($AL202))&lt;&gt;"n/a",COUNTIF($AL$2:$AL$528,$AL202)&gt;1),"Yes","No"))))</f>
        <v/>
      </c>
      <c r="F202" t="str">
        <f>IF($B202&lt;&gt;"Yes","",
IF($A202="Neuron",
IF(OR(
AND($S202&lt;&gt;"",LOWER(TRIM($S202))&lt;&gt;"n/a",COUNTIFS($B$2:$B$528,"Yes",$A$2:$A$528,"Neuron",$S$2:$S$528,$S202)&gt;1),
AND($T202&lt;&gt;"",LOWER(TRIM($T202))&lt;&gt;"n/a",COUNTIFS($B$2:$B$528,"Yes",$A$2:$A$528,"Neuron",$T$2:$T$528,$T202)&gt;1),
AND($W202&lt;&gt;"",LOWER(TRIM($W202))&lt;&gt;"n/a",COUNTIFS($B$2:$B$528,"Yes",$A$2:$A$528,"Neuron",$W$2:$W$528,$W202)&gt;1)
),"Yes","No"),
IF($A202="Cybernet",
IF(OR(
AND($Y202&lt;&gt;"",LOWER(TRIM($Y202))&lt;&gt;"n/a",COUNTIFS($B$2:$B$528,"Yes",$A$2:$A$528,"Cybernet",$Y$2:$Y$528,$Y202)&gt;1),
AND($Z202&lt;&gt;"",LOWER(TRIM($Z202))&lt;&gt;"n/a",COUNTIFS($B$2:$B$528,"Yes",$A$2:$A$528,"Cybernet",$Z$2:$Z$528,$Z202)&gt;1)
),"Yes","No"),
IF(AND($AL202&lt;&gt;"",LOWER(TRIM($AL202))&lt;&gt;"n/a"),
IF(COUNTIFS($B$2:$B$528,"Yes",$A$2:$A$528,$A202,$AL$2:$AL$528,$AL202)&gt;1,"Yes","No"),
"No")
)
)
)</f>
        <v/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8"/>
      <c r="AF202" s="4"/>
      <c r="AG202" s="4"/>
      <c r="AH202" s="1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8"/>
      <c r="AX202" s="8"/>
      <c r="AY202" s="8"/>
      <c r="AZ202" s="8"/>
      <c r="BA202" s="12"/>
      <c r="BB202" s="8"/>
      <c r="BC202" s="4"/>
      <c r="BD202" s="4"/>
      <c r="BE202" s="8"/>
      <c r="BF202" s="8"/>
      <c r="BG202" s="8"/>
      <c r="BH202" s="8"/>
      <c r="BI202" s="8"/>
      <c r="BJ202" s="8"/>
      <c r="BK202" s="8"/>
      <c r="BL202" s="4" t="str">
        <f t="shared" si="10"/>
        <v/>
      </c>
      <c r="BM202" s="8" t="str">
        <f t="shared" si="11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1:70" ht="15" customHeight="1">
      <c r="A203" s="8"/>
      <c r="B203" s="8"/>
      <c r="D203" s="15" t="str">
        <f t="shared" ref="D203:D266" si="12">IF($B203&lt;&gt;"Yes","",IF($C203="No","Yes",IF($C203="Yes","No","")))</f>
        <v/>
      </c>
      <c r="E203" s="15" t="str">
        <f>IF($A203="","",IF($A203="Neuron",IF(OR(AND($S203&lt;&gt;"",LOWER(TRIM($S203))&lt;&gt;"n/a",COUNTIF($S$2:$S$528,$S203)&gt;1),AND($T203&lt;&gt;"",LOWER(TRIM($T203))&lt;&gt;"n/a",COUNTIF($T$2:$T$528,$T203)&gt;1),AND($W203&lt;&gt;"",LOWER(TRIM($W203))&lt;&gt;"n/a",COUNTIF($W$2:$W$528,$W203)&gt;1)),"Yes","No"),IF($A203="Cybernet",IF(OR(AND($Y203&lt;&gt;"",LOWER(TRIM($Y203))&lt;&gt;"n/a",COUNTIF($Y$2:$Y$528,$Y203)&gt;1),AND($Z203&lt;&gt;"",LOWER(TRIM($Z203))&lt;&gt;"n/a",COUNTIF($Z$2:$Z$528,$Z203)&gt;1)),"Yes","No"),IF(AND($AL203&lt;&gt;"",LOWER(TRIM($AL203))&lt;&gt;"n/a",COUNTIF($AL$2:$AL$528,$AL203)&gt;1),"Yes","No"))))</f>
        <v/>
      </c>
      <c r="F203" t="str">
        <f>IF($B203&lt;&gt;"Yes","",
IF($A203="Neuron",
IF(OR(
AND($S203&lt;&gt;"",LOWER(TRIM($S203))&lt;&gt;"n/a",COUNTIFS($B$2:$B$528,"Yes",$A$2:$A$528,"Neuron",$S$2:$S$528,$S203)&gt;1),
AND($T203&lt;&gt;"",LOWER(TRIM($T203))&lt;&gt;"n/a",COUNTIFS($B$2:$B$528,"Yes",$A$2:$A$528,"Neuron",$T$2:$T$528,$T203)&gt;1),
AND($W203&lt;&gt;"",LOWER(TRIM($W203))&lt;&gt;"n/a",COUNTIFS($B$2:$B$528,"Yes",$A$2:$A$528,"Neuron",$W$2:$W$528,$W203)&gt;1)
),"Yes","No"),
IF($A203="Cybernet",
IF(OR(
AND($Y203&lt;&gt;"",LOWER(TRIM($Y203))&lt;&gt;"n/a",COUNTIFS($B$2:$B$528,"Yes",$A$2:$A$528,"Cybernet",$Y$2:$Y$528,$Y203)&gt;1),
AND($Z203&lt;&gt;"",LOWER(TRIM($Z203))&lt;&gt;"n/a",COUNTIFS($B$2:$B$528,"Yes",$A$2:$A$528,"Cybernet",$Z$2:$Z$528,$Z203)&gt;1)
),"Yes","No"),
IF(AND($AL203&lt;&gt;"",LOWER(TRIM($AL203))&lt;&gt;"n/a"),
IF(COUNTIFS($B$2:$B$528,"Yes",$A$2:$A$528,$A203,$AL$2:$AL$528,$AL203)&gt;1,"Yes","No"),
"No")
)
)
)</f>
        <v/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8"/>
      <c r="AF203" s="4"/>
      <c r="AG203" s="4"/>
      <c r="AH203" s="1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8"/>
      <c r="AX203" s="8"/>
      <c r="AY203" s="8"/>
      <c r="AZ203" s="8"/>
      <c r="BA203" s="12"/>
      <c r="BB203" s="8"/>
      <c r="BC203" s="4"/>
      <c r="BD203" s="4"/>
      <c r="BE203" s="8"/>
      <c r="BF203" s="8"/>
      <c r="BG203" s="8"/>
      <c r="BH203" s="8"/>
      <c r="BI203" s="8"/>
      <c r="BJ203" s="8"/>
      <c r="BK203" s="8"/>
      <c r="BL203" s="4" t="str">
        <f t="shared" si="10"/>
        <v/>
      </c>
      <c r="BM203" s="8" t="str">
        <f t="shared" si="11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1:70" ht="15" customHeight="1">
      <c r="A204" s="8"/>
      <c r="B204" s="8"/>
      <c r="D204" s="15" t="str">
        <f t="shared" si="12"/>
        <v/>
      </c>
      <c r="E204" s="15" t="str">
        <f>IF($A204="","",IF($A204="Neuron",IF(OR(AND($S204&lt;&gt;"",LOWER(TRIM($S204))&lt;&gt;"n/a",COUNTIF($S$2:$S$528,$S204)&gt;1),AND($T204&lt;&gt;"",LOWER(TRIM($T204))&lt;&gt;"n/a",COUNTIF($T$2:$T$528,$T204)&gt;1),AND($W204&lt;&gt;"",LOWER(TRIM($W204))&lt;&gt;"n/a",COUNTIF($W$2:$W$528,$W204)&gt;1)),"Yes","No"),IF($A204="Cybernet",IF(OR(AND($Y204&lt;&gt;"",LOWER(TRIM($Y204))&lt;&gt;"n/a",COUNTIF($Y$2:$Y$528,$Y204)&gt;1),AND($Z204&lt;&gt;"",LOWER(TRIM($Z204))&lt;&gt;"n/a",COUNTIF($Z$2:$Z$528,$Z204)&gt;1)),"Yes","No"),IF(AND($AL204&lt;&gt;"",LOWER(TRIM($AL204))&lt;&gt;"n/a",COUNTIF($AL$2:$AL$528,$AL204)&gt;1),"Yes","No"))))</f>
        <v/>
      </c>
      <c r="F204" t="str">
        <f>IF($B204&lt;&gt;"Yes","",
IF($A204="Neuron",
IF(OR(
AND($S204&lt;&gt;"",LOWER(TRIM($S204))&lt;&gt;"n/a",COUNTIFS($B$2:$B$528,"Yes",$A$2:$A$528,"Neuron",$S$2:$S$528,$S204)&gt;1),
AND($T204&lt;&gt;"",LOWER(TRIM($T204))&lt;&gt;"n/a",COUNTIFS($B$2:$B$528,"Yes",$A$2:$A$528,"Neuron",$T$2:$T$528,$T204)&gt;1),
AND($W204&lt;&gt;"",LOWER(TRIM($W204))&lt;&gt;"n/a",COUNTIFS($B$2:$B$528,"Yes",$A$2:$A$528,"Neuron",$W$2:$W$528,$W204)&gt;1)
),"Yes","No"),
IF($A204="Cybernet",
IF(OR(
AND($Y204&lt;&gt;"",LOWER(TRIM($Y204))&lt;&gt;"n/a",COUNTIFS($B$2:$B$528,"Yes",$A$2:$A$528,"Cybernet",$Y$2:$Y$528,$Y204)&gt;1),
AND($Z204&lt;&gt;"",LOWER(TRIM($Z204))&lt;&gt;"n/a",COUNTIFS($B$2:$B$528,"Yes",$A$2:$A$528,"Cybernet",$Z$2:$Z$528,$Z204)&gt;1)
),"Yes","No"),
IF(AND($AL204&lt;&gt;"",LOWER(TRIM($AL204))&lt;&gt;"n/a"),
IF(COUNTIFS($B$2:$B$528,"Yes",$A$2:$A$528,$A204,$AL$2:$AL$528,$AL204)&gt;1,"Yes","No"),
"No")
)
)
)</f>
        <v/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8"/>
      <c r="AF204" s="4"/>
      <c r="AG204" s="4"/>
      <c r="AH204" s="1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8"/>
      <c r="AX204" s="8"/>
      <c r="AY204" s="8"/>
      <c r="AZ204" s="8"/>
      <c r="BA204" s="12"/>
      <c r="BB204" s="8"/>
      <c r="BC204" s="4"/>
      <c r="BD204" s="4"/>
      <c r="BE204" s="8"/>
      <c r="BF204" s="8"/>
      <c r="BG204" s="8"/>
      <c r="BH204" s="8"/>
      <c r="BI204" s="8"/>
      <c r="BJ204" s="8"/>
      <c r="BK204" s="8"/>
      <c r="BL204" s="4" t="str">
        <f t="shared" si="10"/>
        <v/>
      </c>
      <c r="BM204" s="8" t="str">
        <f t="shared" si="11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1:70" ht="15" customHeight="1">
      <c r="A205" s="8"/>
      <c r="B205" s="8"/>
      <c r="D205" s="15" t="str">
        <f t="shared" si="12"/>
        <v/>
      </c>
      <c r="E205" s="15" t="str">
        <f>IF($A205="","",IF($A205="Neuron",IF(OR(AND($S205&lt;&gt;"",LOWER(TRIM($S205))&lt;&gt;"n/a",COUNTIF($S$2:$S$528,$S205)&gt;1),AND($T205&lt;&gt;"",LOWER(TRIM($T205))&lt;&gt;"n/a",COUNTIF($T$2:$T$528,$T205)&gt;1),AND($W205&lt;&gt;"",LOWER(TRIM($W205))&lt;&gt;"n/a",COUNTIF($W$2:$W$528,$W205)&gt;1)),"Yes","No"),IF($A205="Cybernet",IF(OR(AND($Y205&lt;&gt;"",LOWER(TRIM($Y205))&lt;&gt;"n/a",COUNTIF($Y$2:$Y$528,$Y205)&gt;1),AND($Z205&lt;&gt;"",LOWER(TRIM($Z205))&lt;&gt;"n/a",COUNTIF($Z$2:$Z$528,$Z205)&gt;1)),"Yes","No"),IF(AND($AL205&lt;&gt;"",LOWER(TRIM($AL205))&lt;&gt;"n/a",COUNTIF($AL$2:$AL$528,$AL205)&gt;1),"Yes","No"))))</f>
        <v/>
      </c>
      <c r="F205" t="str">
        <f>IF($B205&lt;&gt;"Yes","",
IF($A205="Neuron",
IF(OR(
AND($S205&lt;&gt;"",LOWER(TRIM($S205))&lt;&gt;"n/a",COUNTIFS($B$2:$B$528,"Yes",$A$2:$A$528,"Neuron",$S$2:$S$528,$S205)&gt;1),
AND($T205&lt;&gt;"",LOWER(TRIM($T205))&lt;&gt;"n/a",COUNTIFS($B$2:$B$528,"Yes",$A$2:$A$528,"Neuron",$T$2:$T$528,$T205)&gt;1),
AND($W205&lt;&gt;"",LOWER(TRIM($W205))&lt;&gt;"n/a",COUNTIFS($B$2:$B$528,"Yes",$A$2:$A$528,"Neuron",$W$2:$W$528,$W205)&gt;1)
),"Yes","No"),
IF($A205="Cybernet",
IF(OR(
AND($Y205&lt;&gt;"",LOWER(TRIM($Y205))&lt;&gt;"n/a",COUNTIFS($B$2:$B$528,"Yes",$A$2:$A$528,"Cybernet",$Y$2:$Y$528,$Y205)&gt;1),
AND($Z205&lt;&gt;"",LOWER(TRIM($Z205))&lt;&gt;"n/a",COUNTIFS($B$2:$B$528,"Yes",$A$2:$A$528,"Cybernet",$Z$2:$Z$528,$Z205)&gt;1)
),"Yes","No"),
IF(AND($AL205&lt;&gt;"",LOWER(TRIM($AL205))&lt;&gt;"n/a"),
IF(COUNTIFS($B$2:$B$528,"Yes",$A$2:$A$528,$A205,$AL$2:$AL$528,$AL205)&gt;1,"Yes","No"),
"No")
)
)
)</f>
        <v/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8"/>
      <c r="AF205" s="4"/>
      <c r="AG205" s="4"/>
      <c r="AH205" s="1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8"/>
      <c r="AX205" s="8"/>
      <c r="AY205" s="8"/>
      <c r="AZ205" s="8"/>
      <c r="BA205" s="12"/>
      <c r="BB205" s="8"/>
      <c r="BC205" s="4"/>
      <c r="BD205" s="4"/>
      <c r="BE205" s="8"/>
      <c r="BF205" s="8"/>
      <c r="BG205" s="8"/>
      <c r="BH205" s="8"/>
      <c r="BI205" s="8"/>
      <c r="BJ205" s="8"/>
      <c r="BK205" s="8"/>
      <c r="BL205" s="4" t="str">
        <f t="shared" si="10"/>
        <v/>
      </c>
      <c r="BM205" s="8" t="str">
        <f t="shared" si="11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1:70" ht="15" customHeight="1">
      <c r="A206" s="8"/>
      <c r="B206" s="8"/>
      <c r="D206" s="15" t="str">
        <f t="shared" si="12"/>
        <v/>
      </c>
      <c r="E206" s="15" t="str">
        <f>IF($A206="","",IF($A206="Neuron",IF(OR(AND($S206&lt;&gt;"",LOWER(TRIM($S206))&lt;&gt;"n/a",COUNTIF($S$2:$S$528,$S206)&gt;1),AND($T206&lt;&gt;"",LOWER(TRIM($T206))&lt;&gt;"n/a",COUNTIF($T$2:$T$528,$T206)&gt;1),AND($W206&lt;&gt;"",LOWER(TRIM($W206))&lt;&gt;"n/a",COUNTIF($W$2:$W$528,$W206)&gt;1)),"Yes","No"),IF($A206="Cybernet",IF(OR(AND($Y206&lt;&gt;"",LOWER(TRIM($Y206))&lt;&gt;"n/a",COUNTIF($Y$2:$Y$528,$Y206)&gt;1),AND($Z206&lt;&gt;"",LOWER(TRIM($Z206))&lt;&gt;"n/a",COUNTIF($Z$2:$Z$528,$Z206)&gt;1)),"Yes","No"),IF(AND($AL206&lt;&gt;"",LOWER(TRIM($AL206))&lt;&gt;"n/a",COUNTIF($AL$2:$AL$528,$AL206)&gt;1),"Yes","No"))))</f>
        <v/>
      </c>
      <c r="F206" t="str">
        <f>IF($B206&lt;&gt;"Yes","",
IF($A206="Neuron",
IF(OR(
AND($S206&lt;&gt;"",LOWER(TRIM($S206))&lt;&gt;"n/a",COUNTIFS($B$2:$B$528,"Yes",$A$2:$A$528,"Neuron",$S$2:$S$528,$S206)&gt;1),
AND($T206&lt;&gt;"",LOWER(TRIM($T206))&lt;&gt;"n/a",COUNTIFS($B$2:$B$528,"Yes",$A$2:$A$528,"Neuron",$T$2:$T$528,$T206)&gt;1),
AND($W206&lt;&gt;"",LOWER(TRIM($W206))&lt;&gt;"n/a",COUNTIFS($B$2:$B$528,"Yes",$A$2:$A$528,"Neuron",$W$2:$W$528,$W206)&gt;1)
),"Yes","No"),
IF($A206="Cybernet",
IF(OR(
AND($Y206&lt;&gt;"",LOWER(TRIM($Y206))&lt;&gt;"n/a",COUNTIFS($B$2:$B$528,"Yes",$A$2:$A$528,"Cybernet",$Y$2:$Y$528,$Y206)&gt;1),
AND($Z206&lt;&gt;"",LOWER(TRIM($Z206))&lt;&gt;"n/a",COUNTIFS($B$2:$B$528,"Yes",$A$2:$A$528,"Cybernet",$Z$2:$Z$528,$Z206)&gt;1)
),"Yes","No"),
IF(AND($AL206&lt;&gt;"",LOWER(TRIM($AL206))&lt;&gt;"n/a"),
IF(COUNTIFS($B$2:$B$528,"Yes",$A$2:$A$528,$A206,$AL$2:$AL$528,$AL206)&gt;1,"Yes","No"),
"No")
)
)
)</f>
        <v/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8"/>
      <c r="AF206" s="4"/>
      <c r="AG206" s="4"/>
      <c r="AH206" s="1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8"/>
      <c r="AX206" s="8"/>
      <c r="AY206" s="8"/>
      <c r="AZ206" s="8"/>
      <c r="BA206" s="12"/>
      <c r="BB206" s="8"/>
      <c r="BC206" s="4"/>
      <c r="BD206" s="4"/>
      <c r="BE206" s="8"/>
      <c r="BF206" s="8"/>
      <c r="BG206" s="8"/>
      <c r="BH206" s="8"/>
      <c r="BI206" s="8"/>
      <c r="BJ206" s="8"/>
      <c r="BK206" s="8"/>
      <c r="BL206" s="4" t="str">
        <f t="shared" si="10"/>
        <v/>
      </c>
      <c r="BM206" s="8" t="str">
        <f t="shared" si="11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1:70" ht="15" customHeight="1">
      <c r="A207" s="8"/>
      <c r="B207" s="8"/>
      <c r="D207" s="15" t="str">
        <f t="shared" si="12"/>
        <v/>
      </c>
      <c r="E207" s="15" t="str">
        <f>IF($A207="","",IF($A207="Neuron",IF(OR(AND($S207&lt;&gt;"",LOWER(TRIM($S207))&lt;&gt;"n/a",COUNTIF($S$2:$S$528,$S207)&gt;1),AND($T207&lt;&gt;"",LOWER(TRIM($T207))&lt;&gt;"n/a",COUNTIF($T$2:$T$528,$T207)&gt;1),AND($W207&lt;&gt;"",LOWER(TRIM($W207))&lt;&gt;"n/a",COUNTIF($W$2:$W$528,$W207)&gt;1)),"Yes","No"),IF($A207="Cybernet",IF(OR(AND($Y207&lt;&gt;"",LOWER(TRIM($Y207))&lt;&gt;"n/a",COUNTIF($Y$2:$Y$528,$Y207)&gt;1),AND($Z207&lt;&gt;"",LOWER(TRIM($Z207))&lt;&gt;"n/a",COUNTIF($Z$2:$Z$528,$Z207)&gt;1)),"Yes","No"),IF(AND($AL207&lt;&gt;"",LOWER(TRIM($AL207))&lt;&gt;"n/a",COUNTIF($AL$2:$AL$528,$AL207)&gt;1),"Yes","No"))))</f>
        <v/>
      </c>
      <c r="F207" t="str">
        <f>IF($B207&lt;&gt;"Yes","",
IF($A207="Neuron",
IF(OR(
AND($S207&lt;&gt;"",LOWER(TRIM($S207))&lt;&gt;"n/a",COUNTIFS($B$2:$B$528,"Yes",$A$2:$A$528,"Neuron",$S$2:$S$528,$S207)&gt;1),
AND($T207&lt;&gt;"",LOWER(TRIM($T207))&lt;&gt;"n/a",COUNTIFS($B$2:$B$528,"Yes",$A$2:$A$528,"Neuron",$T$2:$T$528,$T207)&gt;1),
AND($W207&lt;&gt;"",LOWER(TRIM($W207))&lt;&gt;"n/a",COUNTIFS($B$2:$B$528,"Yes",$A$2:$A$528,"Neuron",$W$2:$W$528,$W207)&gt;1)
),"Yes","No"),
IF($A207="Cybernet",
IF(OR(
AND($Y207&lt;&gt;"",LOWER(TRIM($Y207))&lt;&gt;"n/a",COUNTIFS($B$2:$B$528,"Yes",$A$2:$A$528,"Cybernet",$Y$2:$Y$528,$Y207)&gt;1),
AND($Z207&lt;&gt;"",LOWER(TRIM($Z207))&lt;&gt;"n/a",COUNTIFS($B$2:$B$528,"Yes",$A$2:$A$528,"Cybernet",$Z$2:$Z$528,$Z207)&gt;1)
),"Yes","No"),
IF(AND($AL207&lt;&gt;"",LOWER(TRIM($AL207))&lt;&gt;"n/a"),
IF(COUNTIFS($B$2:$B$528,"Yes",$A$2:$A$528,$A207,$AL$2:$AL$528,$AL207)&gt;1,"Yes","No"),
"No")
)
)
)</f>
        <v/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8"/>
      <c r="AF207" s="4"/>
      <c r="AG207" s="4"/>
      <c r="AH207" s="1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8"/>
      <c r="AX207" s="8"/>
      <c r="AY207" s="8"/>
      <c r="AZ207" s="8"/>
      <c r="BA207" s="12"/>
      <c r="BB207" s="8"/>
      <c r="BC207" s="4"/>
      <c r="BD207" s="4"/>
      <c r="BE207" s="8"/>
      <c r="BF207" s="8"/>
      <c r="BG207" s="8"/>
      <c r="BH207" s="8"/>
      <c r="BI207" s="8"/>
      <c r="BJ207" s="8"/>
      <c r="BK207" s="8"/>
      <c r="BL207" s="4" t="str">
        <f t="shared" si="10"/>
        <v/>
      </c>
      <c r="BM207" s="8" t="str">
        <f t="shared" si="11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1:70" ht="15" customHeight="1">
      <c r="A208" s="8"/>
      <c r="B208" s="8"/>
      <c r="D208" s="15" t="str">
        <f t="shared" si="12"/>
        <v/>
      </c>
      <c r="E208" s="15" t="str">
        <f>IF($A208="","",IF($A208="Neuron",IF(OR(AND($S208&lt;&gt;"",LOWER(TRIM($S208))&lt;&gt;"n/a",COUNTIF($S$2:$S$528,$S208)&gt;1),AND($T208&lt;&gt;"",LOWER(TRIM($T208))&lt;&gt;"n/a",COUNTIF($T$2:$T$528,$T208)&gt;1),AND($W208&lt;&gt;"",LOWER(TRIM($W208))&lt;&gt;"n/a",COUNTIF($W$2:$W$528,$W208)&gt;1)),"Yes","No"),IF($A208="Cybernet",IF(OR(AND($Y208&lt;&gt;"",LOWER(TRIM($Y208))&lt;&gt;"n/a",COUNTIF($Y$2:$Y$528,$Y208)&gt;1),AND($Z208&lt;&gt;"",LOWER(TRIM($Z208))&lt;&gt;"n/a",COUNTIF($Z$2:$Z$528,$Z208)&gt;1)),"Yes","No"),IF(AND($AL208&lt;&gt;"",LOWER(TRIM($AL208))&lt;&gt;"n/a",COUNTIF($AL$2:$AL$528,$AL208)&gt;1),"Yes","No"))))</f>
        <v/>
      </c>
      <c r="F208" t="str">
        <f>IF($B208&lt;&gt;"Yes","",
IF($A208="Neuron",
IF(OR(
AND($S208&lt;&gt;"",LOWER(TRIM($S208))&lt;&gt;"n/a",COUNTIFS($B$2:$B$528,"Yes",$A$2:$A$528,"Neuron",$S$2:$S$528,$S208)&gt;1),
AND($T208&lt;&gt;"",LOWER(TRIM($T208))&lt;&gt;"n/a",COUNTIFS($B$2:$B$528,"Yes",$A$2:$A$528,"Neuron",$T$2:$T$528,$T208)&gt;1),
AND($W208&lt;&gt;"",LOWER(TRIM($W208))&lt;&gt;"n/a",COUNTIFS($B$2:$B$528,"Yes",$A$2:$A$528,"Neuron",$W$2:$W$528,$W208)&gt;1)
),"Yes","No"),
IF($A208="Cybernet",
IF(OR(
AND($Y208&lt;&gt;"",LOWER(TRIM($Y208))&lt;&gt;"n/a",COUNTIFS($B$2:$B$528,"Yes",$A$2:$A$528,"Cybernet",$Y$2:$Y$528,$Y208)&gt;1),
AND($Z208&lt;&gt;"",LOWER(TRIM($Z208))&lt;&gt;"n/a",COUNTIFS($B$2:$B$528,"Yes",$A$2:$A$528,"Cybernet",$Z$2:$Z$528,$Z208)&gt;1)
),"Yes","No"),
IF(AND($AL208&lt;&gt;"",LOWER(TRIM($AL208))&lt;&gt;"n/a"),
IF(COUNTIFS($B$2:$B$528,"Yes",$A$2:$A$528,$A208,$AL$2:$AL$528,$AL208)&gt;1,"Yes","No"),
"No")
)
)
)</f>
        <v/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8"/>
      <c r="AF208" s="4"/>
      <c r="AG208" s="4"/>
      <c r="AH208" s="1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8"/>
      <c r="AX208" s="8"/>
      <c r="AY208" s="8"/>
      <c r="AZ208" s="8"/>
      <c r="BA208" s="12"/>
      <c r="BB208" s="8"/>
      <c r="BC208" s="4"/>
      <c r="BD208" s="4"/>
      <c r="BE208" s="8"/>
      <c r="BF208" s="8"/>
      <c r="BG208" s="8"/>
      <c r="BH208" s="8"/>
      <c r="BI208" s="8"/>
      <c r="BJ208" s="8"/>
      <c r="BK208" s="8"/>
      <c r="BL208" s="4" t="str">
        <f t="shared" si="10"/>
        <v/>
      </c>
      <c r="BM208" s="8" t="str">
        <f t="shared" si="11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1:70" ht="15" customHeight="1">
      <c r="A209" s="8"/>
      <c r="B209" s="8"/>
      <c r="D209" s="15" t="str">
        <f t="shared" si="12"/>
        <v/>
      </c>
      <c r="E209" s="15" t="str">
        <f>IF($A209="","",IF($A209="Neuron",IF(OR(AND($S209&lt;&gt;"",LOWER(TRIM($S209))&lt;&gt;"n/a",COUNTIF($S$2:$S$528,$S209)&gt;1),AND($T209&lt;&gt;"",LOWER(TRIM($T209))&lt;&gt;"n/a",COUNTIF($T$2:$T$528,$T209)&gt;1),AND($W209&lt;&gt;"",LOWER(TRIM($W209))&lt;&gt;"n/a",COUNTIF($W$2:$W$528,$W209)&gt;1)),"Yes","No"),IF($A209="Cybernet",IF(OR(AND($Y209&lt;&gt;"",LOWER(TRIM($Y209))&lt;&gt;"n/a",COUNTIF($Y$2:$Y$528,$Y209)&gt;1),AND($Z209&lt;&gt;"",LOWER(TRIM($Z209))&lt;&gt;"n/a",COUNTIF($Z$2:$Z$528,$Z209)&gt;1)),"Yes","No"),IF(AND($AL209&lt;&gt;"",LOWER(TRIM($AL209))&lt;&gt;"n/a",COUNTIF($AL$2:$AL$528,$AL209)&gt;1),"Yes","No"))))</f>
        <v/>
      </c>
      <c r="F209" t="str">
        <f>IF($B209&lt;&gt;"Yes","",
IF($A209="Neuron",
IF(OR(
AND($S209&lt;&gt;"",LOWER(TRIM($S209))&lt;&gt;"n/a",COUNTIFS($B$2:$B$528,"Yes",$A$2:$A$528,"Neuron",$S$2:$S$528,$S209)&gt;1),
AND($T209&lt;&gt;"",LOWER(TRIM($T209))&lt;&gt;"n/a",COUNTIFS($B$2:$B$528,"Yes",$A$2:$A$528,"Neuron",$T$2:$T$528,$T209)&gt;1),
AND($W209&lt;&gt;"",LOWER(TRIM($W209))&lt;&gt;"n/a",COUNTIFS($B$2:$B$528,"Yes",$A$2:$A$528,"Neuron",$W$2:$W$528,$W209)&gt;1)
),"Yes","No"),
IF($A209="Cybernet",
IF(OR(
AND($Y209&lt;&gt;"",LOWER(TRIM($Y209))&lt;&gt;"n/a",COUNTIFS($B$2:$B$528,"Yes",$A$2:$A$528,"Cybernet",$Y$2:$Y$528,$Y209)&gt;1),
AND($Z209&lt;&gt;"",LOWER(TRIM($Z209))&lt;&gt;"n/a",COUNTIFS($B$2:$B$528,"Yes",$A$2:$A$528,"Cybernet",$Z$2:$Z$528,$Z209)&gt;1)
),"Yes","No"),
IF(AND($AL209&lt;&gt;"",LOWER(TRIM($AL209))&lt;&gt;"n/a"),
IF(COUNTIFS($B$2:$B$528,"Yes",$A$2:$A$528,$A209,$AL$2:$AL$528,$AL209)&gt;1,"Yes","No"),
"No")
)
)
)</f>
        <v/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8"/>
      <c r="AF209" s="4"/>
      <c r="AG209" s="4"/>
      <c r="AH209" s="1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8"/>
      <c r="AX209" s="8"/>
      <c r="AY209" s="8"/>
      <c r="AZ209" s="8"/>
      <c r="BA209" s="12"/>
      <c r="BB209" s="8"/>
      <c r="BC209" s="4"/>
      <c r="BD209" s="4"/>
      <c r="BE209" s="8"/>
      <c r="BF209" s="8"/>
      <c r="BG209" s="8"/>
      <c r="BH209" s="8"/>
      <c r="BI209" s="8"/>
      <c r="BJ209" s="8"/>
      <c r="BK209" s="8"/>
      <c r="BL209" s="4" t="str">
        <f t="shared" si="10"/>
        <v/>
      </c>
      <c r="BM209" s="8" t="str">
        <f t="shared" si="11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1:70" ht="15" customHeight="1">
      <c r="A210" s="8"/>
      <c r="B210" s="8"/>
      <c r="D210" s="15" t="str">
        <f t="shared" si="12"/>
        <v/>
      </c>
      <c r="E210" s="15" t="str">
        <f>IF($A210="","",IF($A210="Neuron",IF(OR(AND($S210&lt;&gt;"",LOWER(TRIM($S210))&lt;&gt;"n/a",COUNTIF($S$2:$S$528,$S210)&gt;1),AND($T210&lt;&gt;"",LOWER(TRIM($T210))&lt;&gt;"n/a",COUNTIF($T$2:$T$528,$T210)&gt;1),AND($W210&lt;&gt;"",LOWER(TRIM($W210))&lt;&gt;"n/a",COUNTIF($W$2:$W$528,$W210)&gt;1)),"Yes","No"),IF($A210="Cybernet",IF(OR(AND($Y210&lt;&gt;"",LOWER(TRIM($Y210))&lt;&gt;"n/a",COUNTIF($Y$2:$Y$528,$Y210)&gt;1),AND($Z210&lt;&gt;"",LOWER(TRIM($Z210))&lt;&gt;"n/a",COUNTIF($Z$2:$Z$528,$Z210)&gt;1)),"Yes","No"),IF(AND($AL210&lt;&gt;"",LOWER(TRIM($AL210))&lt;&gt;"n/a",COUNTIF($AL$2:$AL$528,$AL210)&gt;1),"Yes","No"))))</f>
        <v/>
      </c>
      <c r="F210" t="str">
        <f>IF($B210&lt;&gt;"Yes","",
IF($A210="Neuron",
IF(OR(
AND($S210&lt;&gt;"",LOWER(TRIM($S210))&lt;&gt;"n/a",COUNTIFS($B$2:$B$528,"Yes",$A$2:$A$528,"Neuron",$S$2:$S$528,$S210)&gt;1),
AND($T210&lt;&gt;"",LOWER(TRIM($T210))&lt;&gt;"n/a",COUNTIFS($B$2:$B$528,"Yes",$A$2:$A$528,"Neuron",$T$2:$T$528,$T210)&gt;1),
AND($W210&lt;&gt;"",LOWER(TRIM($W210))&lt;&gt;"n/a",COUNTIFS($B$2:$B$528,"Yes",$A$2:$A$528,"Neuron",$W$2:$W$528,$W210)&gt;1)
),"Yes","No"),
IF($A210="Cybernet",
IF(OR(
AND($Y210&lt;&gt;"",LOWER(TRIM($Y210))&lt;&gt;"n/a",COUNTIFS($B$2:$B$528,"Yes",$A$2:$A$528,"Cybernet",$Y$2:$Y$528,$Y210)&gt;1),
AND($Z210&lt;&gt;"",LOWER(TRIM($Z210))&lt;&gt;"n/a",COUNTIFS($B$2:$B$528,"Yes",$A$2:$A$528,"Cybernet",$Z$2:$Z$528,$Z210)&gt;1)
),"Yes","No"),
IF(AND($AL210&lt;&gt;"",LOWER(TRIM($AL210))&lt;&gt;"n/a"),
IF(COUNTIFS($B$2:$B$528,"Yes",$A$2:$A$528,$A210,$AL$2:$AL$528,$AL210)&gt;1,"Yes","No"),
"No")
)
)
)</f>
        <v/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8"/>
      <c r="AF210" s="4"/>
      <c r="AG210" s="4"/>
      <c r="AH210" s="1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8"/>
      <c r="AX210" s="8"/>
      <c r="AY210" s="8"/>
      <c r="AZ210" s="8"/>
      <c r="BA210" s="12"/>
      <c r="BB210" s="8"/>
      <c r="BC210" s="4"/>
      <c r="BD210" s="4"/>
      <c r="BE210" s="8"/>
      <c r="BF210" s="8"/>
      <c r="BG210" s="8"/>
      <c r="BH210" s="8"/>
      <c r="BI210" s="8"/>
      <c r="BJ210" s="8"/>
      <c r="BK210" s="8"/>
      <c r="BL210" s="4" t="str">
        <f t="shared" si="10"/>
        <v/>
      </c>
      <c r="BM210" s="8" t="str">
        <f t="shared" si="11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1:70" ht="15" customHeight="1">
      <c r="A211" s="8"/>
      <c r="B211" s="8"/>
      <c r="D211" s="15" t="str">
        <f t="shared" si="12"/>
        <v/>
      </c>
      <c r="E211" s="15" t="str">
        <f>IF($A211="","",IF($A211="Neuron",IF(OR(AND($S211&lt;&gt;"",LOWER(TRIM($S211))&lt;&gt;"n/a",COUNTIF($S$2:$S$528,$S211)&gt;1),AND($T211&lt;&gt;"",LOWER(TRIM($T211))&lt;&gt;"n/a",COUNTIF($T$2:$T$528,$T211)&gt;1),AND($W211&lt;&gt;"",LOWER(TRIM($W211))&lt;&gt;"n/a",COUNTIF($W$2:$W$528,$W211)&gt;1)),"Yes","No"),IF($A211="Cybernet",IF(OR(AND($Y211&lt;&gt;"",LOWER(TRIM($Y211))&lt;&gt;"n/a",COUNTIF($Y$2:$Y$528,$Y211)&gt;1),AND($Z211&lt;&gt;"",LOWER(TRIM($Z211))&lt;&gt;"n/a",COUNTIF($Z$2:$Z$528,$Z211)&gt;1)),"Yes","No"),IF(AND($AL211&lt;&gt;"",LOWER(TRIM($AL211))&lt;&gt;"n/a",COUNTIF($AL$2:$AL$528,$AL211)&gt;1),"Yes","No"))))</f>
        <v/>
      </c>
      <c r="F211" t="str">
        <f>IF($B211&lt;&gt;"Yes","",
IF($A211="Neuron",
IF(OR(
AND($S211&lt;&gt;"",LOWER(TRIM($S211))&lt;&gt;"n/a",COUNTIFS($B$2:$B$528,"Yes",$A$2:$A$528,"Neuron",$S$2:$S$528,$S211)&gt;1),
AND($T211&lt;&gt;"",LOWER(TRIM($T211))&lt;&gt;"n/a",COUNTIFS($B$2:$B$528,"Yes",$A$2:$A$528,"Neuron",$T$2:$T$528,$T211)&gt;1),
AND($W211&lt;&gt;"",LOWER(TRIM($W211))&lt;&gt;"n/a",COUNTIFS($B$2:$B$528,"Yes",$A$2:$A$528,"Neuron",$W$2:$W$528,$W211)&gt;1)
),"Yes","No"),
IF($A211="Cybernet",
IF(OR(
AND($Y211&lt;&gt;"",LOWER(TRIM($Y211))&lt;&gt;"n/a",COUNTIFS($B$2:$B$528,"Yes",$A$2:$A$528,"Cybernet",$Y$2:$Y$528,$Y211)&gt;1),
AND($Z211&lt;&gt;"",LOWER(TRIM($Z211))&lt;&gt;"n/a",COUNTIFS($B$2:$B$528,"Yes",$A$2:$A$528,"Cybernet",$Z$2:$Z$528,$Z211)&gt;1)
),"Yes","No"),
IF(AND($AL211&lt;&gt;"",LOWER(TRIM($AL211))&lt;&gt;"n/a"),
IF(COUNTIFS($B$2:$B$528,"Yes",$A$2:$A$528,$A211,$AL$2:$AL$528,$AL211)&gt;1,"Yes","No"),
"No")
)
)
)</f>
        <v/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8"/>
      <c r="AF211" s="4"/>
      <c r="AG211" s="4"/>
      <c r="AH211" s="1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8"/>
      <c r="AX211" s="8"/>
      <c r="AY211" s="8"/>
      <c r="AZ211" s="8"/>
      <c r="BA211" s="12"/>
      <c r="BB211" s="8"/>
      <c r="BC211" s="4"/>
      <c r="BD211" s="4"/>
      <c r="BE211" s="8"/>
      <c r="BF211" s="8"/>
      <c r="BG211" s="8"/>
      <c r="BH211" s="8"/>
      <c r="BI211" s="8"/>
      <c r="BJ211" s="8"/>
      <c r="BK211" s="8"/>
      <c r="BL211" s="4" t="str">
        <f t="shared" si="10"/>
        <v/>
      </c>
      <c r="BM211" s="8" t="str">
        <f t="shared" si="11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1:70" ht="15" customHeight="1">
      <c r="A212" s="8"/>
      <c r="B212" s="8"/>
      <c r="D212" s="15" t="str">
        <f t="shared" si="12"/>
        <v/>
      </c>
      <c r="E212" s="15" t="str">
        <f>IF($A212="","",IF($A212="Neuron",IF(OR(AND($S212&lt;&gt;"",LOWER(TRIM($S212))&lt;&gt;"n/a",COUNTIF($S$2:$S$528,$S212)&gt;1),AND($T212&lt;&gt;"",LOWER(TRIM($T212))&lt;&gt;"n/a",COUNTIF($T$2:$T$528,$T212)&gt;1),AND($W212&lt;&gt;"",LOWER(TRIM($W212))&lt;&gt;"n/a",COUNTIF($W$2:$W$528,$W212)&gt;1)),"Yes","No"),IF($A212="Cybernet",IF(OR(AND($Y212&lt;&gt;"",LOWER(TRIM($Y212))&lt;&gt;"n/a",COUNTIF($Y$2:$Y$528,$Y212)&gt;1),AND($Z212&lt;&gt;"",LOWER(TRIM($Z212))&lt;&gt;"n/a",COUNTIF($Z$2:$Z$528,$Z212)&gt;1)),"Yes","No"),IF(AND($AL212&lt;&gt;"",LOWER(TRIM($AL212))&lt;&gt;"n/a",COUNTIF($AL$2:$AL$528,$AL212)&gt;1),"Yes","No"))))</f>
        <v/>
      </c>
      <c r="F212" t="str">
        <f>IF($B212&lt;&gt;"Yes","",
IF($A212="Neuron",
IF(OR(
AND($S212&lt;&gt;"",LOWER(TRIM($S212))&lt;&gt;"n/a",COUNTIFS($B$2:$B$528,"Yes",$A$2:$A$528,"Neuron",$S$2:$S$528,$S212)&gt;1),
AND($T212&lt;&gt;"",LOWER(TRIM($T212))&lt;&gt;"n/a",COUNTIFS($B$2:$B$528,"Yes",$A$2:$A$528,"Neuron",$T$2:$T$528,$T212)&gt;1),
AND($W212&lt;&gt;"",LOWER(TRIM($W212))&lt;&gt;"n/a",COUNTIFS($B$2:$B$528,"Yes",$A$2:$A$528,"Neuron",$W$2:$W$528,$W212)&gt;1)
),"Yes","No"),
IF($A212="Cybernet",
IF(OR(
AND($Y212&lt;&gt;"",LOWER(TRIM($Y212))&lt;&gt;"n/a",COUNTIFS($B$2:$B$528,"Yes",$A$2:$A$528,"Cybernet",$Y$2:$Y$528,$Y212)&gt;1),
AND($Z212&lt;&gt;"",LOWER(TRIM($Z212))&lt;&gt;"n/a",COUNTIFS($B$2:$B$528,"Yes",$A$2:$A$528,"Cybernet",$Z$2:$Z$528,$Z212)&gt;1)
),"Yes","No"),
IF(AND($AL212&lt;&gt;"",LOWER(TRIM($AL212))&lt;&gt;"n/a"),
IF(COUNTIFS($B$2:$B$528,"Yes",$A$2:$A$528,$A212,$AL$2:$AL$528,$AL212)&gt;1,"Yes","No"),
"No")
)
)
)</f>
        <v/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8"/>
      <c r="AF212" s="4"/>
      <c r="AG212" s="4"/>
      <c r="AH212" s="1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8"/>
      <c r="AX212" s="8"/>
      <c r="AY212" s="8"/>
      <c r="AZ212" s="8"/>
      <c r="BA212" s="12"/>
      <c r="BB212" s="8"/>
      <c r="BC212" s="4"/>
      <c r="BD212" s="4"/>
      <c r="BE212" s="8"/>
      <c r="BF212" s="8"/>
      <c r="BG212" s="8"/>
      <c r="BH212" s="8"/>
      <c r="BI212" s="8"/>
      <c r="BJ212" s="8"/>
      <c r="BK212" s="8"/>
      <c r="BL212" s="4" t="str">
        <f t="shared" si="10"/>
        <v/>
      </c>
      <c r="BM212" s="8" t="str">
        <f t="shared" si="11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1:70" ht="15" customHeight="1">
      <c r="A213" s="8"/>
      <c r="B213" s="8"/>
      <c r="D213" s="15" t="str">
        <f t="shared" si="12"/>
        <v/>
      </c>
      <c r="E213" s="15" t="str">
        <f>IF($A213="","",IF($A213="Neuron",IF(OR(AND($S213&lt;&gt;"",LOWER(TRIM($S213))&lt;&gt;"n/a",COUNTIF($S$2:$S$528,$S213)&gt;1),AND($T213&lt;&gt;"",LOWER(TRIM($T213))&lt;&gt;"n/a",COUNTIF($T$2:$T$528,$T213)&gt;1),AND($W213&lt;&gt;"",LOWER(TRIM($W213))&lt;&gt;"n/a",COUNTIF($W$2:$W$528,$W213)&gt;1)),"Yes","No"),IF($A213="Cybernet",IF(OR(AND($Y213&lt;&gt;"",LOWER(TRIM($Y213))&lt;&gt;"n/a",COUNTIF($Y$2:$Y$528,$Y213)&gt;1),AND($Z213&lt;&gt;"",LOWER(TRIM($Z213))&lt;&gt;"n/a",COUNTIF($Z$2:$Z$528,$Z213)&gt;1)),"Yes","No"),IF(AND($AL213&lt;&gt;"",LOWER(TRIM($AL213))&lt;&gt;"n/a",COUNTIF($AL$2:$AL$528,$AL213)&gt;1),"Yes","No"))))</f>
        <v/>
      </c>
      <c r="F213" t="str">
        <f>IF($B213&lt;&gt;"Yes","",
IF($A213="Neuron",
IF(OR(
AND($S213&lt;&gt;"",LOWER(TRIM($S213))&lt;&gt;"n/a",COUNTIFS($B$2:$B$528,"Yes",$A$2:$A$528,"Neuron",$S$2:$S$528,$S213)&gt;1),
AND($T213&lt;&gt;"",LOWER(TRIM($T213))&lt;&gt;"n/a",COUNTIFS($B$2:$B$528,"Yes",$A$2:$A$528,"Neuron",$T$2:$T$528,$T213)&gt;1),
AND($W213&lt;&gt;"",LOWER(TRIM($W213))&lt;&gt;"n/a",COUNTIFS($B$2:$B$528,"Yes",$A$2:$A$528,"Neuron",$W$2:$W$528,$W213)&gt;1)
),"Yes","No"),
IF($A213="Cybernet",
IF(OR(
AND($Y213&lt;&gt;"",LOWER(TRIM($Y213))&lt;&gt;"n/a",COUNTIFS($B$2:$B$528,"Yes",$A$2:$A$528,"Cybernet",$Y$2:$Y$528,$Y213)&gt;1),
AND($Z213&lt;&gt;"",LOWER(TRIM($Z213))&lt;&gt;"n/a",COUNTIFS($B$2:$B$528,"Yes",$A$2:$A$528,"Cybernet",$Z$2:$Z$528,$Z213)&gt;1)
),"Yes","No"),
IF(AND($AL213&lt;&gt;"",LOWER(TRIM($AL213))&lt;&gt;"n/a"),
IF(COUNTIFS($B$2:$B$528,"Yes",$A$2:$A$528,$A213,$AL$2:$AL$528,$AL213)&gt;1,"Yes","No"),
"No")
)
)
)</f>
        <v/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8"/>
      <c r="AF213" s="4"/>
      <c r="AG213" s="4"/>
      <c r="AH213" s="1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8"/>
      <c r="AX213" s="8"/>
      <c r="AY213" s="8"/>
      <c r="AZ213" s="8"/>
      <c r="BA213" s="12"/>
      <c r="BB213" s="8"/>
      <c r="BC213" s="4"/>
      <c r="BD213" s="4"/>
      <c r="BE213" s="8"/>
      <c r="BF213" s="8"/>
      <c r="BG213" s="8"/>
      <c r="BH213" s="8"/>
      <c r="BI213" s="8"/>
      <c r="BJ213" s="8"/>
      <c r="BK213" s="8"/>
      <c r="BL213" s="4" t="str">
        <f t="shared" si="10"/>
        <v/>
      </c>
      <c r="BM213" s="8" t="str">
        <f t="shared" si="11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1:70" ht="15" customHeight="1">
      <c r="A214" s="8"/>
      <c r="B214" s="8"/>
      <c r="D214" s="15" t="str">
        <f t="shared" si="12"/>
        <v/>
      </c>
      <c r="E214" s="15" t="str">
        <f>IF($A214="","",IF($A214="Neuron",IF(OR(AND($S214&lt;&gt;"",LOWER(TRIM($S214))&lt;&gt;"n/a",COUNTIF($S$2:$S$528,$S214)&gt;1),AND($T214&lt;&gt;"",LOWER(TRIM($T214))&lt;&gt;"n/a",COUNTIF($T$2:$T$528,$T214)&gt;1),AND($W214&lt;&gt;"",LOWER(TRIM($W214))&lt;&gt;"n/a",COUNTIF($W$2:$W$528,$W214)&gt;1)),"Yes","No"),IF($A214="Cybernet",IF(OR(AND($Y214&lt;&gt;"",LOWER(TRIM($Y214))&lt;&gt;"n/a",COUNTIF($Y$2:$Y$528,$Y214)&gt;1),AND($Z214&lt;&gt;"",LOWER(TRIM($Z214))&lt;&gt;"n/a",COUNTIF($Z$2:$Z$528,$Z214)&gt;1)),"Yes","No"),IF(AND($AL214&lt;&gt;"",LOWER(TRIM($AL214))&lt;&gt;"n/a",COUNTIF($AL$2:$AL$528,$AL214)&gt;1),"Yes","No"))))</f>
        <v/>
      </c>
      <c r="F214" t="str">
        <f>IF($B214&lt;&gt;"Yes","",
IF($A214="Neuron",
IF(OR(
AND($S214&lt;&gt;"",LOWER(TRIM($S214))&lt;&gt;"n/a",COUNTIFS($B$2:$B$528,"Yes",$A$2:$A$528,"Neuron",$S$2:$S$528,$S214)&gt;1),
AND($T214&lt;&gt;"",LOWER(TRIM($T214))&lt;&gt;"n/a",COUNTIFS($B$2:$B$528,"Yes",$A$2:$A$528,"Neuron",$T$2:$T$528,$T214)&gt;1),
AND($W214&lt;&gt;"",LOWER(TRIM($W214))&lt;&gt;"n/a",COUNTIFS($B$2:$B$528,"Yes",$A$2:$A$528,"Neuron",$W$2:$W$528,$W214)&gt;1)
),"Yes","No"),
IF($A214="Cybernet",
IF(OR(
AND($Y214&lt;&gt;"",LOWER(TRIM($Y214))&lt;&gt;"n/a",COUNTIFS($B$2:$B$528,"Yes",$A$2:$A$528,"Cybernet",$Y$2:$Y$528,$Y214)&gt;1),
AND($Z214&lt;&gt;"",LOWER(TRIM($Z214))&lt;&gt;"n/a",COUNTIFS($B$2:$B$528,"Yes",$A$2:$A$528,"Cybernet",$Z$2:$Z$528,$Z214)&gt;1)
),"Yes","No"),
IF(AND($AL214&lt;&gt;"",LOWER(TRIM($AL214))&lt;&gt;"n/a"),
IF(COUNTIFS($B$2:$B$528,"Yes",$A$2:$A$528,$A214,$AL$2:$AL$528,$AL214)&gt;1,"Yes","No"),
"No")
)
)
)</f>
        <v/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8"/>
      <c r="AF214" s="4"/>
      <c r="AG214" s="4"/>
      <c r="AH214" s="1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8"/>
      <c r="AX214" s="8"/>
      <c r="AY214" s="8"/>
      <c r="AZ214" s="8"/>
      <c r="BA214" s="12"/>
      <c r="BB214" s="8"/>
      <c r="BC214" s="4"/>
      <c r="BD214" s="4"/>
      <c r="BE214" s="8"/>
      <c r="BF214" s="8"/>
      <c r="BG214" s="8"/>
      <c r="BH214" s="8"/>
      <c r="BI214" s="8"/>
      <c r="BJ214" s="8"/>
      <c r="BK214" s="8"/>
      <c r="BL214" s="4" t="str">
        <f t="shared" si="10"/>
        <v/>
      </c>
      <c r="BM214" s="8" t="str">
        <f t="shared" si="11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1:70" ht="15" customHeight="1">
      <c r="A215" s="8"/>
      <c r="B215" s="8"/>
      <c r="D215" s="15" t="str">
        <f t="shared" si="12"/>
        <v/>
      </c>
      <c r="E215" s="15" t="str">
        <f>IF($A215="","",IF($A215="Neuron",IF(OR(AND($S215&lt;&gt;"",LOWER(TRIM($S215))&lt;&gt;"n/a",COUNTIF($S$2:$S$528,$S215)&gt;1),AND($T215&lt;&gt;"",LOWER(TRIM($T215))&lt;&gt;"n/a",COUNTIF($T$2:$T$528,$T215)&gt;1),AND($W215&lt;&gt;"",LOWER(TRIM($W215))&lt;&gt;"n/a",COUNTIF($W$2:$W$528,$W215)&gt;1)),"Yes","No"),IF($A215="Cybernet",IF(OR(AND($Y215&lt;&gt;"",LOWER(TRIM($Y215))&lt;&gt;"n/a",COUNTIF($Y$2:$Y$528,$Y215)&gt;1),AND($Z215&lt;&gt;"",LOWER(TRIM($Z215))&lt;&gt;"n/a",COUNTIF($Z$2:$Z$528,$Z215)&gt;1)),"Yes","No"),IF(AND($AL215&lt;&gt;"",LOWER(TRIM($AL215))&lt;&gt;"n/a",COUNTIF($AL$2:$AL$528,$AL215)&gt;1),"Yes","No"))))</f>
        <v/>
      </c>
      <c r="F215" t="str">
        <f>IF($B215&lt;&gt;"Yes","",
IF($A215="Neuron",
IF(OR(
AND($S215&lt;&gt;"",LOWER(TRIM($S215))&lt;&gt;"n/a",COUNTIFS($B$2:$B$528,"Yes",$A$2:$A$528,"Neuron",$S$2:$S$528,$S215)&gt;1),
AND($T215&lt;&gt;"",LOWER(TRIM($T215))&lt;&gt;"n/a",COUNTIFS($B$2:$B$528,"Yes",$A$2:$A$528,"Neuron",$T$2:$T$528,$T215)&gt;1),
AND($W215&lt;&gt;"",LOWER(TRIM($W215))&lt;&gt;"n/a",COUNTIFS($B$2:$B$528,"Yes",$A$2:$A$528,"Neuron",$W$2:$W$528,$W215)&gt;1)
),"Yes","No"),
IF($A215="Cybernet",
IF(OR(
AND($Y215&lt;&gt;"",LOWER(TRIM($Y215))&lt;&gt;"n/a",COUNTIFS($B$2:$B$528,"Yes",$A$2:$A$528,"Cybernet",$Y$2:$Y$528,$Y215)&gt;1),
AND($Z215&lt;&gt;"",LOWER(TRIM($Z215))&lt;&gt;"n/a",COUNTIFS($B$2:$B$528,"Yes",$A$2:$A$528,"Cybernet",$Z$2:$Z$528,$Z215)&gt;1)
),"Yes","No"),
IF(AND($AL215&lt;&gt;"",LOWER(TRIM($AL215))&lt;&gt;"n/a"),
IF(COUNTIFS($B$2:$B$528,"Yes",$A$2:$A$528,$A215,$AL$2:$AL$528,$AL215)&gt;1,"Yes","No"),
"No")
)
)
)</f>
        <v/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8"/>
      <c r="AF215" s="4"/>
      <c r="AG215" s="4"/>
      <c r="AH215" s="1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8"/>
      <c r="AX215" s="8"/>
      <c r="AY215" s="8"/>
      <c r="AZ215" s="8"/>
      <c r="BA215" s="12"/>
      <c r="BB215" s="8"/>
      <c r="BC215" s="4"/>
      <c r="BD215" s="4"/>
      <c r="BE215" s="8"/>
      <c r="BF215" s="8"/>
      <c r="BG215" s="8"/>
      <c r="BH215" s="8"/>
      <c r="BI215" s="8"/>
      <c r="BJ215" s="8"/>
      <c r="BK215" s="8"/>
      <c r="BL215" s="4" t="str">
        <f t="shared" si="10"/>
        <v/>
      </c>
      <c r="BM215" s="8" t="str">
        <f t="shared" si="11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1:70" ht="15" customHeight="1">
      <c r="A216" s="8"/>
      <c r="B216" s="8"/>
      <c r="D216" s="15" t="str">
        <f t="shared" si="12"/>
        <v/>
      </c>
      <c r="E216" s="15" t="str">
        <f>IF($A216="","",IF($A216="Neuron",IF(OR(AND($S216&lt;&gt;"",LOWER(TRIM($S216))&lt;&gt;"n/a",COUNTIF($S$2:$S$528,$S216)&gt;1),AND($T216&lt;&gt;"",LOWER(TRIM($T216))&lt;&gt;"n/a",COUNTIF($T$2:$T$528,$T216)&gt;1),AND($W216&lt;&gt;"",LOWER(TRIM($W216))&lt;&gt;"n/a",COUNTIF($W$2:$W$528,$W216)&gt;1)),"Yes","No"),IF($A216="Cybernet",IF(OR(AND($Y216&lt;&gt;"",LOWER(TRIM($Y216))&lt;&gt;"n/a",COUNTIF($Y$2:$Y$528,$Y216)&gt;1),AND($Z216&lt;&gt;"",LOWER(TRIM($Z216))&lt;&gt;"n/a",COUNTIF($Z$2:$Z$528,$Z216)&gt;1)),"Yes","No"),IF(AND($AL216&lt;&gt;"",LOWER(TRIM($AL216))&lt;&gt;"n/a",COUNTIF($AL$2:$AL$528,$AL216)&gt;1),"Yes","No"))))</f>
        <v/>
      </c>
      <c r="F216" t="str">
        <f>IF($B216&lt;&gt;"Yes","",
IF($A216="Neuron",
IF(OR(
AND($S216&lt;&gt;"",LOWER(TRIM($S216))&lt;&gt;"n/a",COUNTIFS($B$2:$B$528,"Yes",$A$2:$A$528,"Neuron",$S$2:$S$528,$S216)&gt;1),
AND($T216&lt;&gt;"",LOWER(TRIM($T216))&lt;&gt;"n/a",COUNTIFS($B$2:$B$528,"Yes",$A$2:$A$528,"Neuron",$T$2:$T$528,$T216)&gt;1),
AND($W216&lt;&gt;"",LOWER(TRIM($W216))&lt;&gt;"n/a",COUNTIFS($B$2:$B$528,"Yes",$A$2:$A$528,"Neuron",$W$2:$W$528,$W216)&gt;1)
),"Yes","No"),
IF($A216="Cybernet",
IF(OR(
AND($Y216&lt;&gt;"",LOWER(TRIM($Y216))&lt;&gt;"n/a",COUNTIFS($B$2:$B$528,"Yes",$A$2:$A$528,"Cybernet",$Y$2:$Y$528,$Y216)&gt;1),
AND($Z216&lt;&gt;"",LOWER(TRIM($Z216))&lt;&gt;"n/a",COUNTIFS($B$2:$B$528,"Yes",$A$2:$A$528,"Cybernet",$Z$2:$Z$528,$Z216)&gt;1)
),"Yes","No"),
IF(AND($AL216&lt;&gt;"",LOWER(TRIM($AL216))&lt;&gt;"n/a"),
IF(COUNTIFS($B$2:$B$528,"Yes",$A$2:$A$528,$A216,$AL$2:$AL$528,$AL216)&gt;1,"Yes","No"),
"No")
)
)
)</f>
        <v/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8"/>
      <c r="AF216" s="4"/>
      <c r="AG216" s="4"/>
      <c r="AH216" s="1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8"/>
      <c r="AX216" s="8"/>
      <c r="AY216" s="8"/>
      <c r="AZ216" s="8"/>
      <c r="BA216" s="12"/>
      <c r="BB216" s="8"/>
      <c r="BC216" s="4"/>
      <c r="BD216" s="4"/>
      <c r="BE216" s="8"/>
      <c r="BF216" s="8"/>
      <c r="BG216" s="8"/>
      <c r="BH216" s="8"/>
      <c r="BI216" s="8"/>
      <c r="BJ216" s="8"/>
      <c r="BK216" s="8"/>
      <c r="BL216" s="4" t="str">
        <f t="shared" si="10"/>
        <v/>
      </c>
      <c r="BM216" s="8" t="str">
        <f t="shared" si="11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1:70" ht="15" customHeight="1">
      <c r="A217" s="8"/>
      <c r="B217" s="8"/>
      <c r="D217" s="15" t="str">
        <f t="shared" si="12"/>
        <v/>
      </c>
      <c r="E217" s="15" t="str">
        <f>IF($A217="","",IF($A217="Neuron",IF(OR(AND($S217&lt;&gt;"",LOWER(TRIM($S217))&lt;&gt;"n/a",COUNTIF($S$2:$S$528,$S217)&gt;1),AND($T217&lt;&gt;"",LOWER(TRIM($T217))&lt;&gt;"n/a",COUNTIF($T$2:$T$528,$T217)&gt;1),AND($W217&lt;&gt;"",LOWER(TRIM($W217))&lt;&gt;"n/a",COUNTIF($W$2:$W$528,$W217)&gt;1)),"Yes","No"),IF($A217="Cybernet",IF(OR(AND($Y217&lt;&gt;"",LOWER(TRIM($Y217))&lt;&gt;"n/a",COUNTIF($Y$2:$Y$528,$Y217)&gt;1),AND($Z217&lt;&gt;"",LOWER(TRIM($Z217))&lt;&gt;"n/a",COUNTIF($Z$2:$Z$528,$Z217)&gt;1)),"Yes","No"),IF(AND($AL217&lt;&gt;"",LOWER(TRIM($AL217))&lt;&gt;"n/a",COUNTIF($AL$2:$AL$528,$AL217)&gt;1),"Yes","No"))))</f>
        <v/>
      </c>
      <c r="F217" t="str">
        <f>IF($B217&lt;&gt;"Yes","",
IF($A217="Neuron",
IF(OR(
AND($S217&lt;&gt;"",LOWER(TRIM($S217))&lt;&gt;"n/a",COUNTIFS($B$2:$B$528,"Yes",$A$2:$A$528,"Neuron",$S$2:$S$528,$S217)&gt;1),
AND($T217&lt;&gt;"",LOWER(TRIM($T217))&lt;&gt;"n/a",COUNTIFS($B$2:$B$528,"Yes",$A$2:$A$528,"Neuron",$T$2:$T$528,$T217)&gt;1),
AND($W217&lt;&gt;"",LOWER(TRIM($W217))&lt;&gt;"n/a",COUNTIFS($B$2:$B$528,"Yes",$A$2:$A$528,"Neuron",$W$2:$W$528,$W217)&gt;1)
),"Yes","No"),
IF($A217="Cybernet",
IF(OR(
AND($Y217&lt;&gt;"",LOWER(TRIM($Y217))&lt;&gt;"n/a",COUNTIFS($B$2:$B$528,"Yes",$A$2:$A$528,"Cybernet",$Y$2:$Y$528,$Y217)&gt;1),
AND($Z217&lt;&gt;"",LOWER(TRIM($Z217))&lt;&gt;"n/a",COUNTIFS($B$2:$B$528,"Yes",$A$2:$A$528,"Cybernet",$Z$2:$Z$528,$Z217)&gt;1)
),"Yes","No"),
IF(AND($AL217&lt;&gt;"",LOWER(TRIM($AL217))&lt;&gt;"n/a"),
IF(COUNTIFS($B$2:$B$528,"Yes",$A$2:$A$528,$A217,$AL$2:$AL$528,$AL217)&gt;1,"Yes","No"),
"No")
)
)
)</f>
        <v/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8"/>
      <c r="AF217" s="4"/>
      <c r="AG217" s="4"/>
      <c r="AH217" s="1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8"/>
      <c r="AX217" s="8"/>
      <c r="AY217" s="8"/>
      <c r="AZ217" s="8"/>
      <c r="BA217" s="12"/>
      <c r="BB217" s="8"/>
      <c r="BC217" s="4"/>
      <c r="BD217" s="4"/>
      <c r="BE217" s="8"/>
      <c r="BF217" s="8"/>
      <c r="BG217" s="8"/>
      <c r="BH217" s="8"/>
      <c r="BI217" s="8"/>
      <c r="BJ217" s="8"/>
      <c r="BK217" s="8"/>
      <c r="BL217" s="4" t="str">
        <f t="shared" si="10"/>
        <v/>
      </c>
      <c r="BM217" s="8" t="str">
        <f t="shared" si="11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1:70" ht="15" customHeight="1">
      <c r="A218" s="8"/>
      <c r="B218" s="8"/>
      <c r="D218" s="15" t="str">
        <f t="shared" si="12"/>
        <v/>
      </c>
      <c r="E218" s="15" t="str">
        <f>IF($A218="","",IF($A218="Neuron",IF(OR(AND($S218&lt;&gt;"",LOWER(TRIM($S218))&lt;&gt;"n/a",COUNTIF($S$2:$S$528,$S218)&gt;1),AND($T218&lt;&gt;"",LOWER(TRIM($T218))&lt;&gt;"n/a",COUNTIF($T$2:$T$528,$T218)&gt;1),AND($W218&lt;&gt;"",LOWER(TRIM($W218))&lt;&gt;"n/a",COUNTIF($W$2:$W$528,$W218)&gt;1)),"Yes","No"),IF($A218="Cybernet",IF(OR(AND($Y218&lt;&gt;"",LOWER(TRIM($Y218))&lt;&gt;"n/a",COUNTIF($Y$2:$Y$528,$Y218)&gt;1),AND($Z218&lt;&gt;"",LOWER(TRIM($Z218))&lt;&gt;"n/a",COUNTIF($Z$2:$Z$528,$Z218)&gt;1)),"Yes","No"),IF(AND($AL218&lt;&gt;"",LOWER(TRIM($AL218))&lt;&gt;"n/a",COUNTIF($AL$2:$AL$528,$AL218)&gt;1),"Yes","No"))))</f>
        <v/>
      </c>
      <c r="F218" t="str">
        <f>IF($B218&lt;&gt;"Yes","",
IF($A218="Neuron",
IF(OR(
AND($S218&lt;&gt;"",LOWER(TRIM($S218))&lt;&gt;"n/a",COUNTIFS($B$2:$B$528,"Yes",$A$2:$A$528,"Neuron",$S$2:$S$528,$S218)&gt;1),
AND($T218&lt;&gt;"",LOWER(TRIM($T218))&lt;&gt;"n/a",COUNTIFS($B$2:$B$528,"Yes",$A$2:$A$528,"Neuron",$T$2:$T$528,$T218)&gt;1),
AND($W218&lt;&gt;"",LOWER(TRIM($W218))&lt;&gt;"n/a",COUNTIFS($B$2:$B$528,"Yes",$A$2:$A$528,"Neuron",$W$2:$W$528,$W218)&gt;1)
),"Yes","No"),
IF($A218="Cybernet",
IF(OR(
AND($Y218&lt;&gt;"",LOWER(TRIM($Y218))&lt;&gt;"n/a",COUNTIFS($B$2:$B$528,"Yes",$A$2:$A$528,"Cybernet",$Y$2:$Y$528,$Y218)&gt;1),
AND($Z218&lt;&gt;"",LOWER(TRIM($Z218))&lt;&gt;"n/a",COUNTIFS($B$2:$B$528,"Yes",$A$2:$A$528,"Cybernet",$Z$2:$Z$528,$Z218)&gt;1)
),"Yes","No"),
IF(AND($AL218&lt;&gt;"",LOWER(TRIM($AL218))&lt;&gt;"n/a"),
IF(COUNTIFS($B$2:$B$528,"Yes",$A$2:$A$528,$A218,$AL$2:$AL$528,$AL218)&gt;1,"Yes","No"),
"No")
)
)
)</f>
        <v/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8"/>
      <c r="AF218" s="4"/>
      <c r="AG218" s="4"/>
      <c r="AH218" s="1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8"/>
      <c r="AX218" s="8"/>
      <c r="AY218" s="8"/>
      <c r="AZ218" s="8"/>
      <c r="BA218" s="12"/>
      <c r="BB218" s="8"/>
      <c r="BC218" s="4"/>
      <c r="BD218" s="4"/>
      <c r="BE218" s="8"/>
      <c r="BF218" s="8"/>
      <c r="BG218" s="8"/>
      <c r="BH218" s="8"/>
      <c r="BI218" s="8"/>
      <c r="BJ218" s="8"/>
      <c r="BK218" s="8"/>
      <c r="BL218" s="4" t="str">
        <f t="shared" si="10"/>
        <v/>
      </c>
      <c r="BM218" s="8" t="str">
        <f t="shared" si="11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1:70" ht="15" customHeight="1">
      <c r="A219" s="8"/>
      <c r="B219" s="8"/>
      <c r="D219" s="15" t="str">
        <f t="shared" si="12"/>
        <v/>
      </c>
      <c r="E219" s="15" t="str">
        <f>IF($A219="","",IF($A219="Neuron",IF(OR(AND($S219&lt;&gt;"",LOWER(TRIM($S219))&lt;&gt;"n/a",COUNTIF($S$2:$S$528,$S219)&gt;1),AND($T219&lt;&gt;"",LOWER(TRIM($T219))&lt;&gt;"n/a",COUNTIF($T$2:$T$528,$T219)&gt;1),AND($W219&lt;&gt;"",LOWER(TRIM($W219))&lt;&gt;"n/a",COUNTIF($W$2:$W$528,$W219)&gt;1)),"Yes","No"),IF($A219="Cybernet",IF(OR(AND($Y219&lt;&gt;"",LOWER(TRIM($Y219))&lt;&gt;"n/a",COUNTIF($Y$2:$Y$528,$Y219)&gt;1),AND($Z219&lt;&gt;"",LOWER(TRIM($Z219))&lt;&gt;"n/a",COUNTIF($Z$2:$Z$528,$Z219)&gt;1)),"Yes","No"),IF(AND($AL219&lt;&gt;"",LOWER(TRIM($AL219))&lt;&gt;"n/a",COUNTIF($AL$2:$AL$528,$AL219)&gt;1),"Yes","No"))))</f>
        <v/>
      </c>
      <c r="F219" t="str">
        <f>IF($B219&lt;&gt;"Yes","",
IF($A219="Neuron",
IF(OR(
AND($S219&lt;&gt;"",LOWER(TRIM($S219))&lt;&gt;"n/a",COUNTIFS($B$2:$B$528,"Yes",$A$2:$A$528,"Neuron",$S$2:$S$528,$S219)&gt;1),
AND($T219&lt;&gt;"",LOWER(TRIM($T219))&lt;&gt;"n/a",COUNTIFS($B$2:$B$528,"Yes",$A$2:$A$528,"Neuron",$T$2:$T$528,$T219)&gt;1),
AND($W219&lt;&gt;"",LOWER(TRIM($W219))&lt;&gt;"n/a",COUNTIFS($B$2:$B$528,"Yes",$A$2:$A$528,"Neuron",$W$2:$W$528,$W219)&gt;1)
),"Yes","No"),
IF($A219="Cybernet",
IF(OR(
AND($Y219&lt;&gt;"",LOWER(TRIM($Y219))&lt;&gt;"n/a",COUNTIFS($B$2:$B$528,"Yes",$A$2:$A$528,"Cybernet",$Y$2:$Y$528,$Y219)&gt;1),
AND($Z219&lt;&gt;"",LOWER(TRIM($Z219))&lt;&gt;"n/a",COUNTIFS($B$2:$B$528,"Yes",$A$2:$A$528,"Cybernet",$Z$2:$Z$528,$Z219)&gt;1)
),"Yes","No"),
IF(AND($AL219&lt;&gt;"",LOWER(TRIM($AL219))&lt;&gt;"n/a"),
IF(COUNTIFS($B$2:$B$528,"Yes",$A$2:$A$528,$A219,$AL$2:$AL$528,$AL219)&gt;1,"Yes","No"),
"No")
)
)
)</f>
        <v/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8"/>
      <c r="AF219" s="4"/>
      <c r="AG219" s="4"/>
      <c r="AH219" s="1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8"/>
      <c r="AX219" s="8"/>
      <c r="AY219" s="8"/>
      <c r="AZ219" s="8"/>
      <c r="BA219" s="12"/>
      <c r="BB219" s="8"/>
      <c r="BC219" s="4"/>
      <c r="BD219" s="4"/>
      <c r="BE219" s="8"/>
      <c r="BF219" s="8"/>
      <c r="BG219" s="8"/>
      <c r="BH219" s="8"/>
      <c r="BI219" s="8"/>
      <c r="BJ219" s="8"/>
      <c r="BK219" s="8"/>
      <c r="BL219" s="4" t="str">
        <f t="shared" si="10"/>
        <v/>
      </c>
      <c r="BM219" s="8" t="str">
        <f t="shared" si="11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1:70" ht="15" customHeight="1">
      <c r="A220" s="8"/>
      <c r="B220" s="8"/>
      <c r="D220" s="15" t="str">
        <f t="shared" si="12"/>
        <v/>
      </c>
      <c r="E220" s="15" t="str">
        <f>IF($A220="","",IF($A220="Neuron",IF(OR(AND($S220&lt;&gt;"",LOWER(TRIM($S220))&lt;&gt;"n/a",COUNTIF($S$2:$S$528,$S220)&gt;1),AND($T220&lt;&gt;"",LOWER(TRIM($T220))&lt;&gt;"n/a",COUNTIF($T$2:$T$528,$T220)&gt;1),AND($W220&lt;&gt;"",LOWER(TRIM($W220))&lt;&gt;"n/a",COUNTIF($W$2:$W$528,$W220)&gt;1)),"Yes","No"),IF($A220="Cybernet",IF(OR(AND($Y220&lt;&gt;"",LOWER(TRIM($Y220))&lt;&gt;"n/a",COUNTIF($Y$2:$Y$528,$Y220)&gt;1),AND($Z220&lt;&gt;"",LOWER(TRIM($Z220))&lt;&gt;"n/a",COUNTIF($Z$2:$Z$528,$Z220)&gt;1)),"Yes","No"),IF(AND($AL220&lt;&gt;"",LOWER(TRIM($AL220))&lt;&gt;"n/a",COUNTIF($AL$2:$AL$528,$AL220)&gt;1),"Yes","No"))))</f>
        <v/>
      </c>
      <c r="F220" t="str">
        <f>IF($B220&lt;&gt;"Yes","",
IF($A220="Neuron",
IF(OR(
AND($S220&lt;&gt;"",LOWER(TRIM($S220))&lt;&gt;"n/a",COUNTIFS($B$2:$B$528,"Yes",$A$2:$A$528,"Neuron",$S$2:$S$528,$S220)&gt;1),
AND($T220&lt;&gt;"",LOWER(TRIM($T220))&lt;&gt;"n/a",COUNTIFS($B$2:$B$528,"Yes",$A$2:$A$528,"Neuron",$T$2:$T$528,$T220)&gt;1),
AND($W220&lt;&gt;"",LOWER(TRIM($W220))&lt;&gt;"n/a",COUNTIFS($B$2:$B$528,"Yes",$A$2:$A$528,"Neuron",$W$2:$W$528,$W220)&gt;1)
),"Yes","No"),
IF($A220="Cybernet",
IF(OR(
AND($Y220&lt;&gt;"",LOWER(TRIM($Y220))&lt;&gt;"n/a",COUNTIFS($B$2:$B$528,"Yes",$A$2:$A$528,"Cybernet",$Y$2:$Y$528,$Y220)&gt;1),
AND($Z220&lt;&gt;"",LOWER(TRIM($Z220))&lt;&gt;"n/a",COUNTIFS($B$2:$B$528,"Yes",$A$2:$A$528,"Cybernet",$Z$2:$Z$528,$Z220)&gt;1)
),"Yes","No"),
IF(AND($AL220&lt;&gt;"",LOWER(TRIM($AL220))&lt;&gt;"n/a"),
IF(COUNTIFS($B$2:$B$528,"Yes",$A$2:$A$528,$A220,$AL$2:$AL$528,$AL220)&gt;1,"Yes","No"),
"No")
)
)
)</f>
        <v/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8"/>
      <c r="AF220" s="4"/>
      <c r="AG220" s="4"/>
      <c r="AH220" s="1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8"/>
      <c r="AX220" s="8"/>
      <c r="AY220" s="8"/>
      <c r="AZ220" s="8"/>
      <c r="BA220" s="12"/>
      <c r="BB220" s="8"/>
      <c r="BC220" s="4"/>
      <c r="BD220" s="4"/>
      <c r="BE220" s="8"/>
      <c r="BF220" s="8"/>
      <c r="BG220" s="8"/>
      <c r="BH220" s="8"/>
      <c r="BI220" s="8"/>
      <c r="BJ220" s="8"/>
      <c r="BK220" s="8"/>
      <c r="BL220" s="4" t="str">
        <f t="shared" si="10"/>
        <v/>
      </c>
      <c r="BM220" s="8" t="str">
        <f t="shared" si="11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1:70" ht="15" customHeight="1">
      <c r="A221" s="8"/>
      <c r="B221" s="8"/>
      <c r="D221" s="15" t="str">
        <f t="shared" si="12"/>
        <v/>
      </c>
      <c r="E221" s="15" t="str">
        <f>IF($A221="","",IF($A221="Neuron",IF(OR(AND($S221&lt;&gt;"",LOWER(TRIM($S221))&lt;&gt;"n/a",COUNTIF($S$2:$S$528,$S221)&gt;1),AND($T221&lt;&gt;"",LOWER(TRIM($T221))&lt;&gt;"n/a",COUNTIF($T$2:$T$528,$T221)&gt;1),AND($W221&lt;&gt;"",LOWER(TRIM($W221))&lt;&gt;"n/a",COUNTIF($W$2:$W$528,$W221)&gt;1)),"Yes","No"),IF($A221="Cybernet",IF(OR(AND($Y221&lt;&gt;"",LOWER(TRIM($Y221))&lt;&gt;"n/a",COUNTIF($Y$2:$Y$528,$Y221)&gt;1),AND($Z221&lt;&gt;"",LOWER(TRIM($Z221))&lt;&gt;"n/a",COUNTIF($Z$2:$Z$528,$Z221)&gt;1)),"Yes","No"),IF(AND($AL221&lt;&gt;"",LOWER(TRIM($AL221))&lt;&gt;"n/a",COUNTIF($AL$2:$AL$528,$AL221)&gt;1),"Yes","No"))))</f>
        <v/>
      </c>
      <c r="F221" t="str">
        <f>IF($B221&lt;&gt;"Yes","",
IF($A221="Neuron",
IF(OR(
AND($S221&lt;&gt;"",LOWER(TRIM($S221))&lt;&gt;"n/a",COUNTIFS($B$2:$B$528,"Yes",$A$2:$A$528,"Neuron",$S$2:$S$528,$S221)&gt;1),
AND($T221&lt;&gt;"",LOWER(TRIM($T221))&lt;&gt;"n/a",COUNTIFS($B$2:$B$528,"Yes",$A$2:$A$528,"Neuron",$T$2:$T$528,$T221)&gt;1),
AND($W221&lt;&gt;"",LOWER(TRIM($W221))&lt;&gt;"n/a",COUNTIFS($B$2:$B$528,"Yes",$A$2:$A$528,"Neuron",$W$2:$W$528,$W221)&gt;1)
),"Yes","No"),
IF($A221="Cybernet",
IF(OR(
AND($Y221&lt;&gt;"",LOWER(TRIM($Y221))&lt;&gt;"n/a",COUNTIFS($B$2:$B$528,"Yes",$A$2:$A$528,"Cybernet",$Y$2:$Y$528,$Y221)&gt;1),
AND($Z221&lt;&gt;"",LOWER(TRIM($Z221))&lt;&gt;"n/a",COUNTIFS($B$2:$B$528,"Yes",$A$2:$A$528,"Cybernet",$Z$2:$Z$528,$Z221)&gt;1)
),"Yes","No"),
IF(AND($AL221&lt;&gt;"",LOWER(TRIM($AL221))&lt;&gt;"n/a"),
IF(COUNTIFS($B$2:$B$528,"Yes",$A$2:$A$528,$A221,$AL$2:$AL$528,$AL221)&gt;1,"Yes","No"),
"No")
)
)
)</f>
        <v/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8"/>
      <c r="AF221" s="4"/>
      <c r="AG221" s="4"/>
      <c r="AH221" s="1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8"/>
      <c r="AX221" s="8"/>
      <c r="AY221" s="8"/>
      <c r="AZ221" s="8"/>
      <c r="BA221" s="12"/>
      <c r="BB221" s="8"/>
      <c r="BC221" s="4"/>
      <c r="BD221" s="4"/>
      <c r="BE221" s="8"/>
      <c r="BF221" s="8"/>
      <c r="BG221" s="8"/>
      <c r="BH221" s="8"/>
      <c r="BI221" s="8"/>
      <c r="BJ221" s="8"/>
      <c r="BK221" s="8"/>
      <c r="BL221" s="4" t="str">
        <f t="shared" si="10"/>
        <v/>
      </c>
      <c r="BM221" s="8" t="str">
        <f t="shared" si="11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1:70" ht="15" customHeight="1">
      <c r="A222" s="8"/>
      <c r="B222" s="8"/>
      <c r="D222" s="15" t="str">
        <f t="shared" si="12"/>
        <v/>
      </c>
      <c r="E222" s="15" t="str">
        <f>IF($A222="","",IF($A222="Neuron",IF(OR(AND($S222&lt;&gt;"",LOWER(TRIM($S222))&lt;&gt;"n/a",COUNTIF($S$2:$S$528,$S222)&gt;1),AND($T222&lt;&gt;"",LOWER(TRIM($T222))&lt;&gt;"n/a",COUNTIF($T$2:$T$528,$T222)&gt;1),AND($W222&lt;&gt;"",LOWER(TRIM($W222))&lt;&gt;"n/a",COUNTIF($W$2:$W$528,$W222)&gt;1)),"Yes","No"),IF($A222="Cybernet",IF(OR(AND($Y222&lt;&gt;"",LOWER(TRIM($Y222))&lt;&gt;"n/a",COUNTIF($Y$2:$Y$528,$Y222)&gt;1),AND($Z222&lt;&gt;"",LOWER(TRIM($Z222))&lt;&gt;"n/a",COUNTIF($Z$2:$Z$528,$Z222)&gt;1)),"Yes","No"),IF(AND($AL222&lt;&gt;"",LOWER(TRIM($AL222))&lt;&gt;"n/a",COUNTIF($AL$2:$AL$528,$AL222)&gt;1),"Yes","No"))))</f>
        <v/>
      </c>
      <c r="F222" t="str">
        <f>IF($B222&lt;&gt;"Yes","",
IF($A222="Neuron",
IF(OR(
AND($S222&lt;&gt;"",LOWER(TRIM($S222))&lt;&gt;"n/a",COUNTIFS($B$2:$B$528,"Yes",$A$2:$A$528,"Neuron",$S$2:$S$528,$S222)&gt;1),
AND($T222&lt;&gt;"",LOWER(TRIM($T222))&lt;&gt;"n/a",COUNTIFS($B$2:$B$528,"Yes",$A$2:$A$528,"Neuron",$T$2:$T$528,$T222)&gt;1),
AND($W222&lt;&gt;"",LOWER(TRIM($W222))&lt;&gt;"n/a",COUNTIFS($B$2:$B$528,"Yes",$A$2:$A$528,"Neuron",$W$2:$W$528,$W222)&gt;1)
),"Yes","No"),
IF($A222="Cybernet",
IF(OR(
AND($Y222&lt;&gt;"",LOWER(TRIM($Y222))&lt;&gt;"n/a",COUNTIFS($B$2:$B$528,"Yes",$A$2:$A$528,"Cybernet",$Y$2:$Y$528,$Y222)&gt;1),
AND($Z222&lt;&gt;"",LOWER(TRIM($Z222))&lt;&gt;"n/a",COUNTIFS($B$2:$B$528,"Yes",$A$2:$A$528,"Cybernet",$Z$2:$Z$528,$Z222)&gt;1)
),"Yes","No"),
IF(AND($AL222&lt;&gt;"",LOWER(TRIM($AL222))&lt;&gt;"n/a"),
IF(COUNTIFS($B$2:$B$528,"Yes",$A$2:$A$528,$A222,$AL$2:$AL$528,$AL222)&gt;1,"Yes","No"),
"No")
)
)
)</f>
        <v/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8"/>
      <c r="AF222" s="4"/>
      <c r="AG222" s="4"/>
      <c r="AH222" s="1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8"/>
      <c r="AX222" s="8"/>
      <c r="AY222" s="8"/>
      <c r="AZ222" s="8"/>
      <c r="BA222" s="12"/>
      <c r="BB222" s="8"/>
      <c r="BC222" s="4"/>
      <c r="BD222" s="4"/>
      <c r="BE222" s="8"/>
      <c r="BF222" s="8"/>
      <c r="BG222" s="8"/>
      <c r="BH222" s="8"/>
      <c r="BI222" s="8"/>
      <c r="BJ222" s="8"/>
      <c r="BK222" s="8"/>
      <c r="BL222" s="4" t="str">
        <f t="shared" si="10"/>
        <v/>
      </c>
      <c r="BM222" s="8" t="str">
        <f t="shared" si="11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1:70" ht="15" customHeight="1">
      <c r="A223" s="8"/>
      <c r="B223" s="8"/>
      <c r="D223" s="15" t="str">
        <f t="shared" si="12"/>
        <v/>
      </c>
      <c r="E223" s="15" t="str">
        <f>IF($A223="","",IF($A223="Neuron",IF(OR(AND($S223&lt;&gt;"",LOWER(TRIM($S223))&lt;&gt;"n/a",COUNTIF($S$2:$S$528,$S223)&gt;1),AND($T223&lt;&gt;"",LOWER(TRIM($T223))&lt;&gt;"n/a",COUNTIF($T$2:$T$528,$T223)&gt;1),AND($W223&lt;&gt;"",LOWER(TRIM($W223))&lt;&gt;"n/a",COUNTIF($W$2:$W$528,$W223)&gt;1)),"Yes","No"),IF($A223="Cybernet",IF(OR(AND($Y223&lt;&gt;"",LOWER(TRIM($Y223))&lt;&gt;"n/a",COUNTIF($Y$2:$Y$528,$Y223)&gt;1),AND($Z223&lt;&gt;"",LOWER(TRIM($Z223))&lt;&gt;"n/a",COUNTIF($Z$2:$Z$528,$Z223)&gt;1)),"Yes","No"),IF(AND($AL223&lt;&gt;"",LOWER(TRIM($AL223))&lt;&gt;"n/a",COUNTIF($AL$2:$AL$528,$AL223)&gt;1),"Yes","No"))))</f>
        <v/>
      </c>
      <c r="F223" t="str">
        <f>IF($B223&lt;&gt;"Yes","",
IF($A223="Neuron",
IF(OR(
AND($S223&lt;&gt;"",LOWER(TRIM($S223))&lt;&gt;"n/a",COUNTIFS($B$2:$B$528,"Yes",$A$2:$A$528,"Neuron",$S$2:$S$528,$S223)&gt;1),
AND($T223&lt;&gt;"",LOWER(TRIM($T223))&lt;&gt;"n/a",COUNTIFS($B$2:$B$528,"Yes",$A$2:$A$528,"Neuron",$T$2:$T$528,$T223)&gt;1),
AND($W223&lt;&gt;"",LOWER(TRIM($W223))&lt;&gt;"n/a",COUNTIFS($B$2:$B$528,"Yes",$A$2:$A$528,"Neuron",$W$2:$W$528,$W223)&gt;1)
),"Yes","No"),
IF($A223="Cybernet",
IF(OR(
AND($Y223&lt;&gt;"",LOWER(TRIM($Y223))&lt;&gt;"n/a",COUNTIFS($B$2:$B$528,"Yes",$A$2:$A$528,"Cybernet",$Y$2:$Y$528,$Y223)&gt;1),
AND($Z223&lt;&gt;"",LOWER(TRIM($Z223))&lt;&gt;"n/a",COUNTIFS($B$2:$B$528,"Yes",$A$2:$A$528,"Cybernet",$Z$2:$Z$528,$Z223)&gt;1)
),"Yes","No"),
IF(AND($AL223&lt;&gt;"",LOWER(TRIM($AL223))&lt;&gt;"n/a"),
IF(COUNTIFS($B$2:$B$528,"Yes",$A$2:$A$528,$A223,$AL$2:$AL$528,$AL223)&gt;1,"Yes","No"),
"No")
)
)
)</f>
        <v/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8"/>
      <c r="AF223" s="4"/>
      <c r="AG223" s="4"/>
      <c r="AH223" s="1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8"/>
      <c r="AX223" s="8"/>
      <c r="AY223" s="8"/>
      <c r="AZ223" s="8"/>
      <c r="BA223" s="12"/>
      <c r="BB223" s="8"/>
      <c r="BC223" s="4"/>
      <c r="BD223" s="4"/>
      <c r="BE223" s="8"/>
      <c r="BF223" s="8"/>
      <c r="BG223" s="8"/>
      <c r="BH223" s="8"/>
      <c r="BI223" s="8"/>
      <c r="BJ223" s="8"/>
      <c r="BK223" s="8"/>
      <c r="BL223" s="4" t="str">
        <f t="shared" si="10"/>
        <v/>
      </c>
      <c r="BM223" s="8" t="str">
        <f t="shared" si="11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1:70" ht="15" customHeight="1">
      <c r="A224" s="8"/>
      <c r="B224" s="8"/>
      <c r="D224" s="15" t="str">
        <f t="shared" si="12"/>
        <v/>
      </c>
      <c r="E224" s="15" t="str">
        <f>IF($A224="","",IF($A224="Neuron",IF(OR(AND($S224&lt;&gt;"",LOWER(TRIM($S224))&lt;&gt;"n/a",COUNTIF($S$2:$S$528,$S224)&gt;1),AND($T224&lt;&gt;"",LOWER(TRIM($T224))&lt;&gt;"n/a",COUNTIF($T$2:$T$528,$T224)&gt;1),AND($W224&lt;&gt;"",LOWER(TRIM($W224))&lt;&gt;"n/a",COUNTIF($W$2:$W$528,$W224)&gt;1)),"Yes","No"),IF($A224="Cybernet",IF(OR(AND($Y224&lt;&gt;"",LOWER(TRIM($Y224))&lt;&gt;"n/a",COUNTIF($Y$2:$Y$528,$Y224)&gt;1),AND($Z224&lt;&gt;"",LOWER(TRIM($Z224))&lt;&gt;"n/a",COUNTIF($Z$2:$Z$528,$Z224)&gt;1)),"Yes","No"),IF(AND($AL224&lt;&gt;"",LOWER(TRIM($AL224))&lt;&gt;"n/a",COUNTIF($AL$2:$AL$528,$AL224)&gt;1),"Yes","No"))))</f>
        <v/>
      </c>
      <c r="F224" t="str">
        <f>IF($B224&lt;&gt;"Yes","",
IF($A224="Neuron",
IF(OR(
AND($S224&lt;&gt;"",LOWER(TRIM($S224))&lt;&gt;"n/a",COUNTIFS($B$2:$B$528,"Yes",$A$2:$A$528,"Neuron",$S$2:$S$528,$S224)&gt;1),
AND($T224&lt;&gt;"",LOWER(TRIM($T224))&lt;&gt;"n/a",COUNTIFS($B$2:$B$528,"Yes",$A$2:$A$528,"Neuron",$T$2:$T$528,$T224)&gt;1),
AND($W224&lt;&gt;"",LOWER(TRIM($W224))&lt;&gt;"n/a",COUNTIFS($B$2:$B$528,"Yes",$A$2:$A$528,"Neuron",$W$2:$W$528,$W224)&gt;1)
),"Yes","No"),
IF($A224="Cybernet",
IF(OR(
AND($Y224&lt;&gt;"",LOWER(TRIM($Y224))&lt;&gt;"n/a",COUNTIFS($B$2:$B$528,"Yes",$A$2:$A$528,"Cybernet",$Y$2:$Y$528,$Y224)&gt;1),
AND($Z224&lt;&gt;"",LOWER(TRIM($Z224))&lt;&gt;"n/a",COUNTIFS($B$2:$B$528,"Yes",$A$2:$A$528,"Cybernet",$Z$2:$Z$528,$Z224)&gt;1)
),"Yes","No"),
IF(AND($AL224&lt;&gt;"",LOWER(TRIM($AL224))&lt;&gt;"n/a"),
IF(COUNTIFS($B$2:$B$528,"Yes",$A$2:$A$528,$A224,$AL$2:$AL$528,$AL224)&gt;1,"Yes","No"),
"No")
)
)
)</f>
        <v/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8"/>
      <c r="AF224" s="4"/>
      <c r="AG224" s="4"/>
      <c r="AH224" s="1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8"/>
      <c r="AX224" s="8"/>
      <c r="AY224" s="8"/>
      <c r="AZ224" s="8"/>
      <c r="BA224" s="12"/>
      <c r="BB224" s="8"/>
      <c r="BC224" s="4"/>
      <c r="BD224" s="4"/>
      <c r="BE224" s="8"/>
      <c r="BF224" s="8"/>
      <c r="BG224" s="8"/>
      <c r="BH224" s="8"/>
      <c r="BI224" s="8"/>
      <c r="BJ224" s="8"/>
      <c r="BK224" s="8"/>
      <c r="BL224" s="4" t="str">
        <f t="shared" si="10"/>
        <v/>
      </c>
      <c r="BM224" s="8" t="str">
        <f t="shared" si="11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1:70" ht="15" customHeight="1">
      <c r="A225" s="8"/>
      <c r="B225" s="8"/>
      <c r="D225" s="15" t="str">
        <f t="shared" si="12"/>
        <v/>
      </c>
      <c r="E225" s="15" t="str">
        <f>IF($A225="","",IF($A225="Neuron",IF(OR(AND($S225&lt;&gt;"",LOWER(TRIM($S225))&lt;&gt;"n/a",COUNTIF($S$2:$S$528,$S225)&gt;1),AND($T225&lt;&gt;"",LOWER(TRIM($T225))&lt;&gt;"n/a",COUNTIF($T$2:$T$528,$T225)&gt;1),AND($W225&lt;&gt;"",LOWER(TRIM($W225))&lt;&gt;"n/a",COUNTIF($W$2:$W$528,$W225)&gt;1)),"Yes","No"),IF($A225="Cybernet",IF(OR(AND($Y225&lt;&gt;"",LOWER(TRIM($Y225))&lt;&gt;"n/a",COUNTIF($Y$2:$Y$528,$Y225)&gt;1),AND($Z225&lt;&gt;"",LOWER(TRIM($Z225))&lt;&gt;"n/a",COUNTIF($Z$2:$Z$528,$Z225)&gt;1)),"Yes","No"),IF(AND($AL225&lt;&gt;"",LOWER(TRIM($AL225))&lt;&gt;"n/a",COUNTIF($AL$2:$AL$528,$AL225)&gt;1),"Yes","No"))))</f>
        <v/>
      </c>
      <c r="F225" t="str">
        <f>IF($B225&lt;&gt;"Yes","",
IF($A225="Neuron",
IF(OR(
AND($S225&lt;&gt;"",LOWER(TRIM($S225))&lt;&gt;"n/a",COUNTIFS($B$2:$B$528,"Yes",$A$2:$A$528,"Neuron",$S$2:$S$528,$S225)&gt;1),
AND($T225&lt;&gt;"",LOWER(TRIM($T225))&lt;&gt;"n/a",COUNTIFS($B$2:$B$528,"Yes",$A$2:$A$528,"Neuron",$T$2:$T$528,$T225)&gt;1),
AND($W225&lt;&gt;"",LOWER(TRIM($W225))&lt;&gt;"n/a",COUNTIFS($B$2:$B$528,"Yes",$A$2:$A$528,"Neuron",$W$2:$W$528,$W225)&gt;1)
),"Yes","No"),
IF($A225="Cybernet",
IF(OR(
AND($Y225&lt;&gt;"",LOWER(TRIM($Y225))&lt;&gt;"n/a",COUNTIFS($B$2:$B$528,"Yes",$A$2:$A$528,"Cybernet",$Y$2:$Y$528,$Y225)&gt;1),
AND($Z225&lt;&gt;"",LOWER(TRIM($Z225))&lt;&gt;"n/a",COUNTIFS($B$2:$B$528,"Yes",$A$2:$A$528,"Cybernet",$Z$2:$Z$528,$Z225)&gt;1)
),"Yes","No"),
IF(AND($AL225&lt;&gt;"",LOWER(TRIM($AL225))&lt;&gt;"n/a"),
IF(COUNTIFS($B$2:$B$528,"Yes",$A$2:$A$528,$A225,$AL$2:$AL$528,$AL225)&gt;1,"Yes","No"),
"No")
)
)
)</f>
        <v/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8"/>
      <c r="AF225" s="4"/>
      <c r="AG225" s="4"/>
      <c r="AH225" s="1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8"/>
      <c r="AX225" s="8"/>
      <c r="AY225" s="8"/>
      <c r="AZ225" s="8"/>
      <c r="BA225" s="12"/>
      <c r="BB225" s="8"/>
      <c r="BC225" s="4"/>
      <c r="BD225" s="4"/>
      <c r="BE225" s="8"/>
      <c r="BF225" s="8"/>
      <c r="BG225" s="8"/>
      <c r="BH225" s="8"/>
      <c r="BI225" s="8"/>
      <c r="BJ225" s="8"/>
      <c r="BK225" s="8"/>
      <c r="BL225" s="4" t="str">
        <f t="shared" si="10"/>
        <v/>
      </c>
      <c r="BM225" s="8" t="str">
        <f t="shared" si="11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1:70" ht="15" customHeight="1">
      <c r="A226" s="8"/>
      <c r="B226" s="8"/>
      <c r="D226" s="15" t="str">
        <f t="shared" si="12"/>
        <v/>
      </c>
      <c r="E226" s="15" t="str">
        <f>IF($A226="","",IF($A226="Neuron",IF(OR(AND($S226&lt;&gt;"",LOWER(TRIM($S226))&lt;&gt;"n/a",COUNTIF($S$2:$S$528,$S226)&gt;1),AND($T226&lt;&gt;"",LOWER(TRIM($T226))&lt;&gt;"n/a",COUNTIF($T$2:$T$528,$T226)&gt;1),AND($W226&lt;&gt;"",LOWER(TRIM($W226))&lt;&gt;"n/a",COUNTIF($W$2:$W$528,$W226)&gt;1)),"Yes","No"),IF($A226="Cybernet",IF(OR(AND($Y226&lt;&gt;"",LOWER(TRIM($Y226))&lt;&gt;"n/a",COUNTIF($Y$2:$Y$528,$Y226)&gt;1),AND($Z226&lt;&gt;"",LOWER(TRIM($Z226))&lt;&gt;"n/a",COUNTIF($Z$2:$Z$528,$Z226)&gt;1)),"Yes","No"),IF(AND($AL226&lt;&gt;"",LOWER(TRIM($AL226))&lt;&gt;"n/a",COUNTIF($AL$2:$AL$528,$AL226)&gt;1),"Yes","No"))))</f>
        <v/>
      </c>
      <c r="F226" t="str">
        <f>IF($B226&lt;&gt;"Yes","",
IF($A226="Neuron",
IF(OR(
AND($S226&lt;&gt;"",LOWER(TRIM($S226))&lt;&gt;"n/a",COUNTIFS($B$2:$B$528,"Yes",$A$2:$A$528,"Neuron",$S$2:$S$528,$S226)&gt;1),
AND($T226&lt;&gt;"",LOWER(TRIM($T226))&lt;&gt;"n/a",COUNTIFS($B$2:$B$528,"Yes",$A$2:$A$528,"Neuron",$T$2:$T$528,$T226)&gt;1),
AND($W226&lt;&gt;"",LOWER(TRIM($W226))&lt;&gt;"n/a",COUNTIFS($B$2:$B$528,"Yes",$A$2:$A$528,"Neuron",$W$2:$W$528,$W226)&gt;1)
),"Yes","No"),
IF($A226="Cybernet",
IF(OR(
AND($Y226&lt;&gt;"",LOWER(TRIM($Y226))&lt;&gt;"n/a",COUNTIFS($B$2:$B$528,"Yes",$A$2:$A$528,"Cybernet",$Y$2:$Y$528,$Y226)&gt;1),
AND($Z226&lt;&gt;"",LOWER(TRIM($Z226))&lt;&gt;"n/a",COUNTIFS($B$2:$B$528,"Yes",$A$2:$A$528,"Cybernet",$Z$2:$Z$528,$Z226)&gt;1)
),"Yes","No"),
IF(AND($AL226&lt;&gt;"",LOWER(TRIM($AL226))&lt;&gt;"n/a"),
IF(COUNTIFS($B$2:$B$528,"Yes",$A$2:$A$528,$A226,$AL$2:$AL$528,$AL226)&gt;1,"Yes","No"),
"No")
)
)
)</f>
        <v/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8"/>
      <c r="AF226" s="4"/>
      <c r="AG226" s="4"/>
      <c r="AH226" s="1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8"/>
      <c r="AX226" s="8"/>
      <c r="AY226" s="8"/>
      <c r="AZ226" s="8"/>
      <c r="BA226" s="12"/>
      <c r="BB226" s="8"/>
      <c r="BC226" s="4"/>
      <c r="BD226" s="4"/>
      <c r="BE226" s="8"/>
      <c r="BF226" s="8"/>
      <c r="BG226" s="8"/>
      <c r="BH226" s="8"/>
      <c r="BI226" s="8"/>
      <c r="BJ226" s="8"/>
      <c r="BK226" s="8"/>
      <c r="BL226" s="4" t="str">
        <f t="shared" si="10"/>
        <v/>
      </c>
      <c r="BM226" s="8" t="str">
        <f t="shared" si="11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1:70" ht="15" customHeight="1">
      <c r="A227" s="8"/>
      <c r="B227" s="8"/>
      <c r="D227" s="15" t="str">
        <f t="shared" si="12"/>
        <v/>
      </c>
      <c r="E227" s="15" t="str">
        <f>IF($A227="","",IF($A227="Neuron",IF(OR(AND($S227&lt;&gt;"",LOWER(TRIM($S227))&lt;&gt;"n/a",COUNTIF($S$2:$S$528,$S227)&gt;1),AND($T227&lt;&gt;"",LOWER(TRIM($T227))&lt;&gt;"n/a",COUNTIF($T$2:$T$528,$T227)&gt;1),AND($W227&lt;&gt;"",LOWER(TRIM($W227))&lt;&gt;"n/a",COUNTIF($W$2:$W$528,$W227)&gt;1)),"Yes","No"),IF($A227="Cybernet",IF(OR(AND($Y227&lt;&gt;"",LOWER(TRIM($Y227))&lt;&gt;"n/a",COUNTIF($Y$2:$Y$528,$Y227)&gt;1),AND($Z227&lt;&gt;"",LOWER(TRIM($Z227))&lt;&gt;"n/a",COUNTIF($Z$2:$Z$528,$Z227)&gt;1)),"Yes","No"),IF(AND($AL227&lt;&gt;"",LOWER(TRIM($AL227))&lt;&gt;"n/a",COUNTIF($AL$2:$AL$528,$AL227)&gt;1),"Yes","No"))))</f>
        <v/>
      </c>
      <c r="F227" t="str">
        <f>IF($B227&lt;&gt;"Yes","",
IF($A227="Neuron",
IF(OR(
AND($S227&lt;&gt;"",LOWER(TRIM($S227))&lt;&gt;"n/a",COUNTIFS($B$2:$B$528,"Yes",$A$2:$A$528,"Neuron",$S$2:$S$528,$S227)&gt;1),
AND($T227&lt;&gt;"",LOWER(TRIM($T227))&lt;&gt;"n/a",COUNTIFS($B$2:$B$528,"Yes",$A$2:$A$528,"Neuron",$T$2:$T$528,$T227)&gt;1),
AND($W227&lt;&gt;"",LOWER(TRIM($W227))&lt;&gt;"n/a",COUNTIFS($B$2:$B$528,"Yes",$A$2:$A$528,"Neuron",$W$2:$W$528,$W227)&gt;1)
),"Yes","No"),
IF($A227="Cybernet",
IF(OR(
AND($Y227&lt;&gt;"",LOWER(TRIM($Y227))&lt;&gt;"n/a",COUNTIFS($B$2:$B$528,"Yes",$A$2:$A$528,"Cybernet",$Y$2:$Y$528,$Y227)&gt;1),
AND($Z227&lt;&gt;"",LOWER(TRIM($Z227))&lt;&gt;"n/a",COUNTIFS($B$2:$B$528,"Yes",$A$2:$A$528,"Cybernet",$Z$2:$Z$528,$Z227)&gt;1)
),"Yes","No"),
IF(AND($AL227&lt;&gt;"",LOWER(TRIM($AL227))&lt;&gt;"n/a"),
IF(COUNTIFS($B$2:$B$528,"Yes",$A$2:$A$528,$A227,$AL$2:$AL$528,$AL227)&gt;1,"Yes","No"),
"No")
)
)
)</f>
        <v/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8"/>
      <c r="AF227" s="4"/>
      <c r="AG227" s="4"/>
      <c r="AH227" s="1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8"/>
      <c r="AX227" s="8"/>
      <c r="AY227" s="8"/>
      <c r="AZ227" s="8"/>
      <c r="BA227" s="12"/>
      <c r="BB227" s="8"/>
      <c r="BC227" s="4"/>
      <c r="BD227" s="4"/>
      <c r="BE227" s="8"/>
      <c r="BF227" s="8"/>
      <c r="BG227" s="8"/>
      <c r="BH227" s="8"/>
      <c r="BI227" s="8"/>
      <c r="BJ227" s="8"/>
      <c r="BK227" s="8"/>
      <c r="BL227" s="4" t="str">
        <f t="shared" si="10"/>
        <v/>
      </c>
      <c r="BM227" s="8" t="str">
        <f t="shared" si="11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1:70" ht="15" customHeight="1">
      <c r="A228" s="8"/>
      <c r="B228" s="8"/>
      <c r="D228" s="15" t="str">
        <f t="shared" si="12"/>
        <v/>
      </c>
      <c r="E228" s="15" t="str">
        <f>IF($A228="","",IF($A228="Neuron",IF(OR(AND($S228&lt;&gt;"",LOWER(TRIM($S228))&lt;&gt;"n/a",COUNTIF($S$2:$S$528,$S228)&gt;1),AND($T228&lt;&gt;"",LOWER(TRIM($T228))&lt;&gt;"n/a",COUNTIF($T$2:$T$528,$T228)&gt;1),AND($W228&lt;&gt;"",LOWER(TRIM($W228))&lt;&gt;"n/a",COUNTIF($W$2:$W$528,$W228)&gt;1)),"Yes","No"),IF($A228="Cybernet",IF(OR(AND($Y228&lt;&gt;"",LOWER(TRIM($Y228))&lt;&gt;"n/a",COUNTIF($Y$2:$Y$528,$Y228)&gt;1),AND($Z228&lt;&gt;"",LOWER(TRIM($Z228))&lt;&gt;"n/a",COUNTIF($Z$2:$Z$528,$Z228)&gt;1)),"Yes","No"),IF(AND($AL228&lt;&gt;"",LOWER(TRIM($AL228))&lt;&gt;"n/a",COUNTIF($AL$2:$AL$528,$AL228)&gt;1),"Yes","No"))))</f>
        <v/>
      </c>
      <c r="F228" t="str">
        <f>IF($B228&lt;&gt;"Yes","",
IF($A228="Neuron",
IF(OR(
AND($S228&lt;&gt;"",LOWER(TRIM($S228))&lt;&gt;"n/a",COUNTIFS($B$2:$B$528,"Yes",$A$2:$A$528,"Neuron",$S$2:$S$528,$S228)&gt;1),
AND($T228&lt;&gt;"",LOWER(TRIM($T228))&lt;&gt;"n/a",COUNTIFS($B$2:$B$528,"Yes",$A$2:$A$528,"Neuron",$T$2:$T$528,$T228)&gt;1),
AND($W228&lt;&gt;"",LOWER(TRIM($W228))&lt;&gt;"n/a",COUNTIFS($B$2:$B$528,"Yes",$A$2:$A$528,"Neuron",$W$2:$W$528,$W228)&gt;1)
),"Yes","No"),
IF($A228="Cybernet",
IF(OR(
AND($Y228&lt;&gt;"",LOWER(TRIM($Y228))&lt;&gt;"n/a",COUNTIFS($B$2:$B$528,"Yes",$A$2:$A$528,"Cybernet",$Y$2:$Y$528,$Y228)&gt;1),
AND($Z228&lt;&gt;"",LOWER(TRIM($Z228))&lt;&gt;"n/a",COUNTIFS($B$2:$B$528,"Yes",$A$2:$A$528,"Cybernet",$Z$2:$Z$528,$Z228)&gt;1)
),"Yes","No"),
IF(AND($AL228&lt;&gt;"",LOWER(TRIM($AL228))&lt;&gt;"n/a"),
IF(COUNTIFS($B$2:$B$528,"Yes",$A$2:$A$528,$A228,$AL$2:$AL$528,$AL228)&gt;1,"Yes","No"),
"No")
)
)
)</f>
        <v/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8"/>
      <c r="AF228" s="4"/>
      <c r="AG228" s="4"/>
      <c r="AH228" s="1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8"/>
      <c r="AX228" s="8"/>
      <c r="AY228" s="8"/>
      <c r="AZ228" s="8"/>
      <c r="BA228" s="12"/>
      <c r="BB228" s="8"/>
      <c r="BC228" s="4"/>
      <c r="BD228" s="4"/>
      <c r="BE228" s="8"/>
      <c r="BF228" s="8"/>
      <c r="BG228" s="8"/>
      <c r="BH228" s="8"/>
      <c r="BI228" s="8"/>
      <c r="BJ228" s="8"/>
      <c r="BK228" s="8"/>
      <c r="BL228" s="4" t="str">
        <f t="shared" si="10"/>
        <v/>
      </c>
      <c r="BM228" s="8" t="str">
        <f t="shared" si="11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1:70" ht="15" customHeight="1">
      <c r="A229" s="8"/>
      <c r="B229" s="8"/>
      <c r="D229" s="15" t="str">
        <f t="shared" si="12"/>
        <v/>
      </c>
      <c r="E229" s="15" t="str">
        <f>IF($A229="","",IF($A229="Neuron",IF(OR(AND($S229&lt;&gt;"",LOWER(TRIM($S229))&lt;&gt;"n/a",COUNTIF($S$2:$S$528,$S229)&gt;1),AND($T229&lt;&gt;"",LOWER(TRIM($T229))&lt;&gt;"n/a",COUNTIF($T$2:$T$528,$T229)&gt;1),AND($W229&lt;&gt;"",LOWER(TRIM($W229))&lt;&gt;"n/a",COUNTIF($W$2:$W$528,$W229)&gt;1)),"Yes","No"),IF($A229="Cybernet",IF(OR(AND($Y229&lt;&gt;"",LOWER(TRIM($Y229))&lt;&gt;"n/a",COUNTIF($Y$2:$Y$528,$Y229)&gt;1),AND($Z229&lt;&gt;"",LOWER(TRIM($Z229))&lt;&gt;"n/a",COUNTIF($Z$2:$Z$528,$Z229)&gt;1)),"Yes","No"),IF(AND($AL229&lt;&gt;"",LOWER(TRIM($AL229))&lt;&gt;"n/a",COUNTIF($AL$2:$AL$528,$AL229)&gt;1),"Yes","No"))))</f>
        <v/>
      </c>
      <c r="F229" t="str">
        <f>IF($B229&lt;&gt;"Yes","",
IF($A229="Neuron",
IF(OR(
AND($S229&lt;&gt;"",LOWER(TRIM($S229))&lt;&gt;"n/a",COUNTIFS($B$2:$B$528,"Yes",$A$2:$A$528,"Neuron",$S$2:$S$528,$S229)&gt;1),
AND($T229&lt;&gt;"",LOWER(TRIM($T229))&lt;&gt;"n/a",COUNTIFS($B$2:$B$528,"Yes",$A$2:$A$528,"Neuron",$T$2:$T$528,$T229)&gt;1),
AND($W229&lt;&gt;"",LOWER(TRIM($W229))&lt;&gt;"n/a",COUNTIFS($B$2:$B$528,"Yes",$A$2:$A$528,"Neuron",$W$2:$W$528,$W229)&gt;1)
),"Yes","No"),
IF($A229="Cybernet",
IF(OR(
AND($Y229&lt;&gt;"",LOWER(TRIM($Y229))&lt;&gt;"n/a",COUNTIFS($B$2:$B$528,"Yes",$A$2:$A$528,"Cybernet",$Y$2:$Y$528,$Y229)&gt;1),
AND($Z229&lt;&gt;"",LOWER(TRIM($Z229))&lt;&gt;"n/a",COUNTIFS($B$2:$B$528,"Yes",$A$2:$A$528,"Cybernet",$Z$2:$Z$528,$Z229)&gt;1)
),"Yes","No"),
IF(AND($AL229&lt;&gt;"",LOWER(TRIM($AL229))&lt;&gt;"n/a"),
IF(COUNTIFS($B$2:$B$528,"Yes",$A$2:$A$528,$A229,$AL$2:$AL$528,$AL229)&gt;1,"Yes","No"),
"No")
)
)
)</f>
        <v/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8"/>
      <c r="AF229" s="4"/>
      <c r="AG229" s="4"/>
      <c r="AH229" s="1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8"/>
      <c r="AX229" s="8"/>
      <c r="AY229" s="8"/>
      <c r="AZ229" s="8"/>
      <c r="BA229" s="12"/>
      <c r="BB229" s="8"/>
      <c r="BC229" s="4"/>
      <c r="BD229" s="4"/>
      <c r="BE229" s="8"/>
      <c r="BF229" s="8"/>
      <c r="BG229" s="8"/>
      <c r="BH229" s="8"/>
      <c r="BI229" s="8"/>
      <c r="BJ229" s="8"/>
      <c r="BK229" s="8"/>
      <c r="BL229" s="4" t="str">
        <f t="shared" si="10"/>
        <v/>
      </c>
      <c r="BM229" s="8" t="str">
        <f t="shared" si="11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1:70" ht="15" customHeight="1">
      <c r="A230" s="8"/>
      <c r="B230" s="8"/>
      <c r="D230" s="15" t="str">
        <f t="shared" si="12"/>
        <v/>
      </c>
      <c r="E230" s="15" t="str">
        <f>IF($A230="","",IF($A230="Neuron",IF(OR(AND($S230&lt;&gt;"",LOWER(TRIM($S230))&lt;&gt;"n/a",COUNTIF($S$2:$S$528,$S230)&gt;1),AND($T230&lt;&gt;"",LOWER(TRIM($T230))&lt;&gt;"n/a",COUNTIF($T$2:$T$528,$T230)&gt;1),AND($W230&lt;&gt;"",LOWER(TRIM($W230))&lt;&gt;"n/a",COUNTIF($W$2:$W$528,$W230)&gt;1)),"Yes","No"),IF($A230="Cybernet",IF(OR(AND($Y230&lt;&gt;"",LOWER(TRIM($Y230))&lt;&gt;"n/a",COUNTIF($Y$2:$Y$528,$Y230)&gt;1),AND($Z230&lt;&gt;"",LOWER(TRIM($Z230))&lt;&gt;"n/a",COUNTIF($Z$2:$Z$528,$Z230)&gt;1)),"Yes","No"),IF(AND($AL230&lt;&gt;"",LOWER(TRIM($AL230))&lt;&gt;"n/a",COUNTIF($AL$2:$AL$528,$AL230)&gt;1),"Yes","No"))))</f>
        <v/>
      </c>
      <c r="F230" t="str">
        <f>IF($B230&lt;&gt;"Yes","",
IF($A230="Neuron",
IF(OR(
AND($S230&lt;&gt;"",LOWER(TRIM($S230))&lt;&gt;"n/a",COUNTIFS($B$2:$B$528,"Yes",$A$2:$A$528,"Neuron",$S$2:$S$528,$S230)&gt;1),
AND($T230&lt;&gt;"",LOWER(TRIM($T230))&lt;&gt;"n/a",COUNTIFS($B$2:$B$528,"Yes",$A$2:$A$528,"Neuron",$T$2:$T$528,$T230)&gt;1),
AND($W230&lt;&gt;"",LOWER(TRIM($W230))&lt;&gt;"n/a",COUNTIFS($B$2:$B$528,"Yes",$A$2:$A$528,"Neuron",$W$2:$W$528,$W230)&gt;1)
),"Yes","No"),
IF($A230="Cybernet",
IF(OR(
AND($Y230&lt;&gt;"",LOWER(TRIM($Y230))&lt;&gt;"n/a",COUNTIFS($B$2:$B$528,"Yes",$A$2:$A$528,"Cybernet",$Y$2:$Y$528,$Y230)&gt;1),
AND($Z230&lt;&gt;"",LOWER(TRIM($Z230))&lt;&gt;"n/a",COUNTIFS($B$2:$B$528,"Yes",$A$2:$A$528,"Cybernet",$Z$2:$Z$528,$Z230)&gt;1)
),"Yes","No"),
IF(AND($AL230&lt;&gt;"",LOWER(TRIM($AL230))&lt;&gt;"n/a"),
IF(COUNTIFS($B$2:$B$528,"Yes",$A$2:$A$528,$A230,$AL$2:$AL$528,$AL230)&gt;1,"Yes","No"),
"No")
)
)
)</f>
        <v/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8"/>
      <c r="AF230" s="4"/>
      <c r="AG230" s="4"/>
      <c r="AH230" s="1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8"/>
      <c r="AX230" s="8"/>
      <c r="AY230" s="8"/>
      <c r="AZ230" s="8"/>
      <c r="BA230" s="12"/>
      <c r="BB230" s="8"/>
      <c r="BC230" s="4"/>
      <c r="BD230" s="4"/>
      <c r="BE230" s="8"/>
      <c r="BF230" s="8"/>
      <c r="BG230" s="8"/>
      <c r="BH230" s="8"/>
      <c r="BI230" s="8"/>
      <c r="BJ230" s="8"/>
      <c r="BK230" s="8"/>
      <c r="BL230" s="4" t="str">
        <f t="shared" si="10"/>
        <v/>
      </c>
      <c r="BM230" s="8" t="str">
        <f t="shared" si="11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1:70" ht="15" customHeight="1">
      <c r="A231" s="8"/>
      <c r="B231" s="8"/>
      <c r="D231" s="15" t="str">
        <f t="shared" si="12"/>
        <v/>
      </c>
      <c r="E231" s="15" t="str">
        <f>IF($A231="","",IF($A231="Neuron",IF(OR(AND($S231&lt;&gt;"",LOWER(TRIM($S231))&lt;&gt;"n/a",COUNTIF($S$2:$S$528,$S231)&gt;1),AND($T231&lt;&gt;"",LOWER(TRIM($T231))&lt;&gt;"n/a",COUNTIF($T$2:$T$528,$T231)&gt;1),AND($W231&lt;&gt;"",LOWER(TRIM($W231))&lt;&gt;"n/a",COUNTIF($W$2:$W$528,$W231)&gt;1)),"Yes","No"),IF($A231="Cybernet",IF(OR(AND($Y231&lt;&gt;"",LOWER(TRIM($Y231))&lt;&gt;"n/a",COUNTIF($Y$2:$Y$528,$Y231)&gt;1),AND($Z231&lt;&gt;"",LOWER(TRIM($Z231))&lt;&gt;"n/a",COUNTIF($Z$2:$Z$528,$Z231)&gt;1)),"Yes","No"),IF(AND($AL231&lt;&gt;"",LOWER(TRIM($AL231))&lt;&gt;"n/a",COUNTIF($AL$2:$AL$528,$AL231)&gt;1),"Yes","No"))))</f>
        <v/>
      </c>
      <c r="F231" t="str">
        <f>IF($B231&lt;&gt;"Yes","",
IF($A231="Neuron",
IF(OR(
AND($S231&lt;&gt;"",LOWER(TRIM($S231))&lt;&gt;"n/a",COUNTIFS($B$2:$B$528,"Yes",$A$2:$A$528,"Neuron",$S$2:$S$528,$S231)&gt;1),
AND($T231&lt;&gt;"",LOWER(TRIM($T231))&lt;&gt;"n/a",COUNTIFS($B$2:$B$528,"Yes",$A$2:$A$528,"Neuron",$T$2:$T$528,$T231)&gt;1),
AND($W231&lt;&gt;"",LOWER(TRIM($W231))&lt;&gt;"n/a",COUNTIFS($B$2:$B$528,"Yes",$A$2:$A$528,"Neuron",$W$2:$W$528,$W231)&gt;1)
),"Yes","No"),
IF($A231="Cybernet",
IF(OR(
AND($Y231&lt;&gt;"",LOWER(TRIM($Y231))&lt;&gt;"n/a",COUNTIFS($B$2:$B$528,"Yes",$A$2:$A$528,"Cybernet",$Y$2:$Y$528,$Y231)&gt;1),
AND($Z231&lt;&gt;"",LOWER(TRIM($Z231))&lt;&gt;"n/a",COUNTIFS($B$2:$B$528,"Yes",$A$2:$A$528,"Cybernet",$Z$2:$Z$528,$Z231)&gt;1)
),"Yes","No"),
IF(AND($AL231&lt;&gt;"",LOWER(TRIM($AL231))&lt;&gt;"n/a"),
IF(COUNTIFS($B$2:$B$528,"Yes",$A$2:$A$528,$A231,$AL$2:$AL$528,$AL231)&gt;1,"Yes","No"),
"No")
)
)
)</f>
        <v/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8"/>
      <c r="AF231" s="4"/>
      <c r="AG231" s="4"/>
      <c r="AH231" s="1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8"/>
      <c r="AX231" s="8"/>
      <c r="AY231" s="8"/>
      <c r="AZ231" s="8"/>
      <c r="BA231" s="12"/>
      <c r="BB231" s="8"/>
      <c r="BC231" s="4"/>
      <c r="BD231" s="4"/>
      <c r="BE231" s="8"/>
      <c r="BF231" s="8"/>
      <c r="BG231" s="8"/>
      <c r="BH231" s="8"/>
      <c r="BI231" s="8"/>
      <c r="BJ231" s="8"/>
      <c r="BK231" s="8"/>
      <c r="BL231" s="4" t="str">
        <f t="shared" si="10"/>
        <v/>
      </c>
      <c r="BM231" s="8" t="str">
        <f t="shared" si="11"/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1:70" ht="15" customHeight="1">
      <c r="A232" s="8"/>
      <c r="B232" s="8"/>
      <c r="D232" s="15" t="str">
        <f t="shared" si="12"/>
        <v/>
      </c>
      <c r="E232" s="15" t="str">
        <f>IF($A232="","",IF($A232="Neuron",IF(OR(AND($S232&lt;&gt;"",LOWER(TRIM($S232))&lt;&gt;"n/a",COUNTIF($S$2:$S$528,$S232)&gt;1),AND($T232&lt;&gt;"",LOWER(TRIM($T232))&lt;&gt;"n/a",COUNTIF($T$2:$T$528,$T232)&gt;1),AND($W232&lt;&gt;"",LOWER(TRIM($W232))&lt;&gt;"n/a",COUNTIF($W$2:$W$528,$W232)&gt;1)),"Yes","No"),IF($A232="Cybernet",IF(OR(AND($Y232&lt;&gt;"",LOWER(TRIM($Y232))&lt;&gt;"n/a",COUNTIF($Y$2:$Y$528,$Y232)&gt;1),AND($Z232&lt;&gt;"",LOWER(TRIM($Z232))&lt;&gt;"n/a",COUNTIF($Z$2:$Z$528,$Z232)&gt;1)),"Yes","No"),IF(AND($AL232&lt;&gt;"",LOWER(TRIM($AL232))&lt;&gt;"n/a",COUNTIF($AL$2:$AL$528,$AL232)&gt;1),"Yes","No"))))</f>
        <v/>
      </c>
      <c r="F232" t="str">
        <f>IF($B232&lt;&gt;"Yes","",
IF($A232="Neuron",
IF(OR(
AND($S232&lt;&gt;"",LOWER(TRIM($S232))&lt;&gt;"n/a",COUNTIFS($B$2:$B$528,"Yes",$A$2:$A$528,"Neuron",$S$2:$S$528,$S232)&gt;1),
AND($T232&lt;&gt;"",LOWER(TRIM($T232))&lt;&gt;"n/a",COUNTIFS($B$2:$B$528,"Yes",$A$2:$A$528,"Neuron",$T$2:$T$528,$T232)&gt;1),
AND($W232&lt;&gt;"",LOWER(TRIM($W232))&lt;&gt;"n/a",COUNTIFS($B$2:$B$528,"Yes",$A$2:$A$528,"Neuron",$W$2:$W$528,$W232)&gt;1)
),"Yes","No"),
IF($A232="Cybernet",
IF(OR(
AND($Y232&lt;&gt;"",LOWER(TRIM($Y232))&lt;&gt;"n/a",COUNTIFS($B$2:$B$528,"Yes",$A$2:$A$528,"Cybernet",$Y$2:$Y$528,$Y232)&gt;1),
AND($Z232&lt;&gt;"",LOWER(TRIM($Z232))&lt;&gt;"n/a",COUNTIFS($B$2:$B$528,"Yes",$A$2:$A$528,"Cybernet",$Z$2:$Z$528,$Z232)&gt;1)
),"Yes","No"),
IF(AND($AL232&lt;&gt;"",LOWER(TRIM($AL232))&lt;&gt;"n/a"),
IF(COUNTIFS($B$2:$B$528,"Yes",$A$2:$A$528,$A232,$AL$2:$AL$528,$AL232)&gt;1,"Yes","No"),
"No")
)
)
)</f>
        <v/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8"/>
      <c r="AF232" s="4"/>
      <c r="AG232" s="4"/>
      <c r="AH232" s="1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8"/>
      <c r="AX232" s="8"/>
      <c r="AY232" s="8"/>
      <c r="AZ232" s="8"/>
      <c r="BA232" s="12"/>
      <c r="BB232" s="8"/>
      <c r="BC232" s="4"/>
      <c r="BD232" s="4"/>
      <c r="BE232" s="8"/>
      <c r="BF232" s="8"/>
      <c r="BG232" s="8"/>
      <c r="BH232" s="8"/>
      <c r="BI232" s="8"/>
      <c r="BJ232" s="8"/>
      <c r="BK232" s="8"/>
      <c r="BL232" s="4" t="str">
        <f t="shared" si="10"/>
        <v/>
      </c>
      <c r="BM232" s="8" t="str">
        <f t="shared" si="11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1:70" ht="15" customHeight="1">
      <c r="A233" s="8"/>
      <c r="B233" s="8"/>
      <c r="D233" s="15" t="str">
        <f t="shared" si="12"/>
        <v/>
      </c>
      <c r="E233" s="15" t="str">
        <f>IF($A233="","",IF($A233="Neuron",IF(OR(AND($S233&lt;&gt;"",LOWER(TRIM($S233))&lt;&gt;"n/a",COUNTIF($S$2:$S$528,$S233)&gt;1),AND($T233&lt;&gt;"",LOWER(TRIM($T233))&lt;&gt;"n/a",COUNTIF($T$2:$T$528,$T233)&gt;1),AND($W233&lt;&gt;"",LOWER(TRIM($W233))&lt;&gt;"n/a",COUNTIF($W$2:$W$528,$W233)&gt;1)),"Yes","No"),IF($A233="Cybernet",IF(OR(AND($Y233&lt;&gt;"",LOWER(TRIM($Y233))&lt;&gt;"n/a",COUNTIF($Y$2:$Y$528,$Y233)&gt;1),AND($Z233&lt;&gt;"",LOWER(TRIM($Z233))&lt;&gt;"n/a",COUNTIF($Z$2:$Z$528,$Z233)&gt;1)),"Yes","No"),IF(AND($AL233&lt;&gt;"",LOWER(TRIM($AL233))&lt;&gt;"n/a",COUNTIF($AL$2:$AL$528,$AL233)&gt;1),"Yes","No"))))</f>
        <v/>
      </c>
      <c r="F233" t="str">
        <f>IF($B233&lt;&gt;"Yes","",
IF($A233="Neuron",
IF(OR(
AND($S233&lt;&gt;"",LOWER(TRIM($S233))&lt;&gt;"n/a",COUNTIFS($B$2:$B$528,"Yes",$A$2:$A$528,"Neuron",$S$2:$S$528,$S233)&gt;1),
AND($T233&lt;&gt;"",LOWER(TRIM($T233))&lt;&gt;"n/a",COUNTIFS($B$2:$B$528,"Yes",$A$2:$A$528,"Neuron",$T$2:$T$528,$T233)&gt;1),
AND($W233&lt;&gt;"",LOWER(TRIM($W233))&lt;&gt;"n/a",COUNTIFS($B$2:$B$528,"Yes",$A$2:$A$528,"Neuron",$W$2:$W$528,$W233)&gt;1)
),"Yes","No"),
IF($A233="Cybernet",
IF(OR(
AND($Y233&lt;&gt;"",LOWER(TRIM($Y233))&lt;&gt;"n/a",COUNTIFS($B$2:$B$528,"Yes",$A$2:$A$528,"Cybernet",$Y$2:$Y$528,$Y233)&gt;1),
AND($Z233&lt;&gt;"",LOWER(TRIM($Z233))&lt;&gt;"n/a",COUNTIFS($B$2:$B$528,"Yes",$A$2:$A$528,"Cybernet",$Z$2:$Z$528,$Z233)&gt;1)
),"Yes","No"),
IF(AND($AL233&lt;&gt;"",LOWER(TRIM($AL233))&lt;&gt;"n/a"),
IF(COUNTIFS($B$2:$B$528,"Yes",$A$2:$A$528,$A233,$AL$2:$AL$528,$AL233)&gt;1,"Yes","No"),
"No")
)
)
)</f>
        <v/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8"/>
      <c r="AF233" s="4"/>
      <c r="AG233" s="4"/>
      <c r="AH233" s="1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8"/>
      <c r="AX233" s="8"/>
      <c r="AY233" s="8"/>
      <c r="AZ233" s="8"/>
      <c r="BA233" s="12"/>
      <c r="BB233" s="8"/>
      <c r="BC233" s="4"/>
      <c r="BD233" s="4"/>
      <c r="BE233" s="8"/>
      <c r="BF233" s="8"/>
      <c r="BG233" s="8"/>
      <c r="BH233" s="8"/>
      <c r="BI233" s="8"/>
      <c r="BJ233" s="8"/>
      <c r="BK233" s="8"/>
      <c r="BL233" s="4" t="str">
        <f t="shared" si="10"/>
        <v/>
      </c>
      <c r="BM233" s="8" t="str">
        <f t="shared" si="11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1:70" ht="15" customHeight="1">
      <c r="A234" s="8"/>
      <c r="B234" s="8"/>
      <c r="D234" s="15" t="str">
        <f t="shared" si="12"/>
        <v/>
      </c>
      <c r="E234" s="15" t="str">
        <f>IF($A234="","",IF($A234="Neuron",IF(OR(AND($S234&lt;&gt;"",LOWER(TRIM($S234))&lt;&gt;"n/a",COUNTIF($S$2:$S$528,$S234)&gt;1),AND($T234&lt;&gt;"",LOWER(TRIM($T234))&lt;&gt;"n/a",COUNTIF($T$2:$T$528,$T234)&gt;1),AND($W234&lt;&gt;"",LOWER(TRIM($W234))&lt;&gt;"n/a",COUNTIF($W$2:$W$528,$W234)&gt;1)),"Yes","No"),IF($A234="Cybernet",IF(OR(AND($Y234&lt;&gt;"",LOWER(TRIM($Y234))&lt;&gt;"n/a",COUNTIF($Y$2:$Y$528,$Y234)&gt;1),AND($Z234&lt;&gt;"",LOWER(TRIM($Z234))&lt;&gt;"n/a",COUNTIF($Z$2:$Z$528,$Z234)&gt;1)),"Yes","No"),IF(AND($AL234&lt;&gt;"",LOWER(TRIM($AL234))&lt;&gt;"n/a",COUNTIF($AL$2:$AL$528,$AL234)&gt;1),"Yes","No"))))</f>
        <v/>
      </c>
      <c r="F234" t="str">
        <f>IF($B234&lt;&gt;"Yes","",
IF($A234="Neuron",
IF(OR(
AND($S234&lt;&gt;"",LOWER(TRIM($S234))&lt;&gt;"n/a",COUNTIFS($B$2:$B$528,"Yes",$A$2:$A$528,"Neuron",$S$2:$S$528,$S234)&gt;1),
AND($T234&lt;&gt;"",LOWER(TRIM($T234))&lt;&gt;"n/a",COUNTIFS($B$2:$B$528,"Yes",$A$2:$A$528,"Neuron",$T$2:$T$528,$T234)&gt;1),
AND($W234&lt;&gt;"",LOWER(TRIM($W234))&lt;&gt;"n/a",COUNTIFS($B$2:$B$528,"Yes",$A$2:$A$528,"Neuron",$W$2:$W$528,$W234)&gt;1)
),"Yes","No"),
IF($A234="Cybernet",
IF(OR(
AND($Y234&lt;&gt;"",LOWER(TRIM($Y234))&lt;&gt;"n/a",COUNTIFS($B$2:$B$528,"Yes",$A$2:$A$528,"Cybernet",$Y$2:$Y$528,$Y234)&gt;1),
AND($Z234&lt;&gt;"",LOWER(TRIM($Z234))&lt;&gt;"n/a",COUNTIFS($B$2:$B$528,"Yes",$A$2:$A$528,"Cybernet",$Z$2:$Z$528,$Z234)&gt;1)
),"Yes","No"),
IF(AND($AL234&lt;&gt;"",LOWER(TRIM($AL234))&lt;&gt;"n/a"),
IF(COUNTIFS($B$2:$B$528,"Yes",$A$2:$A$528,$A234,$AL$2:$AL$528,$AL234)&gt;1,"Yes","No"),
"No")
)
)
)</f>
        <v/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8"/>
      <c r="AF234" s="4"/>
      <c r="AG234" s="4"/>
      <c r="AH234" s="1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8"/>
      <c r="AX234" s="8"/>
      <c r="AY234" s="8"/>
      <c r="AZ234" s="8"/>
      <c r="BA234" s="12"/>
      <c r="BB234" s="8"/>
      <c r="BC234" s="4"/>
      <c r="BD234" s="4"/>
      <c r="BE234" s="8"/>
      <c r="BF234" s="8"/>
      <c r="BG234" s="8"/>
      <c r="BH234" s="8"/>
      <c r="BI234" s="8"/>
      <c r="BJ234" s="8"/>
      <c r="BK234" s="8"/>
      <c r="BL234" s="4" t="str">
        <f t="shared" si="10"/>
        <v/>
      </c>
      <c r="BM234" s="8" t="str">
        <f t="shared" si="11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1:70" ht="15" customHeight="1">
      <c r="A235" s="8"/>
      <c r="B235" s="8"/>
      <c r="D235" s="15" t="str">
        <f t="shared" si="12"/>
        <v/>
      </c>
      <c r="E235" s="15" t="str">
        <f>IF($A235="","",IF($A235="Neuron",IF(OR(AND($S235&lt;&gt;"",LOWER(TRIM($S235))&lt;&gt;"n/a",COUNTIF($S$2:$S$528,$S235)&gt;1),AND($T235&lt;&gt;"",LOWER(TRIM($T235))&lt;&gt;"n/a",COUNTIF($T$2:$T$528,$T235)&gt;1),AND($W235&lt;&gt;"",LOWER(TRIM($W235))&lt;&gt;"n/a",COUNTIF($W$2:$W$528,$W235)&gt;1)),"Yes","No"),IF($A235="Cybernet",IF(OR(AND($Y235&lt;&gt;"",LOWER(TRIM($Y235))&lt;&gt;"n/a",COUNTIF($Y$2:$Y$528,$Y235)&gt;1),AND($Z235&lt;&gt;"",LOWER(TRIM($Z235))&lt;&gt;"n/a",COUNTIF($Z$2:$Z$528,$Z235)&gt;1)),"Yes","No"),IF(AND($AL235&lt;&gt;"",LOWER(TRIM($AL235))&lt;&gt;"n/a",COUNTIF($AL$2:$AL$528,$AL235)&gt;1),"Yes","No"))))</f>
        <v/>
      </c>
      <c r="F235" t="str">
        <f>IF($B235&lt;&gt;"Yes","",
IF($A235="Neuron",
IF(OR(
AND($S235&lt;&gt;"",LOWER(TRIM($S235))&lt;&gt;"n/a",COUNTIFS($B$2:$B$528,"Yes",$A$2:$A$528,"Neuron",$S$2:$S$528,$S235)&gt;1),
AND($T235&lt;&gt;"",LOWER(TRIM($T235))&lt;&gt;"n/a",COUNTIFS($B$2:$B$528,"Yes",$A$2:$A$528,"Neuron",$T$2:$T$528,$T235)&gt;1),
AND($W235&lt;&gt;"",LOWER(TRIM($W235))&lt;&gt;"n/a",COUNTIFS($B$2:$B$528,"Yes",$A$2:$A$528,"Neuron",$W$2:$W$528,$W235)&gt;1)
),"Yes","No"),
IF($A235="Cybernet",
IF(OR(
AND($Y235&lt;&gt;"",LOWER(TRIM($Y235))&lt;&gt;"n/a",COUNTIFS($B$2:$B$528,"Yes",$A$2:$A$528,"Cybernet",$Y$2:$Y$528,$Y235)&gt;1),
AND($Z235&lt;&gt;"",LOWER(TRIM($Z235))&lt;&gt;"n/a",COUNTIFS($B$2:$B$528,"Yes",$A$2:$A$528,"Cybernet",$Z$2:$Z$528,$Z235)&gt;1)
),"Yes","No"),
IF(AND($AL235&lt;&gt;"",LOWER(TRIM($AL235))&lt;&gt;"n/a"),
IF(COUNTIFS($B$2:$B$528,"Yes",$A$2:$A$528,$A235,$AL$2:$AL$528,$AL235)&gt;1,"Yes","No"),
"No")
)
)
)</f>
        <v/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8"/>
      <c r="AF235" s="4"/>
      <c r="AG235" s="4"/>
      <c r="AH235" s="1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8"/>
      <c r="AX235" s="8"/>
      <c r="AY235" s="8"/>
      <c r="AZ235" s="8"/>
      <c r="BA235" s="12"/>
      <c r="BB235" s="8"/>
      <c r="BC235" s="4"/>
      <c r="BD235" s="4"/>
      <c r="BE235" s="8"/>
      <c r="BF235" s="8"/>
      <c r="BG235" s="8"/>
      <c r="BH235" s="8"/>
      <c r="BI235" s="8"/>
      <c r="BJ235" s="8"/>
      <c r="BK235" s="8"/>
      <c r="BL235" s="4" t="str">
        <f t="shared" si="10"/>
        <v/>
      </c>
      <c r="BM235" s="8" t="str">
        <f t="shared" si="11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1:70" ht="15" customHeight="1">
      <c r="A236" s="8"/>
      <c r="B236" s="8"/>
      <c r="D236" s="15" t="str">
        <f t="shared" si="12"/>
        <v/>
      </c>
      <c r="E236" s="15" t="str">
        <f>IF($A236="","",IF($A236="Neuron",IF(OR(AND($S236&lt;&gt;"",LOWER(TRIM($S236))&lt;&gt;"n/a",COUNTIF($S$2:$S$528,$S236)&gt;1),AND($T236&lt;&gt;"",LOWER(TRIM($T236))&lt;&gt;"n/a",COUNTIF($T$2:$T$528,$T236)&gt;1),AND($W236&lt;&gt;"",LOWER(TRIM($W236))&lt;&gt;"n/a",COUNTIF($W$2:$W$528,$W236)&gt;1)),"Yes","No"),IF($A236="Cybernet",IF(OR(AND($Y236&lt;&gt;"",LOWER(TRIM($Y236))&lt;&gt;"n/a",COUNTIF($Y$2:$Y$528,$Y236)&gt;1),AND($Z236&lt;&gt;"",LOWER(TRIM($Z236))&lt;&gt;"n/a",COUNTIF($Z$2:$Z$528,$Z236)&gt;1)),"Yes","No"),IF(AND($AL236&lt;&gt;"",LOWER(TRIM($AL236))&lt;&gt;"n/a",COUNTIF($AL$2:$AL$528,$AL236)&gt;1),"Yes","No"))))</f>
        <v/>
      </c>
      <c r="F236" t="str">
        <f>IF($B236&lt;&gt;"Yes","",
IF($A236="Neuron",
IF(OR(
AND($S236&lt;&gt;"",LOWER(TRIM($S236))&lt;&gt;"n/a",COUNTIFS($B$2:$B$528,"Yes",$A$2:$A$528,"Neuron",$S$2:$S$528,$S236)&gt;1),
AND($T236&lt;&gt;"",LOWER(TRIM($T236))&lt;&gt;"n/a",COUNTIFS($B$2:$B$528,"Yes",$A$2:$A$528,"Neuron",$T$2:$T$528,$T236)&gt;1),
AND($W236&lt;&gt;"",LOWER(TRIM($W236))&lt;&gt;"n/a",COUNTIFS($B$2:$B$528,"Yes",$A$2:$A$528,"Neuron",$W$2:$W$528,$W236)&gt;1)
),"Yes","No"),
IF($A236="Cybernet",
IF(OR(
AND($Y236&lt;&gt;"",LOWER(TRIM($Y236))&lt;&gt;"n/a",COUNTIFS($B$2:$B$528,"Yes",$A$2:$A$528,"Cybernet",$Y$2:$Y$528,$Y236)&gt;1),
AND($Z236&lt;&gt;"",LOWER(TRIM($Z236))&lt;&gt;"n/a",COUNTIFS($B$2:$B$528,"Yes",$A$2:$A$528,"Cybernet",$Z$2:$Z$528,$Z236)&gt;1)
),"Yes","No"),
IF(AND($AL236&lt;&gt;"",LOWER(TRIM($AL236))&lt;&gt;"n/a"),
IF(COUNTIFS($B$2:$B$528,"Yes",$A$2:$A$528,$A236,$AL$2:$AL$528,$AL236)&gt;1,"Yes","No"),
"No")
)
)
)</f>
        <v/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8"/>
      <c r="AF236" s="4"/>
      <c r="AG236" s="4"/>
      <c r="AH236" s="1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8"/>
      <c r="AX236" s="8"/>
      <c r="AY236" s="8"/>
      <c r="AZ236" s="8"/>
      <c r="BA236" s="12"/>
      <c r="BB236" s="8"/>
      <c r="BC236" s="4"/>
      <c r="BD236" s="4"/>
      <c r="BE236" s="8"/>
      <c r="BF236" s="8"/>
      <c r="BG236" s="8"/>
      <c r="BH236" s="8"/>
      <c r="BI236" s="8"/>
      <c r="BJ236" s="8"/>
      <c r="BK236" s="8"/>
      <c r="BL236" s="4" t="str">
        <f t="shared" si="10"/>
        <v/>
      </c>
      <c r="BM236" s="8" t="str">
        <f t="shared" si="11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1:70" ht="15" customHeight="1">
      <c r="A237" s="8"/>
      <c r="B237" s="8"/>
      <c r="D237" s="15" t="str">
        <f t="shared" si="12"/>
        <v/>
      </c>
      <c r="E237" s="15" t="str">
        <f>IF($A237="","",IF($A237="Neuron",IF(OR(AND($S237&lt;&gt;"",LOWER(TRIM($S237))&lt;&gt;"n/a",COUNTIF($S$2:$S$528,$S237)&gt;1),AND($T237&lt;&gt;"",LOWER(TRIM($T237))&lt;&gt;"n/a",COUNTIF($T$2:$T$528,$T237)&gt;1),AND($W237&lt;&gt;"",LOWER(TRIM($W237))&lt;&gt;"n/a",COUNTIF($W$2:$W$528,$W237)&gt;1)),"Yes","No"),IF($A237="Cybernet",IF(OR(AND($Y237&lt;&gt;"",LOWER(TRIM($Y237))&lt;&gt;"n/a",COUNTIF($Y$2:$Y$528,$Y237)&gt;1),AND($Z237&lt;&gt;"",LOWER(TRIM($Z237))&lt;&gt;"n/a",COUNTIF($Z$2:$Z$528,$Z237)&gt;1)),"Yes","No"),IF(AND($AL237&lt;&gt;"",LOWER(TRIM($AL237))&lt;&gt;"n/a",COUNTIF($AL$2:$AL$528,$AL237)&gt;1),"Yes","No"))))</f>
        <v/>
      </c>
      <c r="F237" t="str">
        <f>IF($B237&lt;&gt;"Yes","",
IF($A237="Neuron",
IF(OR(
AND($S237&lt;&gt;"",LOWER(TRIM($S237))&lt;&gt;"n/a",COUNTIFS($B$2:$B$528,"Yes",$A$2:$A$528,"Neuron",$S$2:$S$528,$S237)&gt;1),
AND($T237&lt;&gt;"",LOWER(TRIM($T237))&lt;&gt;"n/a",COUNTIFS($B$2:$B$528,"Yes",$A$2:$A$528,"Neuron",$T$2:$T$528,$T237)&gt;1),
AND($W237&lt;&gt;"",LOWER(TRIM($W237))&lt;&gt;"n/a",COUNTIFS($B$2:$B$528,"Yes",$A$2:$A$528,"Neuron",$W$2:$W$528,$W237)&gt;1)
),"Yes","No"),
IF($A237="Cybernet",
IF(OR(
AND($Y237&lt;&gt;"",LOWER(TRIM($Y237))&lt;&gt;"n/a",COUNTIFS($B$2:$B$528,"Yes",$A$2:$A$528,"Cybernet",$Y$2:$Y$528,$Y237)&gt;1),
AND($Z237&lt;&gt;"",LOWER(TRIM($Z237))&lt;&gt;"n/a",COUNTIFS($B$2:$B$528,"Yes",$A$2:$A$528,"Cybernet",$Z$2:$Z$528,$Z237)&gt;1)
),"Yes","No"),
IF(AND($AL237&lt;&gt;"",LOWER(TRIM($AL237))&lt;&gt;"n/a"),
IF(COUNTIFS($B$2:$B$528,"Yes",$A$2:$A$528,$A237,$AL$2:$AL$528,$AL237)&gt;1,"Yes","No"),
"No")
)
)
)</f>
        <v/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8"/>
      <c r="AF237" s="4"/>
      <c r="AG237" s="4"/>
      <c r="AH237" s="1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8"/>
      <c r="AX237" s="8"/>
      <c r="AY237" s="8"/>
      <c r="AZ237" s="8"/>
      <c r="BA237" s="12"/>
      <c r="BB237" s="8"/>
      <c r="BC237" s="4"/>
      <c r="BD237" s="4"/>
      <c r="BE237" s="8"/>
      <c r="BF237" s="8"/>
      <c r="BG237" s="8"/>
      <c r="BH237" s="8"/>
      <c r="BI237" s="8"/>
      <c r="BJ237" s="8"/>
      <c r="BK237" s="8"/>
      <c r="BL237" s="4" t="str">
        <f t="shared" si="10"/>
        <v/>
      </c>
      <c r="BM237" s="8" t="str">
        <f t="shared" si="11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1:70" ht="15" customHeight="1">
      <c r="A238" s="8"/>
      <c r="B238" s="8"/>
      <c r="D238" s="15" t="str">
        <f t="shared" si="12"/>
        <v/>
      </c>
      <c r="E238" s="15" t="str">
        <f>IF($A238="","",IF($A238="Neuron",IF(OR(AND($S238&lt;&gt;"",LOWER(TRIM($S238))&lt;&gt;"n/a",COUNTIF($S$2:$S$528,$S238)&gt;1),AND($T238&lt;&gt;"",LOWER(TRIM($T238))&lt;&gt;"n/a",COUNTIF($T$2:$T$528,$T238)&gt;1),AND($W238&lt;&gt;"",LOWER(TRIM($W238))&lt;&gt;"n/a",COUNTIF($W$2:$W$528,$W238)&gt;1)),"Yes","No"),IF($A238="Cybernet",IF(OR(AND($Y238&lt;&gt;"",LOWER(TRIM($Y238))&lt;&gt;"n/a",COUNTIF($Y$2:$Y$528,$Y238)&gt;1),AND($Z238&lt;&gt;"",LOWER(TRIM($Z238))&lt;&gt;"n/a",COUNTIF($Z$2:$Z$528,$Z238)&gt;1)),"Yes","No"),IF(AND($AL238&lt;&gt;"",LOWER(TRIM($AL238))&lt;&gt;"n/a",COUNTIF($AL$2:$AL$528,$AL238)&gt;1),"Yes","No"))))</f>
        <v/>
      </c>
      <c r="F238" t="str">
        <f>IF($B238&lt;&gt;"Yes","",
IF($A238="Neuron",
IF(OR(
AND($S238&lt;&gt;"",LOWER(TRIM($S238))&lt;&gt;"n/a",COUNTIFS($B$2:$B$528,"Yes",$A$2:$A$528,"Neuron",$S$2:$S$528,$S238)&gt;1),
AND($T238&lt;&gt;"",LOWER(TRIM($T238))&lt;&gt;"n/a",COUNTIFS($B$2:$B$528,"Yes",$A$2:$A$528,"Neuron",$T$2:$T$528,$T238)&gt;1),
AND($W238&lt;&gt;"",LOWER(TRIM($W238))&lt;&gt;"n/a",COUNTIFS($B$2:$B$528,"Yes",$A$2:$A$528,"Neuron",$W$2:$W$528,$W238)&gt;1)
),"Yes","No"),
IF($A238="Cybernet",
IF(OR(
AND($Y238&lt;&gt;"",LOWER(TRIM($Y238))&lt;&gt;"n/a",COUNTIFS($B$2:$B$528,"Yes",$A$2:$A$528,"Cybernet",$Y$2:$Y$528,$Y238)&gt;1),
AND($Z238&lt;&gt;"",LOWER(TRIM($Z238))&lt;&gt;"n/a",COUNTIFS($B$2:$B$528,"Yes",$A$2:$A$528,"Cybernet",$Z$2:$Z$528,$Z238)&gt;1)
),"Yes","No"),
IF(AND($AL238&lt;&gt;"",LOWER(TRIM($AL238))&lt;&gt;"n/a"),
IF(COUNTIFS($B$2:$B$528,"Yes",$A$2:$A$528,$A238,$AL$2:$AL$528,$AL238)&gt;1,"Yes","No"),
"No")
)
)
)</f>
        <v/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8"/>
      <c r="AF238" s="4"/>
      <c r="AG238" s="4"/>
      <c r="AH238" s="1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8"/>
      <c r="AX238" s="8"/>
      <c r="AY238" s="8"/>
      <c r="AZ238" s="8"/>
      <c r="BA238" s="12"/>
      <c r="BB238" s="8"/>
      <c r="BC238" s="4"/>
      <c r="BD238" s="4"/>
      <c r="BE238" s="8"/>
      <c r="BF238" s="8"/>
      <c r="BG238" s="8"/>
      <c r="BH238" s="8"/>
      <c r="BI238" s="8"/>
      <c r="BJ238" s="8"/>
      <c r="BK238" s="8"/>
      <c r="BL238" s="4" t="str">
        <f t="shared" si="10"/>
        <v/>
      </c>
      <c r="BM238" s="8" t="str">
        <f t="shared" si="11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1:70" ht="15" customHeight="1">
      <c r="A239" s="8"/>
      <c r="B239" s="8"/>
      <c r="D239" s="15" t="str">
        <f t="shared" si="12"/>
        <v/>
      </c>
      <c r="E239" s="15" t="str">
        <f>IF($A239="","",IF($A239="Neuron",IF(OR(AND($S239&lt;&gt;"",LOWER(TRIM($S239))&lt;&gt;"n/a",COUNTIF($S$2:$S$528,$S239)&gt;1),AND($T239&lt;&gt;"",LOWER(TRIM($T239))&lt;&gt;"n/a",COUNTIF($T$2:$T$528,$T239)&gt;1),AND($W239&lt;&gt;"",LOWER(TRIM($W239))&lt;&gt;"n/a",COUNTIF($W$2:$W$528,$W239)&gt;1)),"Yes","No"),IF($A239="Cybernet",IF(OR(AND($Y239&lt;&gt;"",LOWER(TRIM($Y239))&lt;&gt;"n/a",COUNTIF($Y$2:$Y$528,$Y239)&gt;1),AND($Z239&lt;&gt;"",LOWER(TRIM($Z239))&lt;&gt;"n/a",COUNTIF($Z$2:$Z$528,$Z239)&gt;1)),"Yes","No"),IF(AND($AL239&lt;&gt;"",LOWER(TRIM($AL239))&lt;&gt;"n/a",COUNTIF($AL$2:$AL$528,$AL239)&gt;1),"Yes","No"))))</f>
        <v/>
      </c>
      <c r="F239" t="str">
        <f>IF($B239&lt;&gt;"Yes","",
IF($A239="Neuron",
IF(OR(
AND($S239&lt;&gt;"",LOWER(TRIM($S239))&lt;&gt;"n/a",COUNTIFS($B$2:$B$528,"Yes",$A$2:$A$528,"Neuron",$S$2:$S$528,$S239)&gt;1),
AND($T239&lt;&gt;"",LOWER(TRIM($T239))&lt;&gt;"n/a",COUNTIFS($B$2:$B$528,"Yes",$A$2:$A$528,"Neuron",$T$2:$T$528,$T239)&gt;1),
AND($W239&lt;&gt;"",LOWER(TRIM($W239))&lt;&gt;"n/a",COUNTIFS($B$2:$B$528,"Yes",$A$2:$A$528,"Neuron",$W$2:$W$528,$W239)&gt;1)
),"Yes","No"),
IF($A239="Cybernet",
IF(OR(
AND($Y239&lt;&gt;"",LOWER(TRIM($Y239))&lt;&gt;"n/a",COUNTIFS($B$2:$B$528,"Yes",$A$2:$A$528,"Cybernet",$Y$2:$Y$528,$Y239)&gt;1),
AND($Z239&lt;&gt;"",LOWER(TRIM($Z239))&lt;&gt;"n/a",COUNTIFS($B$2:$B$528,"Yes",$A$2:$A$528,"Cybernet",$Z$2:$Z$528,$Z239)&gt;1)
),"Yes","No"),
IF(AND($AL239&lt;&gt;"",LOWER(TRIM($AL239))&lt;&gt;"n/a"),
IF(COUNTIFS($B$2:$B$528,"Yes",$A$2:$A$528,$A239,$AL$2:$AL$528,$AL239)&gt;1,"Yes","No"),
"No")
)
)
)</f>
        <v/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8"/>
      <c r="AF239" s="4"/>
      <c r="AG239" s="4"/>
      <c r="AH239" s="1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8"/>
      <c r="AX239" s="8"/>
      <c r="AY239" s="8"/>
      <c r="AZ239" s="8"/>
      <c r="BA239" s="12"/>
      <c r="BB239" s="8"/>
      <c r="BC239" s="4"/>
      <c r="BD239" s="4"/>
      <c r="BE239" s="8"/>
      <c r="BF239" s="8"/>
      <c r="BG239" s="8"/>
      <c r="BH239" s="8"/>
      <c r="BI239" s="8"/>
      <c r="BJ239" s="8"/>
      <c r="BK239" s="8"/>
      <c r="BL239" s="4" t="str">
        <f t="shared" si="10"/>
        <v/>
      </c>
      <c r="BM239" s="8" t="str">
        <f t="shared" si="11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1:70" ht="15" customHeight="1">
      <c r="A240" s="8"/>
      <c r="B240" s="8"/>
      <c r="D240" s="15" t="str">
        <f t="shared" si="12"/>
        <v/>
      </c>
      <c r="E240" s="15" t="str">
        <f>IF($A240="","",IF($A240="Neuron",IF(OR(AND($S240&lt;&gt;"",LOWER(TRIM($S240))&lt;&gt;"n/a",COUNTIF($S$2:$S$528,$S240)&gt;1),AND($T240&lt;&gt;"",LOWER(TRIM($T240))&lt;&gt;"n/a",COUNTIF($T$2:$T$528,$T240)&gt;1),AND($W240&lt;&gt;"",LOWER(TRIM($W240))&lt;&gt;"n/a",COUNTIF($W$2:$W$528,$W240)&gt;1)),"Yes","No"),IF($A240="Cybernet",IF(OR(AND($Y240&lt;&gt;"",LOWER(TRIM($Y240))&lt;&gt;"n/a",COUNTIF($Y$2:$Y$528,$Y240)&gt;1),AND($Z240&lt;&gt;"",LOWER(TRIM($Z240))&lt;&gt;"n/a",COUNTIF($Z$2:$Z$528,$Z240)&gt;1)),"Yes","No"),IF(AND($AL240&lt;&gt;"",LOWER(TRIM($AL240))&lt;&gt;"n/a",COUNTIF($AL$2:$AL$528,$AL240)&gt;1),"Yes","No"))))</f>
        <v/>
      </c>
      <c r="F240" t="str">
        <f>IF($B240&lt;&gt;"Yes","",
IF($A240="Neuron",
IF(OR(
AND($S240&lt;&gt;"",LOWER(TRIM($S240))&lt;&gt;"n/a",COUNTIFS($B$2:$B$528,"Yes",$A$2:$A$528,"Neuron",$S$2:$S$528,$S240)&gt;1),
AND($T240&lt;&gt;"",LOWER(TRIM($T240))&lt;&gt;"n/a",COUNTIFS($B$2:$B$528,"Yes",$A$2:$A$528,"Neuron",$T$2:$T$528,$T240)&gt;1),
AND($W240&lt;&gt;"",LOWER(TRIM($W240))&lt;&gt;"n/a",COUNTIFS($B$2:$B$528,"Yes",$A$2:$A$528,"Neuron",$W$2:$W$528,$W240)&gt;1)
),"Yes","No"),
IF($A240="Cybernet",
IF(OR(
AND($Y240&lt;&gt;"",LOWER(TRIM($Y240))&lt;&gt;"n/a",COUNTIFS($B$2:$B$528,"Yes",$A$2:$A$528,"Cybernet",$Y$2:$Y$528,$Y240)&gt;1),
AND($Z240&lt;&gt;"",LOWER(TRIM($Z240))&lt;&gt;"n/a",COUNTIFS($B$2:$B$528,"Yes",$A$2:$A$528,"Cybernet",$Z$2:$Z$528,$Z240)&gt;1)
),"Yes","No"),
IF(AND($AL240&lt;&gt;"",LOWER(TRIM($AL240))&lt;&gt;"n/a"),
IF(COUNTIFS($B$2:$B$528,"Yes",$A$2:$A$528,$A240,$AL$2:$AL$528,$AL240)&gt;1,"Yes","No"),
"No")
)
)
)</f>
        <v/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8"/>
      <c r="AF240" s="4"/>
      <c r="AG240" s="4"/>
      <c r="AH240" s="1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8"/>
      <c r="AX240" s="8"/>
      <c r="AY240" s="8"/>
      <c r="AZ240" s="8"/>
      <c r="BA240" s="12"/>
      <c r="BB240" s="8"/>
      <c r="BC240" s="4"/>
      <c r="BD240" s="4"/>
      <c r="BE240" s="8"/>
      <c r="BF240" s="8"/>
      <c r="BG240" s="8"/>
      <c r="BH240" s="8"/>
      <c r="BI240" s="8"/>
      <c r="BJ240" s="8"/>
      <c r="BK240" s="8"/>
      <c r="BL240" s="4" t="str">
        <f t="shared" si="10"/>
        <v/>
      </c>
      <c r="BM240" s="8" t="str">
        <f t="shared" si="11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1:70" ht="15" customHeight="1">
      <c r="A241" s="8"/>
      <c r="B241" s="8"/>
      <c r="D241" s="15" t="str">
        <f t="shared" si="12"/>
        <v/>
      </c>
      <c r="E241" s="15" t="str">
        <f>IF($A241="","",IF($A241="Neuron",IF(OR(AND($S241&lt;&gt;"",LOWER(TRIM($S241))&lt;&gt;"n/a",COUNTIF($S$2:$S$528,$S241)&gt;1),AND($T241&lt;&gt;"",LOWER(TRIM($T241))&lt;&gt;"n/a",COUNTIF($T$2:$T$528,$T241)&gt;1),AND($W241&lt;&gt;"",LOWER(TRIM($W241))&lt;&gt;"n/a",COUNTIF($W$2:$W$528,$W241)&gt;1)),"Yes","No"),IF($A241="Cybernet",IF(OR(AND($Y241&lt;&gt;"",LOWER(TRIM($Y241))&lt;&gt;"n/a",COUNTIF($Y$2:$Y$528,$Y241)&gt;1),AND($Z241&lt;&gt;"",LOWER(TRIM($Z241))&lt;&gt;"n/a",COUNTIF($Z$2:$Z$528,$Z241)&gt;1)),"Yes","No"),IF(AND($AL241&lt;&gt;"",LOWER(TRIM($AL241))&lt;&gt;"n/a",COUNTIF($AL$2:$AL$528,$AL241)&gt;1),"Yes","No"))))</f>
        <v/>
      </c>
      <c r="F241" t="str">
        <f>IF($B241&lt;&gt;"Yes","",
IF($A241="Neuron",
IF(OR(
AND($S241&lt;&gt;"",LOWER(TRIM($S241))&lt;&gt;"n/a",COUNTIFS($B$2:$B$528,"Yes",$A$2:$A$528,"Neuron",$S$2:$S$528,$S241)&gt;1),
AND($T241&lt;&gt;"",LOWER(TRIM($T241))&lt;&gt;"n/a",COUNTIFS($B$2:$B$528,"Yes",$A$2:$A$528,"Neuron",$T$2:$T$528,$T241)&gt;1),
AND($W241&lt;&gt;"",LOWER(TRIM($W241))&lt;&gt;"n/a",COUNTIFS($B$2:$B$528,"Yes",$A$2:$A$528,"Neuron",$W$2:$W$528,$W241)&gt;1)
),"Yes","No"),
IF($A241="Cybernet",
IF(OR(
AND($Y241&lt;&gt;"",LOWER(TRIM($Y241))&lt;&gt;"n/a",COUNTIFS($B$2:$B$528,"Yes",$A$2:$A$528,"Cybernet",$Y$2:$Y$528,$Y241)&gt;1),
AND($Z241&lt;&gt;"",LOWER(TRIM($Z241))&lt;&gt;"n/a",COUNTIFS($B$2:$B$528,"Yes",$A$2:$A$528,"Cybernet",$Z$2:$Z$528,$Z241)&gt;1)
),"Yes","No"),
IF(AND($AL241&lt;&gt;"",LOWER(TRIM($AL241))&lt;&gt;"n/a"),
IF(COUNTIFS($B$2:$B$528,"Yes",$A$2:$A$528,$A241,$AL$2:$AL$528,$AL241)&gt;1,"Yes","No"),
"No")
)
)
)</f>
        <v/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8"/>
      <c r="AF241" s="4"/>
      <c r="AG241" s="4"/>
      <c r="AH241" s="1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8"/>
      <c r="AX241" s="8"/>
      <c r="AY241" s="8"/>
      <c r="AZ241" s="8"/>
      <c r="BA241" s="12"/>
      <c r="BB241" s="8"/>
      <c r="BC241" s="4"/>
      <c r="BD241" s="4"/>
      <c r="BE241" s="8"/>
      <c r="BF241" s="8"/>
      <c r="BG241" s="8"/>
      <c r="BH241" s="8"/>
      <c r="BI241" s="8"/>
      <c r="BJ241" s="8"/>
      <c r="BK241" s="8"/>
      <c r="BL241" s="4" t="str">
        <f t="shared" si="10"/>
        <v/>
      </c>
      <c r="BM241" s="8" t="str">
        <f t="shared" si="11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1:70" ht="15" customHeight="1">
      <c r="A242" s="8"/>
      <c r="B242" s="8"/>
      <c r="D242" s="15" t="str">
        <f t="shared" si="12"/>
        <v/>
      </c>
      <c r="E242" s="15" t="str">
        <f>IF($A242="","",IF($A242="Neuron",IF(OR(AND($S242&lt;&gt;"",LOWER(TRIM($S242))&lt;&gt;"n/a",COUNTIF($S$2:$S$528,$S242)&gt;1),AND($T242&lt;&gt;"",LOWER(TRIM($T242))&lt;&gt;"n/a",COUNTIF($T$2:$T$528,$T242)&gt;1),AND($W242&lt;&gt;"",LOWER(TRIM($W242))&lt;&gt;"n/a",COUNTIF($W$2:$W$528,$W242)&gt;1)),"Yes","No"),IF($A242="Cybernet",IF(OR(AND($Y242&lt;&gt;"",LOWER(TRIM($Y242))&lt;&gt;"n/a",COUNTIF($Y$2:$Y$528,$Y242)&gt;1),AND($Z242&lt;&gt;"",LOWER(TRIM($Z242))&lt;&gt;"n/a",COUNTIF($Z$2:$Z$528,$Z242)&gt;1)),"Yes","No"),IF(AND($AL242&lt;&gt;"",LOWER(TRIM($AL242))&lt;&gt;"n/a",COUNTIF($AL$2:$AL$528,$AL242)&gt;1),"Yes","No"))))</f>
        <v/>
      </c>
      <c r="F242" t="str">
        <f>IF($B242&lt;&gt;"Yes","",
IF($A242="Neuron",
IF(OR(
AND($S242&lt;&gt;"",LOWER(TRIM($S242))&lt;&gt;"n/a",COUNTIFS($B$2:$B$528,"Yes",$A$2:$A$528,"Neuron",$S$2:$S$528,$S242)&gt;1),
AND($T242&lt;&gt;"",LOWER(TRIM($T242))&lt;&gt;"n/a",COUNTIFS($B$2:$B$528,"Yes",$A$2:$A$528,"Neuron",$T$2:$T$528,$T242)&gt;1),
AND($W242&lt;&gt;"",LOWER(TRIM($W242))&lt;&gt;"n/a",COUNTIFS($B$2:$B$528,"Yes",$A$2:$A$528,"Neuron",$W$2:$W$528,$W242)&gt;1)
),"Yes","No"),
IF($A242="Cybernet",
IF(OR(
AND($Y242&lt;&gt;"",LOWER(TRIM($Y242))&lt;&gt;"n/a",COUNTIFS($B$2:$B$528,"Yes",$A$2:$A$528,"Cybernet",$Y$2:$Y$528,$Y242)&gt;1),
AND($Z242&lt;&gt;"",LOWER(TRIM($Z242))&lt;&gt;"n/a",COUNTIFS($B$2:$B$528,"Yes",$A$2:$A$528,"Cybernet",$Z$2:$Z$528,$Z242)&gt;1)
),"Yes","No"),
IF(AND($AL242&lt;&gt;"",LOWER(TRIM($AL242))&lt;&gt;"n/a"),
IF(COUNTIFS($B$2:$B$528,"Yes",$A$2:$A$528,$A242,$AL$2:$AL$528,$AL242)&gt;1,"Yes","No"),
"No")
)
)
)</f>
        <v/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8"/>
      <c r="AF242" s="4"/>
      <c r="AG242" s="4"/>
      <c r="AH242" s="1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8"/>
      <c r="AX242" s="8"/>
      <c r="AY242" s="8"/>
      <c r="AZ242" s="8"/>
      <c r="BA242" s="12"/>
      <c r="BB242" s="8"/>
      <c r="BC242" s="4"/>
      <c r="BD242" s="4"/>
      <c r="BE242" s="8"/>
      <c r="BF242" s="8"/>
      <c r="BG242" s="8"/>
      <c r="BH242" s="8"/>
      <c r="BI242" s="8"/>
      <c r="BJ242" s="8"/>
      <c r="BK242" s="8"/>
      <c r="BL242" s="4" t="str">
        <f t="shared" si="10"/>
        <v/>
      </c>
      <c r="BM242" s="8" t="str">
        <f t="shared" si="11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1:70" ht="15" customHeight="1">
      <c r="A243" s="8"/>
      <c r="B243" s="8"/>
      <c r="D243" s="15" t="str">
        <f t="shared" si="12"/>
        <v/>
      </c>
      <c r="E243" s="15" t="str">
        <f>IF($A243="","",IF($A243="Neuron",IF(OR(AND($S243&lt;&gt;"",LOWER(TRIM($S243))&lt;&gt;"n/a",COUNTIF($S$2:$S$528,$S243)&gt;1),AND($T243&lt;&gt;"",LOWER(TRIM($T243))&lt;&gt;"n/a",COUNTIF($T$2:$T$528,$T243)&gt;1),AND($W243&lt;&gt;"",LOWER(TRIM($W243))&lt;&gt;"n/a",COUNTIF($W$2:$W$528,$W243)&gt;1)),"Yes","No"),IF($A243="Cybernet",IF(OR(AND($Y243&lt;&gt;"",LOWER(TRIM($Y243))&lt;&gt;"n/a",COUNTIF($Y$2:$Y$528,$Y243)&gt;1),AND($Z243&lt;&gt;"",LOWER(TRIM($Z243))&lt;&gt;"n/a",COUNTIF($Z$2:$Z$528,$Z243)&gt;1)),"Yes","No"),IF(AND($AL243&lt;&gt;"",LOWER(TRIM($AL243))&lt;&gt;"n/a",COUNTIF($AL$2:$AL$528,$AL243)&gt;1),"Yes","No"))))</f>
        <v/>
      </c>
      <c r="F243" t="str">
        <f>IF($B243&lt;&gt;"Yes","",
IF($A243="Neuron",
IF(OR(
AND($S243&lt;&gt;"",LOWER(TRIM($S243))&lt;&gt;"n/a",COUNTIFS($B$2:$B$528,"Yes",$A$2:$A$528,"Neuron",$S$2:$S$528,$S243)&gt;1),
AND($T243&lt;&gt;"",LOWER(TRIM($T243))&lt;&gt;"n/a",COUNTIFS($B$2:$B$528,"Yes",$A$2:$A$528,"Neuron",$T$2:$T$528,$T243)&gt;1),
AND($W243&lt;&gt;"",LOWER(TRIM($W243))&lt;&gt;"n/a",COUNTIFS($B$2:$B$528,"Yes",$A$2:$A$528,"Neuron",$W$2:$W$528,$W243)&gt;1)
),"Yes","No"),
IF($A243="Cybernet",
IF(OR(
AND($Y243&lt;&gt;"",LOWER(TRIM($Y243))&lt;&gt;"n/a",COUNTIFS($B$2:$B$528,"Yes",$A$2:$A$528,"Cybernet",$Y$2:$Y$528,$Y243)&gt;1),
AND($Z243&lt;&gt;"",LOWER(TRIM($Z243))&lt;&gt;"n/a",COUNTIFS($B$2:$B$528,"Yes",$A$2:$A$528,"Cybernet",$Z$2:$Z$528,$Z243)&gt;1)
),"Yes","No"),
IF(AND($AL243&lt;&gt;"",LOWER(TRIM($AL243))&lt;&gt;"n/a"),
IF(COUNTIFS($B$2:$B$528,"Yes",$A$2:$A$528,$A243,$AL$2:$AL$528,$AL243)&gt;1,"Yes","No"),
"No")
)
)
)</f>
        <v/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8"/>
      <c r="AF243" s="4"/>
      <c r="AG243" s="4"/>
      <c r="AH243" s="1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8"/>
      <c r="AX243" s="8"/>
      <c r="AY243" s="8"/>
      <c r="AZ243" s="8"/>
      <c r="BA243" s="12"/>
      <c r="BB243" s="8"/>
      <c r="BC243" s="4"/>
      <c r="BD243" s="4"/>
      <c r="BE243" s="8"/>
      <c r="BF243" s="8"/>
      <c r="BG243" s="8"/>
      <c r="BH243" s="8"/>
      <c r="BI243" s="8"/>
      <c r="BJ243" s="8"/>
      <c r="BK243" s="8"/>
      <c r="BL243" s="4" t="str">
        <f t="shared" ref="BL243:BL306" si="13">IF($T243="","",IF((IF(AND($AW243&lt;&gt;"Yes",$AW243&lt;&gt;"N/A"),"Power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",""))="","",LEFT(IF(AND($AW243&lt;&gt;"Yes",$AW243&lt;&gt;"N/A"),"Power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",""),LEN(IF(AND($AW243&lt;&gt;"Yes",$AW243&lt;&gt;"N/A"),"Power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",""))-2)))</f>
        <v/>
      </c>
      <c r="BM243" s="8" t="str">
        <f t="shared" ref="BM243:BM306" si="14">IF($T243="","",IF($BL243="","Yes","Blocked"))</f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1:70" ht="15" customHeight="1">
      <c r="A244" s="8"/>
      <c r="B244" s="8"/>
      <c r="D244" s="15" t="str">
        <f t="shared" si="12"/>
        <v/>
      </c>
      <c r="E244" s="15" t="str">
        <f>IF($A244="","",IF($A244="Neuron",IF(OR(AND($S244&lt;&gt;"",LOWER(TRIM($S244))&lt;&gt;"n/a",COUNTIF($S$2:$S$528,$S244)&gt;1),AND($T244&lt;&gt;"",LOWER(TRIM($T244))&lt;&gt;"n/a",COUNTIF($T$2:$T$528,$T244)&gt;1),AND($W244&lt;&gt;"",LOWER(TRIM($W244))&lt;&gt;"n/a",COUNTIF($W$2:$W$528,$W244)&gt;1)),"Yes","No"),IF($A244="Cybernet",IF(OR(AND($Y244&lt;&gt;"",LOWER(TRIM($Y244))&lt;&gt;"n/a",COUNTIF($Y$2:$Y$528,$Y244)&gt;1),AND($Z244&lt;&gt;"",LOWER(TRIM($Z244))&lt;&gt;"n/a",COUNTIF($Z$2:$Z$528,$Z244)&gt;1)),"Yes","No"),IF(AND($AL244&lt;&gt;"",LOWER(TRIM($AL244))&lt;&gt;"n/a",COUNTIF($AL$2:$AL$528,$AL244)&gt;1),"Yes","No"))))</f>
        <v/>
      </c>
      <c r="F244" t="str">
        <f>IF($B244&lt;&gt;"Yes","",
IF($A244="Neuron",
IF(OR(
AND($S244&lt;&gt;"",LOWER(TRIM($S244))&lt;&gt;"n/a",COUNTIFS($B$2:$B$528,"Yes",$A$2:$A$528,"Neuron",$S$2:$S$528,$S244)&gt;1),
AND($T244&lt;&gt;"",LOWER(TRIM($T244))&lt;&gt;"n/a",COUNTIFS($B$2:$B$528,"Yes",$A$2:$A$528,"Neuron",$T$2:$T$528,$T244)&gt;1),
AND($W244&lt;&gt;"",LOWER(TRIM($W244))&lt;&gt;"n/a",COUNTIFS($B$2:$B$528,"Yes",$A$2:$A$528,"Neuron",$W$2:$W$528,$W244)&gt;1)
),"Yes","No"),
IF($A244="Cybernet",
IF(OR(
AND($Y244&lt;&gt;"",LOWER(TRIM($Y244))&lt;&gt;"n/a",COUNTIFS($B$2:$B$528,"Yes",$A$2:$A$528,"Cybernet",$Y$2:$Y$528,$Y244)&gt;1),
AND($Z244&lt;&gt;"",LOWER(TRIM($Z244))&lt;&gt;"n/a",COUNTIFS($B$2:$B$528,"Yes",$A$2:$A$528,"Cybernet",$Z$2:$Z$528,$Z244)&gt;1)
),"Yes","No"),
IF(AND($AL244&lt;&gt;"",LOWER(TRIM($AL244))&lt;&gt;"n/a"),
IF(COUNTIFS($B$2:$B$528,"Yes",$A$2:$A$528,$A244,$AL$2:$AL$528,$AL244)&gt;1,"Yes","No"),
"No")
)
)
)</f>
        <v/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8"/>
      <c r="AF244" s="4"/>
      <c r="AG244" s="4"/>
      <c r="AH244" s="1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8"/>
      <c r="AX244" s="8"/>
      <c r="AY244" s="8"/>
      <c r="AZ244" s="8"/>
      <c r="BA244" s="12"/>
      <c r="BB244" s="8"/>
      <c r="BC244" s="4"/>
      <c r="BD244" s="4"/>
      <c r="BE244" s="8"/>
      <c r="BF244" s="8"/>
      <c r="BG244" s="8"/>
      <c r="BH244" s="8"/>
      <c r="BI244" s="8"/>
      <c r="BJ244" s="8"/>
      <c r="BK244" s="8"/>
      <c r="BL244" s="4" t="str">
        <f t="shared" si="13"/>
        <v/>
      </c>
      <c r="BM244" s="8" t="str">
        <f t="shared" si="14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1:70" ht="15" customHeight="1">
      <c r="A245" s="8"/>
      <c r="B245" s="8"/>
      <c r="D245" s="15" t="str">
        <f t="shared" si="12"/>
        <v/>
      </c>
      <c r="E245" s="15" t="str">
        <f>IF($A245="","",IF($A245="Neuron",IF(OR(AND($S245&lt;&gt;"",LOWER(TRIM($S245))&lt;&gt;"n/a",COUNTIF($S$2:$S$528,$S245)&gt;1),AND($T245&lt;&gt;"",LOWER(TRIM($T245))&lt;&gt;"n/a",COUNTIF($T$2:$T$528,$T245)&gt;1),AND($W245&lt;&gt;"",LOWER(TRIM($W245))&lt;&gt;"n/a",COUNTIF($W$2:$W$528,$W245)&gt;1)),"Yes","No"),IF($A245="Cybernet",IF(OR(AND($Y245&lt;&gt;"",LOWER(TRIM($Y245))&lt;&gt;"n/a",COUNTIF($Y$2:$Y$528,$Y245)&gt;1),AND($Z245&lt;&gt;"",LOWER(TRIM($Z245))&lt;&gt;"n/a",COUNTIF($Z$2:$Z$528,$Z245)&gt;1)),"Yes","No"),IF(AND($AL245&lt;&gt;"",LOWER(TRIM($AL245))&lt;&gt;"n/a",COUNTIF($AL$2:$AL$528,$AL245)&gt;1),"Yes","No"))))</f>
        <v/>
      </c>
      <c r="F245" t="str">
        <f>IF($B245&lt;&gt;"Yes","",
IF($A245="Neuron",
IF(OR(
AND($S245&lt;&gt;"",LOWER(TRIM($S245))&lt;&gt;"n/a",COUNTIFS($B$2:$B$528,"Yes",$A$2:$A$528,"Neuron",$S$2:$S$528,$S245)&gt;1),
AND($T245&lt;&gt;"",LOWER(TRIM($T245))&lt;&gt;"n/a",COUNTIFS($B$2:$B$528,"Yes",$A$2:$A$528,"Neuron",$T$2:$T$528,$T245)&gt;1),
AND($W245&lt;&gt;"",LOWER(TRIM($W245))&lt;&gt;"n/a",COUNTIFS($B$2:$B$528,"Yes",$A$2:$A$528,"Neuron",$W$2:$W$528,$W245)&gt;1)
),"Yes","No"),
IF($A245="Cybernet",
IF(OR(
AND($Y245&lt;&gt;"",LOWER(TRIM($Y245))&lt;&gt;"n/a",COUNTIFS($B$2:$B$528,"Yes",$A$2:$A$528,"Cybernet",$Y$2:$Y$528,$Y245)&gt;1),
AND($Z245&lt;&gt;"",LOWER(TRIM($Z245))&lt;&gt;"n/a",COUNTIFS($B$2:$B$528,"Yes",$A$2:$A$528,"Cybernet",$Z$2:$Z$528,$Z245)&gt;1)
),"Yes","No"),
IF(AND($AL245&lt;&gt;"",LOWER(TRIM($AL245))&lt;&gt;"n/a"),
IF(COUNTIFS($B$2:$B$528,"Yes",$A$2:$A$528,$A245,$AL$2:$AL$528,$AL245)&gt;1,"Yes","No"),
"No")
)
)
)</f>
        <v/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8"/>
      <c r="AF245" s="4"/>
      <c r="AG245" s="4"/>
      <c r="AH245" s="1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8"/>
      <c r="AX245" s="8"/>
      <c r="AY245" s="8"/>
      <c r="AZ245" s="8"/>
      <c r="BA245" s="12"/>
      <c r="BB245" s="8"/>
      <c r="BC245" s="4"/>
      <c r="BD245" s="4"/>
      <c r="BE245" s="8"/>
      <c r="BF245" s="8"/>
      <c r="BG245" s="8"/>
      <c r="BH245" s="8"/>
      <c r="BI245" s="8"/>
      <c r="BJ245" s="8"/>
      <c r="BK245" s="8"/>
      <c r="BL245" s="4" t="str">
        <f t="shared" si="13"/>
        <v/>
      </c>
      <c r="BM245" s="8" t="str">
        <f t="shared" si="14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1:70" ht="15" customHeight="1">
      <c r="A246" s="8"/>
      <c r="B246" s="8"/>
      <c r="D246" s="15" t="str">
        <f t="shared" si="12"/>
        <v/>
      </c>
      <c r="E246" s="15" t="str">
        <f>IF($A246="","",IF($A246="Neuron",IF(OR(AND($S246&lt;&gt;"",LOWER(TRIM($S246))&lt;&gt;"n/a",COUNTIF($S$2:$S$528,$S246)&gt;1),AND($T246&lt;&gt;"",LOWER(TRIM($T246))&lt;&gt;"n/a",COUNTIF($T$2:$T$528,$T246)&gt;1),AND($W246&lt;&gt;"",LOWER(TRIM($W246))&lt;&gt;"n/a",COUNTIF($W$2:$W$528,$W246)&gt;1)),"Yes","No"),IF($A246="Cybernet",IF(OR(AND($Y246&lt;&gt;"",LOWER(TRIM($Y246))&lt;&gt;"n/a",COUNTIF($Y$2:$Y$528,$Y246)&gt;1),AND($Z246&lt;&gt;"",LOWER(TRIM($Z246))&lt;&gt;"n/a",COUNTIF($Z$2:$Z$528,$Z246)&gt;1)),"Yes","No"),IF(AND($AL246&lt;&gt;"",LOWER(TRIM($AL246))&lt;&gt;"n/a",COUNTIF($AL$2:$AL$528,$AL246)&gt;1),"Yes","No"))))</f>
        <v/>
      </c>
      <c r="F246" t="str">
        <f>IF($B246&lt;&gt;"Yes","",
IF($A246="Neuron",
IF(OR(
AND($S246&lt;&gt;"",LOWER(TRIM($S246))&lt;&gt;"n/a",COUNTIFS($B$2:$B$528,"Yes",$A$2:$A$528,"Neuron",$S$2:$S$528,$S246)&gt;1),
AND($T246&lt;&gt;"",LOWER(TRIM($T246))&lt;&gt;"n/a",COUNTIFS($B$2:$B$528,"Yes",$A$2:$A$528,"Neuron",$T$2:$T$528,$T246)&gt;1),
AND($W246&lt;&gt;"",LOWER(TRIM($W246))&lt;&gt;"n/a",COUNTIFS($B$2:$B$528,"Yes",$A$2:$A$528,"Neuron",$W$2:$W$528,$W246)&gt;1)
),"Yes","No"),
IF($A246="Cybernet",
IF(OR(
AND($Y246&lt;&gt;"",LOWER(TRIM($Y246))&lt;&gt;"n/a",COUNTIFS($B$2:$B$528,"Yes",$A$2:$A$528,"Cybernet",$Y$2:$Y$528,$Y246)&gt;1),
AND($Z246&lt;&gt;"",LOWER(TRIM($Z246))&lt;&gt;"n/a",COUNTIFS($B$2:$B$528,"Yes",$A$2:$A$528,"Cybernet",$Z$2:$Z$528,$Z246)&gt;1)
),"Yes","No"),
IF(AND($AL246&lt;&gt;"",LOWER(TRIM($AL246))&lt;&gt;"n/a"),
IF(COUNTIFS($B$2:$B$528,"Yes",$A$2:$A$528,$A246,$AL$2:$AL$528,$AL246)&gt;1,"Yes","No"),
"No")
)
)
)</f>
        <v/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8"/>
      <c r="AF246" s="4"/>
      <c r="AG246" s="4"/>
      <c r="AH246" s="1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8"/>
      <c r="AX246" s="8"/>
      <c r="AY246" s="8"/>
      <c r="AZ246" s="8"/>
      <c r="BA246" s="12"/>
      <c r="BB246" s="8"/>
      <c r="BC246" s="4"/>
      <c r="BD246" s="4"/>
      <c r="BE246" s="8"/>
      <c r="BF246" s="8"/>
      <c r="BG246" s="8"/>
      <c r="BH246" s="8"/>
      <c r="BI246" s="8"/>
      <c r="BJ246" s="8"/>
      <c r="BK246" s="8"/>
      <c r="BL246" s="4" t="str">
        <f t="shared" si="13"/>
        <v/>
      </c>
      <c r="BM246" s="8" t="str">
        <f t="shared" si="14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1:70" ht="15" customHeight="1">
      <c r="A247" s="8"/>
      <c r="B247" s="8"/>
      <c r="D247" s="15" t="str">
        <f t="shared" si="12"/>
        <v/>
      </c>
      <c r="E247" s="15" t="str">
        <f>IF($A247="","",IF($A247="Neuron",IF(OR(AND($S247&lt;&gt;"",LOWER(TRIM($S247))&lt;&gt;"n/a",COUNTIF($S$2:$S$528,$S247)&gt;1),AND($T247&lt;&gt;"",LOWER(TRIM($T247))&lt;&gt;"n/a",COUNTIF($T$2:$T$528,$T247)&gt;1),AND($W247&lt;&gt;"",LOWER(TRIM($W247))&lt;&gt;"n/a",COUNTIF($W$2:$W$528,$W247)&gt;1)),"Yes","No"),IF($A247="Cybernet",IF(OR(AND($Y247&lt;&gt;"",LOWER(TRIM($Y247))&lt;&gt;"n/a",COUNTIF($Y$2:$Y$528,$Y247)&gt;1),AND($Z247&lt;&gt;"",LOWER(TRIM($Z247))&lt;&gt;"n/a",COUNTIF($Z$2:$Z$528,$Z247)&gt;1)),"Yes","No"),IF(AND($AL247&lt;&gt;"",LOWER(TRIM($AL247))&lt;&gt;"n/a",COUNTIF($AL$2:$AL$528,$AL247)&gt;1),"Yes","No"))))</f>
        <v/>
      </c>
      <c r="F247" t="str">
        <f>IF($B247&lt;&gt;"Yes","",
IF($A247="Neuron",
IF(OR(
AND($S247&lt;&gt;"",LOWER(TRIM($S247))&lt;&gt;"n/a",COUNTIFS($B$2:$B$528,"Yes",$A$2:$A$528,"Neuron",$S$2:$S$528,$S247)&gt;1),
AND($T247&lt;&gt;"",LOWER(TRIM($T247))&lt;&gt;"n/a",COUNTIFS($B$2:$B$528,"Yes",$A$2:$A$528,"Neuron",$T$2:$T$528,$T247)&gt;1),
AND($W247&lt;&gt;"",LOWER(TRIM($W247))&lt;&gt;"n/a",COUNTIFS($B$2:$B$528,"Yes",$A$2:$A$528,"Neuron",$W$2:$W$528,$W247)&gt;1)
),"Yes","No"),
IF($A247="Cybernet",
IF(OR(
AND($Y247&lt;&gt;"",LOWER(TRIM($Y247))&lt;&gt;"n/a",COUNTIFS($B$2:$B$528,"Yes",$A$2:$A$528,"Cybernet",$Y$2:$Y$528,$Y247)&gt;1),
AND($Z247&lt;&gt;"",LOWER(TRIM($Z247))&lt;&gt;"n/a",COUNTIFS($B$2:$B$528,"Yes",$A$2:$A$528,"Cybernet",$Z$2:$Z$528,$Z247)&gt;1)
),"Yes","No"),
IF(AND($AL247&lt;&gt;"",LOWER(TRIM($AL247))&lt;&gt;"n/a"),
IF(COUNTIFS($B$2:$B$528,"Yes",$A$2:$A$528,$A247,$AL$2:$AL$528,$AL247)&gt;1,"Yes","No"),
"No")
)
)
)</f>
        <v/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8"/>
      <c r="AF247" s="4"/>
      <c r="AG247" s="4"/>
      <c r="AH247" s="1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8"/>
      <c r="AX247" s="8"/>
      <c r="AY247" s="8"/>
      <c r="AZ247" s="8"/>
      <c r="BA247" s="12"/>
      <c r="BB247" s="8"/>
      <c r="BC247" s="4"/>
      <c r="BD247" s="4"/>
      <c r="BE247" s="8"/>
      <c r="BF247" s="8"/>
      <c r="BG247" s="8"/>
      <c r="BH247" s="8"/>
      <c r="BI247" s="8"/>
      <c r="BJ247" s="8"/>
      <c r="BK247" s="8"/>
      <c r="BL247" s="4" t="str">
        <f t="shared" si="13"/>
        <v/>
      </c>
      <c r="BM247" s="8" t="str">
        <f t="shared" si="14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1:70" ht="15" customHeight="1">
      <c r="A248" s="8"/>
      <c r="B248" s="8"/>
      <c r="D248" s="15" t="str">
        <f t="shared" si="12"/>
        <v/>
      </c>
      <c r="E248" s="15" t="str">
        <f>IF($A248="","",IF($A248="Neuron",IF(OR(AND($S248&lt;&gt;"",LOWER(TRIM($S248))&lt;&gt;"n/a",COUNTIF($S$2:$S$528,$S248)&gt;1),AND($T248&lt;&gt;"",LOWER(TRIM($T248))&lt;&gt;"n/a",COUNTIF($T$2:$T$528,$T248)&gt;1),AND($W248&lt;&gt;"",LOWER(TRIM($W248))&lt;&gt;"n/a",COUNTIF($W$2:$W$528,$W248)&gt;1)),"Yes","No"),IF($A248="Cybernet",IF(OR(AND($Y248&lt;&gt;"",LOWER(TRIM($Y248))&lt;&gt;"n/a",COUNTIF($Y$2:$Y$528,$Y248)&gt;1),AND($Z248&lt;&gt;"",LOWER(TRIM($Z248))&lt;&gt;"n/a",COUNTIF($Z$2:$Z$528,$Z248)&gt;1)),"Yes","No"),IF(AND($AL248&lt;&gt;"",LOWER(TRIM($AL248))&lt;&gt;"n/a",COUNTIF($AL$2:$AL$528,$AL248)&gt;1),"Yes","No"))))</f>
        <v/>
      </c>
      <c r="F248" t="str">
        <f>IF($B248&lt;&gt;"Yes","",
IF($A248="Neuron",
IF(OR(
AND($S248&lt;&gt;"",LOWER(TRIM($S248))&lt;&gt;"n/a",COUNTIFS($B$2:$B$528,"Yes",$A$2:$A$528,"Neuron",$S$2:$S$528,$S248)&gt;1),
AND($T248&lt;&gt;"",LOWER(TRIM($T248))&lt;&gt;"n/a",COUNTIFS($B$2:$B$528,"Yes",$A$2:$A$528,"Neuron",$T$2:$T$528,$T248)&gt;1),
AND($W248&lt;&gt;"",LOWER(TRIM($W248))&lt;&gt;"n/a",COUNTIFS($B$2:$B$528,"Yes",$A$2:$A$528,"Neuron",$W$2:$W$528,$W248)&gt;1)
),"Yes","No"),
IF($A248="Cybernet",
IF(OR(
AND($Y248&lt;&gt;"",LOWER(TRIM($Y248))&lt;&gt;"n/a",COUNTIFS($B$2:$B$528,"Yes",$A$2:$A$528,"Cybernet",$Y$2:$Y$528,$Y248)&gt;1),
AND($Z248&lt;&gt;"",LOWER(TRIM($Z248))&lt;&gt;"n/a",COUNTIFS($B$2:$B$528,"Yes",$A$2:$A$528,"Cybernet",$Z$2:$Z$528,$Z248)&gt;1)
),"Yes","No"),
IF(AND($AL248&lt;&gt;"",LOWER(TRIM($AL248))&lt;&gt;"n/a"),
IF(COUNTIFS($B$2:$B$528,"Yes",$A$2:$A$528,$A248,$AL$2:$AL$528,$AL248)&gt;1,"Yes","No"),
"No")
)
)
)</f>
        <v/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8"/>
      <c r="AF248" s="4"/>
      <c r="AG248" s="4"/>
      <c r="AH248" s="1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8"/>
      <c r="AX248" s="8"/>
      <c r="AY248" s="8"/>
      <c r="AZ248" s="8"/>
      <c r="BA248" s="12"/>
      <c r="BB248" s="8"/>
      <c r="BC248" s="4"/>
      <c r="BD248" s="4"/>
      <c r="BE248" s="8"/>
      <c r="BF248" s="8"/>
      <c r="BG248" s="8"/>
      <c r="BH248" s="8"/>
      <c r="BI248" s="8"/>
      <c r="BJ248" s="8"/>
      <c r="BK248" s="8"/>
      <c r="BL248" s="4" t="str">
        <f t="shared" si="13"/>
        <v/>
      </c>
      <c r="BM248" s="8" t="str">
        <f t="shared" si="14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1:70" ht="15" customHeight="1">
      <c r="A249" s="8"/>
      <c r="B249" s="8"/>
      <c r="D249" s="15" t="str">
        <f t="shared" si="12"/>
        <v/>
      </c>
      <c r="E249" s="15" t="str">
        <f>IF($A249="","",IF($A249="Neuron",IF(OR(AND($S249&lt;&gt;"",LOWER(TRIM($S249))&lt;&gt;"n/a",COUNTIF($S$2:$S$528,$S249)&gt;1),AND($T249&lt;&gt;"",LOWER(TRIM($T249))&lt;&gt;"n/a",COUNTIF($T$2:$T$528,$T249)&gt;1),AND($W249&lt;&gt;"",LOWER(TRIM($W249))&lt;&gt;"n/a",COUNTIF($W$2:$W$528,$W249)&gt;1)),"Yes","No"),IF($A249="Cybernet",IF(OR(AND($Y249&lt;&gt;"",LOWER(TRIM($Y249))&lt;&gt;"n/a",COUNTIF($Y$2:$Y$528,$Y249)&gt;1),AND($Z249&lt;&gt;"",LOWER(TRIM($Z249))&lt;&gt;"n/a",COUNTIF($Z$2:$Z$528,$Z249)&gt;1)),"Yes","No"),IF(AND($AL249&lt;&gt;"",LOWER(TRIM($AL249))&lt;&gt;"n/a",COUNTIF($AL$2:$AL$528,$AL249)&gt;1),"Yes","No"))))</f>
        <v/>
      </c>
      <c r="F249" t="str">
        <f>IF($B249&lt;&gt;"Yes","",
IF($A249="Neuron",
IF(OR(
AND($S249&lt;&gt;"",LOWER(TRIM($S249))&lt;&gt;"n/a",COUNTIFS($B$2:$B$528,"Yes",$A$2:$A$528,"Neuron",$S$2:$S$528,$S249)&gt;1),
AND($T249&lt;&gt;"",LOWER(TRIM($T249))&lt;&gt;"n/a",COUNTIFS($B$2:$B$528,"Yes",$A$2:$A$528,"Neuron",$T$2:$T$528,$T249)&gt;1),
AND($W249&lt;&gt;"",LOWER(TRIM($W249))&lt;&gt;"n/a",COUNTIFS($B$2:$B$528,"Yes",$A$2:$A$528,"Neuron",$W$2:$W$528,$W249)&gt;1)
),"Yes","No"),
IF($A249="Cybernet",
IF(OR(
AND($Y249&lt;&gt;"",LOWER(TRIM($Y249))&lt;&gt;"n/a",COUNTIFS($B$2:$B$528,"Yes",$A$2:$A$528,"Cybernet",$Y$2:$Y$528,$Y249)&gt;1),
AND($Z249&lt;&gt;"",LOWER(TRIM($Z249))&lt;&gt;"n/a",COUNTIFS($B$2:$B$528,"Yes",$A$2:$A$528,"Cybernet",$Z$2:$Z$528,$Z249)&gt;1)
),"Yes","No"),
IF(AND($AL249&lt;&gt;"",LOWER(TRIM($AL249))&lt;&gt;"n/a"),
IF(COUNTIFS($B$2:$B$528,"Yes",$A$2:$A$528,$A249,$AL$2:$AL$528,$AL249)&gt;1,"Yes","No"),
"No")
)
)
)</f>
        <v/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8"/>
      <c r="AF249" s="4"/>
      <c r="AG249" s="4"/>
      <c r="AH249" s="1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8"/>
      <c r="AX249" s="8"/>
      <c r="AY249" s="8"/>
      <c r="AZ249" s="8"/>
      <c r="BA249" s="12"/>
      <c r="BB249" s="8"/>
      <c r="BC249" s="4"/>
      <c r="BD249" s="4"/>
      <c r="BE249" s="8"/>
      <c r="BF249" s="8"/>
      <c r="BG249" s="8"/>
      <c r="BH249" s="8"/>
      <c r="BI249" s="8"/>
      <c r="BJ249" s="8"/>
      <c r="BK249" s="8"/>
      <c r="BL249" s="4" t="str">
        <f t="shared" si="13"/>
        <v/>
      </c>
      <c r="BM249" s="8" t="str">
        <f t="shared" si="14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1:70" ht="15" customHeight="1">
      <c r="A250" s="8"/>
      <c r="B250" s="8"/>
      <c r="D250" s="15" t="str">
        <f t="shared" si="12"/>
        <v/>
      </c>
      <c r="E250" s="15" t="str">
        <f>IF($A250="","",IF($A250="Neuron",IF(OR(AND($S250&lt;&gt;"",LOWER(TRIM($S250))&lt;&gt;"n/a",COUNTIF($S$2:$S$528,$S250)&gt;1),AND($T250&lt;&gt;"",LOWER(TRIM($T250))&lt;&gt;"n/a",COUNTIF($T$2:$T$528,$T250)&gt;1),AND($W250&lt;&gt;"",LOWER(TRIM($W250))&lt;&gt;"n/a",COUNTIF($W$2:$W$528,$W250)&gt;1)),"Yes","No"),IF($A250="Cybernet",IF(OR(AND($Y250&lt;&gt;"",LOWER(TRIM($Y250))&lt;&gt;"n/a",COUNTIF($Y$2:$Y$528,$Y250)&gt;1),AND($Z250&lt;&gt;"",LOWER(TRIM($Z250))&lt;&gt;"n/a",COUNTIF($Z$2:$Z$528,$Z250)&gt;1)),"Yes","No"),IF(AND($AL250&lt;&gt;"",LOWER(TRIM($AL250))&lt;&gt;"n/a",COUNTIF($AL$2:$AL$528,$AL250)&gt;1),"Yes","No"))))</f>
        <v/>
      </c>
      <c r="F250" t="str">
        <f>IF($B250&lt;&gt;"Yes","",
IF($A250="Neuron",
IF(OR(
AND($S250&lt;&gt;"",LOWER(TRIM($S250))&lt;&gt;"n/a",COUNTIFS($B$2:$B$528,"Yes",$A$2:$A$528,"Neuron",$S$2:$S$528,$S250)&gt;1),
AND($T250&lt;&gt;"",LOWER(TRIM($T250))&lt;&gt;"n/a",COUNTIFS($B$2:$B$528,"Yes",$A$2:$A$528,"Neuron",$T$2:$T$528,$T250)&gt;1),
AND($W250&lt;&gt;"",LOWER(TRIM($W250))&lt;&gt;"n/a",COUNTIFS($B$2:$B$528,"Yes",$A$2:$A$528,"Neuron",$W$2:$W$528,$W250)&gt;1)
),"Yes","No"),
IF($A250="Cybernet",
IF(OR(
AND($Y250&lt;&gt;"",LOWER(TRIM($Y250))&lt;&gt;"n/a",COUNTIFS($B$2:$B$528,"Yes",$A$2:$A$528,"Cybernet",$Y$2:$Y$528,$Y250)&gt;1),
AND($Z250&lt;&gt;"",LOWER(TRIM($Z250))&lt;&gt;"n/a",COUNTIFS($B$2:$B$528,"Yes",$A$2:$A$528,"Cybernet",$Z$2:$Z$528,$Z250)&gt;1)
),"Yes","No"),
IF(AND($AL250&lt;&gt;"",LOWER(TRIM($AL250))&lt;&gt;"n/a"),
IF(COUNTIFS($B$2:$B$528,"Yes",$A$2:$A$528,$A250,$AL$2:$AL$528,$AL250)&gt;1,"Yes","No"),
"No")
)
)
)</f>
        <v/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8"/>
      <c r="AF250" s="4"/>
      <c r="AG250" s="4"/>
      <c r="AH250" s="1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8"/>
      <c r="AX250" s="8"/>
      <c r="AY250" s="8"/>
      <c r="AZ250" s="8"/>
      <c r="BA250" s="12"/>
      <c r="BB250" s="8"/>
      <c r="BC250" s="4"/>
      <c r="BD250" s="4"/>
      <c r="BE250" s="8"/>
      <c r="BF250" s="8"/>
      <c r="BG250" s="8"/>
      <c r="BH250" s="8"/>
      <c r="BI250" s="8"/>
      <c r="BJ250" s="8"/>
      <c r="BK250" s="8"/>
      <c r="BL250" s="4" t="str">
        <f t="shared" si="13"/>
        <v/>
      </c>
      <c r="BM250" s="8" t="str">
        <f t="shared" si="14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1:70" ht="15" customHeight="1">
      <c r="A251" s="8"/>
      <c r="B251" s="8"/>
      <c r="D251" s="15" t="str">
        <f t="shared" si="12"/>
        <v/>
      </c>
      <c r="E251" s="15" t="str">
        <f>IF($A251="","",IF($A251="Neuron",IF(OR(AND($S251&lt;&gt;"",LOWER(TRIM($S251))&lt;&gt;"n/a",COUNTIF($S$2:$S$528,$S251)&gt;1),AND($T251&lt;&gt;"",LOWER(TRIM($T251))&lt;&gt;"n/a",COUNTIF($T$2:$T$528,$T251)&gt;1),AND($W251&lt;&gt;"",LOWER(TRIM($W251))&lt;&gt;"n/a",COUNTIF($W$2:$W$528,$W251)&gt;1)),"Yes","No"),IF($A251="Cybernet",IF(OR(AND($Y251&lt;&gt;"",LOWER(TRIM($Y251))&lt;&gt;"n/a",COUNTIF($Y$2:$Y$528,$Y251)&gt;1),AND($Z251&lt;&gt;"",LOWER(TRIM($Z251))&lt;&gt;"n/a",COUNTIF($Z$2:$Z$528,$Z251)&gt;1)),"Yes","No"),IF(AND($AL251&lt;&gt;"",LOWER(TRIM($AL251))&lt;&gt;"n/a",COUNTIF($AL$2:$AL$528,$AL251)&gt;1),"Yes","No"))))</f>
        <v/>
      </c>
      <c r="F251" t="str">
        <f>IF($B251&lt;&gt;"Yes","",
IF($A251="Neuron",
IF(OR(
AND($S251&lt;&gt;"",LOWER(TRIM($S251))&lt;&gt;"n/a",COUNTIFS($B$2:$B$528,"Yes",$A$2:$A$528,"Neuron",$S$2:$S$528,$S251)&gt;1),
AND($T251&lt;&gt;"",LOWER(TRIM($T251))&lt;&gt;"n/a",COUNTIFS($B$2:$B$528,"Yes",$A$2:$A$528,"Neuron",$T$2:$T$528,$T251)&gt;1),
AND($W251&lt;&gt;"",LOWER(TRIM($W251))&lt;&gt;"n/a",COUNTIFS($B$2:$B$528,"Yes",$A$2:$A$528,"Neuron",$W$2:$W$528,$W251)&gt;1)
),"Yes","No"),
IF($A251="Cybernet",
IF(OR(
AND($Y251&lt;&gt;"",LOWER(TRIM($Y251))&lt;&gt;"n/a",COUNTIFS($B$2:$B$528,"Yes",$A$2:$A$528,"Cybernet",$Y$2:$Y$528,$Y251)&gt;1),
AND($Z251&lt;&gt;"",LOWER(TRIM($Z251))&lt;&gt;"n/a",COUNTIFS($B$2:$B$528,"Yes",$A$2:$A$528,"Cybernet",$Z$2:$Z$528,$Z251)&gt;1)
),"Yes","No"),
IF(AND($AL251&lt;&gt;"",LOWER(TRIM($AL251))&lt;&gt;"n/a"),
IF(COUNTIFS($B$2:$B$528,"Yes",$A$2:$A$528,$A251,$AL$2:$AL$528,$AL251)&gt;1,"Yes","No"),
"No")
)
)
)</f>
        <v/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8"/>
      <c r="AF251" s="4"/>
      <c r="AG251" s="4"/>
      <c r="AH251" s="1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8"/>
      <c r="AX251" s="8"/>
      <c r="AY251" s="8"/>
      <c r="AZ251" s="8"/>
      <c r="BA251" s="12"/>
      <c r="BB251" s="8"/>
      <c r="BC251" s="4"/>
      <c r="BD251" s="4"/>
      <c r="BE251" s="8"/>
      <c r="BF251" s="8"/>
      <c r="BG251" s="8"/>
      <c r="BH251" s="8"/>
      <c r="BI251" s="8"/>
      <c r="BJ251" s="8"/>
      <c r="BK251" s="8"/>
      <c r="BL251" s="4" t="str">
        <f t="shared" si="13"/>
        <v/>
      </c>
      <c r="BM251" s="8" t="str">
        <f t="shared" si="14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1:70" ht="15" customHeight="1">
      <c r="A252" s="8"/>
      <c r="B252" s="8"/>
      <c r="D252" s="15" t="str">
        <f t="shared" si="12"/>
        <v/>
      </c>
      <c r="E252" s="15" t="str">
        <f>IF($A252="","",IF($A252="Neuron",IF(OR(AND($S252&lt;&gt;"",LOWER(TRIM($S252))&lt;&gt;"n/a",COUNTIF($S$2:$S$528,$S252)&gt;1),AND($T252&lt;&gt;"",LOWER(TRIM($T252))&lt;&gt;"n/a",COUNTIF($T$2:$T$528,$T252)&gt;1),AND($W252&lt;&gt;"",LOWER(TRIM($W252))&lt;&gt;"n/a",COUNTIF($W$2:$W$528,$W252)&gt;1)),"Yes","No"),IF($A252="Cybernet",IF(OR(AND($Y252&lt;&gt;"",LOWER(TRIM($Y252))&lt;&gt;"n/a",COUNTIF($Y$2:$Y$528,$Y252)&gt;1),AND($Z252&lt;&gt;"",LOWER(TRIM($Z252))&lt;&gt;"n/a",COUNTIF($Z$2:$Z$528,$Z252)&gt;1)),"Yes","No"),IF(AND($AL252&lt;&gt;"",LOWER(TRIM($AL252))&lt;&gt;"n/a",COUNTIF($AL$2:$AL$528,$AL252)&gt;1),"Yes","No"))))</f>
        <v/>
      </c>
      <c r="F252" t="str">
        <f>IF($B252&lt;&gt;"Yes","",
IF($A252="Neuron",
IF(OR(
AND($S252&lt;&gt;"",LOWER(TRIM($S252))&lt;&gt;"n/a",COUNTIFS($B$2:$B$528,"Yes",$A$2:$A$528,"Neuron",$S$2:$S$528,$S252)&gt;1),
AND($T252&lt;&gt;"",LOWER(TRIM($T252))&lt;&gt;"n/a",COUNTIFS($B$2:$B$528,"Yes",$A$2:$A$528,"Neuron",$T$2:$T$528,$T252)&gt;1),
AND($W252&lt;&gt;"",LOWER(TRIM($W252))&lt;&gt;"n/a",COUNTIFS($B$2:$B$528,"Yes",$A$2:$A$528,"Neuron",$W$2:$W$528,$W252)&gt;1)
),"Yes","No"),
IF($A252="Cybernet",
IF(OR(
AND($Y252&lt;&gt;"",LOWER(TRIM($Y252))&lt;&gt;"n/a",COUNTIFS($B$2:$B$528,"Yes",$A$2:$A$528,"Cybernet",$Y$2:$Y$528,$Y252)&gt;1),
AND($Z252&lt;&gt;"",LOWER(TRIM($Z252))&lt;&gt;"n/a",COUNTIFS($B$2:$B$528,"Yes",$A$2:$A$528,"Cybernet",$Z$2:$Z$528,$Z252)&gt;1)
),"Yes","No"),
IF(AND($AL252&lt;&gt;"",LOWER(TRIM($AL252))&lt;&gt;"n/a"),
IF(COUNTIFS($B$2:$B$528,"Yes",$A$2:$A$528,$A252,$AL$2:$AL$528,$AL252)&gt;1,"Yes","No"),
"No")
)
)
)</f>
        <v/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8"/>
      <c r="AF252" s="4"/>
      <c r="AG252" s="4"/>
      <c r="AH252" s="1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8"/>
      <c r="AX252" s="8"/>
      <c r="AY252" s="8"/>
      <c r="AZ252" s="8"/>
      <c r="BA252" s="12"/>
      <c r="BB252" s="8"/>
      <c r="BC252" s="4"/>
      <c r="BD252" s="4"/>
      <c r="BE252" s="8"/>
      <c r="BF252" s="8"/>
      <c r="BG252" s="8"/>
      <c r="BH252" s="8"/>
      <c r="BI252" s="8"/>
      <c r="BJ252" s="8"/>
      <c r="BK252" s="8"/>
      <c r="BL252" s="4" t="str">
        <f t="shared" si="13"/>
        <v/>
      </c>
      <c r="BM252" s="8" t="str">
        <f t="shared" si="14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1:70" ht="15" customHeight="1">
      <c r="A253" s="8"/>
      <c r="B253" s="8"/>
      <c r="D253" s="15" t="str">
        <f t="shared" si="12"/>
        <v/>
      </c>
      <c r="E253" s="15" t="str">
        <f>IF($A253="","",IF($A253="Neuron",IF(OR(AND($S253&lt;&gt;"",LOWER(TRIM($S253))&lt;&gt;"n/a",COUNTIF($S$2:$S$528,$S253)&gt;1),AND($T253&lt;&gt;"",LOWER(TRIM($T253))&lt;&gt;"n/a",COUNTIF($T$2:$T$528,$T253)&gt;1),AND($W253&lt;&gt;"",LOWER(TRIM($W253))&lt;&gt;"n/a",COUNTIF($W$2:$W$528,$W253)&gt;1)),"Yes","No"),IF($A253="Cybernet",IF(OR(AND($Y253&lt;&gt;"",LOWER(TRIM($Y253))&lt;&gt;"n/a",COUNTIF($Y$2:$Y$528,$Y253)&gt;1),AND($Z253&lt;&gt;"",LOWER(TRIM($Z253))&lt;&gt;"n/a",COUNTIF($Z$2:$Z$528,$Z253)&gt;1)),"Yes","No"),IF(AND($AL253&lt;&gt;"",LOWER(TRIM($AL253))&lt;&gt;"n/a",COUNTIF($AL$2:$AL$528,$AL253)&gt;1),"Yes","No"))))</f>
        <v/>
      </c>
      <c r="F253" t="str">
        <f>IF($B253&lt;&gt;"Yes","",
IF($A253="Neuron",
IF(OR(
AND($S253&lt;&gt;"",LOWER(TRIM($S253))&lt;&gt;"n/a",COUNTIFS($B$2:$B$528,"Yes",$A$2:$A$528,"Neuron",$S$2:$S$528,$S253)&gt;1),
AND($T253&lt;&gt;"",LOWER(TRIM($T253))&lt;&gt;"n/a",COUNTIFS($B$2:$B$528,"Yes",$A$2:$A$528,"Neuron",$T$2:$T$528,$T253)&gt;1),
AND($W253&lt;&gt;"",LOWER(TRIM($W253))&lt;&gt;"n/a",COUNTIFS($B$2:$B$528,"Yes",$A$2:$A$528,"Neuron",$W$2:$W$528,$W253)&gt;1)
),"Yes","No"),
IF($A253="Cybernet",
IF(OR(
AND($Y253&lt;&gt;"",LOWER(TRIM($Y253))&lt;&gt;"n/a",COUNTIFS($B$2:$B$528,"Yes",$A$2:$A$528,"Cybernet",$Y$2:$Y$528,$Y253)&gt;1),
AND($Z253&lt;&gt;"",LOWER(TRIM($Z253))&lt;&gt;"n/a",COUNTIFS($B$2:$B$528,"Yes",$A$2:$A$528,"Cybernet",$Z$2:$Z$528,$Z253)&gt;1)
),"Yes","No"),
IF(AND($AL253&lt;&gt;"",LOWER(TRIM($AL253))&lt;&gt;"n/a"),
IF(COUNTIFS($B$2:$B$528,"Yes",$A$2:$A$528,$A253,$AL$2:$AL$528,$AL253)&gt;1,"Yes","No"),
"No")
)
)
)</f>
        <v/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8"/>
      <c r="AF253" s="4"/>
      <c r="AG253" s="4"/>
      <c r="AH253" s="1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8"/>
      <c r="AX253" s="8"/>
      <c r="AY253" s="8"/>
      <c r="AZ253" s="8"/>
      <c r="BA253" s="12"/>
      <c r="BB253" s="8"/>
      <c r="BC253" s="4"/>
      <c r="BD253" s="4"/>
      <c r="BE253" s="8"/>
      <c r="BF253" s="8"/>
      <c r="BG253" s="8"/>
      <c r="BH253" s="8"/>
      <c r="BI253" s="8"/>
      <c r="BJ253" s="8"/>
      <c r="BK253" s="8"/>
      <c r="BL253" s="4" t="str">
        <f t="shared" si="13"/>
        <v/>
      </c>
      <c r="BM253" s="8" t="str">
        <f t="shared" si="14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1:70" ht="15" customHeight="1">
      <c r="A254" s="8"/>
      <c r="B254" s="8"/>
      <c r="D254" s="15" t="str">
        <f t="shared" si="12"/>
        <v/>
      </c>
      <c r="E254" s="15" t="str">
        <f>IF($A254="","",IF($A254="Neuron",IF(OR(AND($S254&lt;&gt;"",LOWER(TRIM($S254))&lt;&gt;"n/a",COUNTIF($S$2:$S$528,$S254)&gt;1),AND($T254&lt;&gt;"",LOWER(TRIM($T254))&lt;&gt;"n/a",COUNTIF($T$2:$T$528,$T254)&gt;1),AND($W254&lt;&gt;"",LOWER(TRIM($W254))&lt;&gt;"n/a",COUNTIF($W$2:$W$528,$W254)&gt;1)),"Yes","No"),IF($A254="Cybernet",IF(OR(AND($Y254&lt;&gt;"",LOWER(TRIM($Y254))&lt;&gt;"n/a",COUNTIF($Y$2:$Y$528,$Y254)&gt;1),AND($Z254&lt;&gt;"",LOWER(TRIM($Z254))&lt;&gt;"n/a",COUNTIF($Z$2:$Z$528,$Z254)&gt;1)),"Yes","No"),IF(AND($AL254&lt;&gt;"",LOWER(TRIM($AL254))&lt;&gt;"n/a",COUNTIF($AL$2:$AL$528,$AL254)&gt;1),"Yes","No"))))</f>
        <v/>
      </c>
      <c r="F254" t="str">
        <f>IF($B254&lt;&gt;"Yes","",
IF($A254="Neuron",
IF(OR(
AND($S254&lt;&gt;"",LOWER(TRIM($S254))&lt;&gt;"n/a",COUNTIFS($B$2:$B$528,"Yes",$A$2:$A$528,"Neuron",$S$2:$S$528,$S254)&gt;1),
AND($T254&lt;&gt;"",LOWER(TRIM($T254))&lt;&gt;"n/a",COUNTIFS($B$2:$B$528,"Yes",$A$2:$A$528,"Neuron",$T$2:$T$528,$T254)&gt;1),
AND($W254&lt;&gt;"",LOWER(TRIM($W254))&lt;&gt;"n/a",COUNTIFS($B$2:$B$528,"Yes",$A$2:$A$528,"Neuron",$W$2:$W$528,$W254)&gt;1)
),"Yes","No"),
IF($A254="Cybernet",
IF(OR(
AND($Y254&lt;&gt;"",LOWER(TRIM($Y254))&lt;&gt;"n/a",COUNTIFS($B$2:$B$528,"Yes",$A$2:$A$528,"Cybernet",$Y$2:$Y$528,$Y254)&gt;1),
AND($Z254&lt;&gt;"",LOWER(TRIM($Z254))&lt;&gt;"n/a",COUNTIFS($B$2:$B$528,"Yes",$A$2:$A$528,"Cybernet",$Z$2:$Z$528,$Z254)&gt;1)
),"Yes","No"),
IF(AND($AL254&lt;&gt;"",LOWER(TRIM($AL254))&lt;&gt;"n/a"),
IF(COUNTIFS($B$2:$B$528,"Yes",$A$2:$A$528,$A254,$AL$2:$AL$528,$AL254)&gt;1,"Yes","No"),
"No")
)
)
)</f>
        <v/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8"/>
      <c r="AF254" s="4"/>
      <c r="AG254" s="4"/>
      <c r="AH254" s="1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8"/>
      <c r="AX254" s="8"/>
      <c r="AY254" s="8"/>
      <c r="AZ254" s="8"/>
      <c r="BA254" s="12"/>
      <c r="BB254" s="8"/>
      <c r="BC254" s="4"/>
      <c r="BD254" s="4"/>
      <c r="BE254" s="8"/>
      <c r="BF254" s="8"/>
      <c r="BG254" s="8"/>
      <c r="BH254" s="8"/>
      <c r="BI254" s="8"/>
      <c r="BJ254" s="8"/>
      <c r="BK254" s="8"/>
      <c r="BL254" s="4" t="str">
        <f t="shared" si="13"/>
        <v/>
      </c>
      <c r="BM254" s="8" t="str">
        <f t="shared" si="14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1:70" ht="15" customHeight="1">
      <c r="A255" s="8"/>
      <c r="B255" s="8"/>
      <c r="D255" s="15" t="str">
        <f t="shared" si="12"/>
        <v/>
      </c>
      <c r="E255" s="15" t="str">
        <f>IF($A255="","",IF($A255="Neuron",IF(OR(AND($S255&lt;&gt;"",LOWER(TRIM($S255))&lt;&gt;"n/a",COUNTIF($S$2:$S$528,$S255)&gt;1),AND($T255&lt;&gt;"",LOWER(TRIM($T255))&lt;&gt;"n/a",COUNTIF($T$2:$T$528,$T255)&gt;1),AND($W255&lt;&gt;"",LOWER(TRIM($W255))&lt;&gt;"n/a",COUNTIF($W$2:$W$528,$W255)&gt;1)),"Yes","No"),IF($A255="Cybernet",IF(OR(AND($Y255&lt;&gt;"",LOWER(TRIM($Y255))&lt;&gt;"n/a",COUNTIF($Y$2:$Y$528,$Y255)&gt;1),AND($Z255&lt;&gt;"",LOWER(TRIM($Z255))&lt;&gt;"n/a",COUNTIF($Z$2:$Z$528,$Z255)&gt;1)),"Yes","No"),IF(AND($AL255&lt;&gt;"",LOWER(TRIM($AL255))&lt;&gt;"n/a",COUNTIF($AL$2:$AL$528,$AL255)&gt;1),"Yes","No"))))</f>
        <v/>
      </c>
      <c r="F255" t="str">
        <f>IF($B255&lt;&gt;"Yes","",
IF($A255="Neuron",
IF(OR(
AND($S255&lt;&gt;"",LOWER(TRIM($S255))&lt;&gt;"n/a",COUNTIFS($B$2:$B$528,"Yes",$A$2:$A$528,"Neuron",$S$2:$S$528,$S255)&gt;1),
AND($T255&lt;&gt;"",LOWER(TRIM($T255))&lt;&gt;"n/a",COUNTIFS($B$2:$B$528,"Yes",$A$2:$A$528,"Neuron",$T$2:$T$528,$T255)&gt;1),
AND($W255&lt;&gt;"",LOWER(TRIM($W255))&lt;&gt;"n/a",COUNTIFS($B$2:$B$528,"Yes",$A$2:$A$528,"Neuron",$W$2:$W$528,$W255)&gt;1)
),"Yes","No"),
IF($A255="Cybernet",
IF(OR(
AND($Y255&lt;&gt;"",LOWER(TRIM($Y255))&lt;&gt;"n/a",COUNTIFS($B$2:$B$528,"Yes",$A$2:$A$528,"Cybernet",$Y$2:$Y$528,$Y255)&gt;1),
AND($Z255&lt;&gt;"",LOWER(TRIM($Z255))&lt;&gt;"n/a",COUNTIFS($B$2:$B$528,"Yes",$A$2:$A$528,"Cybernet",$Z$2:$Z$528,$Z255)&gt;1)
),"Yes","No"),
IF(AND($AL255&lt;&gt;"",LOWER(TRIM($AL255))&lt;&gt;"n/a"),
IF(COUNTIFS($B$2:$B$528,"Yes",$A$2:$A$528,$A255,$AL$2:$AL$528,$AL255)&gt;1,"Yes","No"),
"No")
)
)
)</f>
        <v/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8"/>
      <c r="AF255" s="4"/>
      <c r="AG255" s="4"/>
      <c r="AH255" s="1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8"/>
      <c r="AX255" s="8"/>
      <c r="AY255" s="8"/>
      <c r="AZ255" s="8"/>
      <c r="BA255" s="12"/>
      <c r="BB255" s="8"/>
      <c r="BC255" s="4"/>
      <c r="BD255" s="4"/>
      <c r="BE255" s="8"/>
      <c r="BF255" s="8"/>
      <c r="BG255" s="8"/>
      <c r="BH255" s="8"/>
      <c r="BI255" s="8"/>
      <c r="BJ255" s="8"/>
      <c r="BK255" s="8"/>
      <c r="BL255" s="4" t="str">
        <f t="shared" si="13"/>
        <v/>
      </c>
      <c r="BM255" s="8" t="str">
        <f t="shared" si="14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1:70" ht="15" customHeight="1">
      <c r="A256" s="8"/>
      <c r="B256" s="8"/>
      <c r="D256" s="15" t="str">
        <f t="shared" si="12"/>
        <v/>
      </c>
      <c r="E256" s="15" t="str">
        <f>IF($A256="","",IF($A256="Neuron",IF(OR(AND($S256&lt;&gt;"",LOWER(TRIM($S256))&lt;&gt;"n/a",COUNTIF($S$2:$S$528,$S256)&gt;1),AND($T256&lt;&gt;"",LOWER(TRIM($T256))&lt;&gt;"n/a",COUNTIF($T$2:$T$528,$T256)&gt;1),AND($W256&lt;&gt;"",LOWER(TRIM($W256))&lt;&gt;"n/a",COUNTIF($W$2:$W$528,$W256)&gt;1)),"Yes","No"),IF($A256="Cybernet",IF(OR(AND($Y256&lt;&gt;"",LOWER(TRIM($Y256))&lt;&gt;"n/a",COUNTIF($Y$2:$Y$528,$Y256)&gt;1),AND($Z256&lt;&gt;"",LOWER(TRIM($Z256))&lt;&gt;"n/a",COUNTIF($Z$2:$Z$528,$Z256)&gt;1)),"Yes","No"),IF(AND($AL256&lt;&gt;"",LOWER(TRIM($AL256))&lt;&gt;"n/a",COUNTIF($AL$2:$AL$528,$AL256)&gt;1),"Yes","No"))))</f>
        <v/>
      </c>
      <c r="F256" t="str">
        <f>IF($B256&lt;&gt;"Yes","",
IF($A256="Neuron",
IF(OR(
AND($S256&lt;&gt;"",LOWER(TRIM($S256))&lt;&gt;"n/a",COUNTIFS($B$2:$B$528,"Yes",$A$2:$A$528,"Neuron",$S$2:$S$528,$S256)&gt;1),
AND($T256&lt;&gt;"",LOWER(TRIM($T256))&lt;&gt;"n/a",COUNTIFS($B$2:$B$528,"Yes",$A$2:$A$528,"Neuron",$T$2:$T$528,$T256)&gt;1),
AND($W256&lt;&gt;"",LOWER(TRIM($W256))&lt;&gt;"n/a",COUNTIFS($B$2:$B$528,"Yes",$A$2:$A$528,"Neuron",$W$2:$W$528,$W256)&gt;1)
),"Yes","No"),
IF($A256="Cybernet",
IF(OR(
AND($Y256&lt;&gt;"",LOWER(TRIM($Y256))&lt;&gt;"n/a",COUNTIFS($B$2:$B$528,"Yes",$A$2:$A$528,"Cybernet",$Y$2:$Y$528,$Y256)&gt;1),
AND($Z256&lt;&gt;"",LOWER(TRIM($Z256))&lt;&gt;"n/a",COUNTIFS($B$2:$B$528,"Yes",$A$2:$A$528,"Cybernet",$Z$2:$Z$528,$Z256)&gt;1)
),"Yes","No"),
IF(AND($AL256&lt;&gt;"",LOWER(TRIM($AL256))&lt;&gt;"n/a"),
IF(COUNTIFS($B$2:$B$528,"Yes",$A$2:$A$528,$A256,$AL$2:$AL$528,$AL256)&gt;1,"Yes","No"),
"No")
)
)
)</f>
        <v/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8"/>
      <c r="AF256" s="4"/>
      <c r="AG256" s="4"/>
      <c r="AH256" s="1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8"/>
      <c r="AX256" s="8"/>
      <c r="AY256" s="8"/>
      <c r="AZ256" s="8"/>
      <c r="BA256" s="12"/>
      <c r="BB256" s="8"/>
      <c r="BC256" s="4"/>
      <c r="BD256" s="4"/>
      <c r="BE256" s="8"/>
      <c r="BF256" s="8"/>
      <c r="BG256" s="8"/>
      <c r="BH256" s="8"/>
      <c r="BI256" s="8"/>
      <c r="BJ256" s="8"/>
      <c r="BK256" s="8"/>
      <c r="BL256" s="4" t="str">
        <f t="shared" si="13"/>
        <v/>
      </c>
      <c r="BM256" s="8" t="str">
        <f t="shared" si="14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1:70" ht="15" customHeight="1">
      <c r="A257" s="8"/>
      <c r="B257" s="8"/>
      <c r="D257" s="15" t="str">
        <f t="shared" si="12"/>
        <v/>
      </c>
      <c r="E257" s="15" t="str">
        <f>IF($A257="","",IF($A257="Neuron",IF(OR(AND($S257&lt;&gt;"",LOWER(TRIM($S257))&lt;&gt;"n/a",COUNTIF($S$2:$S$528,$S257)&gt;1),AND($T257&lt;&gt;"",LOWER(TRIM($T257))&lt;&gt;"n/a",COUNTIF($T$2:$T$528,$T257)&gt;1),AND($W257&lt;&gt;"",LOWER(TRIM($W257))&lt;&gt;"n/a",COUNTIF($W$2:$W$528,$W257)&gt;1)),"Yes","No"),IF($A257="Cybernet",IF(OR(AND($Y257&lt;&gt;"",LOWER(TRIM($Y257))&lt;&gt;"n/a",COUNTIF($Y$2:$Y$528,$Y257)&gt;1),AND($Z257&lt;&gt;"",LOWER(TRIM($Z257))&lt;&gt;"n/a",COUNTIF($Z$2:$Z$528,$Z257)&gt;1)),"Yes","No"),IF(AND($AL257&lt;&gt;"",LOWER(TRIM($AL257))&lt;&gt;"n/a",COUNTIF($AL$2:$AL$528,$AL257)&gt;1),"Yes","No"))))</f>
        <v/>
      </c>
      <c r="F257" t="str">
        <f>IF($B257&lt;&gt;"Yes","",
IF($A257="Neuron",
IF(OR(
AND($S257&lt;&gt;"",LOWER(TRIM($S257))&lt;&gt;"n/a",COUNTIFS($B$2:$B$528,"Yes",$A$2:$A$528,"Neuron",$S$2:$S$528,$S257)&gt;1),
AND($T257&lt;&gt;"",LOWER(TRIM($T257))&lt;&gt;"n/a",COUNTIFS($B$2:$B$528,"Yes",$A$2:$A$528,"Neuron",$T$2:$T$528,$T257)&gt;1),
AND($W257&lt;&gt;"",LOWER(TRIM($W257))&lt;&gt;"n/a",COUNTIFS($B$2:$B$528,"Yes",$A$2:$A$528,"Neuron",$W$2:$W$528,$W257)&gt;1)
),"Yes","No"),
IF($A257="Cybernet",
IF(OR(
AND($Y257&lt;&gt;"",LOWER(TRIM($Y257))&lt;&gt;"n/a",COUNTIFS($B$2:$B$528,"Yes",$A$2:$A$528,"Cybernet",$Y$2:$Y$528,$Y257)&gt;1),
AND($Z257&lt;&gt;"",LOWER(TRIM($Z257))&lt;&gt;"n/a",COUNTIFS($B$2:$B$528,"Yes",$A$2:$A$528,"Cybernet",$Z$2:$Z$528,$Z257)&gt;1)
),"Yes","No"),
IF(AND($AL257&lt;&gt;"",LOWER(TRIM($AL257))&lt;&gt;"n/a"),
IF(COUNTIFS($B$2:$B$528,"Yes",$A$2:$A$528,$A257,$AL$2:$AL$528,$AL257)&gt;1,"Yes","No"),
"No")
)
)
)</f>
        <v/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8"/>
      <c r="AF257" s="4"/>
      <c r="AG257" s="4"/>
      <c r="AH257" s="1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8"/>
      <c r="AX257" s="8"/>
      <c r="AY257" s="8"/>
      <c r="AZ257" s="8"/>
      <c r="BA257" s="12"/>
      <c r="BB257" s="8"/>
      <c r="BC257" s="4"/>
      <c r="BD257" s="4"/>
      <c r="BE257" s="8"/>
      <c r="BF257" s="8"/>
      <c r="BG257" s="8"/>
      <c r="BH257" s="8"/>
      <c r="BI257" s="8"/>
      <c r="BJ257" s="8"/>
      <c r="BK257" s="8"/>
      <c r="BL257" s="4" t="str">
        <f t="shared" si="13"/>
        <v/>
      </c>
      <c r="BM257" s="8" t="str">
        <f t="shared" si="14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1:70" ht="15" customHeight="1">
      <c r="A258" s="8"/>
      <c r="B258" s="8"/>
      <c r="D258" s="15" t="str">
        <f t="shared" si="12"/>
        <v/>
      </c>
      <c r="E258" s="15" t="str">
        <f>IF($A258="","",IF($A258="Neuron",IF(OR(AND($S258&lt;&gt;"",LOWER(TRIM($S258))&lt;&gt;"n/a",COUNTIF($S$2:$S$528,$S258)&gt;1),AND($T258&lt;&gt;"",LOWER(TRIM($T258))&lt;&gt;"n/a",COUNTIF($T$2:$T$528,$T258)&gt;1),AND($W258&lt;&gt;"",LOWER(TRIM($W258))&lt;&gt;"n/a",COUNTIF($W$2:$W$528,$W258)&gt;1)),"Yes","No"),IF($A258="Cybernet",IF(OR(AND($Y258&lt;&gt;"",LOWER(TRIM($Y258))&lt;&gt;"n/a",COUNTIF($Y$2:$Y$528,$Y258)&gt;1),AND($Z258&lt;&gt;"",LOWER(TRIM($Z258))&lt;&gt;"n/a",COUNTIF($Z$2:$Z$528,$Z258)&gt;1)),"Yes","No"),IF(AND($AL258&lt;&gt;"",LOWER(TRIM($AL258))&lt;&gt;"n/a",COUNTIF($AL$2:$AL$528,$AL258)&gt;1),"Yes","No"))))</f>
        <v/>
      </c>
      <c r="F258" t="str">
        <f>IF($B258&lt;&gt;"Yes","",
IF($A258="Neuron",
IF(OR(
AND($S258&lt;&gt;"",LOWER(TRIM($S258))&lt;&gt;"n/a",COUNTIFS($B$2:$B$528,"Yes",$A$2:$A$528,"Neuron",$S$2:$S$528,$S258)&gt;1),
AND($T258&lt;&gt;"",LOWER(TRIM($T258))&lt;&gt;"n/a",COUNTIFS($B$2:$B$528,"Yes",$A$2:$A$528,"Neuron",$T$2:$T$528,$T258)&gt;1),
AND($W258&lt;&gt;"",LOWER(TRIM($W258))&lt;&gt;"n/a",COUNTIFS($B$2:$B$528,"Yes",$A$2:$A$528,"Neuron",$W$2:$W$528,$W258)&gt;1)
),"Yes","No"),
IF($A258="Cybernet",
IF(OR(
AND($Y258&lt;&gt;"",LOWER(TRIM($Y258))&lt;&gt;"n/a",COUNTIFS($B$2:$B$528,"Yes",$A$2:$A$528,"Cybernet",$Y$2:$Y$528,$Y258)&gt;1),
AND($Z258&lt;&gt;"",LOWER(TRIM($Z258))&lt;&gt;"n/a",COUNTIFS($B$2:$B$528,"Yes",$A$2:$A$528,"Cybernet",$Z$2:$Z$528,$Z258)&gt;1)
),"Yes","No"),
IF(AND($AL258&lt;&gt;"",LOWER(TRIM($AL258))&lt;&gt;"n/a"),
IF(COUNTIFS($B$2:$B$528,"Yes",$A$2:$A$528,$A258,$AL$2:$AL$528,$AL258)&gt;1,"Yes","No"),
"No")
)
)
)</f>
        <v/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8"/>
      <c r="AF258" s="4"/>
      <c r="AG258" s="4"/>
      <c r="AH258" s="1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8"/>
      <c r="AX258" s="8"/>
      <c r="AY258" s="8"/>
      <c r="AZ258" s="8"/>
      <c r="BA258" s="12"/>
      <c r="BB258" s="8"/>
      <c r="BC258" s="4"/>
      <c r="BD258" s="4"/>
      <c r="BE258" s="8"/>
      <c r="BF258" s="8"/>
      <c r="BG258" s="8"/>
      <c r="BH258" s="8"/>
      <c r="BI258" s="8"/>
      <c r="BJ258" s="8"/>
      <c r="BK258" s="8"/>
      <c r="BL258" s="4" t="str">
        <f t="shared" si="13"/>
        <v/>
      </c>
      <c r="BM258" s="8" t="str">
        <f t="shared" si="14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1:70" ht="15" customHeight="1">
      <c r="A259" s="8"/>
      <c r="B259" s="8"/>
      <c r="D259" s="15" t="str">
        <f t="shared" si="12"/>
        <v/>
      </c>
      <c r="E259" s="15" t="str">
        <f>IF($A259="","",IF($A259="Neuron",IF(OR(AND($S259&lt;&gt;"",LOWER(TRIM($S259))&lt;&gt;"n/a",COUNTIF($S$2:$S$528,$S259)&gt;1),AND($T259&lt;&gt;"",LOWER(TRIM($T259))&lt;&gt;"n/a",COUNTIF($T$2:$T$528,$T259)&gt;1),AND($W259&lt;&gt;"",LOWER(TRIM($W259))&lt;&gt;"n/a",COUNTIF($W$2:$W$528,$W259)&gt;1)),"Yes","No"),IF($A259="Cybernet",IF(OR(AND($Y259&lt;&gt;"",LOWER(TRIM($Y259))&lt;&gt;"n/a",COUNTIF($Y$2:$Y$528,$Y259)&gt;1),AND($Z259&lt;&gt;"",LOWER(TRIM($Z259))&lt;&gt;"n/a",COUNTIF($Z$2:$Z$528,$Z259)&gt;1)),"Yes","No"),IF(AND($AL259&lt;&gt;"",LOWER(TRIM($AL259))&lt;&gt;"n/a",COUNTIF($AL$2:$AL$528,$AL259)&gt;1),"Yes","No"))))</f>
        <v/>
      </c>
      <c r="F259" t="str">
        <f>IF($B259&lt;&gt;"Yes","",
IF($A259="Neuron",
IF(OR(
AND($S259&lt;&gt;"",LOWER(TRIM($S259))&lt;&gt;"n/a",COUNTIFS($B$2:$B$528,"Yes",$A$2:$A$528,"Neuron",$S$2:$S$528,$S259)&gt;1),
AND($T259&lt;&gt;"",LOWER(TRIM($T259))&lt;&gt;"n/a",COUNTIFS($B$2:$B$528,"Yes",$A$2:$A$528,"Neuron",$T$2:$T$528,$T259)&gt;1),
AND($W259&lt;&gt;"",LOWER(TRIM($W259))&lt;&gt;"n/a",COUNTIFS($B$2:$B$528,"Yes",$A$2:$A$528,"Neuron",$W$2:$W$528,$W259)&gt;1)
),"Yes","No"),
IF($A259="Cybernet",
IF(OR(
AND($Y259&lt;&gt;"",LOWER(TRIM($Y259))&lt;&gt;"n/a",COUNTIFS($B$2:$B$528,"Yes",$A$2:$A$528,"Cybernet",$Y$2:$Y$528,$Y259)&gt;1),
AND($Z259&lt;&gt;"",LOWER(TRIM($Z259))&lt;&gt;"n/a",COUNTIFS($B$2:$B$528,"Yes",$A$2:$A$528,"Cybernet",$Z$2:$Z$528,$Z259)&gt;1)
),"Yes","No"),
IF(AND($AL259&lt;&gt;"",LOWER(TRIM($AL259))&lt;&gt;"n/a"),
IF(COUNTIFS($B$2:$B$528,"Yes",$A$2:$A$528,$A259,$AL$2:$AL$528,$AL259)&gt;1,"Yes","No"),
"No")
)
)
)</f>
        <v/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8"/>
      <c r="AF259" s="4"/>
      <c r="AG259" s="4"/>
      <c r="AH259" s="1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8"/>
      <c r="AX259" s="8"/>
      <c r="AY259" s="8"/>
      <c r="AZ259" s="8"/>
      <c r="BA259" s="12"/>
      <c r="BB259" s="8"/>
      <c r="BC259" s="4"/>
      <c r="BD259" s="4"/>
      <c r="BE259" s="8"/>
      <c r="BF259" s="8"/>
      <c r="BG259" s="8"/>
      <c r="BH259" s="8"/>
      <c r="BI259" s="8"/>
      <c r="BJ259" s="8"/>
      <c r="BK259" s="8"/>
      <c r="BL259" s="4" t="str">
        <f t="shared" si="13"/>
        <v/>
      </c>
      <c r="BM259" s="8" t="str">
        <f t="shared" si="14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1:70" ht="15" customHeight="1">
      <c r="A260" s="8"/>
      <c r="B260" s="8"/>
      <c r="D260" s="15" t="str">
        <f t="shared" si="12"/>
        <v/>
      </c>
      <c r="E260" s="15" t="str">
        <f>IF($A260="","",IF($A260="Neuron",IF(OR(AND($S260&lt;&gt;"",LOWER(TRIM($S260))&lt;&gt;"n/a",COUNTIF($S$2:$S$528,$S260)&gt;1),AND($T260&lt;&gt;"",LOWER(TRIM($T260))&lt;&gt;"n/a",COUNTIF($T$2:$T$528,$T260)&gt;1),AND($W260&lt;&gt;"",LOWER(TRIM($W260))&lt;&gt;"n/a",COUNTIF($W$2:$W$528,$W260)&gt;1)),"Yes","No"),IF($A260="Cybernet",IF(OR(AND($Y260&lt;&gt;"",LOWER(TRIM($Y260))&lt;&gt;"n/a",COUNTIF($Y$2:$Y$528,$Y260)&gt;1),AND($Z260&lt;&gt;"",LOWER(TRIM($Z260))&lt;&gt;"n/a",COUNTIF($Z$2:$Z$528,$Z260)&gt;1)),"Yes","No"),IF(AND($AL260&lt;&gt;"",LOWER(TRIM($AL260))&lt;&gt;"n/a",COUNTIF($AL$2:$AL$528,$AL260)&gt;1),"Yes","No"))))</f>
        <v/>
      </c>
      <c r="F260" t="str">
        <f>IF($B260&lt;&gt;"Yes","",
IF($A260="Neuron",
IF(OR(
AND($S260&lt;&gt;"",LOWER(TRIM($S260))&lt;&gt;"n/a",COUNTIFS($B$2:$B$528,"Yes",$A$2:$A$528,"Neuron",$S$2:$S$528,$S260)&gt;1),
AND($T260&lt;&gt;"",LOWER(TRIM($T260))&lt;&gt;"n/a",COUNTIFS($B$2:$B$528,"Yes",$A$2:$A$528,"Neuron",$T$2:$T$528,$T260)&gt;1),
AND($W260&lt;&gt;"",LOWER(TRIM($W260))&lt;&gt;"n/a",COUNTIFS($B$2:$B$528,"Yes",$A$2:$A$528,"Neuron",$W$2:$W$528,$W260)&gt;1)
),"Yes","No"),
IF($A260="Cybernet",
IF(OR(
AND($Y260&lt;&gt;"",LOWER(TRIM($Y260))&lt;&gt;"n/a",COUNTIFS($B$2:$B$528,"Yes",$A$2:$A$528,"Cybernet",$Y$2:$Y$528,$Y260)&gt;1),
AND($Z260&lt;&gt;"",LOWER(TRIM($Z260))&lt;&gt;"n/a",COUNTIFS($B$2:$B$528,"Yes",$A$2:$A$528,"Cybernet",$Z$2:$Z$528,$Z260)&gt;1)
),"Yes","No"),
IF(AND($AL260&lt;&gt;"",LOWER(TRIM($AL260))&lt;&gt;"n/a"),
IF(COUNTIFS($B$2:$B$528,"Yes",$A$2:$A$528,$A260,$AL$2:$AL$528,$AL260)&gt;1,"Yes","No"),
"No")
)
)
)</f>
        <v/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8"/>
      <c r="AF260" s="4"/>
      <c r="AG260" s="4"/>
      <c r="AH260" s="1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8"/>
      <c r="AX260" s="8"/>
      <c r="AY260" s="8"/>
      <c r="AZ260" s="8"/>
      <c r="BA260" s="12"/>
      <c r="BB260" s="8"/>
      <c r="BC260" s="4"/>
      <c r="BD260" s="4"/>
      <c r="BE260" s="8"/>
      <c r="BF260" s="8"/>
      <c r="BG260" s="8"/>
      <c r="BH260" s="8"/>
      <c r="BI260" s="8"/>
      <c r="BJ260" s="8"/>
      <c r="BK260" s="8"/>
      <c r="BL260" s="4" t="str">
        <f t="shared" si="13"/>
        <v/>
      </c>
      <c r="BM260" s="8" t="str">
        <f t="shared" si="14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1:70" ht="15" customHeight="1">
      <c r="A261" s="8"/>
      <c r="B261" s="8"/>
      <c r="D261" s="15" t="str">
        <f t="shared" si="12"/>
        <v/>
      </c>
      <c r="E261" s="15" t="str">
        <f>IF($A261="","",IF($A261="Neuron",IF(OR(AND($S261&lt;&gt;"",LOWER(TRIM($S261))&lt;&gt;"n/a",COUNTIF($S$2:$S$528,$S261)&gt;1),AND($T261&lt;&gt;"",LOWER(TRIM($T261))&lt;&gt;"n/a",COUNTIF($T$2:$T$528,$T261)&gt;1),AND($W261&lt;&gt;"",LOWER(TRIM($W261))&lt;&gt;"n/a",COUNTIF($W$2:$W$528,$W261)&gt;1)),"Yes","No"),IF($A261="Cybernet",IF(OR(AND($Y261&lt;&gt;"",LOWER(TRIM($Y261))&lt;&gt;"n/a",COUNTIF($Y$2:$Y$528,$Y261)&gt;1),AND($Z261&lt;&gt;"",LOWER(TRIM($Z261))&lt;&gt;"n/a",COUNTIF($Z$2:$Z$528,$Z261)&gt;1)),"Yes","No"),IF(AND($AL261&lt;&gt;"",LOWER(TRIM($AL261))&lt;&gt;"n/a",COUNTIF($AL$2:$AL$528,$AL261)&gt;1),"Yes","No"))))</f>
        <v/>
      </c>
      <c r="F261" t="str">
        <f>IF($B261&lt;&gt;"Yes","",
IF($A261="Neuron",
IF(OR(
AND($S261&lt;&gt;"",LOWER(TRIM($S261))&lt;&gt;"n/a",COUNTIFS($B$2:$B$528,"Yes",$A$2:$A$528,"Neuron",$S$2:$S$528,$S261)&gt;1),
AND($T261&lt;&gt;"",LOWER(TRIM($T261))&lt;&gt;"n/a",COUNTIFS($B$2:$B$528,"Yes",$A$2:$A$528,"Neuron",$T$2:$T$528,$T261)&gt;1),
AND($W261&lt;&gt;"",LOWER(TRIM($W261))&lt;&gt;"n/a",COUNTIFS($B$2:$B$528,"Yes",$A$2:$A$528,"Neuron",$W$2:$W$528,$W261)&gt;1)
),"Yes","No"),
IF($A261="Cybernet",
IF(OR(
AND($Y261&lt;&gt;"",LOWER(TRIM($Y261))&lt;&gt;"n/a",COUNTIFS($B$2:$B$528,"Yes",$A$2:$A$528,"Cybernet",$Y$2:$Y$528,$Y261)&gt;1),
AND($Z261&lt;&gt;"",LOWER(TRIM($Z261))&lt;&gt;"n/a",COUNTIFS($B$2:$B$528,"Yes",$A$2:$A$528,"Cybernet",$Z$2:$Z$528,$Z261)&gt;1)
),"Yes","No"),
IF(AND($AL261&lt;&gt;"",LOWER(TRIM($AL261))&lt;&gt;"n/a"),
IF(COUNTIFS($B$2:$B$528,"Yes",$A$2:$A$528,$A261,$AL$2:$AL$528,$AL261)&gt;1,"Yes","No"),
"No")
)
)
)</f>
        <v/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8"/>
      <c r="AF261" s="4"/>
      <c r="AG261" s="4"/>
      <c r="AH261" s="1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8"/>
      <c r="AX261" s="8"/>
      <c r="AY261" s="8"/>
      <c r="AZ261" s="8"/>
      <c r="BA261" s="12"/>
      <c r="BB261" s="8"/>
      <c r="BC261" s="4"/>
      <c r="BD261" s="4"/>
      <c r="BE261" s="8"/>
      <c r="BF261" s="8"/>
      <c r="BG261" s="8"/>
      <c r="BH261" s="8"/>
      <c r="BI261" s="8"/>
      <c r="BJ261" s="8"/>
      <c r="BK261" s="8"/>
      <c r="BL261" s="4" t="str">
        <f t="shared" si="13"/>
        <v/>
      </c>
      <c r="BM261" s="8" t="str">
        <f t="shared" si="14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1:70" ht="15" customHeight="1">
      <c r="A262" s="8"/>
      <c r="B262" s="8"/>
      <c r="D262" s="15" t="str">
        <f t="shared" si="12"/>
        <v/>
      </c>
      <c r="E262" s="15" t="str">
        <f>IF($A262="","",IF($A262="Neuron",IF(OR(AND($S262&lt;&gt;"",LOWER(TRIM($S262))&lt;&gt;"n/a",COUNTIF($S$2:$S$528,$S262)&gt;1),AND($T262&lt;&gt;"",LOWER(TRIM($T262))&lt;&gt;"n/a",COUNTIF($T$2:$T$528,$T262)&gt;1),AND($W262&lt;&gt;"",LOWER(TRIM($W262))&lt;&gt;"n/a",COUNTIF($W$2:$W$528,$W262)&gt;1)),"Yes","No"),IF($A262="Cybernet",IF(OR(AND($Y262&lt;&gt;"",LOWER(TRIM($Y262))&lt;&gt;"n/a",COUNTIF($Y$2:$Y$528,$Y262)&gt;1),AND($Z262&lt;&gt;"",LOWER(TRIM($Z262))&lt;&gt;"n/a",COUNTIF($Z$2:$Z$528,$Z262)&gt;1)),"Yes","No"),IF(AND($AL262&lt;&gt;"",LOWER(TRIM($AL262))&lt;&gt;"n/a",COUNTIF($AL$2:$AL$528,$AL262)&gt;1),"Yes","No"))))</f>
        <v/>
      </c>
      <c r="F262" t="str">
        <f>IF($B262&lt;&gt;"Yes","",
IF($A262="Neuron",
IF(OR(
AND($S262&lt;&gt;"",LOWER(TRIM($S262))&lt;&gt;"n/a",COUNTIFS($B$2:$B$528,"Yes",$A$2:$A$528,"Neuron",$S$2:$S$528,$S262)&gt;1),
AND($T262&lt;&gt;"",LOWER(TRIM($T262))&lt;&gt;"n/a",COUNTIFS($B$2:$B$528,"Yes",$A$2:$A$528,"Neuron",$T$2:$T$528,$T262)&gt;1),
AND($W262&lt;&gt;"",LOWER(TRIM($W262))&lt;&gt;"n/a",COUNTIFS($B$2:$B$528,"Yes",$A$2:$A$528,"Neuron",$W$2:$W$528,$W262)&gt;1)
),"Yes","No"),
IF($A262="Cybernet",
IF(OR(
AND($Y262&lt;&gt;"",LOWER(TRIM($Y262))&lt;&gt;"n/a",COUNTIFS($B$2:$B$528,"Yes",$A$2:$A$528,"Cybernet",$Y$2:$Y$528,$Y262)&gt;1),
AND($Z262&lt;&gt;"",LOWER(TRIM($Z262))&lt;&gt;"n/a",COUNTIFS($B$2:$B$528,"Yes",$A$2:$A$528,"Cybernet",$Z$2:$Z$528,$Z262)&gt;1)
),"Yes","No"),
IF(AND($AL262&lt;&gt;"",LOWER(TRIM($AL262))&lt;&gt;"n/a"),
IF(COUNTIFS($B$2:$B$528,"Yes",$A$2:$A$528,$A262,$AL$2:$AL$528,$AL262)&gt;1,"Yes","No"),
"No")
)
)
)</f>
        <v/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8"/>
      <c r="AF262" s="4"/>
      <c r="AG262" s="4"/>
      <c r="AH262" s="1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8"/>
      <c r="AX262" s="8"/>
      <c r="AY262" s="8"/>
      <c r="AZ262" s="8"/>
      <c r="BA262" s="12"/>
      <c r="BB262" s="8"/>
      <c r="BC262" s="4"/>
      <c r="BD262" s="4"/>
      <c r="BE262" s="8"/>
      <c r="BF262" s="8"/>
      <c r="BG262" s="8"/>
      <c r="BH262" s="8"/>
      <c r="BI262" s="8"/>
      <c r="BJ262" s="8"/>
      <c r="BK262" s="8"/>
      <c r="BL262" s="4" t="str">
        <f t="shared" si="13"/>
        <v/>
      </c>
      <c r="BM262" s="8" t="str">
        <f t="shared" si="14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1:70" ht="15" customHeight="1">
      <c r="A263" s="8"/>
      <c r="B263" s="8"/>
      <c r="D263" s="15" t="str">
        <f t="shared" si="12"/>
        <v/>
      </c>
      <c r="E263" s="15" t="str">
        <f>IF($A263="","",IF($A263="Neuron",IF(OR(AND($S263&lt;&gt;"",LOWER(TRIM($S263))&lt;&gt;"n/a",COUNTIF($S$2:$S$528,$S263)&gt;1),AND($T263&lt;&gt;"",LOWER(TRIM($T263))&lt;&gt;"n/a",COUNTIF($T$2:$T$528,$T263)&gt;1),AND($W263&lt;&gt;"",LOWER(TRIM($W263))&lt;&gt;"n/a",COUNTIF($W$2:$W$528,$W263)&gt;1)),"Yes","No"),IF($A263="Cybernet",IF(OR(AND($Y263&lt;&gt;"",LOWER(TRIM($Y263))&lt;&gt;"n/a",COUNTIF($Y$2:$Y$528,$Y263)&gt;1),AND($Z263&lt;&gt;"",LOWER(TRIM($Z263))&lt;&gt;"n/a",COUNTIF($Z$2:$Z$528,$Z263)&gt;1)),"Yes","No"),IF(AND($AL263&lt;&gt;"",LOWER(TRIM($AL263))&lt;&gt;"n/a",COUNTIF($AL$2:$AL$528,$AL263)&gt;1),"Yes","No"))))</f>
        <v/>
      </c>
      <c r="F263" t="str">
        <f>IF($B263&lt;&gt;"Yes","",
IF($A263="Neuron",
IF(OR(
AND($S263&lt;&gt;"",LOWER(TRIM($S263))&lt;&gt;"n/a",COUNTIFS($B$2:$B$528,"Yes",$A$2:$A$528,"Neuron",$S$2:$S$528,$S263)&gt;1),
AND($T263&lt;&gt;"",LOWER(TRIM($T263))&lt;&gt;"n/a",COUNTIFS($B$2:$B$528,"Yes",$A$2:$A$528,"Neuron",$T$2:$T$528,$T263)&gt;1),
AND($W263&lt;&gt;"",LOWER(TRIM($W263))&lt;&gt;"n/a",COUNTIFS($B$2:$B$528,"Yes",$A$2:$A$528,"Neuron",$W$2:$W$528,$W263)&gt;1)
),"Yes","No"),
IF($A263="Cybernet",
IF(OR(
AND($Y263&lt;&gt;"",LOWER(TRIM($Y263))&lt;&gt;"n/a",COUNTIFS($B$2:$B$528,"Yes",$A$2:$A$528,"Cybernet",$Y$2:$Y$528,$Y263)&gt;1),
AND($Z263&lt;&gt;"",LOWER(TRIM($Z263))&lt;&gt;"n/a",COUNTIFS($B$2:$B$528,"Yes",$A$2:$A$528,"Cybernet",$Z$2:$Z$528,$Z263)&gt;1)
),"Yes","No"),
IF(AND($AL263&lt;&gt;"",LOWER(TRIM($AL263))&lt;&gt;"n/a"),
IF(COUNTIFS($B$2:$B$528,"Yes",$A$2:$A$528,$A263,$AL$2:$AL$528,$AL263)&gt;1,"Yes","No"),
"No")
)
)
)</f>
        <v/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8"/>
      <c r="AF263" s="4"/>
      <c r="AG263" s="4"/>
      <c r="AH263" s="1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8"/>
      <c r="AX263" s="8"/>
      <c r="AY263" s="8"/>
      <c r="AZ263" s="8"/>
      <c r="BA263" s="12"/>
      <c r="BB263" s="8"/>
      <c r="BC263" s="4"/>
      <c r="BD263" s="4"/>
      <c r="BE263" s="8"/>
      <c r="BF263" s="8"/>
      <c r="BG263" s="8"/>
      <c r="BH263" s="8"/>
      <c r="BI263" s="8"/>
      <c r="BJ263" s="8"/>
      <c r="BK263" s="8"/>
      <c r="BL263" s="4" t="str">
        <f t="shared" si="13"/>
        <v/>
      </c>
      <c r="BM263" s="8" t="str">
        <f t="shared" si="14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1:70" ht="15" customHeight="1">
      <c r="A264" s="8"/>
      <c r="B264" s="8"/>
      <c r="D264" s="15" t="str">
        <f t="shared" si="12"/>
        <v/>
      </c>
      <c r="E264" s="15" t="str">
        <f>IF($A264="","",IF($A264="Neuron",IF(OR(AND($S264&lt;&gt;"",LOWER(TRIM($S264))&lt;&gt;"n/a",COUNTIF($S$2:$S$528,$S264)&gt;1),AND($T264&lt;&gt;"",LOWER(TRIM($T264))&lt;&gt;"n/a",COUNTIF($T$2:$T$528,$T264)&gt;1),AND($W264&lt;&gt;"",LOWER(TRIM($W264))&lt;&gt;"n/a",COUNTIF($W$2:$W$528,$W264)&gt;1)),"Yes","No"),IF($A264="Cybernet",IF(OR(AND($Y264&lt;&gt;"",LOWER(TRIM($Y264))&lt;&gt;"n/a",COUNTIF($Y$2:$Y$528,$Y264)&gt;1),AND($Z264&lt;&gt;"",LOWER(TRIM($Z264))&lt;&gt;"n/a",COUNTIF($Z$2:$Z$528,$Z264)&gt;1)),"Yes","No"),IF(AND($AL264&lt;&gt;"",LOWER(TRIM($AL264))&lt;&gt;"n/a",COUNTIF($AL$2:$AL$528,$AL264)&gt;1),"Yes","No"))))</f>
        <v/>
      </c>
      <c r="F264" t="str">
        <f>IF($B264&lt;&gt;"Yes","",
IF($A264="Neuron",
IF(OR(
AND($S264&lt;&gt;"",LOWER(TRIM($S264))&lt;&gt;"n/a",COUNTIFS($B$2:$B$528,"Yes",$A$2:$A$528,"Neuron",$S$2:$S$528,$S264)&gt;1),
AND($T264&lt;&gt;"",LOWER(TRIM($T264))&lt;&gt;"n/a",COUNTIFS($B$2:$B$528,"Yes",$A$2:$A$528,"Neuron",$T$2:$T$528,$T264)&gt;1),
AND($W264&lt;&gt;"",LOWER(TRIM($W264))&lt;&gt;"n/a",COUNTIFS($B$2:$B$528,"Yes",$A$2:$A$528,"Neuron",$W$2:$W$528,$W264)&gt;1)
),"Yes","No"),
IF($A264="Cybernet",
IF(OR(
AND($Y264&lt;&gt;"",LOWER(TRIM($Y264))&lt;&gt;"n/a",COUNTIFS($B$2:$B$528,"Yes",$A$2:$A$528,"Cybernet",$Y$2:$Y$528,$Y264)&gt;1),
AND($Z264&lt;&gt;"",LOWER(TRIM($Z264))&lt;&gt;"n/a",COUNTIFS($B$2:$B$528,"Yes",$A$2:$A$528,"Cybernet",$Z$2:$Z$528,$Z264)&gt;1)
),"Yes","No"),
IF(AND($AL264&lt;&gt;"",LOWER(TRIM($AL264))&lt;&gt;"n/a"),
IF(COUNTIFS($B$2:$B$528,"Yes",$A$2:$A$528,$A264,$AL$2:$AL$528,$AL264)&gt;1,"Yes","No"),
"No")
)
)
)</f>
        <v/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8"/>
      <c r="AF264" s="4"/>
      <c r="AG264" s="4"/>
      <c r="AH264" s="1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8"/>
      <c r="AX264" s="8"/>
      <c r="AY264" s="8"/>
      <c r="AZ264" s="8"/>
      <c r="BA264" s="12"/>
      <c r="BB264" s="8"/>
      <c r="BC264" s="4"/>
      <c r="BD264" s="4"/>
      <c r="BE264" s="8"/>
      <c r="BF264" s="8"/>
      <c r="BG264" s="8"/>
      <c r="BH264" s="8"/>
      <c r="BI264" s="8"/>
      <c r="BJ264" s="8"/>
      <c r="BK264" s="8"/>
      <c r="BL264" s="4" t="str">
        <f t="shared" si="13"/>
        <v/>
      </c>
      <c r="BM264" s="8" t="str">
        <f t="shared" si="14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1:70" ht="15" customHeight="1">
      <c r="A265" s="8"/>
      <c r="B265" s="8"/>
      <c r="D265" s="15" t="str">
        <f t="shared" si="12"/>
        <v/>
      </c>
      <c r="E265" s="15" t="str">
        <f>IF($A265="","",IF($A265="Neuron",IF(OR(AND($S265&lt;&gt;"",LOWER(TRIM($S265))&lt;&gt;"n/a",COUNTIF($S$2:$S$528,$S265)&gt;1),AND($T265&lt;&gt;"",LOWER(TRIM($T265))&lt;&gt;"n/a",COUNTIF($T$2:$T$528,$T265)&gt;1),AND($W265&lt;&gt;"",LOWER(TRIM($W265))&lt;&gt;"n/a",COUNTIF($W$2:$W$528,$W265)&gt;1)),"Yes","No"),IF($A265="Cybernet",IF(OR(AND($Y265&lt;&gt;"",LOWER(TRIM($Y265))&lt;&gt;"n/a",COUNTIF($Y$2:$Y$528,$Y265)&gt;1),AND($Z265&lt;&gt;"",LOWER(TRIM($Z265))&lt;&gt;"n/a",COUNTIF($Z$2:$Z$528,$Z265)&gt;1)),"Yes","No"),IF(AND($AL265&lt;&gt;"",LOWER(TRIM($AL265))&lt;&gt;"n/a",COUNTIF($AL$2:$AL$528,$AL265)&gt;1),"Yes","No"))))</f>
        <v/>
      </c>
      <c r="F265" t="str">
        <f>IF($B265&lt;&gt;"Yes","",
IF($A265="Neuron",
IF(OR(
AND($S265&lt;&gt;"",LOWER(TRIM($S265))&lt;&gt;"n/a",COUNTIFS($B$2:$B$528,"Yes",$A$2:$A$528,"Neuron",$S$2:$S$528,$S265)&gt;1),
AND($T265&lt;&gt;"",LOWER(TRIM($T265))&lt;&gt;"n/a",COUNTIFS($B$2:$B$528,"Yes",$A$2:$A$528,"Neuron",$T$2:$T$528,$T265)&gt;1),
AND($W265&lt;&gt;"",LOWER(TRIM($W265))&lt;&gt;"n/a",COUNTIFS($B$2:$B$528,"Yes",$A$2:$A$528,"Neuron",$W$2:$W$528,$W265)&gt;1)
),"Yes","No"),
IF($A265="Cybernet",
IF(OR(
AND($Y265&lt;&gt;"",LOWER(TRIM($Y265))&lt;&gt;"n/a",COUNTIFS($B$2:$B$528,"Yes",$A$2:$A$528,"Cybernet",$Y$2:$Y$528,$Y265)&gt;1),
AND($Z265&lt;&gt;"",LOWER(TRIM($Z265))&lt;&gt;"n/a",COUNTIFS($B$2:$B$528,"Yes",$A$2:$A$528,"Cybernet",$Z$2:$Z$528,$Z265)&gt;1)
),"Yes","No"),
IF(AND($AL265&lt;&gt;"",LOWER(TRIM($AL265))&lt;&gt;"n/a"),
IF(COUNTIFS($B$2:$B$528,"Yes",$A$2:$A$528,$A265,$AL$2:$AL$528,$AL265)&gt;1,"Yes","No"),
"No")
)
)
)</f>
        <v/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8"/>
      <c r="AF265" s="4"/>
      <c r="AG265" s="4"/>
      <c r="AH265" s="1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8"/>
      <c r="AX265" s="8"/>
      <c r="AY265" s="8"/>
      <c r="AZ265" s="8"/>
      <c r="BA265" s="12"/>
      <c r="BB265" s="8"/>
      <c r="BC265" s="4"/>
      <c r="BD265" s="4"/>
      <c r="BE265" s="8"/>
      <c r="BF265" s="8"/>
      <c r="BG265" s="8"/>
      <c r="BH265" s="8"/>
      <c r="BI265" s="8"/>
      <c r="BJ265" s="8"/>
      <c r="BK265" s="8"/>
      <c r="BL265" s="4" t="str">
        <f t="shared" si="13"/>
        <v/>
      </c>
      <c r="BM265" s="8" t="str">
        <f t="shared" si="14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1:70" ht="15" customHeight="1">
      <c r="A266" s="8"/>
      <c r="B266" s="8"/>
      <c r="D266" s="15" t="str">
        <f t="shared" si="12"/>
        <v/>
      </c>
      <c r="E266" s="15" t="str">
        <f>IF($A266="","",IF($A266="Neuron",IF(OR(AND($S266&lt;&gt;"",LOWER(TRIM($S266))&lt;&gt;"n/a",COUNTIF($S$2:$S$528,$S266)&gt;1),AND($T266&lt;&gt;"",LOWER(TRIM($T266))&lt;&gt;"n/a",COUNTIF($T$2:$T$528,$T266)&gt;1),AND($W266&lt;&gt;"",LOWER(TRIM($W266))&lt;&gt;"n/a",COUNTIF($W$2:$W$528,$W266)&gt;1)),"Yes","No"),IF($A266="Cybernet",IF(OR(AND($Y266&lt;&gt;"",LOWER(TRIM($Y266))&lt;&gt;"n/a",COUNTIF($Y$2:$Y$528,$Y266)&gt;1),AND($Z266&lt;&gt;"",LOWER(TRIM($Z266))&lt;&gt;"n/a",COUNTIF($Z$2:$Z$528,$Z266)&gt;1)),"Yes","No"),IF(AND($AL266&lt;&gt;"",LOWER(TRIM($AL266))&lt;&gt;"n/a",COUNTIF($AL$2:$AL$528,$AL266)&gt;1),"Yes","No"))))</f>
        <v/>
      </c>
      <c r="F266" t="str">
        <f>IF($B266&lt;&gt;"Yes","",
IF($A266="Neuron",
IF(OR(
AND($S266&lt;&gt;"",LOWER(TRIM($S266))&lt;&gt;"n/a",COUNTIFS($B$2:$B$528,"Yes",$A$2:$A$528,"Neuron",$S$2:$S$528,$S266)&gt;1),
AND($T266&lt;&gt;"",LOWER(TRIM($T266))&lt;&gt;"n/a",COUNTIFS($B$2:$B$528,"Yes",$A$2:$A$528,"Neuron",$T$2:$T$528,$T266)&gt;1),
AND($W266&lt;&gt;"",LOWER(TRIM($W266))&lt;&gt;"n/a",COUNTIFS($B$2:$B$528,"Yes",$A$2:$A$528,"Neuron",$W$2:$W$528,$W266)&gt;1)
),"Yes","No"),
IF($A266="Cybernet",
IF(OR(
AND($Y266&lt;&gt;"",LOWER(TRIM($Y266))&lt;&gt;"n/a",COUNTIFS($B$2:$B$528,"Yes",$A$2:$A$528,"Cybernet",$Y$2:$Y$528,$Y266)&gt;1),
AND($Z266&lt;&gt;"",LOWER(TRIM($Z266))&lt;&gt;"n/a",COUNTIFS($B$2:$B$528,"Yes",$A$2:$A$528,"Cybernet",$Z$2:$Z$528,$Z266)&gt;1)
),"Yes","No"),
IF(AND($AL266&lt;&gt;"",LOWER(TRIM($AL266))&lt;&gt;"n/a"),
IF(COUNTIFS($B$2:$B$528,"Yes",$A$2:$A$528,$A266,$AL$2:$AL$528,$AL266)&gt;1,"Yes","No"),
"No")
)
)
)</f>
        <v/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8"/>
      <c r="AF266" s="4"/>
      <c r="AG266" s="4"/>
      <c r="AH266" s="1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8"/>
      <c r="AX266" s="8"/>
      <c r="AY266" s="8"/>
      <c r="AZ266" s="8"/>
      <c r="BA266" s="12"/>
      <c r="BB266" s="8"/>
      <c r="BC266" s="4"/>
      <c r="BD266" s="4"/>
      <c r="BE266" s="8"/>
      <c r="BF266" s="8"/>
      <c r="BG266" s="8"/>
      <c r="BH266" s="8"/>
      <c r="BI266" s="8"/>
      <c r="BJ266" s="8"/>
      <c r="BK266" s="8"/>
      <c r="BL266" s="4" t="str">
        <f t="shared" si="13"/>
        <v/>
      </c>
      <c r="BM266" s="8" t="str">
        <f t="shared" si="14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1:70" ht="15" customHeight="1">
      <c r="A267" s="8"/>
      <c r="B267" s="8"/>
      <c r="D267" s="15" t="str">
        <f t="shared" ref="D267:D330" si="15">IF($B267&lt;&gt;"Yes","",IF($C267="No","Yes",IF($C267="Yes","No","")))</f>
        <v/>
      </c>
      <c r="E267" s="15" t="str">
        <f>IF($A267="","",IF($A267="Neuron",IF(OR(AND($S267&lt;&gt;"",LOWER(TRIM($S267))&lt;&gt;"n/a",COUNTIF($S$2:$S$528,$S267)&gt;1),AND($T267&lt;&gt;"",LOWER(TRIM($T267))&lt;&gt;"n/a",COUNTIF($T$2:$T$528,$T267)&gt;1),AND($W267&lt;&gt;"",LOWER(TRIM($W267))&lt;&gt;"n/a",COUNTIF($W$2:$W$528,$W267)&gt;1)),"Yes","No"),IF($A267="Cybernet",IF(OR(AND($Y267&lt;&gt;"",LOWER(TRIM($Y267))&lt;&gt;"n/a",COUNTIF($Y$2:$Y$528,$Y267)&gt;1),AND($Z267&lt;&gt;"",LOWER(TRIM($Z267))&lt;&gt;"n/a",COUNTIF($Z$2:$Z$528,$Z267)&gt;1)),"Yes","No"),IF(AND($AL267&lt;&gt;"",LOWER(TRIM($AL267))&lt;&gt;"n/a",COUNTIF($AL$2:$AL$528,$AL267)&gt;1),"Yes","No"))))</f>
        <v/>
      </c>
      <c r="F267" t="str">
        <f>IF($B267&lt;&gt;"Yes","",
IF($A267="Neuron",
IF(OR(
AND($S267&lt;&gt;"",LOWER(TRIM($S267))&lt;&gt;"n/a",COUNTIFS($B$2:$B$528,"Yes",$A$2:$A$528,"Neuron",$S$2:$S$528,$S267)&gt;1),
AND($T267&lt;&gt;"",LOWER(TRIM($T267))&lt;&gt;"n/a",COUNTIFS($B$2:$B$528,"Yes",$A$2:$A$528,"Neuron",$T$2:$T$528,$T267)&gt;1),
AND($W267&lt;&gt;"",LOWER(TRIM($W267))&lt;&gt;"n/a",COUNTIFS($B$2:$B$528,"Yes",$A$2:$A$528,"Neuron",$W$2:$W$528,$W267)&gt;1)
),"Yes","No"),
IF($A267="Cybernet",
IF(OR(
AND($Y267&lt;&gt;"",LOWER(TRIM($Y267))&lt;&gt;"n/a",COUNTIFS($B$2:$B$528,"Yes",$A$2:$A$528,"Cybernet",$Y$2:$Y$528,$Y267)&gt;1),
AND($Z267&lt;&gt;"",LOWER(TRIM($Z267))&lt;&gt;"n/a",COUNTIFS($B$2:$B$528,"Yes",$A$2:$A$528,"Cybernet",$Z$2:$Z$528,$Z267)&gt;1)
),"Yes","No"),
IF(AND($AL267&lt;&gt;"",LOWER(TRIM($AL267))&lt;&gt;"n/a"),
IF(COUNTIFS($B$2:$B$528,"Yes",$A$2:$A$528,$A267,$AL$2:$AL$528,$AL267)&gt;1,"Yes","No"),
"No")
)
)
)</f>
        <v/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8"/>
      <c r="AF267" s="4"/>
      <c r="AG267" s="4"/>
      <c r="AH267" s="1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8"/>
      <c r="AX267" s="8"/>
      <c r="AY267" s="8"/>
      <c r="AZ267" s="8"/>
      <c r="BA267" s="12"/>
      <c r="BB267" s="8"/>
      <c r="BC267" s="4"/>
      <c r="BD267" s="4"/>
      <c r="BE267" s="8"/>
      <c r="BF267" s="8"/>
      <c r="BG267" s="8"/>
      <c r="BH267" s="8"/>
      <c r="BI267" s="8"/>
      <c r="BJ267" s="8"/>
      <c r="BK267" s="8"/>
      <c r="BL267" s="4" t="str">
        <f t="shared" si="13"/>
        <v/>
      </c>
      <c r="BM267" s="8" t="str">
        <f t="shared" si="14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1:70" ht="15" customHeight="1">
      <c r="A268" s="8"/>
      <c r="B268" s="8"/>
      <c r="D268" s="15" t="str">
        <f t="shared" si="15"/>
        <v/>
      </c>
      <c r="E268" s="15" t="str">
        <f>IF($A268="","",IF($A268="Neuron",IF(OR(AND($S268&lt;&gt;"",LOWER(TRIM($S268))&lt;&gt;"n/a",COUNTIF($S$2:$S$528,$S268)&gt;1),AND($T268&lt;&gt;"",LOWER(TRIM($T268))&lt;&gt;"n/a",COUNTIF($T$2:$T$528,$T268)&gt;1),AND($W268&lt;&gt;"",LOWER(TRIM($W268))&lt;&gt;"n/a",COUNTIF($W$2:$W$528,$W268)&gt;1)),"Yes","No"),IF($A268="Cybernet",IF(OR(AND($Y268&lt;&gt;"",LOWER(TRIM($Y268))&lt;&gt;"n/a",COUNTIF($Y$2:$Y$528,$Y268)&gt;1),AND($Z268&lt;&gt;"",LOWER(TRIM($Z268))&lt;&gt;"n/a",COUNTIF($Z$2:$Z$528,$Z268)&gt;1)),"Yes","No"),IF(AND($AL268&lt;&gt;"",LOWER(TRIM($AL268))&lt;&gt;"n/a",COUNTIF($AL$2:$AL$528,$AL268)&gt;1),"Yes","No"))))</f>
        <v/>
      </c>
      <c r="F268" t="str">
        <f>IF($B268&lt;&gt;"Yes","",
IF($A268="Neuron",
IF(OR(
AND($S268&lt;&gt;"",LOWER(TRIM($S268))&lt;&gt;"n/a",COUNTIFS($B$2:$B$528,"Yes",$A$2:$A$528,"Neuron",$S$2:$S$528,$S268)&gt;1),
AND($T268&lt;&gt;"",LOWER(TRIM($T268))&lt;&gt;"n/a",COUNTIFS($B$2:$B$528,"Yes",$A$2:$A$528,"Neuron",$T$2:$T$528,$T268)&gt;1),
AND($W268&lt;&gt;"",LOWER(TRIM($W268))&lt;&gt;"n/a",COUNTIFS($B$2:$B$528,"Yes",$A$2:$A$528,"Neuron",$W$2:$W$528,$W268)&gt;1)
),"Yes","No"),
IF($A268="Cybernet",
IF(OR(
AND($Y268&lt;&gt;"",LOWER(TRIM($Y268))&lt;&gt;"n/a",COUNTIFS($B$2:$B$528,"Yes",$A$2:$A$528,"Cybernet",$Y$2:$Y$528,$Y268)&gt;1),
AND($Z268&lt;&gt;"",LOWER(TRIM($Z268))&lt;&gt;"n/a",COUNTIFS($B$2:$B$528,"Yes",$A$2:$A$528,"Cybernet",$Z$2:$Z$528,$Z268)&gt;1)
),"Yes","No"),
IF(AND($AL268&lt;&gt;"",LOWER(TRIM($AL268))&lt;&gt;"n/a"),
IF(COUNTIFS($B$2:$B$528,"Yes",$A$2:$A$528,$A268,$AL$2:$AL$528,$AL268)&gt;1,"Yes","No"),
"No")
)
)
)</f>
        <v/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8"/>
      <c r="AF268" s="4"/>
      <c r="AG268" s="4"/>
      <c r="AH268" s="1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8"/>
      <c r="AX268" s="8"/>
      <c r="AY268" s="8"/>
      <c r="AZ268" s="8"/>
      <c r="BA268" s="12"/>
      <c r="BB268" s="8"/>
      <c r="BC268" s="4"/>
      <c r="BD268" s="4"/>
      <c r="BE268" s="8"/>
      <c r="BF268" s="8"/>
      <c r="BG268" s="8"/>
      <c r="BH268" s="8"/>
      <c r="BI268" s="8"/>
      <c r="BJ268" s="8"/>
      <c r="BK268" s="8"/>
      <c r="BL268" s="4" t="str">
        <f t="shared" si="13"/>
        <v/>
      </c>
      <c r="BM268" s="8" t="str">
        <f t="shared" si="14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1:70" ht="15" customHeight="1">
      <c r="A269" s="8"/>
      <c r="B269" s="8"/>
      <c r="D269" s="15" t="str">
        <f t="shared" si="15"/>
        <v/>
      </c>
      <c r="E269" s="15" t="str">
        <f>IF($A269="","",IF($A269="Neuron",IF(OR(AND($S269&lt;&gt;"",LOWER(TRIM($S269))&lt;&gt;"n/a",COUNTIF($S$2:$S$528,$S269)&gt;1),AND($T269&lt;&gt;"",LOWER(TRIM($T269))&lt;&gt;"n/a",COUNTIF($T$2:$T$528,$T269)&gt;1),AND($W269&lt;&gt;"",LOWER(TRIM($W269))&lt;&gt;"n/a",COUNTIF($W$2:$W$528,$W269)&gt;1)),"Yes","No"),IF($A269="Cybernet",IF(OR(AND($Y269&lt;&gt;"",LOWER(TRIM($Y269))&lt;&gt;"n/a",COUNTIF($Y$2:$Y$528,$Y269)&gt;1),AND($Z269&lt;&gt;"",LOWER(TRIM($Z269))&lt;&gt;"n/a",COUNTIF($Z$2:$Z$528,$Z269)&gt;1)),"Yes","No"),IF(AND($AL269&lt;&gt;"",LOWER(TRIM($AL269))&lt;&gt;"n/a",COUNTIF($AL$2:$AL$528,$AL269)&gt;1),"Yes","No"))))</f>
        <v/>
      </c>
      <c r="F269" t="str">
        <f>IF($B269&lt;&gt;"Yes","",
IF($A269="Neuron",
IF(OR(
AND($S269&lt;&gt;"",LOWER(TRIM($S269))&lt;&gt;"n/a",COUNTIFS($B$2:$B$528,"Yes",$A$2:$A$528,"Neuron",$S$2:$S$528,$S269)&gt;1),
AND($T269&lt;&gt;"",LOWER(TRIM($T269))&lt;&gt;"n/a",COUNTIFS($B$2:$B$528,"Yes",$A$2:$A$528,"Neuron",$T$2:$T$528,$T269)&gt;1),
AND($W269&lt;&gt;"",LOWER(TRIM($W269))&lt;&gt;"n/a",COUNTIFS($B$2:$B$528,"Yes",$A$2:$A$528,"Neuron",$W$2:$W$528,$W269)&gt;1)
),"Yes","No"),
IF($A269="Cybernet",
IF(OR(
AND($Y269&lt;&gt;"",LOWER(TRIM($Y269))&lt;&gt;"n/a",COUNTIFS($B$2:$B$528,"Yes",$A$2:$A$528,"Cybernet",$Y$2:$Y$528,$Y269)&gt;1),
AND($Z269&lt;&gt;"",LOWER(TRIM($Z269))&lt;&gt;"n/a",COUNTIFS($B$2:$B$528,"Yes",$A$2:$A$528,"Cybernet",$Z$2:$Z$528,$Z269)&gt;1)
),"Yes","No"),
IF(AND($AL269&lt;&gt;"",LOWER(TRIM($AL269))&lt;&gt;"n/a"),
IF(COUNTIFS($B$2:$B$528,"Yes",$A$2:$A$528,$A269,$AL$2:$AL$528,$AL269)&gt;1,"Yes","No"),
"No")
)
)
)</f>
        <v/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8"/>
      <c r="AF269" s="4"/>
      <c r="AG269" s="4"/>
      <c r="AH269" s="1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8"/>
      <c r="AX269" s="8"/>
      <c r="AY269" s="8"/>
      <c r="AZ269" s="8"/>
      <c r="BA269" s="12"/>
      <c r="BB269" s="8"/>
      <c r="BC269" s="4"/>
      <c r="BD269" s="4"/>
      <c r="BE269" s="8"/>
      <c r="BF269" s="8"/>
      <c r="BG269" s="8"/>
      <c r="BH269" s="8"/>
      <c r="BI269" s="8"/>
      <c r="BJ269" s="8"/>
      <c r="BK269" s="8"/>
      <c r="BL269" s="4" t="str">
        <f t="shared" si="13"/>
        <v/>
      </c>
      <c r="BM269" s="8" t="str">
        <f t="shared" si="14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1:70" ht="15" customHeight="1">
      <c r="A270" s="8"/>
      <c r="B270" s="8"/>
      <c r="D270" s="15" t="str">
        <f t="shared" si="15"/>
        <v/>
      </c>
      <c r="E270" s="15" t="str">
        <f>IF($A270="","",IF($A270="Neuron",IF(OR(AND($S270&lt;&gt;"",LOWER(TRIM($S270))&lt;&gt;"n/a",COUNTIF($S$2:$S$528,$S270)&gt;1),AND($T270&lt;&gt;"",LOWER(TRIM($T270))&lt;&gt;"n/a",COUNTIF($T$2:$T$528,$T270)&gt;1),AND($W270&lt;&gt;"",LOWER(TRIM($W270))&lt;&gt;"n/a",COUNTIF($W$2:$W$528,$W270)&gt;1)),"Yes","No"),IF($A270="Cybernet",IF(OR(AND($Y270&lt;&gt;"",LOWER(TRIM($Y270))&lt;&gt;"n/a",COUNTIF($Y$2:$Y$528,$Y270)&gt;1),AND($Z270&lt;&gt;"",LOWER(TRIM($Z270))&lt;&gt;"n/a",COUNTIF($Z$2:$Z$528,$Z270)&gt;1)),"Yes","No"),IF(AND($AL270&lt;&gt;"",LOWER(TRIM($AL270))&lt;&gt;"n/a",COUNTIF($AL$2:$AL$528,$AL270)&gt;1),"Yes","No"))))</f>
        <v/>
      </c>
      <c r="F270" t="str">
        <f>IF($B270&lt;&gt;"Yes","",
IF($A270="Neuron",
IF(OR(
AND($S270&lt;&gt;"",LOWER(TRIM($S270))&lt;&gt;"n/a",COUNTIFS($B$2:$B$528,"Yes",$A$2:$A$528,"Neuron",$S$2:$S$528,$S270)&gt;1),
AND($T270&lt;&gt;"",LOWER(TRIM($T270))&lt;&gt;"n/a",COUNTIFS($B$2:$B$528,"Yes",$A$2:$A$528,"Neuron",$T$2:$T$528,$T270)&gt;1),
AND($W270&lt;&gt;"",LOWER(TRIM($W270))&lt;&gt;"n/a",COUNTIFS($B$2:$B$528,"Yes",$A$2:$A$528,"Neuron",$W$2:$W$528,$W270)&gt;1)
),"Yes","No"),
IF($A270="Cybernet",
IF(OR(
AND($Y270&lt;&gt;"",LOWER(TRIM($Y270))&lt;&gt;"n/a",COUNTIFS($B$2:$B$528,"Yes",$A$2:$A$528,"Cybernet",$Y$2:$Y$528,$Y270)&gt;1),
AND($Z270&lt;&gt;"",LOWER(TRIM($Z270))&lt;&gt;"n/a",COUNTIFS($B$2:$B$528,"Yes",$A$2:$A$528,"Cybernet",$Z$2:$Z$528,$Z270)&gt;1)
),"Yes","No"),
IF(AND($AL270&lt;&gt;"",LOWER(TRIM($AL270))&lt;&gt;"n/a"),
IF(COUNTIFS($B$2:$B$528,"Yes",$A$2:$A$528,$A270,$AL$2:$AL$528,$AL270)&gt;1,"Yes","No"),
"No")
)
)
)</f>
        <v/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8"/>
      <c r="AF270" s="4"/>
      <c r="AG270" s="4"/>
      <c r="AH270" s="1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8"/>
      <c r="AX270" s="8"/>
      <c r="AY270" s="8"/>
      <c r="AZ270" s="8"/>
      <c r="BA270" s="12"/>
      <c r="BB270" s="8"/>
      <c r="BC270" s="4"/>
      <c r="BD270" s="4"/>
      <c r="BE270" s="8"/>
      <c r="BF270" s="8"/>
      <c r="BG270" s="8"/>
      <c r="BH270" s="8"/>
      <c r="BI270" s="8"/>
      <c r="BJ270" s="8"/>
      <c r="BK270" s="8"/>
      <c r="BL270" s="4" t="str">
        <f t="shared" si="13"/>
        <v/>
      </c>
      <c r="BM270" s="8" t="str">
        <f t="shared" si="14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1:70" ht="15" customHeight="1">
      <c r="A271" s="8"/>
      <c r="B271" s="8"/>
      <c r="D271" s="15" t="str">
        <f t="shared" si="15"/>
        <v/>
      </c>
      <c r="E271" s="15" t="str">
        <f>IF($A271="","",IF($A271="Neuron",IF(OR(AND($S271&lt;&gt;"",LOWER(TRIM($S271))&lt;&gt;"n/a",COUNTIF($S$2:$S$528,$S271)&gt;1),AND($T271&lt;&gt;"",LOWER(TRIM($T271))&lt;&gt;"n/a",COUNTIF($T$2:$T$528,$T271)&gt;1),AND($W271&lt;&gt;"",LOWER(TRIM($W271))&lt;&gt;"n/a",COUNTIF($W$2:$W$528,$W271)&gt;1)),"Yes","No"),IF($A271="Cybernet",IF(OR(AND($Y271&lt;&gt;"",LOWER(TRIM($Y271))&lt;&gt;"n/a",COUNTIF($Y$2:$Y$528,$Y271)&gt;1),AND($Z271&lt;&gt;"",LOWER(TRIM($Z271))&lt;&gt;"n/a",COUNTIF($Z$2:$Z$528,$Z271)&gt;1)),"Yes","No"),IF(AND($AL271&lt;&gt;"",LOWER(TRIM($AL271))&lt;&gt;"n/a",COUNTIF($AL$2:$AL$528,$AL271)&gt;1),"Yes","No"))))</f>
        <v/>
      </c>
      <c r="F271" t="str">
        <f>IF($B271&lt;&gt;"Yes","",
IF($A271="Neuron",
IF(OR(
AND($S271&lt;&gt;"",LOWER(TRIM($S271))&lt;&gt;"n/a",COUNTIFS($B$2:$B$528,"Yes",$A$2:$A$528,"Neuron",$S$2:$S$528,$S271)&gt;1),
AND($T271&lt;&gt;"",LOWER(TRIM($T271))&lt;&gt;"n/a",COUNTIFS($B$2:$B$528,"Yes",$A$2:$A$528,"Neuron",$T$2:$T$528,$T271)&gt;1),
AND($W271&lt;&gt;"",LOWER(TRIM($W271))&lt;&gt;"n/a",COUNTIFS($B$2:$B$528,"Yes",$A$2:$A$528,"Neuron",$W$2:$W$528,$W271)&gt;1)
),"Yes","No"),
IF($A271="Cybernet",
IF(OR(
AND($Y271&lt;&gt;"",LOWER(TRIM($Y271))&lt;&gt;"n/a",COUNTIFS($B$2:$B$528,"Yes",$A$2:$A$528,"Cybernet",$Y$2:$Y$528,$Y271)&gt;1),
AND($Z271&lt;&gt;"",LOWER(TRIM($Z271))&lt;&gt;"n/a",COUNTIFS($B$2:$B$528,"Yes",$A$2:$A$528,"Cybernet",$Z$2:$Z$528,$Z271)&gt;1)
),"Yes","No"),
IF(AND($AL271&lt;&gt;"",LOWER(TRIM($AL271))&lt;&gt;"n/a"),
IF(COUNTIFS($B$2:$B$528,"Yes",$A$2:$A$528,$A271,$AL$2:$AL$528,$AL271)&gt;1,"Yes","No"),
"No")
)
)
)</f>
        <v/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8"/>
      <c r="AF271" s="4"/>
      <c r="AG271" s="4"/>
      <c r="AH271" s="1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8"/>
      <c r="AX271" s="8"/>
      <c r="AY271" s="8"/>
      <c r="AZ271" s="8"/>
      <c r="BA271" s="12"/>
      <c r="BB271" s="8"/>
      <c r="BC271" s="4"/>
      <c r="BD271" s="4"/>
      <c r="BE271" s="8"/>
      <c r="BF271" s="8"/>
      <c r="BG271" s="8"/>
      <c r="BH271" s="8"/>
      <c r="BI271" s="8"/>
      <c r="BJ271" s="8"/>
      <c r="BK271" s="8"/>
      <c r="BL271" s="4" t="str">
        <f t="shared" si="13"/>
        <v/>
      </c>
      <c r="BM271" s="8" t="str">
        <f t="shared" si="14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1:70" ht="15" customHeight="1">
      <c r="A272" s="8"/>
      <c r="B272" s="8"/>
      <c r="D272" s="15" t="str">
        <f t="shared" si="15"/>
        <v/>
      </c>
      <c r="E272" s="15" t="str">
        <f>IF($A272="","",IF($A272="Neuron",IF(OR(AND($S272&lt;&gt;"",LOWER(TRIM($S272))&lt;&gt;"n/a",COUNTIF($S$2:$S$528,$S272)&gt;1),AND($T272&lt;&gt;"",LOWER(TRIM($T272))&lt;&gt;"n/a",COUNTIF($T$2:$T$528,$T272)&gt;1),AND($W272&lt;&gt;"",LOWER(TRIM($W272))&lt;&gt;"n/a",COUNTIF($W$2:$W$528,$W272)&gt;1)),"Yes","No"),IF($A272="Cybernet",IF(OR(AND($Y272&lt;&gt;"",LOWER(TRIM($Y272))&lt;&gt;"n/a",COUNTIF($Y$2:$Y$528,$Y272)&gt;1),AND($Z272&lt;&gt;"",LOWER(TRIM($Z272))&lt;&gt;"n/a",COUNTIF($Z$2:$Z$528,$Z272)&gt;1)),"Yes","No"),IF(AND($AL272&lt;&gt;"",LOWER(TRIM($AL272))&lt;&gt;"n/a",COUNTIF($AL$2:$AL$528,$AL272)&gt;1),"Yes","No"))))</f>
        <v/>
      </c>
      <c r="F272" t="str">
        <f>IF($B272&lt;&gt;"Yes","",
IF($A272="Neuron",
IF(OR(
AND($S272&lt;&gt;"",LOWER(TRIM($S272))&lt;&gt;"n/a",COUNTIFS($B$2:$B$528,"Yes",$A$2:$A$528,"Neuron",$S$2:$S$528,$S272)&gt;1),
AND($T272&lt;&gt;"",LOWER(TRIM($T272))&lt;&gt;"n/a",COUNTIFS($B$2:$B$528,"Yes",$A$2:$A$528,"Neuron",$T$2:$T$528,$T272)&gt;1),
AND($W272&lt;&gt;"",LOWER(TRIM($W272))&lt;&gt;"n/a",COUNTIFS($B$2:$B$528,"Yes",$A$2:$A$528,"Neuron",$W$2:$W$528,$W272)&gt;1)
),"Yes","No"),
IF($A272="Cybernet",
IF(OR(
AND($Y272&lt;&gt;"",LOWER(TRIM($Y272))&lt;&gt;"n/a",COUNTIFS($B$2:$B$528,"Yes",$A$2:$A$528,"Cybernet",$Y$2:$Y$528,$Y272)&gt;1),
AND($Z272&lt;&gt;"",LOWER(TRIM($Z272))&lt;&gt;"n/a",COUNTIFS($B$2:$B$528,"Yes",$A$2:$A$528,"Cybernet",$Z$2:$Z$528,$Z272)&gt;1)
),"Yes","No"),
IF(AND($AL272&lt;&gt;"",LOWER(TRIM($AL272))&lt;&gt;"n/a"),
IF(COUNTIFS($B$2:$B$528,"Yes",$A$2:$A$528,$A272,$AL$2:$AL$528,$AL272)&gt;1,"Yes","No"),
"No")
)
)
)</f>
        <v/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8"/>
      <c r="AF272" s="4"/>
      <c r="AG272" s="4"/>
      <c r="AH272" s="1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8"/>
      <c r="AX272" s="8"/>
      <c r="AY272" s="8"/>
      <c r="AZ272" s="8"/>
      <c r="BA272" s="12"/>
      <c r="BB272" s="8"/>
      <c r="BC272" s="4"/>
      <c r="BD272" s="4"/>
      <c r="BE272" s="8"/>
      <c r="BF272" s="8"/>
      <c r="BG272" s="8"/>
      <c r="BH272" s="8"/>
      <c r="BI272" s="8"/>
      <c r="BJ272" s="8"/>
      <c r="BK272" s="8"/>
      <c r="BL272" s="4" t="str">
        <f t="shared" si="13"/>
        <v/>
      </c>
      <c r="BM272" s="8" t="str">
        <f t="shared" si="14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1:70" ht="15" customHeight="1">
      <c r="A273" s="8"/>
      <c r="B273" s="8"/>
      <c r="D273" s="15" t="str">
        <f t="shared" si="15"/>
        <v/>
      </c>
      <c r="E273" s="15" t="str">
        <f>IF($A273="","",IF($A273="Neuron",IF(OR(AND($S273&lt;&gt;"",LOWER(TRIM($S273))&lt;&gt;"n/a",COUNTIF($S$2:$S$528,$S273)&gt;1),AND($T273&lt;&gt;"",LOWER(TRIM($T273))&lt;&gt;"n/a",COUNTIF($T$2:$T$528,$T273)&gt;1),AND($W273&lt;&gt;"",LOWER(TRIM($W273))&lt;&gt;"n/a",COUNTIF($W$2:$W$528,$W273)&gt;1)),"Yes","No"),IF($A273="Cybernet",IF(OR(AND($Y273&lt;&gt;"",LOWER(TRIM($Y273))&lt;&gt;"n/a",COUNTIF($Y$2:$Y$528,$Y273)&gt;1),AND($Z273&lt;&gt;"",LOWER(TRIM($Z273))&lt;&gt;"n/a",COUNTIF($Z$2:$Z$528,$Z273)&gt;1)),"Yes","No"),IF(AND($AL273&lt;&gt;"",LOWER(TRIM($AL273))&lt;&gt;"n/a",COUNTIF($AL$2:$AL$528,$AL273)&gt;1),"Yes","No"))))</f>
        <v/>
      </c>
      <c r="F273" t="str">
        <f>IF($B273&lt;&gt;"Yes","",
IF($A273="Neuron",
IF(OR(
AND($S273&lt;&gt;"",LOWER(TRIM($S273))&lt;&gt;"n/a",COUNTIFS($B$2:$B$528,"Yes",$A$2:$A$528,"Neuron",$S$2:$S$528,$S273)&gt;1),
AND($T273&lt;&gt;"",LOWER(TRIM($T273))&lt;&gt;"n/a",COUNTIFS($B$2:$B$528,"Yes",$A$2:$A$528,"Neuron",$T$2:$T$528,$T273)&gt;1),
AND($W273&lt;&gt;"",LOWER(TRIM($W273))&lt;&gt;"n/a",COUNTIFS($B$2:$B$528,"Yes",$A$2:$A$528,"Neuron",$W$2:$W$528,$W273)&gt;1)
),"Yes","No"),
IF($A273="Cybernet",
IF(OR(
AND($Y273&lt;&gt;"",LOWER(TRIM($Y273))&lt;&gt;"n/a",COUNTIFS($B$2:$B$528,"Yes",$A$2:$A$528,"Cybernet",$Y$2:$Y$528,$Y273)&gt;1),
AND($Z273&lt;&gt;"",LOWER(TRIM($Z273))&lt;&gt;"n/a",COUNTIFS($B$2:$B$528,"Yes",$A$2:$A$528,"Cybernet",$Z$2:$Z$528,$Z273)&gt;1)
),"Yes","No"),
IF(AND($AL273&lt;&gt;"",LOWER(TRIM($AL273))&lt;&gt;"n/a"),
IF(COUNTIFS($B$2:$B$528,"Yes",$A$2:$A$528,$A273,$AL$2:$AL$528,$AL273)&gt;1,"Yes","No"),
"No")
)
)
)</f>
        <v/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8"/>
      <c r="AF273" s="4"/>
      <c r="AG273" s="4"/>
      <c r="AH273" s="1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8"/>
      <c r="AX273" s="8"/>
      <c r="AY273" s="8"/>
      <c r="AZ273" s="8"/>
      <c r="BA273" s="12"/>
      <c r="BB273" s="8"/>
      <c r="BC273" s="4"/>
      <c r="BD273" s="4"/>
      <c r="BE273" s="8"/>
      <c r="BF273" s="8"/>
      <c r="BG273" s="8"/>
      <c r="BH273" s="8"/>
      <c r="BI273" s="8"/>
      <c r="BJ273" s="8"/>
      <c r="BK273" s="8"/>
      <c r="BL273" s="4" t="str">
        <f t="shared" si="13"/>
        <v/>
      </c>
      <c r="BM273" s="8" t="str">
        <f t="shared" si="14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1:70" ht="15" customHeight="1">
      <c r="A274" s="8"/>
      <c r="B274" s="8"/>
      <c r="D274" s="15" t="str">
        <f t="shared" si="15"/>
        <v/>
      </c>
      <c r="E274" s="15" t="str">
        <f>IF($A274="","",IF($A274="Neuron",IF(OR(AND($S274&lt;&gt;"",LOWER(TRIM($S274))&lt;&gt;"n/a",COUNTIF($S$2:$S$528,$S274)&gt;1),AND($T274&lt;&gt;"",LOWER(TRIM($T274))&lt;&gt;"n/a",COUNTIF($T$2:$T$528,$T274)&gt;1),AND($W274&lt;&gt;"",LOWER(TRIM($W274))&lt;&gt;"n/a",COUNTIF($W$2:$W$528,$W274)&gt;1)),"Yes","No"),IF($A274="Cybernet",IF(OR(AND($Y274&lt;&gt;"",LOWER(TRIM($Y274))&lt;&gt;"n/a",COUNTIF($Y$2:$Y$528,$Y274)&gt;1),AND($Z274&lt;&gt;"",LOWER(TRIM($Z274))&lt;&gt;"n/a",COUNTIF($Z$2:$Z$528,$Z274)&gt;1)),"Yes","No"),IF(AND($AL274&lt;&gt;"",LOWER(TRIM($AL274))&lt;&gt;"n/a",COUNTIF($AL$2:$AL$528,$AL274)&gt;1),"Yes","No"))))</f>
        <v/>
      </c>
      <c r="F274" t="str">
        <f>IF($B274&lt;&gt;"Yes","",
IF($A274="Neuron",
IF(OR(
AND($S274&lt;&gt;"",LOWER(TRIM($S274))&lt;&gt;"n/a",COUNTIFS($B$2:$B$528,"Yes",$A$2:$A$528,"Neuron",$S$2:$S$528,$S274)&gt;1),
AND($T274&lt;&gt;"",LOWER(TRIM($T274))&lt;&gt;"n/a",COUNTIFS($B$2:$B$528,"Yes",$A$2:$A$528,"Neuron",$T$2:$T$528,$T274)&gt;1),
AND($W274&lt;&gt;"",LOWER(TRIM($W274))&lt;&gt;"n/a",COUNTIFS($B$2:$B$528,"Yes",$A$2:$A$528,"Neuron",$W$2:$W$528,$W274)&gt;1)
),"Yes","No"),
IF($A274="Cybernet",
IF(OR(
AND($Y274&lt;&gt;"",LOWER(TRIM($Y274))&lt;&gt;"n/a",COUNTIFS($B$2:$B$528,"Yes",$A$2:$A$528,"Cybernet",$Y$2:$Y$528,$Y274)&gt;1),
AND($Z274&lt;&gt;"",LOWER(TRIM($Z274))&lt;&gt;"n/a",COUNTIFS($B$2:$B$528,"Yes",$A$2:$A$528,"Cybernet",$Z$2:$Z$528,$Z274)&gt;1)
),"Yes","No"),
IF(AND($AL274&lt;&gt;"",LOWER(TRIM($AL274))&lt;&gt;"n/a"),
IF(COUNTIFS($B$2:$B$528,"Yes",$A$2:$A$528,$A274,$AL$2:$AL$528,$AL274)&gt;1,"Yes","No"),
"No")
)
)
)</f>
        <v/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8"/>
      <c r="AF274" s="4"/>
      <c r="AG274" s="4"/>
      <c r="AH274" s="1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8"/>
      <c r="AX274" s="8"/>
      <c r="AY274" s="8"/>
      <c r="AZ274" s="8"/>
      <c r="BA274" s="12"/>
      <c r="BB274" s="8"/>
      <c r="BC274" s="4"/>
      <c r="BD274" s="4"/>
      <c r="BE274" s="8"/>
      <c r="BF274" s="8"/>
      <c r="BG274" s="8"/>
      <c r="BH274" s="8"/>
      <c r="BI274" s="8"/>
      <c r="BJ274" s="8"/>
      <c r="BK274" s="8"/>
      <c r="BL274" s="4" t="str">
        <f t="shared" si="13"/>
        <v/>
      </c>
      <c r="BM274" s="8" t="str">
        <f t="shared" si="14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1:70" ht="15" customHeight="1">
      <c r="A275" s="8"/>
      <c r="B275" s="8"/>
      <c r="D275" s="15" t="str">
        <f t="shared" si="15"/>
        <v/>
      </c>
      <c r="E275" s="15" t="str">
        <f>IF($A275="","",IF($A275="Neuron",IF(OR(AND($S275&lt;&gt;"",LOWER(TRIM($S275))&lt;&gt;"n/a",COUNTIF($S$2:$S$528,$S275)&gt;1),AND($T275&lt;&gt;"",LOWER(TRIM($T275))&lt;&gt;"n/a",COUNTIF($T$2:$T$528,$T275)&gt;1),AND($W275&lt;&gt;"",LOWER(TRIM($W275))&lt;&gt;"n/a",COUNTIF($W$2:$W$528,$W275)&gt;1)),"Yes","No"),IF($A275="Cybernet",IF(OR(AND($Y275&lt;&gt;"",LOWER(TRIM($Y275))&lt;&gt;"n/a",COUNTIF($Y$2:$Y$528,$Y275)&gt;1),AND($Z275&lt;&gt;"",LOWER(TRIM($Z275))&lt;&gt;"n/a",COUNTIF($Z$2:$Z$528,$Z275)&gt;1)),"Yes","No"),IF(AND($AL275&lt;&gt;"",LOWER(TRIM($AL275))&lt;&gt;"n/a",COUNTIF($AL$2:$AL$528,$AL275)&gt;1),"Yes","No"))))</f>
        <v/>
      </c>
      <c r="F275" t="str">
        <f>IF($B275&lt;&gt;"Yes","",
IF($A275="Neuron",
IF(OR(
AND($S275&lt;&gt;"",LOWER(TRIM($S275))&lt;&gt;"n/a",COUNTIFS($B$2:$B$528,"Yes",$A$2:$A$528,"Neuron",$S$2:$S$528,$S275)&gt;1),
AND($T275&lt;&gt;"",LOWER(TRIM($T275))&lt;&gt;"n/a",COUNTIFS($B$2:$B$528,"Yes",$A$2:$A$528,"Neuron",$T$2:$T$528,$T275)&gt;1),
AND($W275&lt;&gt;"",LOWER(TRIM($W275))&lt;&gt;"n/a",COUNTIFS($B$2:$B$528,"Yes",$A$2:$A$528,"Neuron",$W$2:$W$528,$W275)&gt;1)
),"Yes","No"),
IF($A275="Cybernet",
IF(OR(
AND($Y275&lt;&gt;"",LOWER(TRIM($Y275))&lt;&gt;"n/a",COUNTIFS($B$2:$B$528,"Yes",$A$2:$A$528,"Cybernet",$Y$2:$Y$528,$Y275)&gt;1),
AND($Z275&lt;&gt;"",LOWER(TRIM($Z275))&lt;&gt;"n/a",COUNTIFS($B$2:$B$528,"Yes",$A$2:$A$528,"Cybernet",$Z$2:$Z$528,$Z275)&gt;1)
),"Yes","No"),
IF(AND($AL275&lt;&gt;"",LOWER(TRIM($AL275))&lt;&gt;"n/a"),
IF(COUNTIFS($B$2:$B$528,"Yes",$A$2:$A$528,$A275,$AL$2:$AL$528,$AL275)&gt;1,"Yes","No"),
"No")
)
)
)</f>
        <v/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8"/>
      <c r="AF275" s="4"/>
      <c r="AG275" s="4"/>
      <c r="AH275" s="1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8"/>
      <c r="AX275" s="8"/>
      <c r="AY275" s="8"/>
      <c r="AZ275" s="8"/>
      <c r="BA275" s="12"/>
      <c r="BB275" s="8"/>
      <c r="BC275" s="4"/>
      <c r="BD275" s="4"/>
      <c r="BE275" s="8"/>
      <c r="BF275" s="8"/>
      <c r="BG275" s="8"/>
      <c r="BH275" s="8"/>
      <c r="BI275" s="8"/>
      <c r="BJ275" s="8"/>
      <c r="BK275" s="8"/>
      <c r="BL275" s="4" t="str">
        <f t="shared" si="13"/>
        <v/>
      </c>
      <c r="BM275" s="8" t="str">
        <f t="shared" si="14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1:70" ht="15" customHeight="1">
      <c r="A276" s="8"/>
      <c r="B276" s="8"/>
      <c r="D276" s="15" t="str">
        <f t="shared" si="15"/>
        <v/>
      </c>
      <c r="E276" s="15" t="str">
        <f>IF($A276="","",IF($A276="Neuron",IF(OR(AND($S276&lt;&gt;"",LOWER(TRIM($S276))&lt;&gt;"n/a",COUNTIF($S$2:$S$528,$S276)&gt;1),AND($T276&lt;&gt;"",LOWER(TRIM($T276))&lt;&gt;"n/a",COUNTIF($T$2:$T$528,$T276)&gt;1),AND($W276&lt;&gt;"",LOWER(TRIM($W276))&lt;&gt;"n/a",COUNTIF($W$2:$W$528,$W276)&gt;1)),"Yes","No"),IF($A276="Cybernet",IF(OR(AND($Y276&lt;&gt;"",LOWER(TRIM($Y276))&lt;&gt;"n/a",COUNTIF($Y$2:$Y$528,$Y276)&gt;1),AND($Z276&lt;&gt;"",LOWER(TRIM($Z276))&lt;&gt;"n/a",COUNTIF($Z$2:$Z$528,$Z276)&gt;1)),"Yes","No"),IF(AND($AL276&lt;&gt;"",LOWER(TRIM($AL276))&lt;&gt;"n/a",COUNTIF($AL$2:$AL$528,$AL276)&gt;1),"Yes","No"))))</f>
        <v/>
      </c>
      <c r="F276" t="str">
        <f>IF($B276&lt;&gt;"Yes","",
IF($A276="Neuron",
IF(OR(
AND($S276&lt;&gt;"",LOWER(TRIM($S276))&lt;&gt;"n/a",COUNTIFS($B$2:$B$528,"Yes",$A$2:$A$528,"Neuron",$S$2:$S$528,$S276)&gt;1),
AND($T276&lt;&gt;"",LOWER(TRIM($T276))&lt;&gt;"n/a",COUNTIFS($B$2:$B$528,"Yes",$A$2:$A$528,"Neuron",$T$2:$T$528,$T276)&gt;1),
AND($W276&lt;&gt;"",LOWER(TRIM($W276))&lt;&gt;"n/a",COUNTIFS($B$2:$B$528,"Yes",$A$2:$A$528,"Neuron",$W$2:$W$528,$W276)&gt;1)
),"Yes","No"),
IF($A276="Cybernet",
IF(OR(
AND($Y276&lt;&gt;"",LOWER(TRIM($Y276))&lt;&gt;"n/a",COUNTIFS($B$2:$B$528,"Yes",$A$2:$A$528,"Cybernet",$Y$2:$Y$528,$Y276)&gt;1),
AND($Z276&lt;&gt;"",LOWER(TRIM($Z276))&lt;&gt;"n/a",COUNTIFS($B$2:$B$528,"Yes",$A$2:$A$528,"Cybernet",$Z$2:$Z$528,$Z276)&gt;1)
),"Yes","No"),
IF(AND($AL276&lt;&gt;"",LOWER(TRIM($AL276))&lt;&gt;"n/a"),
IF(COUNTIFS($B$2:$B$528,"Yes",$A$2:$A$528,$A276,$AL$2:$AL$528,$AL276)&gt;1,"Yes","No"),
"No")
)
)
)</f>
        <v/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8"/>
      <c r="AF276" s="4"/>
      <c r="AG276" s="4"/>
      <c r="AH276" s="1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8"/>
      <c r="AX276" s="8"/>
      <c r="AY276" s="8"/>
      <c r="AZ276" s="8"/>
      <c r="BA276" s="12"/>
      <c r="BB276" s="8"/>
      <c r="BC276" s="4"/>
      <c r="BD276" s="4"/>
      <c r="BE276" s="8"/>
      <c r="BF276" s="8"/>
      <c r="BG276" s="8"/>
      <c r="BH276" s="8"/>
      <c r="BI276" s="8"/>
      <c r="BJ276" s="8"/>
      <c r="BK276" s="8"/>
      <c r="BL276" s="4" t="str">
        <f t="shared" si="13"/>
        <v/>
      </c>
      <c r="BM276" s="8" t="str">
        <f t="shared" si="14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1:70" ht="15" customHeight="1">
      <c r="A277" s="8"/>
      <c r="B277" s="8"/>
      <c r="D277" s="15" t="str">
        <f t="shared" si="15"/>
        <v/>
      </c>
      <c r="E277" s="15" t="str">
        <f>IF($A277="","",IF($A277="Neuron",IF(OR(AND($S277&lt;&gt;"",LOWER(TRIM($S277))&lt;&gt;"n/a",COUNTIF($S$2:$S$528,$S277)&gt;1),AND($T277&lt;&gt;"",LOWER(TRIM($T277))&lt;&gt;"n/a",COUNTIF($T$2:$T$528,$T277)&gt;1),AND($W277&lt;&gt;"",LOWER(TRIM($W277))&lt;&gt;"n/a",COUNTIF($W$2:$W$528,$W277)&gt;1)),"Yes","No"),IF($A277="Cybernet",IF(OR(AND($Y277&lt;&gt;"",LOWER(TRIM($Y277))&lt;&gt;"n/a",COUNTIF($Y$2:$Y$528,$Y277)&gt;1),AND($Z277&lt;&gt;"",LOWER(TRIM($Z277))&lt;&gt;"n/a",COUNTIF($Z$2:$Z$528,$Z277)&gt;1)),"Yes","No"),IF(AND($AL277&lt;&gt;"",LOWER(TRIM($AL277))&lt;&gt;"n/a",COUNTIF($AL$2:$AL$528,$AL277)&gt;1),"Yes","No"))))</f>
        <v/>
      </c>
      <c r="F277" t="str">
        <f>IF($B277&lt;&gt;"Yes","",
IF($A277="Neuron",
IF(OR(
AND($S277&lt;&gt;"",LOWER(TRIM($S277))&lt;&gt;"n/a",COUNTIFS($B$2:$B$528,"Yes",$A$2:$A$528,"Neuron",$S$2:$S$528,$S277)&gt;1),
AND($T277&lt;&gt;"",LOWER(TRIM($T277))&lt;&gt;"n/a",COUNTIFS($B$2:$B$528,"Yes",$A$2:$A$528,"Neuron",$T$2:$T$528,$T277)&gt;1),
AND($W277&lt;&gt;"",LOWER(TRIM($W277))&lt;&gt;"n/a",COUNTIFS($B$2:$B$528,"Yes",$A$2:$A$528,"Neuron",$W$2:$W$528,$W277)&gt;1)
),"Yes","No"),
IF($A277="Cybernet",
IF(OR(
AND($Y277&lt;&gt;"",LOWER(TRIM($Y277))&lt;&gt;"n/a",COUNTIFS($B$2:$B$528,"Yes",$A$2:$A$528,"Cybernet",$Y$2:$Y$528,$Y277)&gt;1),
AND($Z277&lt;&gt;"",LOWER(TRIM($Z277))&lt;&gt;"n/a",COUNTIFS($B$2:$B$528,"Yes",$A$2:$A$528,"Cybernet",$Z$2:$Z$528,$Z277)&gt;1)
),"Yes","No"),
IF(AND($AL277&lt;&gt;"",LOWER(TRIM($AL277))&lt;&gt;"n/a"),
IF(COUNTIFS($B$2:$B$528,"Yes",$A$2:$A$528,$A277,$AL$2:$AL$528,$AL277)&gt;1,"Yes","No"),
"No")
)
)
)</f>
        <v/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8"/>
      <c r="AF277" s="4"/>
      <c r="AG277" s="4"/>
      <c r="AH277" s="1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8"/>
      <c r="AX277" s="8"/>
      <c r="AY277" s="8"/>
      <c r="AZ277" s="8"/>
      <c r="BA277" s="12"/>
      <c r="BB277" s="8"/>
      <c r="BC277" s="4"/>
      <c r="BD277" s="4"/>
      <c r="BE277" s="8"/>
      <c r="BF277" s="8"/>
      <c r="BG277" s="8"/>
      <c r="BH277" s="8"/>
      <c r="BI277" s="8"/>
      <c r="BJ277" s="8"/>
      <c r="BK277" s="8"/>
      <c r="BL277" s="4" t="str">
        <f t="shared" si="13"/>
        <v/>
      </c>
      <c r="BM277" s="8" t="str">
        <f t="shared" si="14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1:70" ht="15" customHeight="1">
      <c r="A278" s="8"/>
      <c r="B278" s="8"/>
      <c r="D278" s="15" t="str">
        <f t="shared" si="15"/>
        <v/>
      </c>
      <c r="E278" s="15" t="str">
        <f>IF($A278="","",IF($A278="Neuron",IF(OR(AND($S278&lt;&gt;"",LOWER(TRIM($S278))&lt;&gt;"n/a",COUNTIF($S$2:$S$528,$S278)&gt;1),AND($T278&lt;&gt;"",LOWER(TRIM($T278))&lt;&gt;"n/a",COUNTIF($T$2:$T$528,$T278)&gt;1),AND($W278&lt;&gt;"",LOWER(TRIM($W278))&lt;&gt;"n/a",COUNTIF($W$2:$W$528,$W278)&gt;1)),"Yes","No"),IF($A278="Cybernet",IF(OR(AND($Y278&lt;&gt;"",LOWER(TRIM($Y278))&lt;&gt;"n/a",COUNTIF($Y$2:$Y$528,$Y278)&gt;1),AND($Z278&lt;&gt;"",LOWER(TRIM($Z278))&lt;&gt;"n/a",COUNTIF($Z$2:$Z$528,$Z278)&gt;1)),"Yes","No"),IF(AND($AL278&lt;&gt;"",LOWER(TRIM($AL278))&lt;&gt;"n/a",COUNTIF($AL$2:$AL$528,$AL278)&gt;1),"Yes","No"))))</f>
        <v/>
      </c>
      <c r="F278" t="str">
        <f>IF($B278&lt;&gt;"Yes","",
IF($A278="Neuron",
IF(OR(
AND($S278&lt;&gt;"",LOWER(TRIM($S278))&lt;&gt;"n/a",COUNTIFS($B$2:$B$528,"Yes",$A$2:$A$528,"Neuron",$S$2:$S$528,$S278)&gt;1),
AND($T278&lt;&gt;"",LOWER(TRIM($T278))&lt;&gt;"n/a",COUNTIFS($B$2:$B$528,"Yes",$A$2:$A$528,"Neuron",$T$2:$T$528,$T278)&gt;1),
AND($W278&lt;&gt;"",LOWER(TRIM($W278))&lt;&gt;"n/a",COUNTIFS($B$2:$B$528,"Yes",$A$2:$A$528,"Neuron",$W$2:$W$528,$W278)&gt;1)
),"Yes","No"),
IF($A278="Cybernet",
IF(OR(
AND($Y278&lt;&gt;"",LOWER(TRIM($Y278))&lt;&gt;"n/a",COUNTIFS($B$2:$B$528,"Yes",$A$2:$A$528,"Cybernet",$Y$2:$Y$528,$Y278)&gt;1),
AND($Z278&lt;&gt;"",LOWER(TRIM($Z278))&lt;&gt;"n/a",COUNTIFS($B$2:$B$528,"Yes",$A$2:$A$528,"Cybernet",$Z$2:$Z$528,$Z278)&gt;1)
),"Yes","No"),
IF(AND($AL278&lt;&gt;"",LOWER(TRIM($AL278))&lt;&gt;"n/a"),
IF(COUNTIFS($B$2:$B$528,"Yes",$A$2:$A$528,$A278,$AL$2:$AL$528,$AL278)&gt;1,"Yes","No"),
"No")
)
)
)</f>
        <v/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8"/>
      <c r="AF278" s="4"/>
      <c r="AG278" s="4"/>
      <c r="AH278" s="1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8"/>
      <c r="AX278" s="8"/>
      <c r="AY278" s="8"/>
      <c r="AZ278" s="8"/>
      <c r="BA278" s="12"/>
      <c r="BB278" s="8"/>
      <c r="BC278" s="4"/>
      <c r="BD278" s="4"/>
      <c r="BE278" s="8"/>
      <c r="BF278" s="8"/>
      <c r="BG278" s="8"/>
      <c r="BH278" s="8"/>
      <c r="BI278" s="8"/>
      <c r="BJ278" s="8"/>
      <c r="BK278" s="8"/>
      <c r="BL278" s="4" t="str">
        <f t="shared" si="13"/>
        <v/>
      </c>
      <c r="BM278" s="8" t="str">
        <f t="shared" si="14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1:70" ht="15" customHeight="1">
      <c r="A279" s="8"/>
      <c r="B279" s="8"/>
      <c r="D279" s="15" t="str">
        <f t="shared" si="15"/>
        <v/>
      </c>
      <c r="E279" s="15" t="str">
        <f>IF($A279="","",IF($A279="Neuron",IF(OR(AND($S279&lt;&gt;"",LOWER(TRIM($S279))&lt;&gt;"n/a",COUNTIF($S$2:$S$528,$S279)&gt;1),AND($T279&lt;&gt;"",LOWER(TRIM($T279))&lt;&gt;"n/a",COUNTIF($T$2:$T$528,$T279)&gt;1),AND($W279&lt;&gt;"",LOWER(TRIM($W279))&lt;&gt;"n/a",COUNTIF($W$2:$W$528,$W279)&gt;1)),"Yes","No"),IF($A279="Cybernet",IF(OR(AND($Y279&lt;&gt;"",LOWER(TRIM($Y279))&lt;&gt;"n/a",COUNTIF($Y$2:$Y$528,$Y279)&gt;1),AND($Z279&lt;&gt;"",LOWER(TRIM($Z279))&lt;&gt;"n/a",COUNTIF($Z$2:$Z$528,$Z279)&gt;1)),"Yes","No"),IF(AND($AL279&lt;&gt;"",LOWER(TRIM($AL279))&lt;&gt;"n/a",COUNTIF($AL$2:$AL$528,$AL279)&gt;1),"Yes","No"))))</f>
        <v/>
      </c>
      <c r="F279" t="str">
        <f>IF($B279&lt;&gt;"Yes","",
IF($A279="Neuron",
IF(OR(
AND($S279&lt;&gt;"",LOWER(TRIM($S279))&lt;&gt;"n/a",COUNTIFS($B$2:$B$528,"Yes",$A$2:$A$528,"Neuron",$S$2:$S$528,$S279)&gt;1),
AND($T279&lt;&gt;"",LOWER(TRIM($T279))&lt;&gt;"n/a",COUNTIFS($B$2:$B$528,"Yes",$A$2:$A$528,"Neuron",$T$2:$T$528,$T279)&gt;1),
AND($W279&lt;&gt;"",LOWER(TRIM($W279))&lt;&gt;"n/a",COUNTIFS($B$2:$B$528,"Yes",$A$2:$A$528,"Neuron",$W$2:$W$528,$W279)&gt;1)
),"Yes","No"),
IF($A279="Cybernet",
IF(OR(
AND($Y279&lt;&gt;"",LOWER(TRIM($Y279))&lt;&gt;"n/a",COUNTIFS($B$2:$B$528,"Yes",$A$2:$A$528,"Cybernet",$Y$2:$Y$528,$Y279)&gt;1),
AND($Z279&lt;&gt;"",LOWER(TRIM($Z279))&lt;&gt;"n/a",COUNTIFS($B$2:$B$528,"Yes",$A$2:$A$528,"Cybernet",$Z$2:$Z$528,$Z279)&gt;1)
),"Yes","No"),
IF(AND($AL279&lt;&gt;"",LOWER(TRIM($AL279))&lt;&gt;"n/a"),
IF(COUNTIFS($B$2:$B$528,"Yes",$A$2:$A$528,$A279,$AL$2:$AL$528,$AL279)&gt;1,"Yes","No"),
"No")
)
)
)</f>
        <v/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8"/>
      <c r="AF279" s="4"/>
      <c r="AG279" s="4"/>
      <c r="AH279" s="1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8"/>
      <c r="AX279" s="8"/>
      <c r="AY279" s="8"/>
      <c r="AZ279" s="8"/>
      <c r="BA279" s="12"/>
      <c r="BB279" s="8"/>
      <c r="BC279" s="4"/>
      <c r="BD279" s="4"/>
      <c r="BE279" s="8"/>
      <c r="BF279" s="8"/>
      <c r="BG279" s="8"/>
      <c r="BH279" s="8"/>
      <c r="BI279" s="8"/>
      <c r="BJ279" s="8"/>
      <c r="BK279" s="8"/>
      <c r="BL279" s="4" t="str">
        <f t="shared" si="13"/>
        <v/>
      </c>
      <c r="BM279" s="8" t="str">
        <f t="shared" si="14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1:70" ht="15" customHeight="1">
      <c r="A280" s="8"/>
      <c r="B280" s="8"/>
      <c r="D280" s="15" t="str">
        <f t="shared" si="15"/>
        <v/>
      </c>
      <c r="E280" s="15" t="str">
        <f>IF($A280="","",IF($A280="Neuron",IF(OR(AND($S280&lt;&gt;"",LOWER(TRIM($S280))&lt;&gt;"n/a",COUNTIF($S$2:$S$528,$S280)&gt;1),AND($T280&lt;&gt;"",LOWER(TRIM($T280))&lt;&gt;"n/a",COUNTIF($T$2:$T$528,$T280)&gt;1),AND($W280&lt;&gt;"",LOWER(TRIM($W280))&lt;&gt;"n/a",COUNTIF($W$2:$W$528,$W280)&gt;1)),"Yes","No"),IF($A280="Cybernet",IF(OR(AND($Y280&lt;&gt;"",LOWER(TRIM($Y280))&lt;&gt;"n/a",COUNTIF($Y$2:$Y$528,$Y280)&gt;1),AND($Z280&lt;&gt;"",LOWER(TRIM($Z280))&lt;&gt;"n/a",COUNTIF($Z$2:$Z$528,$Z280)&gt;1)),"Yes","No"),IF(AND($AL280&lt;&gt;"",LOWER(TRIM($AL280))&lt;&gt;"n/a",COUNTIF($AL$2:$AL$528,$AL280)&gt;1),"Yes","No"))))</f>
        <v/>
      </c>
      <c r="F280" t="str">
        <f>IF($B280&lt;&gt;"Yes","",
IF($A280="Neuron",
IF(OR(
AND($S280&lt;&gt;"",LOWER(TRIM($S280))&lt;&gt;"n/a",COUNTIFS($B$2:$B$528,"Yes",$A$2:$A$528,"Neuron",$S$2:$S$528,$S280)&gt;1),
AND($T280&lt;&gt;"",LOWER(TRIM($T280))&lt;&gt;"n/a",COUNTIFS($B$2:$B$528,"Yes",$A$2:$A$528,"Neuron",$T$2:$T$528,$T280)&gt;1),
AND($W280&lt;&gt;"",LOWER(TRIM($W280))&lt;&gt;"n/a",COUNTIFS($B$2:$B$528,"Yes",$A$2:$A$528,"Neuron",$W$2:$W$528,$W280)&gt;1)
),"Yes","No"),
IF($A280="Cybernet",
IF(OR(
AND($Y280&lt;&gt;"",LOWER(TRIM($Y280))&lt;&gt;"n/a",COUNTIFS($B$2:$B$528,"Yes",$A$2:$A$528,"Cybernet",$Y$2:$Y$528,$Y280)&gt;1),
AND($Z280&lt;&gt;"",LOWER(TRIM($Z280))&lt;&gt;"n/a",COUNTIFS($B$2:$B$528,"Yes",$A$2:$A$528,"Cybernet",$Z$2:$Z$528,$Z280)&gt;1)
),"Yes","No"),
IF(AND($AL280&lt;&gt;"",LOWER(TRIM($AL280))&lt;&gt;"n/a"),
IF(COUNTIFS($B$2:$B$528,"Yes",$A$2:$A$528,$A280,$AL$2:$AL$528,$AL280)&gt;1,"Yes","No"),
"No")
)
)
)</f>
        <v/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8"/>
      <c r="AF280" s="4"/>
      <c r="AG280" s="4"/>
      <c r="AH280" s="1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8"/>
      <c r="AX280" s="8"/>
      <c r="AY280" s="8"/>
      <c r="AZ280" s="8"/>
      <c r="BA280" s="12"/>
      <c r="BB280" s="8"/>
      <c r="BC280" s="4"/>
      <c r="BD280" s="4"/>
      <c r="BE280" s="8"/>
      <c r="BF280" s="8"/>
      <c r="BG280" s="8"/>
      <c r="BH280" s="8"/>
      <c r="BI280" s="8"/>
      <c r="BJ280" s="8"/>
      <c r="BK280" s="8"/>
      <c r="BL280" s="4" t="str">
        <f t="shared" si="13"/>
        <v/>
      </c>
      <c r="BM280" s="8" t="str">
        <f t="shared" si="14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1:70" ht="15" customHeight="1">
      <c r="A281" s="8"/>
      <c r="B281" s="8"/>
      <c r="D281" s="15" t="str">
        <f t="shared" si="15"/>
        <v/>
      </c>
      <c r="E281" s="15" t="str">
        <f>IF($A281="","",IF($A281="Neuron",IF(OR(AND($S281&lt;&gt;"",LOWER(TRIM($S281))&lt;&gt;"n/a",COUNTIF($S$2:$S$528,$S281)&gt;1),AND($T281&lt;&gt;"",LOWER(TRIM($T281))&lt;&gt;"n/a",COUNTIF($T$2:$T$528,$T281)&gt;1),AND($W281&lt;&gt;"",LOWER(TRIM($W281))&lt;&gt;"n/a",COUNTIF($W$2:$W$528,$W281)&gt;1)),"Yes","No"),IF($A281="Cybernet",IF(OR(AND($Y281&lt;&gt;"",LOWER(TRIM($Y281))&lt;&gt;"n/a",COUNTIF($Y$2:$Y$528,$Y281)&gt;1),AND($Z281&lt;&gt;"",LOWER(TRIM($Z281))&lt;&gt;"n/a",COUNTIF($Z$2:$Z$528,$Z281)&gt;1)),"Yes","No"),IF(AND($AL281&lt;&gt;"",LOWER(TRIM($AL281))&lt;&gt;"n/a",COUNTIF($AL$2:$AL$528,$AL281)&gt;1),"Yes","No"))))</f>
        <v/>
      </c>
      <c r="F281" t="str">
        <f>IF($B281&lt;&gt;"Yes","",
IF($A281="Neuron",
IF(OR(
AND($S281&lt;&gt;"",LOWER(TRIM($S281))&lt;&gt;"n/a",COUNTIFS($B$2:$B$528,"Yes",$A$2:$A$528,"Neuron",$S$2:$S$528,$S281)&gt;1),
AND($T281&lt;&gt;"",LOWER(TRIM($T281))&lt;&gt;"n/a",COUNTIFS($B$2:$B$528,"Yes",$A$2:$A$528,"Neuron",$T$2:$T$528,$T281)&gt;1),
AND($W281&lt;&gt;"",LOWER(TRIM($W281))&lt;&gt;"n/a",COUNTIFS($B$2:$B$528,"Yes",$A$2:$A$528,"Neuron",$W$2:$W$528,$W281)&gt;1)
),"Yes","No"),
IF($A281="Cybernet",
IF(OR(
AND($Y281&lt;&gt;"",LOWER(TRIM($Y281))&lt;&gt;"n/a",COUNTIFS($B$2:$B$528,"Yes",$A$2:$A$528,"Cybernet",$Y$2:$Y$528,$Y281)&gt;1),
AND($Z281&lt;&gt;"",LOWER(TRIM($Z281))&lt;&gt;"n/a",COUNTIFS($B$2:$B$528,"Yes",$A$2:$A$528,"Cybernet",$Z$2:$Z$528,$Z281)&gt;1)
),"Yes","No"),
IF(AND($AL281&lt;&gt;"",LOWER(TRIM($AL281))&lt;&gt;"n/a"),
IF(COUNTIFS($B$2:$B$528,"Yes",$A$2:$A$528,$A281,$AL$2:$AL$528,$AL281)&gt;1,"Yes","No"),
"No")
)
)
)</f>
        <v/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8"/>
      <c r="AF281" s="4"/>
      <c r="AG281" s="4"/>
      <c r="AH281" s="1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8"/>
      <c r="AX281" s="8"/>
      <c r="AY281" s="8"/>
      <c r="AZ281" s="8"/>
      <c r="BA281" s="12"/>
      <c r="BB281" s="8"/>
      <c r="BC281" s="4"/>
      <c r="BD281" s="4"/>
      <c r="BE281" s="8"/>
      <c r="BF281" s="8"/>
      <c r="BG281" s="8"/>
      <c r="BH281" s="8"/>
      <c r="BI281" s="8"/>
      <c r="BJ281" s="8"/>
      <c r="BK281" s="8"/>
      <c r="BL281" s="4" t="str">
        <f t="shared" si="13"/>
        <v/>
      </c>
      <c r="BM281" s="8" t="str">
        <f t="shared" si="14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1:70" ht="15" customHeight="1">
      <c r="A282" s="8"/>
      <c r="B282" s="8"/>
      <c r="D282" s="15" t="str">
        <f t="shared" si="15"/>
        <v/>
      </c>
      <c r="E282" s="15" t="str">
        <f>IF($A282="","",IF($A282="Neuron",IF(OR(AND($S282&lt;&gt;"",LOWER(TRIM($S282))&lt;&gt;"n/a",COUNTIF($S$2:$S$528,$S282)&gt;1),AND($T282&lt;&gt;"",LOWER(TRIM($T282))&lt;&gt;"n/a",COUNTIF($T$2:$T$528,$T282)&gt;1),AND($W282&lt;&gt;"",LOWER(TRIM($W282))&lt;&gt;"n/a",COUNTIF($W$2:$W$528,$W282)&gt;1)),"Yes","No"),IF($A282="Cybernet",IF(OR(AND($Y282&lt;&gt;"",LOWER(TRIM($Y282))&lt;&gt;"n/a",COUNTIF($Y$2:$Y$528,$Y282)&gt;1),AND($Z282&lt;&gt;"",LOWER(TRIM($Z282))&lt;&gt;"n/a",COUNTIF($Z$2:$Z$528,$Z282)&gt;1)),"Yes","No"),IF(AND($AL282&lt;&gt;"",LOWER(TRIM($AL282))&lt;&gt;"n/a",COUNTIF($AL$2:$AL$528,$AL282)&gt;1),"Yes","No"))))</f>
        <v/>
      </c>
      <c r="F282" t="str">
        <f>IF($B282&lt;&gt;"Yes","",
IF($A282="Neuron",
IF(OR(
AND($S282&lt;&gt;"",LOWER(TRIM($S282))&lt;&gt;"n/a",COUNTIFS($B$2:$B$528,"Yes",$A$2:$A$528,"Neuron",$S$2:$S$528,$S282)&gt;1),
AND($T282&lt;&gt;"",LOWER(TRIM($T282))&lt;&gt;"n/a",COUNTIFS($B$2:$B$528,"Yes",$A$2:$A$528,"Neuron",$T$2:$T$528,$T282)&gt;1),
AND($W282&lt;&gt;"",LOWER(TRIM($W282))&lt;&gt;"n/a",COUNTIFS($B$2:$B$528,"Yes",$A$2:$A$528,"Neuron",$W$2:$W$528,$W282)&gt;1)
),"Yes","No"),
IF($A282="Cybernet",
IF(OR(
AND($Y282&lt;&gt;"",LOWER(TRIM($Y282))&lt;&gt;"n/a",COUNTIFS($B$2:$B$528,"Yes",$A$2:$A$528,"Cybernet",$Y$2:$Y$528,$Y282)&gt;1),
AND($Z282&lt;&gt;"",LOWER(TRIM($Z282))&lt;&gt;"n/a",COUNTIFS($B$2:$B$528,"Yes",$A$2:$A$528,"Cybernet",$Z$2:$Z$528,$Z282)&gt;1)
),"Yes","No"),
IF(AND($AL282&lt;&gt;"",LOWER(TRIM($AL282))&lt;&gt;"n/a"),
IF(COUNTIFS($B$2:$B$528,"Yes",$A$2:$A$528,$A282,$AL$2:$AL$528,$AL282)&gt;1,"Yes","No"),
"No")
)
)
)</f>
        <v/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8"/>
      <c r="AF282" s="4"/>
      <c r="AG282" s="4"/>
      <c r="AH282" s="1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8"/>
      <c r="AX282" s="8"/>
      <c r="AY282" s="8"/>
      <c r="AZ282" s="8"/>
      <c r="BA282" s="12"/>
      <c r="BB282" s="8"/>
      <c r="BC282" s="4"/>
      <c r="BD282" s="4"/>
      <c r="BE282" s="8"/>
      <c r="BF282" s="8"/>
      <c r="BG282" s="8"/>
      <c r="BH282" s="8"/>
      <c r="BI282" s="8"/>
      <c r="BJ282" s="8"/>
      <c r="BK282" s="8"/>
      <c r="BL282" s="4" t="str">
        <f t="shared" si="13"/>
        <v/>
      </c>
      <c r="BM282" s="8" t="str">
        <f t="shared" si="14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1:70" ht="15" customHeight="1">
      <c r="A283" s="8"/>
      <c r="B283" s="8"/>
      <c r="D283" s="15" t="str">
        <f t="shared" si="15"/>
        <v/>
      </c>
      <c r="E283" s="15" t="str">
        <f>IF($A283="","",IF($A283="Neuron",IF(OR(AND($S283&lt;&gt;"",LOWER(TRIM($S283))&lt;&gt;"n/a",COUNTIF($S$2:$S$528,$S283)&gt;1),AND($T283&lt;&gt;"",LOWER(TRIM($T283))&lt;&gt;"n/a",COUNTIF($T$2:$T$528,$T283)&gt;1),AND($W283&lt;&gt;"",LOWER(TRIM($W283))&lt;&gt;"n/a",COUNTIF($W$2:$W$528,$W283)&gt;1)),"Yes","No"),IF($A283="Cybernet",IF(OR(AND($Y283&lt;&gt;"",LOWER(TRIM($Y283))&lt;&gt;"n/a",COUNTIF($Y$2:$Y$528,$Y283)&gt;1),AND($Z283&lt;&gt;"",LOWER(TRIM($Z283))&lt;&gt;"n/a",COUNTIF($Z$2:$Z$528,$Z283)&gt;1)),"Yes","No"),IF(AND($AL283&lt;&gt;"",LOWER(TRIM($AL283))&lt;&gt;"n/a",COUNTIF($AL$2:$AL$528,$AL283)&gt;1),"Yes","No"))))</f>
        <v/>
      </c>
      <c r="F283" t="str">
        <f>IF($B283&lt;&gt;"Yes","",
IF($A283="Neuron",
IF(OR(
AND($S283&lt;&gt;"",LOWER(TRIM($S283))&lt;&gt;"n/a",COUNTIFS($B$2:$B$528,"Yes",$A$2:$A$528,"Neuron",$S$2:$S$528,$S283)&gt;1),
AND($T283&lt;&gt;"",LOWER(TRIM($T283))&lt;&gt;"n/a",COUNTIFS($B$2:$B$528,"Yes",$A$2:$A$528,"Neuron",$T$2:$T$528,$T283)&gt;1),
AND($W283&lt;&gt;"",LOWER(TRIM($W283))&lt;&gt;"n/a",COUNTIFS($B$2:$B$528,"Yes",$A$2:$A$528,"Neuron",$W$2:$W$528,$W283)&gt;1)
),"Yes","No"),
IF($A283="Cybernet",
IF(OR(
AND($Y283&lt;&gt;"",LOWER(TRIM($Y283))&lt;&gt;"n/a",COUNTIFS($B$2:$B$528,"Yes",$A$2:$A$528,"Cybernet",$Y$2:$Y$528,$Y283)&gt;1),
AND($Z283&lt;&gt;"",LOWER(TRIM($Z283))&lt;&gt;"n/a",COUNTIFS($B$2:$B$528,"Yes",$A$2:$A$528,"Cybernet",$Z$2:$Z$528,$Z283)&gt;1)
),"Yes","No"),
IF(AND($AL283&lt;&gt;"",LOWER(TRIM($AL283))&lt;&gt;"n/a"),
IF(COUNTIFS($B$2:$B$528,"Yes",$A$2:$A$528,$A283,$AL$2:$AL$528,$AL283)&gt;1,"Yes","No"),
"No")
)
)
)</f>
        <v/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8"/>
      <c r="AF283" s="4"/>
      <c r="AG283" s="4"/>
      <c r="AH283" s="1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8"/>
      <c r="AX283" s="8"/>
      <c r="AY283" s="8"/>
      <c r="AZ283" s="8"/>
      <c r="BA283" s="12"/>
      <c r="BB283" s="8"/>
      <c r="BC283" s="4"/>
      <c r="BD283" s="4"/>
      <c r="BE283" s="8"/>
      <c r="BF283" s="8"/>
      <c r="BG283" s="8"/>
      <c r="BH283" s="8"/>
      <c r="BI283" s="8"/>
      <c r="BJ283" s="8"/>
      <c r="BK283" s="8"/>
      <c r="BL283" s="4" t="str">
        <f t="shared" si="13"/>
        <v/>
      </c>
      <c r="BM283" s="8" t="str">
        <f t="shared" si="14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1:70" ht="15" customHeight="1">
      <c r="A284" s="8"/>
      <c r="B284" s="8"/>
      <c r="D284" s="15" t="str">
        <f t="shared" si="15"/>
        <v/>
      </c>
      <c r="E284" s="15" t="str">
        <f>IF($A284="","",IF($A284="Neuron",IF(OR(AND($S284&lt;&gt;"",LOWER(TRIM($S284))&lt;&gt;"n/a",COUNTIF($S$2:$S$528,$S284)&gt;1),AND($T284&lt;&gt;"",LOWER(TRIM($T284))&lt;&gt;"n/a",COUNTIF($T$2:$T$528,$T284)&gt;1),AND($W284&lt;&gt;"",LOWER(TRIM($W284))&lt;&gt;"n/a",COUNTIF($W$2:$W$528,$W284)&gt;1)),"Yes","No"),IF($A284="Cybernet",IF(OR(AND($Y284&lt;&gt;"",LOWER(TRIM($Y284))&lt;&gt;"n/a",COUNTIF($Y$2:$Y$528,$Y284)&gt;1),AND($Z284&lt;&gt;"",LOWER(TRIM($Z284))&lt;&gt;"n/a",COUNTIF($Z$2:$Z$528,$Z284)&gt;1)),"Yes","No"),IF(AND($AL284&lt;&gt;"",LOWER(TRIM($AL284))&lt;&gt;"n/a",COUNTIF($AL$2:$AL$528,$AL284)&gt;1),"Yes","No"))))</f>
        <v/>
      </c>
      <c r="F284" t="str">
        <f>IF($B284&lt;&gt;"Yes","",
IF($A284="Neuron",
IF(OR(
AND($S284&lt;&gt;"",LOWER(TRIM($S284))&lt;&gt;"n/a",COUNTIFS($B$2:$B$528,"Yes",$A$2:$A$528,"Neuron",$S$2:$S$528,$S284)&gt;1),
AND($T284&lt;&gt;"",LOWER(TRIM($T284))&lt;&gt;"n/a",COUNTIFS($B$2:$B$528,"Yes",$A$2:$A$528,"Neuron",$T$2:$T$528,$T284)&gt;1),
AND($W284&lt;&gt;"",LOWER(TRIM($W284))&lt;&gt;"n/a",COUNTIFS($B$2:$B$528,"Yes",$A$2:$A$528,"Neuron",$W$2:$W$528,$W284)&gt;1)
),"Yes","No"),
IF($A284="Cybernet",
IF(OR(
AND($Y284&lt;&gt;"",LOWER(TRIM($Y284))&lt;&gt;"n/a",COUNTIFS($B$2:$B$528,"Yes",$A$2:$A$528,"Cybernet",$Y$2:$Y$528,$Y284)&gt;1),
AND($Z284&lt;&gt;"",LOWER(TRIM($Z284))&lt;&gt;"n/a",COUNTIFS($B$2:$B$528,"Yes",$A$2:$A$528,"Cybernet",$Z$2:$Z$528,$Z284)&gt;1)
),"Yes","No"),
IF(AND($AL284&lt;&gt;"",LOWER(TRIM($AL284))&lt;&gt;"n/a"),
IF(COUNTIFS($B$2:$B$528,"Yes",$A$2:$A$528,$A284,$AL$2:$AL$528,$AL284)&gt;1,"Yes","No"),
"No")
)
)
)</f>
        <v/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8"/>
      <c r="AF284" s="4"/>
      <c r="AG284" s="4"/>
      <c r="AH284" s="1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8"/>
      <c r="AX284" s="8"/>
      <c r="AY284" s="8"/>
      <c r="AZ284" s="8"/>
      <c r="BA284" s="12"/>
      <c r="BB284" s="8"/>
      <c r="BC284" s="4"/>
      <c r="BD284" s="4"/>
      <c r="BE284" s="8"/>
      <c r="BF284" s="8"/>
      <c r="BG284" s="8"/>
      <c r="BH284" s="8"/>
      <c r="BI284" s="8"/>
      <c r="BJ284" s="8"/>
      <c r="BK284" s="8"/>
      <c r="BL284" s="4" t="str">
        <f t="shared" si="13"/>
        <v/>
      </c>
      <c r="BM284" s="8" t="str">
        <f t="shared" si="14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1:70" ht="15" customHeight="1">
      <c r="A285" s="8"/>
      <c r="B285" s="8"/>
      <c r="D285" s="15" t="str">
        <f t="shared" si="15"/>
        <v/>
      </c>
      <c r="E285" s="15" t="str">
        <f>IF($A285="","",IF($A285="Neuron",IF(OR(AND($S285&lt;&gt;"",LOWER(TRIM($S285))&lt;&gt;"n/a",COUNTIF($S$2:$S$528,$S285)&gt;1),AND($T285&lt;&gt;"",LOWER(TRIM($T285))&lt;&gt;"n/a",COUNTIF($T$2:$T$528,$T285)&gt;1),AND($W285&lt;&gt;"",LOWER(TRIM($W285))&lt;&gt;"n/a",COUNTIF($W$2:$W$528,$W285)&gt;1)),"Yes","No"),IF($A285="Cybernet",IF(OR(AND($Y285&lt;&gt;"",LOWER(TRIM($Y285))&lt;&gt;"n/a",COUNTIF($Y$2:$Y$528,$Y285)&gt;1),AND($Z285&lt;&gt;"",LOWER(TRIM($Z285))&lt;&gt;"n/a",COUNTIF($Z$2:$Z$528,$Z285)&gt;1)),"Yes","No"),IF(AND($AL285&lt;&gt;"",LOWER(TRIM($AL285))&lt;&gt;"n/a",COUNTIF($AL$2:$AL$528,$AL285)&gt;1),"Yes","No"))))</f>
        <v/>
      </c>
      <c r="F285" t="str">
        <f>IF($B285&lt;&gt;"Yes","",
IF($A285="Neuron",
IF(OR(
AND($S285&lt;&gt;"",LOWER(TRIM($S285))&lt;&gt;"n/a",COUNTIFS($B$2:$B$528,"Yes",$A$2:$A$528,"Neuron",$S$2:$S$528,$S285)&gt;1),
AND($T285&lt;&gt;"",LOWER(TRIM($T285))&lt;&gt;"n/a",COUNTIFS($B$2:$B$528,"Yes",$A$2:$A$528,"Neuron",$T$2:$T$528,$T285)&gt;1),
AND($W285&lt;&gt;"",LOWER(TRIM($W285))&lt;&gt;"n/a",COUNTIFS($B$2:$B$528,"Yes",$A$2:$A$528,"Neuron",$W$2:$W$528,$W285)&gt;1)
),"Yes","No"),
IF($A285="Cybernet",
IF(OR(
AND($Y285&lt;&gt;"",LOWER(TRIM($Y285))&lt;&gt;"n/a",COUNTIFS($B$2:$B$528,"Yes",$A$2:$A$528,"Cybernet",$Y$2:$Y$528,$Y285)&gt;1),
AND($Z285&lt;&gt;"",LOWER(TRIM($Z285))&lt;&gt;"n/a",COUNTIFS($B$2:$B$528,"Yes",$A$2:$A$528,"Cybernet",$Z$2:$Z$528,$Z285)&gt;1)
),"Yes","No"),
IF(AND($AL285&lt;&gt;"",LOWER(TRIM($AL285))&lt;&gt;"n/a"),
IF(COUNTIFS($B$2:$B$528,"Yes",$A$2:$A$528,$A285,$AL$2:$AL$528,$AL285)&gt;1,"Yes","No"),
"No")
)
)
)</f>
        <v/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8"/>
      <c r="AF285" s="4"/>
      <c r="AG285" s="4"/>
      <c r="AH285" s="1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8"/>
      <c r="AX285" s="8"/>
      <c r="AY285" s="8"/>
      <c r="AZ285" s="8"/>
      <c r="BA285" s="12"/>
      <c r="BB285" s="8"/>
      <c r="BC285" s="4"/>
      <c r="BD285" s="4"/>
      <c r="BE285" s="8"/>
      <c r="BF285" s="8"/>
      <c r="BG285" s="8"/>
      <c r="BH285" s="8"/>
      <c r="BI285" s="8"/>
      <c r="BJ285" s="8"/>
      <c r="BK285" s="8"/>
      <c r="BL285" s="4" t="str">
        <f t="shared" si="13"/>
        <v/>
      </c>
      <c r="BM285" s="8" t="str">
        <f t="shared" si="14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1:70" ht="15" customHeight="1">
      <c r="A286" s="8"/>
      <c r="B286" s="8"/>
      <c r="D286" s="15" t="str">
        <f t="shared" si="15"/>
        <v/>
      </c>
      <c r="E286" s="15" t="str">
        <f>IF($A286="","",IF($A286="Neuron",IF(OR(AND($S286&lt;&gt;"",LOWER(TRIM($S286))&lt;&gt;"n/a",COUNTIF($S$2:$S$528,$S286)&gt;1),AND($T286&lt;&gt;"",LOWER(TRIM($T286))&lt;&gt;"n/a",COUNTIF($T$2:$T$528,$T286)&gt;1),AND($W286&lt;&gt;"",LOWER(TRIM($W286))&lt;&gt;"n/a",COUNTIF($W$2:$W$528,$W286)&gt;1)),"Yes","No"),IF($A286="Cybernet",IF(OR(AND($Y286&lt;&gt;"",LOWER(TRIM($Y286))&lt;&gt;"n/a",COUNTIF($Y$2:$Y$528,$Y286)&gt;1),AND($Z286&lt;&gt;"",LOWER(TRIM($Z286))&lt;&gt;"n/a",COUNTIF($Z$2:$Z$528,$Z286)&gt;1)),"Yes","No"),IF(AND($AL286&lt;&gt;"",LOWER(TRIM($AL286))&lt;&gt;"n/a",COUNTIF($AL$2:$AL$528,$AL286)&gt;1),"Yes","No"))))</f>
        <v/>
      </c>
      <c r="F286" t="str">
        <f>IF($B286&lt;&gt;"Yes","",
IF($A286="Neuron",
IF(OR(
AND($S286&lt;&gt;"",LOWER(TRIM($S286))&lt;&gt;"n/a",COUNTIFS($B$2:$B$528,"Yes",$A$2:$A$528,"Neuron",$S$2:$S$528,$S286)&gt;1),
AND($T286&lt;&gt;"",LOWER(TRIM($T286))&lt;&gt;"n/a",COUNTIFS($B$2:$B$528,"Yes",$A$2:$A$528,"Neuron",$T$2:$T$528,$T286)&gt;1),
AND($W286&lt;&gt;"",LOWER(TRIM($W286))&lt;&gt;"n/a",COUNTIFS($B$2:$B$528,"Yes",$A$2:$A$528,"Neuron",$W$2:$W$528,$W286)&gt;1)
),"Yes","No"),
IF($A286="Cybernet",
IF(OR(
AND($Y286&lt;&gt;"",LOWER(TRIM($Y286))&lt;&gt;"n/a",COUNTIFS($B$2:$B$528,"Yes",$A$2:$A$528,"Cybernet",$Y$2:$Y$528,$Y286)&gt;1),
AND($Z286&lt;&gt;"",LOWER(TRIM($Z286))&lt;&gt;"n/a",COUNTIFS($B$2:$B$528,"Yes",$A$2:$A$528,"Cybernet",$Z$2:$Z$528,$Z286)&gt;1)
),"Yes","No"),
IF(AND($AL286&lt;&gt;"",LOWER(TRIM($AL286))&lt;&gt;"n/a"),
IF(COUNTIFS($B$2:$B$528,"Yes",$A$2:$A$528,$A286,$AL$2:$AL$528,$AL286)&gt;1,"Yes","No"),
"No")
)
)
)</f>
        <v/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8"/>
      <c r="AF286" s="4"/>
      <c r="AG286" s="4"/>
      <c r="AH286" s="1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8"/>
      <c r="AX286" s="8"/>
      <c r="AY286" s="8"/>
      <c r="AZ286" s="8"/>
      <c r="BA286" s="12"/>
      <c r="BB286" s="8"/>
      <c r="BC286" s="4"/>
      <c r="BD286" s="4"/>
      <c r="BE286" s="8"/>
      <c r="BF286" s="8"/>
      <c r="BG286" s="8"/>
      <c r="BH286" s="8"/>
      <c r="BI286" s="8"/>
      <c r="BJ286" s="8"/>
      <c r="BK286" s="8"/>
      <c r="BL286" s="4" t="str">
        <f t="shared" si="13"/>
        <v/>
      </c>
      <c r="BM286" s="8" t="str">
        <f t="shared" si="14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1:70" ht="15" customHeight="1">
      <c r="A287" s="8"/>
      <c r="B287" s="8"/>
      <c r="D287" s="15" t="str">
        <f t="shared" si="15"/>
        <v/>
      </c>
      <c r="E287" s="15" t="str">
        <f>IF($A287="","",IF($A287="Neuron",IF(OR(AND($S287&lt;&gt;"",LOWER(TRIM($S287))&lt;&gt;"n/a",COUNTIF($S$2:$S$528,$S287)&gt;1),AND($T287&lt;&gt;"",LOWER(TRIM($T287))&lt;&gt;"n/a",COUNTIF($T$2:$T$528,$T287)&gt;1),AND($W287&lt;&gt;"",LOWER(TRIM($W287))&lt;&gt;"n/a",COUNTIF($W$2:$W$528,$W287)&gt;1)),"Yes","No"),IF($A287="Cybernet",IF(OR(AND($Y287&lt;&gt;"",LOWER(TRIM($Y287))&lt;&gt;"n/a",COUNTIF($Y$2:$Y$528,$Y287)&gt;1),AND($Z287&lt;&gt;"",LOWER(TRIM($Z287))&lt;&gt;"n/a",COUNTIF($Z$2:$Z$528,$Z287)&gt;1)),"Yes","No"),IF(AND($AL287&lt;&gt;"",LOWER(TRIM($AL287))&lt;&gt;"n/a",COUNTIF($AL$2:$AL$528,$AL287)&gt;1),"Yes","No"))))</f>
        <v/>
      </c>
      <c r="F287" t="str">
        <f>IF($B287&lt;&gt;"Yes","",
IF($A287="Neuron",
IF(OR(
AND($S287&lt;&gt;"",LOWER(TRIM($S287))&lt;&gt;"n/a",COUNTIFS($B$2:$B$528,"Yes",$A$2:$A$528,"Neuron",$S$2:$S$528,$S287)&gt;1),
AND($T287&lt;&gt;"",LOWER(TRIM($T287))&lt;&gt;"n/a",COUNTIFS($B$2:$B$528,"Yes",$A$2:$A$528,"Neuron",$T$2:$T$528,$T287)&gt;1),
AND($W287&lt;&gt;"",LOWER(TRIM($W287))&lt;&gt;"n/a",COUNTIFS($B$2:$B$528,"Yes",$A$2:$A$528,"Neuron",$W$2:$W$528,$W287)&gt;1)
),"Yes","No"),
IF($A287="Cybernet",
IF(OR(
AND($Y287&lt;&gt;"",LOWER(TRIM($Y287))&lt;&gt;"n/a",COUNTIFS($B$2:$B$528,"Yes",$A$2:$A$528,"Cybernet",$Y$2:$Y$528,$Y287)&gt;1),
AND($Z287&lt;&gt;"",LOWER(TRIM($Z287))&lt;&gt;"n/a",COUNTIFS($B$2:$B$528,"Yes",$A$2:$A$528,"Cybernet",$Z$2:$Z$528,$Z287)&gt;1)
),"Yes","No"),
IF(AND($AL287&lt;&gt;"",LOWER(TRIM($AL287))&lt;&gt;"n/a"),
IF(COUNTIFS($B$2:$B$528,"Yes",$A$2:$A$528,$A287,$AL$2:$AL$528,$AL287)&gt;1,"Yes","No"),
"No")
)
)
)</f>
        <v/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8"/>
      <c r="AF287" s="4"/>
      <c r="AG287" s="4"/>
      <c r="AH287" s="1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8"/>
      <c r="AX287" s="8"/>
      <c r="AY287" s="8"/>
      <c r="AZ287" s="8"/>
      <c r="BA287" s="12"/>
      <c r="BB287" s="8"/>
      <c r="BC287" s="4"/>
      <c r="BD287" s="4"/>
      <c r="BE287" s="8"/>
      <c r="BF287" s="8"/>
      <c r="BG287" s="8"/>
      <c r="BH287" s="8"/>
      <c r="BI287" s="8"/>
      <c r="BJ287" s="8"/>
      <c r="BK287" s="8"/>
      <c r="BL287" s="4" t="str">
        <f t="shared" si="13"/>
        <v/>
      </c>
      <c r="BM287" s="8" t="str">
        <f t="shared" si="14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1:70" ht="15" customHeight="1">
      <c r="A288" s="8"/>
      <c r="B288" s="8"/>
      <c r="D288" s="15" t="str">
        <f t="shared" si="15"/>
        <v/>
      </c>
      <c r="E288" s="15" t="str">
        <f>IF($A288="","",IF($A288="Neuron",IF(OR(AND($S288&lt;&gt;"",LOWER(TRIM($S288))&lt;&gt;"n/a",COUNTIF($S$2:$S$528,$S288)&gt;1),AND($T288&lt;&gt;"",LOWER(TRIM($T288))&lt;&gt;"n/a",COUNTIF($T$2:$T$528,$T288)&gt;1),AND($W288&lt;&gt;"",LOWER(TRIM($W288))&lt;&gt;"n/a",COUNTIF($W$2:$W$528,$W288)&gt;1)),"Yes","No"),IF($A288="Cybernet",IF(OR(AND($Y288&lt;&gt;"",LOWER(TRIM($Y288))&lt;&gt;"n/a",COUNTIF($Y$2:$Y$528,$Y288)&gt;1),AND($Z288&lt;&gt;"",LOWER(TRIM($Z288))&lt;&gt;"n/a",COUNTIF($Z$2:$Z$528,$Z288)&gt;1)),"Yes","No"),IF(AND($AL288&lt;&gt;"",LOWER(TRIM($AL288))&lt;&gt;"n/a",COUNTIF($AL$2:$AL$528,$AL288)&gt;1),"Yes","No"))))</f>
        <v/>
      </c>
      <c r="F288" t="str">
        <f>IF($B288&lt;&gt;"Yes","",
IF($A288="Neuron",
IF(OR(
AND($S288&lt;&gt;"",LOWER(TRIM($S288))&lt;&gt;"n/a",COUNTIFS($B$2:$B$528,"Yes",$A$2:$A$528,"Neuron",$S$2:$S$528,$S288)&gt;1),
AND($T288&lt;&gt;"",LOWER(TRIM($T288))&lt;&gt;"n/a",COUNTIFS($B$2:$B$528,"Yes",$A$2:$A$528,"Neuron",$T$2:$T$528,$T288)&gt;1),
AND($W288&lt;&gt;"",LOWER(TRIM($W288))&lt;&gt;"n/a",COUNTIFS($B$2:$B$528,"Yes",$A$2:$A$528,"Neuron",$W$2:$W$528,$W288)&gt;1)
),"Yes","No"),
IF($A288="Cybernet",
IF(OR(
AND($Y288&lt;&gt;"",LOWER(TRIM($Y288))&lt;&gt;"n/a",COUNTIFS($B$2:$B$528,"Yes",$A$2:$A$528,"Cybernet",$Y$2:$Y$528,$Y288)&gt;1),
AND($Z288&lt;&gt;"",LOWER(TRIM($Z288))&lt;&gt;"n/a",COUNTIFS($B$2:$B$528,"Yes",$A$2:$A$528,"Cybernet",$Z$2:$Z$528,$Z288)&gt;1)
),"Yes","No"),
IF(AND($AL288&lt;&gt;"",LOWER(TRIM($AL288))&lt;&gt;"n/a"),
IF(COUNTIFS($B$2:$B$528,"Yes",$A$2:$A$528,$A288,$AL$2:$AL$528,$AL288)&gt;1,"Yes","No"),
"No")
)
)
)</f>
        <v/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8"/>
      <c r="AF288" s="4"/>
      <c r="AG288" s="4"/>
      <c r="AH288" s="1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8"/>
      <c r="AX288" s="8"/>
      <c r="AY288" s="8"/>
      <c r="AZ288" s="8"/>
      <c r="BA288" s="12"/>
      <c r="BB288" s="8"/>
      <c r="BC288" s="4"/>
      <c r="BD288" s="4"/>
      <c r="BE288" s="8"/>
      <c r="BF288" s="8"/>
      <c r="BG288" s="8"/>
      <c r="BH288" s="8"/>
      <c r="BI288" s="8"/>
      <c r="BJ288" s="8"/>
      <c r="BK288" s="8"/>
      <c r="BL288" s="4" t="str">
        <f t="shared" si="13"/>
        <v/>
      </c>
      <c r="BM288" s="8" t="str">
        <f t="shared" si="14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1:70" ht="15" customHeight="1">
      <c r="A289" s="8"/>
      <c r="B289" s="8"/>
      <c r="D289" s="15" t="str">
        <f t="shared" si="15"/>
        <v/>
      </c>
      <c r="E289" s="15" t="str">
        <f>IF($A289="","",IF($A289="Neuron",IF(OR(AND($S289&lt;&gt;"",LOWER(TRIM($S289))&lt;&gt;"n/a",COUNTIF($S$2:$S$528,$S289)&gt;1),AND($T289&lt;&gt;"",LOWER(TRIM($T289))&lt;&gt;"n/a",COUNTIF($T$2:$T$528,$T289)&gt;1),AND($W289&lt;&gt;"",LOWER(TRIM($W289))&lt;&gt;"n/a",COUNTIF($W$2:$W$528,$W289)&gt;1)),"Yes","No"),IF($A289="Cybernet",IF(OR(AND($Y289&lt;&gt;"",LOWER(TRIM($Y289))&lt;&gt;"n/a",COUNTIF($Y$2:$Y$528,$Y289)&gt;1),AND($Z289&lt;&gt;"",LOWER(TRIM($Z289))&lt;&gt;"n/a",COUNTIF($Z$2:$Z$528,$Z289)&gt;1)),"Yes","No"),IF(AND($AL289&lt;&gt;"",LOWER(TRIM($AL289))&lt;&gt;"n/a",COUNTIF($AL$2:$AL$528,$AL289)&gt;1),"Yes","No"))))</f>
        <v/>
      </c>
      <c r="F289" t="str">
        <f>IF($B289&lt;&gt;"Yes","",
IF($A289="Neuron",
IF(OR(
AND($S289&lt;&gt;"",LOWER(TRIM($S289))&lt;&gt;"n/a",COUNTIFS($B$2:$B$528,"Yes",$A$2:$A$528,"Neuron",$S$2:$S$528,$S289)&gt;1),
AND($T289&lt;&gt;"",LOWER(TRIM($T289))&lt;&gt;"n/a",COUNTIFS($B$2:$B$528,"Yes",$A$2:$A$528,"Neuron",$T$2:$T$528,$T289)&gt;1),
AND($W289&lt;&gt;"",LOWER(TRIM($W289))&lt;&gt;"n/a",COUNTIFS($B$2:$B$528,"Yes",$A$2:$A$528,"Neuron",$W$2:$W$528,$W289)&gt;1)
),"Yes","No"),
IF($A289="Cybernet",
IF(OR(
AND($Y289&lt;&gt;"",LOWER(TRIM($Y289))&lt;&gt;"n/a",COUNTIFS($B$2:$B$528,"Yes",$A$2:$A$528,"Cybernet",$Y$2:$Y$528,$Y289)&gt;1),
AND($Z289&lt;&gt;"",LOWER(TRIM($Z289))&lt;&gt;"n/a",COUNTIFS($B$2:$B$528,"Yes",$A$2:$A$528,"Cybernet",$Z$2:$Z$528,$Z289)&gt;1)
),"Yes","No"),
IF(AND($AL289&lt;&gt;"",LOWER(TRIM($AL289))&lt;&gt;"n/a"),
IF(COUNTIFS($B$2:$B$528,"Yes",$A$2:$A$528,$A289,$AL$2:$AL$528,$AL289)&gt;1,"Yes","No"),
"No")
)
)
)</f>
        <v/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8"/>
      <c r="AF289" s="4"/>
      <c r="AG289" s="4"/>
      <c r="AH289" s="1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8"/>
      <c r="AX289" s="8"/>
      <c r="AY289" s="8"/>
      <c r="AZ289" s="8"/>
      <c r="BA289" s="12"/>
      <c r="BB289" s="8"/>
      <c r="BC289" s="4"/>
      <c r="BD289" s="4"/>
      <c r="BE289" s="8"/>
      <c r="BF289" s="8"/>
      <c r="BG289" s="8"/>
      <c r="BH289" s="8"/>
      <c r="BI289" s="8"/>
      <c r="BJ289" s="8"/>
      <c r="BK289" s="8"/>
      <c r="BL289" s="4" t="str">
        <f t="shared" si="13"/>
        <v/>
      </c>
      <c r="BM289" s="8" t="str">
        <f t="shared" si="14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1:70" ht="15" customHeight="1">
      <c r="A290" s="8"/>
      <c r="B290" s="8"/>
      <c r="D290" s="15" t="str">
        <f t="shared" si="15"/>
        <v/>
      </c>
      <c r="E290" s="15" t="str">
        <f>IF($A290="","",IF($A290="Neuron",IF(OR(AND($S290&lt;&gt;"",LOWER(TRIM($S290))&lt;&gt;"n/a",COUNTIF($S$2:$S$528,$S290)&gt;1),AND($T290&lt;&gt;"",LOWER(TRIM($T290))&lt;&gt;"n/a",COUNTIF($T$2:$T$528,$T290)&gt;1),AND($W290&lt;&gt;"",LOWER(TRIM($W290))&lt;&gt;"n/a",COUNTIF($W$2:$W$528,$W290)&gt;1)),"Yes","No"),IF($A290="Cybernet",IF(OR(AND($Y290&lt;&gt;"",LOWER(TRIM($Y290))&lt;&gt;"n/a",COUNTIF($Y$2:$Y$528,$Y290)&gt;1),AND($Z290&lt;&gt;"",LOWER(TRIM($Z290))&lt;&gt;"n/a",COUNTIF($Z$2:$Z$528,$Z290)&gt;1)),"Yes","No"),IF(AND($AL290&lt;&gt;"",LOWER(TRIM($AL290))&lt;&gt;"n/a",COUNTIF($AL$2:$AL$528,$AL290)&gt;1),"Yes","No"))))</f>
        <v/>
      </c>
      <c r="F290" t="str">
        <f>IF($B290&lt;&gt;"Yes","",
IF($A290="Neuron",
IF(OR(
AND($S290&lt;&gt;"",LOWER(TRIM($S290))&lt;&gt;"n/a",COUNTIFS($B$2:$B$528,"Yes",$A$2:$A$528,"Neuron",$S$2:$S$528,$S290)&gt;1),
AND($T290&lt;&gt;"",LOWER(TRIM($T290))&lt;&gt;"n/a",COUNTIFS($B$2:$B$528,"Yes",$A$2:$A$528,"Neuron",$T$2:$T$528,$T290)&gt;1),
AND($W290&lt;&gt;"",LOWER(TRIM($W290))&lt;&gt;"n/a",COUNTIFS($B$2:$B$528,"Yes",$A$2:$A$528,"Neuron",$W$2:$W$528,$W290)&gt;1)
),"Yes","No"),
IF($A290="Cybernet",
IF(OR(
AND($Y290&lt;&gt;"",LOWER(TRIM($Y290))&lt;&gt;"n/a",COUNTIFS($B$2:$B$528,"Yes",$A$2:$A$528,"Cybernet",$Y$2:$Y$528,$Y290)&gt;1),
AND($Z290&lt;&gt;"",LOWER(TRIM($Z290))&lt;&gt;"n/a",COUNTIFS($B$2:$B$528,"Yes",$A$2:$A$528,"Cybernet",$Z$2:$Z$528,$Z290)&gt;1)
),"Yes","No"),
IF(AND($AL290&lt;&gt;"",LOWER(TRIM($AL290))&lt;&gt;"n/a"),
IF(COUNTIFS($B$2:$B$528,"Yes",$A$2:$A$528,$A290,$AL$2:$AL$528,$AL290)&gt;1,"Yes","No"),
"No")
)
)
)</f>
        <v/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8"/>
      <c r="AF290" s="4"/>
      <c r="AG290" s="4"/>
      <c r="AH290" s="1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8"/>
      <c r="AX290" s="8"/>
      <c r="AY290" s="8"/>
      <c r="AZ290" s="8"/>
      <c r="BA290" s="12"/>
      <c r="BB290" s="8"/>
      <c r="BC290" s="4"/>
      <c r="BD290" s="4"/>
      <c r="BE290" s="8"/>
      <c r="BF290" s="8"/>
      <c r="BG290" s="8"/>
      <c r="BH290" s="8"/>
      <c r="BI290" s="8"/>
      <c r="BJ290" s="8"/>
      <c r="BK290" s="8"/>
      <c r="BL290" s="4" t="str">
        <f t="shared" si="13"/>
        <v/>
      </c>
      <c r="BM290" s="8" t="str">
        <f t="shared" si="14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1:70" ht="15" customHeight="1">
      <c r="A291" s="8"/>
      <c r="B291" s="8"/>
      <c r="D291" s="15" t="str">
        <f t="shared" si="15"/>
        <v/>
      </c>
      <c r="E291" s="15" t="str">
        <f>IF($A291="","",IF($A291="Neuron",IF(OR(AND($S291&lt;&gt;"",LOWER(TRIM($S291))&lt;&gt;"n/a",COUNTIF($S$2:$S$528,$S291)&gt;1),AND($T291&lt;&gt;"",LOWER(TRIM($T291))&lt;&gt;"n/a",COUNTIF($T$2:$T$528,$T291)&gt;1),AND($W291&lt;&gt;"",LOWER(TRIM($W291))&lt;&gt;"n/a",COUNTIF($W$2:$W$528,$W291)&gt;1)),"Yes","No"),IF($A291="Cybernet",IF(OR(AND($Y291&lt;&gt;"",LOWER(TRIM($Y291))&lt;&gt;"n/a",COUNTIF($Y$2:$Y$528,$Y291)&gt;1),AND($Z291&lt;&gt;"",LOWER(TRIM($Z291))&lt;&gt;"n/a",COUNTIF($Z$2:$Z$528,$Z291)&gt;1)),"Yes","No"),IF(AND($AL291&lt;&gt;"",LOWER(TRIM($AL291))&lt;&gt;"n/a",COUNTIF($AL$2:$AL$528,$AL291)&gt;1),"Yes","No"))))</f>
        <v/>
      </c>
      <c r="F291" t="str">
        <f>IF($B291&lt;&gt;"Yes","",
IF($A291="Neuron",
IF(OR(
AND($S291&lt;&gt;"",LOWER(TRIM($S291))&lt;&gt;"n/a",COUNTIFS($B$2:$B$528,"Yes",$A$2:$A$528,"Neuron",$S$2:$S$528,$S291)&gt;1),
AND($T291&lt;&gt;"",LOWER(TRIM($T291))&lt;&gt;"n/a",COUNTIFS($B$2:$B$528,"Yes",$A$2:$A$528,"Neuron",$T$2:$T$528,$T291)&gt;1),
AND($W291&lt;&gt;"",LOWER(TRIM($W291))&lt;&gt;"n/a",COUNTIFS($B$2:$B$528,"Yes",$A$2:$A$528,"Neuron",$W$2:$W$528,$W291)&gt;1)
),"Yes","No"),
IF($A291="Cybernet",
IF(OR(
AND($Y291&lt;&gt;"",LOWER(TRIM($Y291))&lt;&gt;"n/a",COUNTIFS($B$2:$B$528,"Yes",$A$2:$A$528,"Cybernet",$Y$2:$Y$528,$Y291)&gt;1),
AND($Z291&lt;&gt;"",LOWER(TRIM($Z291))&lt;&gt;"n/a",COUNTIFS($B$2:$B$528,"Yes",$A$2:$A$528,"Cybernet",$Z$2:$Z$528,$Z291)&gt;1)
),"Yes","No"),
IF(AND($AL291&lt;&gt;"",LOWER(TRIM($AL291))&lt;&gt;"n/a"),
IF(COUNTIFS($B$2:$B$528,"Yes",$A$2:$A$528,$A291,$AL$2:$AL$528,$AL291)&gt;1,"Yes","No"),
"No")
)
)
)</f>
        <v/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8"/>
      <c r="AF291" s="4"/>
      <c r="AG291" s="4"/>
      <c r="AH291" s="1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8"/>
      <c r="AX291" s="8"/>
      <c r="AY291" s="8"/>
      <c r="AZ291" s="8"/>
      <c r="BA291" s="12"/>
      <c r="BB291" s="8"/>
      <c r="BC291" s="4"/>
      <c r="BD291" s="4"/>
      <c r="BE291" s="8"/>
      <c r="BF291" s="8"/>
      <c r="BG291" s="8"/>
      <c r="BH291" s="8"/>
      <c r="BI291" s="8"/>
      <c r="BJ291" s="8"/>
      <c r="BK291" s="8"/>
      <c r="BL291" s="4" t="str">
        <f t="shared" si="13"/>
        <v/>
      </c>
      <c r="BM291" s="8" t="str">
        <f t="shared" si="14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1:70" ht="15" customHeight="1">
      <c r="A292" s="8"/>
      <c r="B292" s="8"/>
      <c r="D292" s="15" t="str">
        <f t="shared" si="15"/>
        <v/>
      </c>
      <c r="E292" s="15" t="str">
        <f>IF($A292="","",IF($A292="Neuron",IF(OR(AND($S292&lt;&gt;"",LOWER(TRIM($S292))&lt;&gt;"n/a",COUNTIF($S$2:$S$528,$S292)&gt;1),AND($T292&lt;&gt;"",LOWER(TRIM($T292))&lt;&gt;"n/a",COUNTIF($T$2:$T$528,$T292)&gt;1),AND($W292&lt;&gt;"",LOWER(TRIM($W292))&lt;&gt;"n/a",COUNTIF($W$2:$W$528,$W292)&gt;1)),"Yes","No"),IF($A292="Cybernet",IF(OR(AND($Y292&lt;&gt;"",LOWER(TRIM($Y292))&lt;&gt;"n/a",COUNTIF($Y$2:$Y$528,$Y292)&gt;1),AND($Z292&lt;&gt;"",LOWER(TRIM($Z292))&lt;&gt;"n/a",COUNTIF($Z$2:$Z$528,$Z292)&gt;1)),"Yes","No"),IF(AND($AL292&lt;&gt;"",LOWER(TRIM($AL292))&lt;&gt;"n/a",COUNTIF($AL$2:$AL$528,$AL292)&gt;1),"Yes","No"))))</f>
        <v/>
      </c>
      <c r="F292" t="str">
        <f>IF($B292&lt;&gt;"Yes","",
IF($A292="Neuron",
IF(OR(
AND($S292&lt;&gt;"",LOWER(TRIM($S292))&lt;&gt;"n/a",COUNTIFS($B$2:$B$528,"Yes",$A$2:$A$528,"Neuron",$S$2:$S$528,$S292)&gt;1),
AND($T292&lt;&gt;"",LOWER(TRIM($T292))&lt;&gt;"n/a",COUNTIFS($B$2:$B$528,"Yes",$A$2:$A$528,"Neuron",$T$2:$T$528,$T292)&gt;1),
AND($W292&lt;&gt;"",LOWER(TRIM($W292))&lt;&gt;"n/a",COUNTIFS($B$2:$B$528,"Yes",$A$2:$A$528,"Neuron",$W$2:$W$528,$W292)&gt;1)
),"Yes","No"),
IF($A292="Cybernet",
IF(OR(
AND($Y292&lt;&gt;"",LOWER(TRIM($Y292))&lt;&gt;"n/a",COUNTIFS($B$2:$B$528,"Yes",$A$2:$A$528,"Cybernet",$Y$2:$Y$528,$Y292)&gt;1),
AND($Z292&lt;&gt;"",LOWER(TRIM($Z292))&lt;&gt;"n/a",COUNTIFS($B$2:$B$528,"Yes",$A$2:$A$528,"Cybernet",$Z$2:$Z$528,$Z292)&gt;1)
),"Yes","No"),
IF(AND($AL292&lt;&gt;"",LOWER(TRIM($AL292))&lt;&gt;"n/a"),
IF(COUNTIFS($B$2:$B$528,"Yes",$A$2:$A$528,$A292,$AL$2:$AL$528,$AL292)&gt;1,"Yes","No"),
"No")
)
)
)</f>
        <v/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8"/>
      <c r="AF292" s="4"/>
      <c r="AG292" s="4"/>
      <c r="AH292" s="1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8"/>
      <c r="AX292" s="8"/>
      <c r="AY292" s="8"/>
      <c r="AZ292" s="8"/>
      <c r="BA292" s="12"/>
      <c r="BB292" s="8"/>
      <c r="BC292" s="4"/>
      <c r="BD292" s="4"/>
      <c r="BE292" s="8"/>
      <c r="BF292" s="8"/>
      <c r="BG292" s="8"/>
      <c r="BH292" s="8"/>
      <c r="BI292" s="8"/>
      <c r="BJ292" s="8"/>
      <c r="BK292" s="8"/>
      <c r="BL292" s="4" t="str">
        <f t="shared" si="13"/>
        <v/>
      </c>
      <c r="BM292" s="8" t="str">
        <f t="shared" si="14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1:70" ht="15" customHeight="1">
      <c r="A293" s="8"/>
      <c r="B293" s="8"/>
      <c r="D293" s="15" t="str">
        <f t="shared" si="15"/>
        <v/>
      </c>
      <c r="E293" s="15" t="str">
        <f>IF($A293="","",IF($A293="Neuron",IF(OR(AND($S293&lt;&gt;"",LOWER(TRIM($S293))&lt;&gt;"n/a",COUNTIF($S$2:$S$528,$S293)&gt;1),AND($T293&lt;&gt;"",LOWER(TRIM($T293))&lt;&gt;"n/a",COUNTIF($T$2:$T$528,$T293)&gt;1),AND($W293&lt;&gt;"",LOWER(TRIM($W293))&lt;&gt;"n/a",COUNTIF($W$2:$W$528,$W293)&gt;1)),"Yes","No"),IF($A293="Cybernet",IF(OR(AND($Y293&lt;&gt;"",LOWER(TRIM($Y293))&lt;&gt;"n/a",COUNTIF($Y$2:$Y$528,$Y293)&gt;1),AND($Z293&lt;&gt;"",LOWER(TRIM($Z293))&lt;&gt;"n/a",COUNTIF($Z$2:$Z$528,$Z293)&gt;1)),"Yes","No"),IF(AND($AL293&lt;&gt;"",LOWER(TRIM($AL293))&lt;&gt;"n/a",COUNTIF($AL$2:$AL$528,$AL293)&gt;1),"Yes","No"))))</f>
        <v/>
      </c>
      <c r="F293" t="str">
        <f>IF($B293&lt;&gt;"Yes","",
IF($A293="Neuron",
IF(OR(
AND($S293&lt;&gt;"",LOWER(TRIM($S293))&lt;&gt;"n/a",COUNTIFS($B$2:$B$528,"Yes",$A$2:$A$528,"Neuron",$S$2:$S$528,$S293)&gt;1),
AND($T293&lt;&gt;"",LOWER(TRIM($T293))&lt;&gt;"n/a",COUNTIFS($B$2:$B$528,"Yes",$A$2:$A$528,"Neuron",$T$2:$T$528,$T293)&gt;1),
AND($W293&lt;&gt;"",LOWER(TRIM($W293))&lt;&gt;"n/a",COUNTIFS($B$2:$B$528,"Yes",$A$2:$A$528,"Neuron",$W$2:$W$528,$W293)&gt;1)
),"Yes","No"),
IF($A293="Cybernet",
IF(OR(
AND($Y293&lt;&gt;"",LOWER(TRIM($Y293))&lt;&gt;"n/a",COUNTIFS($B$2:$B$528,"Yes",$A$2:$A$528,"Cybernet",$Y$2:$Y$528,$Y293)&gt;1),
AND($Z293&lt;&gt;"",LOWER(TRIM($Z293))&lt;&gt;"n/a",COUNTIFS($B$2:$B$528,"Yes",$A$2:$A$528,"Cybernet",$Z$2:$Z$528,$Z293)&gt;1)
),"Yes","No"),
IF(AND($AL293&lt;&gt;"",LOWER(TRIM($AL293))&lt;&gt;"n/a"),
IF(COUNTIFS($B$2:$B$528,"Yes",$A$2:$A$528,$A293,$AL$2:$AL$528,$AL293)&gt;1,"Yes","No"),
"No")
)
)
)</f>
        <v/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8"/>
      <c r="AF293" s="4"/>
      <c r="AG293" s="4"/>
      <c r="AH293" s="1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8"/>
      <c r="AX293" s="8"/>
      <c r="AY293" s="8"/>
      <c r="AZ293" s="8"/>
      <c r="BA293" s="12"/>
      <c r="BB293" s="8"/>
      <c r="BC293" s="4"/>
      <c r="BD293" s="4"/>
      <c r="BE293" s="8"/>
      <c r="BF293" s="8"/>
      <c r="BG293" s="8"/>
      <c r="BH293" s="8"/>
      <c r="BI293" s="8"/>
      <c r="BJ293" s="8"/>
      <c r="BK293" s="8"/>
      <c r="BL293" s="4" t="str">
        <f t="shared" si="13"/>
        <v/>
      </c>
      <c r="BM293" s="8" t="str">
        <f t="shared" si="14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1:70" ht="15" customHeight="1">
      <c r="A294" s="8"/>
      <c r="B294" s="8"/>
      <c r="D294" s="15" t="str">
        <f t="shared" si="15"/>
        <v/>
      </c>
      <c r="E294" s="15" t="str">
        <f>IF($A294="","",IF($A294="Neuron",IF(OR(AND($S294&lt;&gt;"",LOWER(TRIM($S294))&lt;&gt;"n/a",COUNTIF($S$2:$S$528,$S294)&gt;1),AND($T294&lt;&gt;"",LOWER(TRIM($T294))&lt;&gt;"n/a",COUNTIF($T$2:$T$528,$T294)&gt;1),AND($W294&lt;&gt;"",LOWER(TRIM($W294))&lt;&gt;"n/a",COUNTIF($W$2:$W$528,$W294)&gt;1)),"Yes","No"),IF($A294="Cybernet",IF(OR(AND($Y294&lt;&gt;"",LOWER(TRIM($Y294))&lt;&gt;"n/a",COUNTIF($Y$2:$Y$528,$Y294)&gt;1),AND($Z294&lt;&gt;"",LOWER(TRIM($Z294))&lt;&gt;"n/a",COUNTIF($Z$2:$Z$528,$Z294)&gt;1)),"Yes","No"),IF(AND($AL294&lt;&gt;"",LOWER(TRIM($AL294))&lt;&gt;"n/a",COUNTIF($AL$2:$AL$528,$AL294)&gt;1),"Yes","No"))))</f>
        <v/>
      </c>
      <c r="F294" t="str">
        <f>IF($B294&lt;&gt;"Yes","",
IF($A294="Neuron",
IF(OR(
AND($S294&lt;&gt;"",LOWER(TRIM($S294))&lt;&gt;"n/a",COUNTIFS($B$2:$B$528,"Yes",$A$2:$A$528,"Neuron",$S$2:$S$528,$S294)&gt;1),
AND($T294&lt;&gt;"",LOWER(TRIM($T294))&lt;&gt;"n/a",COUNTIFS($B$2:$B$528,"Yes",$A$2:$A$528,"Neuron",$T$2:$T$528,$T294)&gt;1),
AND($W294&lt;&gt;"",LOWER(TRIM($W294))&lt;&gt;"n/a",COUNTIFS($B$2:$B$528,"Yes",$A$2:$A$528,"Neuron",$W$2:$W$528,$W294)&gt;1)
),"Yes","No"),
IF($A294="Cybernet",
IF(OR(
AND($Y294&lt;&gt;"",LOWER(TRIM($Y294))&lt;&gt;"n/a",COUNTIFS($B$2:$B$528,"Yes",$A$2:$A$528,"Cybernet",$Y$2:$Y$528,$Y294)&gt;1),
AND($Z294&lt;&gt;"",LOWER(TRIM($Z294))&lt;&gt;"n/a",COUNTIFS($B$2:$B$528,"Yes",$A$2:$A$528,"Cybernet",$Z$2:$Z$528,$Z294)&gt;1)
),"Yes","No"),
IF(AND($AL294&lt;&gt;"",LOWER(TRIM($AL294))&lt;&gt;"n/a"),
IF(COUNTIFS($B$2:$B$528,"Yes",$A$2:$A$528,$A294,$AL$2:$AL$528,$AL294)&gt;1,"Yes","No"),
"No")
)
)
)</f>
        <v/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8"/>
      <c r="AF294" s="4"/>
      <c r="AG294" s="4"/>
      <c r="AH294" s="1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8"/>
      <c r="AX294" s="8"/>
      <c r="AY294" s="8"/>
      <c r="AZ294" s="8"/>
      <c r="BA294" s="12"/>
      <c r="BB294" s="8"/>
      <c r="BC294" s="4"/>
      <c r="BD294" s="4"/>
      <c r="BE294" s="8"/>
      <c r="BF294" s="8"/>
      <c r="BG294" s="8"/>
      <c r="BH294" s="8"/>
      <c r="BI294" s="8"/>
      <c r="BJ294" s="8"/>
      <c r="BK294" s="8"/>
      <c r="BL294" s="4" t="str">
        <f t="shared" si="13"/>
        <v/>
      </c>
      <c r="BM294" s="8" t="str">
        <f t="shared" si="14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1:70" ht="15" customHeight="1">
      <c r="A295" s="8"/>
      <c r="B295" s="8"/>
      <c r="D295" s="15" t="str">
        <f t="shared" si="15"/>
        <v/>
      </c>
      <c r="E295" s="15" t="str">
        <f>IF($A295="","",IF($A295="Neuron",IF(OR(AND($S295&lt;&gt;"",LOWER(TRIM($S295))&lt;&gt;"n/a",COUNTIF($S$2:$S$528,$S295)&gt;1),AND($T295&lt;&gt;"",LOWER(TRIM($T295))&lt;&gt;"n/a",COUNTIF($T$2:$T$528,$T295)&gt;1),AND($W295&lt;&gt;"",LOWER(TRIM($W295))&lt;&gt;"n/a",COUNTIF($W$2:$W$528,$W295)&gt;1)),"Yes","No"),IF($A295="Cybernet",IF(OR(AND($Y295&lt;&gt;"",LOWER(TRIM($Y295))&lt;&gt;"n/a",COUNTIF($Y$2:$Y$528,$Y295)&gt;1),AND($Z295&lt;&gt;"",LOWER(TRIM($Z295))&lt;&gt;"n/a",COUNTIF($Z$2:$Z$528,$Z295)&gt;1)),"Yes","No"),IF(AND($AL295&lt;&gt;"",LOWER(TRIM($AL295))&lt;&gt;"n/a",COUNTIF($AL$2:$AL$528,$AL295)&gt;1),"Yes","No"))))</f>
        <v/>
      </c>
      <c r="F295" t="str">
        <f>IF($B295&lt;&gt;"Yes","",
IF($A295="Neuron",
IF(OR(
AND($S295&lt;&gt;"",LOWER(TRIM($S295))&lt;&gt;"n/a",COUNTIFS($B$2:$B$528,"Yes",$A$2:$A$528,"Neuron",$S$2:$S$528,$S295)&gt;1),
AND($T295&lt;&gt;"",LOWER(TRIM($T295))&lt;&gt;"n/a",COUNTIFS($B$2:$B$528,"Yes",$A$2:$A$528,"Neuron",$T$2:$T$528,$T295)&gt;1),
AND($W295&lt;&gt;"",LOWER(TRIM($W295))&lt;&gt;"n/a",COUNTIFS($B$2:$B$528,"Yes",$A$2:$A$528,"Neuron",$W$2:$W$528,$W295)&gt;1)
),"Yes","No"),
IF($A295="Cybernet",
IF(OR(
AND($Y295&lt;&gt;"",LOWER(TRIM($Y295))&lt;&gt;"n/a",COUNTIFS($B$2:$B$528,"Yes",$A$2:$A$528,"Cybernet",$Y$2:$Y$528,$Y295)&gt;1),
AND($Z295&lt;&gt;"",LOWER(TRIM($Z295))&lt;&gt;"n/a",COUNTIFS($B$2:$B$528,"Yes",$A$2:$A$528,"Cybernet",$Z$2:$Z$528,$Z295)&gt;1)
),"Yes","No"),
IF(AND($AL295&lt;&gt;"",LOWER(TRIM($AL295))&lt;&gt;"n/a"),
IF(COUNTIFS($B$2:$B$528,"Yes",$A$2:$A$528,$A295,$AL$2:$AL$528,$AL295)&gt;1,"Yes","No"),
"No")
)
)
)</f>
        <v/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8"/>
      <c r="AF295" s="4"/>
      <c r="AG295" s="4"/>
      <c r="AH295" s="1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8"/>
      <c r="AX295" s="8"/>
      <c r="AY295" s="8"/>
      <c r="AZ295" s="8"/>
      <c r="BA295" s="12"/>
      <c r="BB295" s="8"/>
      <c r="BC295" s="4"/>
      <c r="BD295" s="4"/>
      <c r="BE295" s="8"/>
      <c r="BF295" s="8"/>
      <c r="BG295" s="8"/>
      <c r="BH295" s="8"/>
      <c r="BI295" s="8"/>
      <c r="BJ295" s="8"/>
      <c r="BK295" s="8"/>
      <c r="BL295" s="4" t="str">
        <f t="shared" si="13"/>
        <v/>
      </c>
      <c r="BM295" s="8" t="str">
        <f t="shared" si="14"/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1:70" ht="15" customHeight="1">
      <c r="A296" s="8"/>
      <c r="B296" s="8"/>
      <c r="D296" s="15" t="str">
        <f t="shared" si="15"/>
        <v/>
      </c>
      <c r="E296" s="15" t="str">
        <f>IF($A296="","",IF($A296="Neuron",IF(OR(AND($S296&lt;&gt;"",LOWER(TRIM($S296))&lt;&gt;"n/a",COUNTIF($S$2:$S$528,$S296)&gt;1),AND($T296&lt;&gt;"",LOWER(TRIM($T296))&lt;&gt;"n/a",COUNTIF($T$2:$T$528,$T296)&gt;1),AND($W296&lt;&gt;"",LOWER(TRIM($W296))&lt;&gt;"n/a",COUNTIF($W$2:$W$528,$W296)&gt;1)),"Yes","No"),IF($A296="Cybernet",IF(OR(AND($Y296&lt;&gt;"",LOWER(TRIM($Y296))&lt;&gt;"n/a",COUNTIF($Y$2:$Y$528,$Y296)&gt;1),AND($Z296&lt;&gt;"",LOWER(TRIM($Z296))&lt;&gt;"n/a",COUNTIF($Z$2:$Z$528,$Z296)&gt;1)),"Yes","No"),IF(AND($AL296&lt;&gt;"",LOWER(TRIM($AL296))&lt;&gt;"n/a",COUNTIF($AL$2:$AL$528,$AL296)&gt;1),"Yes","No"))))</f>
        <v/>
      </c>
      <c r="F296" t="str">
        <f>IF($B296&lt;&gt;"Yes","",
IF($A296="Neuron",
IF(OR(
AND($S296&lt;&gt;"",LOWER(TRIM($S296))&lt;&gt;"n/a",COUNTIFS($B$2:$B$528,"Yes",$A$2:$A$528,"Neuron",$S$2:$S$528,$S296)&gt;1),
AND($T296&lt;&gt;"",LOWER(TRIM($T296))&lt;&gt;"n/a",COUNTIFS($B$2:$B$528,"Yes",$A$2:$A$528,"Neuron",$T$2:$T$528,$T296)&gt;1),
AND($W296&lt;&gt;"",LOWER(TRIM($W296))&lt;&gt;"n/a",COUNTIFS($B$2:$B$528,"Yes",$A$2:$A$528,"Neuron",$W$2:$W$528,$W296)&gt;1)
),"Yes","No"),
IF($A296="Cybernet",
IF(OR(
AND($Y296&lt;&gt;"",LOWER(TRIM($Y296))&lt;&gt;"n/a",COUNTIFS($B$2:$B$528,"Yes",$A$2:$A$528,"Cybernet",$Y$2:$Y$528,$Y296)&gt;1),
AND($Z296&lt;&gt;"",LOWER(TRIM($Z296))&lt;&gt;"n/a",COUNTIFS($B$2:$B$528,"Yes",$A$2:$A$528,"Cybernet",$Z$2:$Z$528,$Z296)&gt;1)
),"Yes","No"),
IF(AND($AL296&lt;&gt;"",LOWER(TRIM($AL296))&lt;&gt;"n/a"),
IF(COUNTIFS($B$2:$B$528,"Yes",$A$2:$A$528,$A296,$AL$2:$AL$528,$AL296)&gt;1,"Yes","No"),
"No")
)
)
)</f>
        <v/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8"/>
      <c r="AF296" s="4"/>
      <c r="AG296" s="4"/>
      <c r="AH296" s="1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8"/>
      <c r="AX296" s="8"/>
      <c r="AY296" s="8"/>
      <c r="AZ296" s="8"/>
      <c r="BA296" s="12"/>
      <c r="BB296" s="8"/>
      <c r="BC296" s="4"/>
      <c r="BD296" s="4"/>
      <c r="BE296" s="8"/>
      <c r="BF296" s="8"/>
      <c r="BG296" s="8"/>
      <c r="BH296" s="8"/>
      <c r="BI296" s="8"/>
      <c r="BJ296" s="8"/>
      <c r="BK296" s="8"/>
      <c r="BL296" s="4" t="str">
        <f t="shared" si="13"/>
        <v/>
      </c>
      <c r="BM296" s="8" t="str">
        <f t="shared" si="14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1:70" ht="15" customHeight="1">
      <c r="A297" s="8"/>
      <c r="B297" s="8"/>
      <c r="D297" s="15" t="str">
        <f t="shared" si="15"/>
        <v/>
      </c>
      <c r="E297" s="15" t="str">
        <f>IF($A297="","",IF($A297="Neuron",IF(OR(AND($S297&lt;&gt;"",LOWER(TRIM($S297))&lt;&gt;"n/a",COUNTIF($S$2:$S$528,$S297)&gt;1),AND($T297&lt;&gt;"",LOWER(TRIM($T297))&lt;&gt;"n/a",COUNTIF($T$2:$T$528,$T297)&gt;1),AND($W297&lt;&gt;"",LOWER(TRIM($W297))&lt;&gt;"n/a",COUNTIF($W$2:$W$528,$W297)&gt;1)),"Yes","No"),IF($A297="Cybernet",IF(OR(AND($Y297&lt;&gt;"",LOWER(TRIM($Y297))&lt;&gt;"n/a",COUNTIF($Y$2:$Y$528,$Y297)&gt;1),AND($Z297&lt;&gt;"",LOWER(TRIM($Z297))&lt;&gt;"n/a",COUNTIF($Z$2:$Z$528,$Z297)&gt;1)),"Yes","No"),IF(AND($AL297&lt;&gt;"",LOWER(TRIM($AL297))&lt;&gt;"n/a",COUNTIF($AL$2:$AL$528,$AL297)&gt;1),"Yes","No"))))</f>
        <v/>
      </c>
      <c r="F297" t="str">
        <f>IF($B297&lt;&gt;"Yes","",
IF($A297="Neuron",
IF(OR(
AND($S297&lt;&gt;"",LOWER(TRIM($S297))&lt;&gt;"n/a",COUNTIFS($B$2:$B$528,"Yes",$A$2:$A$528,"Neuron",$S$2:$S$528,$S297)&gt;1),
AND($T297&lt;&gt;"",LOWER(TRIM($T297))&lt;&gt;"n/a",COUNTIFS($B$2:$B$528,"Yes",$A$2:$A$528,"Neuron",$T$2:$T$528,$T297)&gt;1),
AND($W297&lt;&gt;"",LOWER(TRIM($W297))&lt;&gt;"n/a",COUNTIFS($B$2:$B$528,"Yes",$A$2:$A$528,"Neuron",$W$2:$W$528,$W297)&gt;1)
),"Yes","No"),
IF($A297="Cybernet",
IF(OR(
AND($Y297&lt;&gt;"",LOWER(TRIM($Y297))&lt;&gt;"n/a",COUNTIFS($B$2:$B$528,"Yes",$A$2:$A$528,"Cybernet",$Y$2:$Y$528,$Y297)&gt;1),
AND($Z297&lt;&gt;"",LOWER(TRIM($Z297))&lt;&gt;"n/a",COUNTIFS($B$2:$B$528,"Yes",$A$2:$A$528,"Cybernet",$Z$2:$Z$528,$Z297)&gt;1)
),"Yes","No"),
IF(AND($AL297&lt;&gt;"",LOWER(TRIM($AL297))&lt;&gt;"n/a"),
IF(COUNTIFS($B$2:$B$528,"Yes",$A$2:$A$528,$A297,$AL$2:$AL$528,$AL297)&gt;1,"Yes","No"),
"No")
)
)
)</f>
        <v/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8"/>
      <c r="AF297" s="4"/>
      <c r="AG297" s="4"/>
      <c r="AH297" s="1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8"/>
      <c r="AX297" s="8"/>
      <c r="AY297" s="8"/>
      <c r="AZ297" s="8"/>
      <c r="BA297" s="12"/>
      <c r="BB297" s="8"/>
      <c r="BC297" s="4"/>
      <c r="BD297" s="4"/>
      <c r="BE297" s="8"/>
      <c r="BF297" s="8"/>
      <c r="BG297" s="8"/>
      <c r="BH297" s="8"/>
      <c r="BI297" s="8"/>
      <c r="BJ297" s="8"/>
      <c r="BK297" s="8"/>
      <c r="BL297" s="4" t="str">
        <f t="shared" si="13"/>
        <v/>
      </c>
      <c r="BM297" s="8" t="str">
        <f t="shared" si="14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1:70" ht="15" customHeight="1">
      <c r="A298" s="8"/>
      <c r="B298" s="8"/>
      <c r="D298" s="15" t="str">
        <f t="shared" si="15"/>
        <v/>
      </c>
      <c r="E298" s="15" t="str">
        <f>IF($A298="","",IF($A298="Neuron",IF(OR(AND($S298&lt;&gt;"",LOWER(TRIM($S298))&lt;&gt;"n/a",COUNTIF($S$2:$S$528,$S298)&gt;1),AND($T298&lt;&gt;"",LOWER(TRIM($T298))&lt;&gt;"n/a",COUNTIF($T$2:$T$528,$T298)&gt;1),AND($W298&lt;&gt;"",LOWER(TRIM($W298))&lt;&gt;"n/a",COUNTIF($W$2:$W$528,$W298)&gt;1)),"Yes","No"),IF($A298="Cybernet",IF(OR(AND($Y298&lt;&gt;"",LOWER(TRIM($Y298))&lt;&gt;"n/a",COUNTIF($Y$2:$Y$528,$Y298)&gt;1),AND($Z298&lt;&gt;"",LOWER(TRIM($Z298))&lt;&gt;"n/a",COUNTIF($Z$2:$Z$528,$Z298)&gt;1)),"Yes","No"),IF(AND($AL298&lt;&gt;"",LOWER(TRIM($AL298))&lt;&gt;"n/a",COUNTIF($AL$2:$AL$528,$AL298)&gt;1),"Yes","No"))))</f>
        <v/>
      </c>
      <c r="F298" t="str">
        <f>IF($B298&lt;&gt;"Yes","",
IF($A298="Neuron",
IF(OR(
AND($S298&lt;&gt;"",LOWER(TRIM($S298))&lt;&gt;"n/a",COUNTIFS($B$2:$B$528,"Yes",$A$2:$A$528,"Neuron",$S$2:$S$528,$S298)&gt;1),
AND($T298&lt;&gt;"",LOWER(TRIM($T298))&lt;&gt;"n/a",COUNTIFS($B$2:$B$528,"Yes",$A$2:$A$528,"Neuron",$T$2:$T$528,$T298)&gt;1),
AND($W298&lt;&gt;"",LOWER(TRIM($W298))&lt;&gt;"n/a",COUNTIFS($B$2:$B$528,"Yes",$A$2:$A$528,"Neuron",$W$2:$W$528,$W298)&gt;1)
),"Yes","No"),
IF($A298="Cybernet",
IF(OR(
AND($Y298&lt;&gt;"",LOWER(TRIM($Y298))&lt;&gt;"n/a",COUNTIFS($B$2:$B$528,"Yes",$A$2:$A$528,"Cybernet",$Y$2:$Y$528,$Y298)&gt;1),
AND($Z298&lt;&gt;"",LOWER(TRIM($Z298))&lt;&gt;"n/a",COUNTIFS($B$2:$B$528,"Yes",$A$2:$A$528,"Cybernet",$Z$2:$Z$528,$Z298)&gt;1)
),"Yes","No"),
IF(AND($AL298&lt;&gt;"",LOWER(TRIM($AL298))&lt;&gt;"n/a"),
IF(COUNTIFS($B$2:$B$528,"Yes",$A$2:$A$528,$A298,$AL$2:$AL$528,$AL298)&gt;1,"Yes","No"),
"No")
)
)
)</f>
        <v/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8"/>
      <c r="AF298" s="4"/>
      <c r="AG298" s="4"/>
      <c r="AH298" s="1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8"/>
      <c r="AX298" s="8"/>
      <c r="AY298" s="8"/>
      <c r="AZ298" s="8"/>
      <c r="BA298" s="12"/>
      <c r="BB298" s="8"/>
      <c r="BC298" s="4"/>
      <c r="BD298" s="4"/>
      <c r="BE298" s="8"/>
      <c r="BF298" s="8"/>
      <c r="BG298" s="8"/>
      <c r="BH298" s="8"/>
      <c r="BI298" s="8"/>
      <c r="BJ298" s="8"/>
      <c r="BK298" s="8"/>
      <c r="BL298" s="4" t="str">
        <f t="shared" si="13"/>
        <v/>
      </c>
      <c r="BM298" s="8" t="str">
        <f t="shared" si="14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1:70" ht="15" customHeight="1">
      <c r="A299" s="8"/>
      <c r="B299" s="8"/>
      <c r="D299" s="15" t="str">
        <f t="shared" si="15"/>
        <v/>
      </c>
      <c r="E299" s="15" t="str">
        <f>IF($A299="","",IF($A299="Neuron",IF(OR(AND($S299&lt;&gt;"",LOWER(TRIM($S299))&lt;&gt;"n/a",COUNTIF($S$2:$S$528,$S299)&gt;1),AND($T299&lt;&gt;"",LOWER(TRIM($T299))&lt;&gt;"n/a",COUNTIF($T$2:$T$528,$T299)&gt;1),AND($W299&lt;&gt;"",LOWER(TRIM($W299))&lt;&gt;"n/a",COUNTIF($W$2:$W$528,$W299)&gt;1)),"Yes","No"),IF($A299="Cybernet",IF(OR(AND($Y299&lt;&gt;"",LOWER(TRIM($Y299))&lt;&gt;"n/a",COUNTIF($Y$2:$Y$528,$Y299)&gt;1),AND($Z299&lt;&gt;"",LOWER(TRIM($Z299))&lt;&gt;"n/a",COUNTIF($Z$2:$Z$528,$Z299)&gt;1)),"Yes","No"),IF(AND($AL299&lt;&gt;"",LOWER(TRIM($AL299))&lt;&gt;"n/a",COUNTIF($AL$2:$AL$528,$AL299)&gt;1),"Yes","No"))))</f>
        <v/>
      </c>
      <c r="F299" t="str">
        <f>IF($B299&lt;&gt;"Yes","",
IF($A299="Neuron",
IF(OR(
AND($S299&lt;&gt;"",LOWER(TRIM($S299))&lt;&gt;"n/a",COUNTIFS($B$2:$B$528,"Yes",$A$2:$A$528,"Neuron",$S$2:$S$528,$S299)&gt;1),
AND($T299&lt;&gt;"",LOWER(TRIM($T299))&lt;&gt;"n/a",COUNTIFS($B$2:$B$528,"Yes",$A$2:$A$528,"Neuron",$T$2:$T$528,$T299)&gt;1),
AND($W299&lt;&gt;"",LOWER(TRIM($W299))&lt;&gt;"n/a",COUNTIFS($B$2:$B$528,"Yes",$A$2:$A$528,"Neuron",$W$2:$W$528,$W299)&gt;1)
),"Yes","No"),
IF($A299="Cybernet",
IF(OR(
AND($Y299&lt;&gt;"",LOWER(TRIM($Y299))&lt;&gt;"n/a",COUNTIFS($B$2:$B$528,"Yes",$A$2:$A$528,"Cybernet",$Y$2:$Y$528,$Y299)&gt;1),
AND($Z299&lt;&gt;"",LOWER(TRIM($Z299))&lt;&gt;"n/a",COUNTIFS($B$2:$B$528,"Yes",$A$2:$A$528,"Cybernet",$Z$2:$Z$528,$Z299)&gt;1)
),"Yes","No"),
IF(AND($AL299&lt;&gt;"",LOWER(TRIM($AL299))&lt;&gt;"n/a"),
IF(COUNTIFS($B$2:$B$528,"Yes",$A$2:$A$528,$A299,$AL$2:$AL$528,$AL299)&gt;1,"Yes","No"),
"No")
)
)
)</f>
        <v/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8"/>
      <c r="AF299" s="4"/>
      <c r="AG299" s="4"/>
      <c r="AH299" s="1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8"/>
      <c r="AX299" s="8"/>
      <c r="AY299" s="8"/>
      <c r="AZ299" s="8"/>
      <c r="BA299" s="12"/>
      <c r="BB299" s="8"/>
      <c r="BC299" s="4"/>
      <c r="BD299" s="4"/>
      <c r="BE299" s="8"/>
      <c r="BF299" s="8"/>
      <c r="BG299" s="8"/>
      <c r="BH299" s="8"/>
      <c r="BI299" s="8"/>
      <c r="BJ299" s="8"/>
      <c r="BK299" s="8"/>
      <c r="BL299" s="4" t="str">
        <f t="shared" si="13"/>
        <v/>
      </c>
      <c r="BM299" s="8" t="str">
        <f t="shared" si="14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1:70" ht="15" customHeight="1">
      <c r="A300" s="8"/>
      <c r="B300" s="8"/>
      <c r="D300" s="15" t="str">
        <f t="shared" si="15"/>
        <v/>
      </c>
      <c r="E300" s="15" t="str">
        <f>IF($A300="","",IF($A300="Neuron",IF(OR(AND($S300&lt;&gt;"",LOWER(TRIM($S300))&lt;&gt;"n/a",COUNTIF($S$2:$S$528,$S300)&gt;1),AND($T300&lt;&gt;"",LOWER(TRIM($T300))&lt;&gt;"n/a",COUNTIF($T$2:$T$528,$T300)&gt;1),AND($W300&lt;&gt;"",LOWER(TRIM($W300))&lt;&gt;"n/a",COUNTIF($W$2:$W$528,$W300)&gt;1)),"Yes","No"),IF($A300="Cybernet",IF(OR(AND($Y300&lt;&gt;"",LOWER(TRIM($Y300))&lt;&gt;"n/a",COUNTIF($Y$2:$Y$528,$Y300)&gt;1),AND($Z300&lt;&gt;"",LOWER(TRIM($Z300))&lt;&gt;"n/a",COUNTIF($Z$2:$Z$528,$Z300)&gt;1)),"Yes","No"),IF(AND($AL300&lt;&gt;"",LOWER(TRIM($AL300))&lt;&gt;"n/a",COUNTIF($AL$2:$AL$528,$AL300)&gt;1),"Yes","No"))))</f>
        <v/>
      </c>
      <c r="F300" t="str">
        <f>IF($B300&lt;&gt;"Yes","",
IF($A300="Neuron",
IF(OR(
AND($S300&lt;&gt;"",LOWER(TRIM($S300))&lt;&gt;"n/a",COUNTIFS($B$2:$B$528,"Yes",$A$2:$A$528,"Neuron",$S$2:$S$528,$S300)&gt;1),
AND($T300&lt;&gt;"",LOWER(TRIM($T300))&lt;&gt;"n/a",COUNTIFS($B$2:$B$528,"Yes",$A$2:$A$528,"Neuron",$T$2:$T$528,$T300)&gt;1),
AND($W300&lt;&gt;"",LOWER(TRIM($W300))&lt;&gt;"n/a",COUNTIFS($B$2:$B$528,"Yes",$A$2:$A$528,"Neuron",$W$2:$W$528,$W300)&gt;1)
),"Yes","No"),
IF($A300="Cybernet",
IF(OR(
AND($Y300&lt;&gt;"",LOWER(TRIM($Y300))&lt;&gt;"n/a",COUNTIFS($B$2:$B$528,"Yes",$A$2:$A$528,"Cybernet",$Y$2:$Y$528,$Y300)&gt;1),
AND($Z300&lt;&gt;"",LOWER(TRIM($Z300))&lt;&gt;"n/a",COUNTIFS($B$2:$B$528,"Yes",$A$2:$A$528,"Cybernet",$Z$2:$Z$528,$Z300)&gt;1)
),"Yes","No"),
IF(AND($AL300&lt;&gt;"",LOWER(TRIM($AL300))&lt;&gt;"n/a"),
IF(COUNTIFS($B$2:$B$528,"Yes",$A$2:$A$528,$A300,$AL$2:$AL$528,$AL300)&gt;1,"Yes","No"),
"No")
)
)
)</f>
        <v/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8"/>
      <c r="AF300" s="4"/>
      <c r="AG300" s="4"/>
      <c r="AH300" s="1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8"/>
      <c r="AX300" s="8"/>
      <c r="AY300" s="8"/>
      <c r="AZ300" s="8"/>
      <c r="BA300" s="12"/>
      <c r="BB300" s="8"/>
      <c r="BC300" s="4"/>
      <c r="BD300" s="4"/>
      <c r="BE300" s="8"/>
      <c r="BF300" s="8"/>
      <c r="BG300" s="8"/>
      <c r="BH300" s="8"/>
      <c r="BI300" s="8"/>
      <c r="BJ300" s="8"/>
      <c r="BK300" s="8"/>
      <c r="BL300" s="4" t="str">
        <f t="shared" si="13"/>
        <v/>
      </c>
      <c r="BM300" s="8" t="str">
        <f t="shared" si="14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1:70" ht="15" customHeight="1">
      <c r="A301" s="8"/>
      <c r="B301" s="8"/>
      <c r="D301" s="15" t="str">
        <f t="shared" si="15"/>
        <v/>
      </c>
      <c r="E301" s="15" t="str">
        <f>IF($A301="","",IF($A301="Neuron",IF(OR(AND($S301&lt;&gt;"",LOWER(TRIM($S301))&lt;&gt;"n/a",COUNTIF($S$2:$S$528,$S301)&gt;1),AND($T301&lt;&gt;"",LOWER(TRIM($T301))&lt;&gt;"n/a",COUNTIF($T$2:$T$528,$T301)&gt;1),AND($W301&lt;&gt;"",LOWER(TRIM($W301))&lt;&gt;"n/a",COUNTIF($W$2:$W$528,$W301)&gt;1)),"Yes","No"),IF($A301="Cybernet",IF(OR(AND($Y301&lt;&gt;"",LOWER(TRIM($Y301))&lt;&gt;"n/a",COUNTIF($Y$2:$Y$528,$Y301)&gt;1),AND($Z301&lt;&gt;"",LOWER(TRIM($Z301))&lt;&gt;"n/a",COUNTIF($Z$2:$Z$528,$Z301)&gt;1)),"Yes","No"),IF(AND($AL301&lt;&gt;"",LOWER(TRIM($AL301))&lt;&gt;"n/a",COUNTIF($AL$2:$AL$528,$AL301)&gt;1),"Yes","No"))))</f>
        <v/>
      </c>
      <c r="F301" t="str">
        <f>IF($B301&lt;&gt;"Yes","",
IF($A301="Neuron",
IF(OR(
AND($S301&lt;&gt;"",LOWER(TRIM($S301))&lt;&gt;"n/a",COUNTIFS($B$2:$B$528,"Yes",$A$2:$A$528,"Neuron",$S$2:$S$528,$S301)&gt;1),
AND($T301&lt;&gt;"",LOWER(TRIM($T301))&lt;&gt;"n/a",COUNTIFS($B$2:$B$528,"Yes",$A$2:$A$528,"Neuron",$T$2:$T$528,$T301)&gt;1),
AND($W301&lt;&gt;"",LOWER(TRIM($W301))&lt;&gt;"n/a",COUNTIFS($B$2:$B$528,"Yes",$A$2:$A$528,"Neuron",$W$2:$W$528,$W301)&gt;1)
),"Yes","No"),
IF($A301="Cybernet",
IF(OR(
AND($Y301&lt;&gt;"",LOWER(TRIM($Y301))&lt;&gt;"n/a",COUNTIFS($B$2:$B$528,"Yes",$A$2:$A$528,"Cybernet",$Y$2:$Y$528,$Y301)&gt;1),
AND($Z301&lt;&gt;"",LOWER(TRIM($Z301))&lt;&gt;"n/a",COUNTIFS($B$2:$B$528,"Yes",$A$2:$A$528,"Cybernet",$Z$2:$Z$528,$Z301)&gt;1)
),"Yes","No"),
IF(AND($AL301&lt;&gt;"",LOWER(TRIM($AL301))&lt;&gt;"n/a"),
IF(COUNTIFS($B$2:$B$528,"Yes",$A$2:$A$528,$A301,$AL$2:$AL$528,$AL301)&gt;1,"Yes","No"),
"No")
)
)
)</f>
        <v/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8"/>
      <c r="AF301" s="4"/>
      <c r="AG301" s="4"/>
      <c r="AH301" s="1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8"/>
      <c r="AX301" s="8"/>
      <c r="AY301" s="8"/>
      <c r="AZ301" s="8"/>
      <c r="BA301" s="12"/>
      <c r="BB301" s="8"/>
      <c r="BC301" s="4"/>
      <c r="BD301" s="4"/>
      <c r="BE301" s="8"/>
      <c r="BF301" s="8"/>
      <c r="BG301" s="8"/>
      <c r="BH301" s="8"/>
      <c r="BI301" s="8"/>
      <c r="BJ301" s="8"/>
      <c r="BK301" s="8"/>
      <c r="BL301" s="4" t="str">
        <f t="shared" si="13"/>
        <v/>
      </c>
      <c r="BM301" s="8" t="str">
        <f t="shared" si="14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1:70" ht="15" customHeight="1">
      <c r="A302" s="8"/>
      <c r="B302" s="8"/>
      <c r="D302" s="15" t="str">
        <f t="shared" si="15"/>
        <v/>
      </c>
      <c r="E302" s="15" t="str">
        <f>IF($A302="","",IF($A302="Neuron",IF(OR(AND($S302&lt;&gt;"",LOWER(TRIM($S302))&lt;&gt;"n/a",COUNTIF($S$2:$S$528,$S302)&gt;1),AND($T302&lt;&gt;"",LOWER(TRIM($T302))&lt;&gt;"n/a",COUNTIF($T$2:$T$528,$T302)&gt;1),AND($W302&lt;&gt;"",LOWER(TRIM($W302))&lt;&gt;"n/a",COUNTIF($W$2:$W$528,$W302)&gt;1)),"Yes","No"),IF($A302="Cybernet",IF(OR(AND($Y302&lt;&gt;"",LOWER(TRIM($Y302))&lt;&gt;"n/a",COUNTIF($Y$2:$Y$528,$Y302)&gt;1),AND($Z302&lt;&gt;"",LOWER(TRIM($Z302))&lt;&gt;"n/a",COUNTIF($Z$2:$Z$528,$Z302)&gt;1)),"Yes","No"),IF(AND($AL302&lt;&gt;"",LOWER(TRIM($AL302))&lt;&gt;"n/a",COUNTIF($AL$2:$AL$528,$AL302)&gt;1),"Yes","No"))))</f>
        <v/>
      </c>
      <c r="F302" t="str">
        <f>IF($B302&lt;&gt;"Yes","",
IF($A302="Neuron",
IF(OR(
AND($S302&lt;&gt;"",LOWER(TRIM($S302))&lt;&gt;"n/a",COUNTIFS($B$2:$B$528,"Yes",$A$2:$A$528,"Neuron",$S$2:$S$528,$S302)&gt;1),
AND($T302&lt;&gt;"",LOWER(TRIM($T302))&lt;&gt;"n/a",COUNTIFS($B$2:$B$528,"Yes",$A$2:$A$528,"Neuron",$T$2:$T$528,$T302)&gt;1),
AND($W302&lt;&gt;"",LOWER(TRIM($W302))&lt;&gt;"n/a",COUNTIFS($B$2:$B$528,"Yes",$A$2:$A$528,"Neuron",$W$2:$W$528,$W302)&gt;1)
),"Yes","No"),
IF($A302="Cybernet",
IF(OR(
AND($Y302&lt;&gt;"",LOWER(TRIM($Y302))&lt;&gt;"n/a",COUNTIFS($B$2:$B$528,"Yes",$A$2:$A$528,"Cybernet",$Y$2:$Y$528,$Y302)&gt;1),
AND($Z302&lt;&gt;"",LOWER(TRIM($Z302))&lt;&gt;"n/a",COUNTIFS($B$2:$B$528,"Yes",$A$2:$A$528,"Cybernet",$Z$2:$Z$528,$Z302)&gt;1)
),"Yes","No"),
IF(AND($AL302&lt;&gt;"",LOWER(TRIM($AL302))&lt;&gt;"n/a"),
IF(COUNTIFS($B$2:$B$528,"Yes",$A$2:$A$528,$A302,$AL$2:$AL$528,$AL302)&gt;1,"Yes","No"),
"No")
)
)
)</f>
        <v/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8"/>
      <c r="AF302" s="4"/>
      <c r="AG302" s="4"/>
      <c r="AH302" s="1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8"/>
      <c r="AX302" s="8"/>
      <c r="AY302" s="8"/>
      <c r="AZ302" s="8"/>
      <c r="BA302" s="12"/>
      <c r="BB302" s="8"/>
      <c r="BC302" s="4"/>
      <c r="BD302" s="4"/>
      <c r="BE302" s="8"/>
      <c r="BF302" s="8"/>
      <c r="BG302" s="8"/>
      <c r="BH302" s="8"/>
      <c r="BI302" s="8"/>
      <c r="BJ302" s="8"/>
      <c r="BK302" s="8"/>
      <c r="BL302" s="4" t="str">
        <f t="shared" si="13"/>
        <v/>
      </c>
      <c r="BM302" s="8" t="str">
        <f t="shared" si="14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1:70" ht="15" customHeight="1">
      <c r="A303" s="8"/>
      <c r="B303" s="8"/>
      <c r="D303" s="15" t="str">
        <f t="shared" si="15"/>
        <v/>
      </c>
      <c r="E303" s="15" t="str">
        <f>IF($A303="","",IF($A303="Neuron",IF(OR(AND($S303&lt;&gt;"",LOWER(TRIM($S303))&lt;&gt;"n/a",COUNTIF($S$2:$S$528,$S303)&gt;1),AND($T303&lt;&gt;"",LOWER(TRIM($T303))&lt;&gt;"n/a",COUNTIF($T$2:$T$528,$T303)&gt;1),AND($W303&lt;&gt;"",LOWER(TRIM($W303))&lt;&gt;"n/a",COUNTIF($W$2:$W$528,$W303)&gt;1)),"Yes","No"),IF($A303="Cybernet",IF(OR(AND($Y303&lt;&gt;"",LOWER(TRIM($Y303))&lt;&gt;"n/a",COUNTIF($Y$2:$Y$528,$Y303)&gt;1),AND($Z303&lt;&gt;"",LOWER(TRIM($Z303))&lt;&gt;"n/a",COUNTIF($Z$2:$Z$528,$Z303)&gt;1)),"Yes","No"),IF(AND($AL303&lt;&gt;"",LOWER(TRIM($AL303))&lt;&gt;"n/a",COUNTIF($AL$2:$AL$528,$AL303)&gt;1),"Yes","No"))))</f>
        <v/>
      </c>
      <c r="F303" t="str">
        <f>IF($B303&lt;&gt;"Yes","",
IF($A303="Neuron",
IF(OR(
AND($S303&lt;&gt;"",LOWER(TRIM($S303))&lt;&gt;"n/a",COUNTIFS($B$2:$B$528,"Yes",$A$2:$A$528,"Neuron",$S$2:$S$528,$S303)&gt;1),
AND($T303&lt;&gt;"",LOWER(TRIM($T303))&lt;&gt;"n/a",COUNTIFS($B$2:$B$528,"Yes",$A$2:$A$528,"Neuron",$T$2:$T$528,$T303)&gt;1),
AND($W303&lt;&gt;"",LOWER(TRIM($W303))&lt;&gt;"n/a",COUNTIFS($B$2:$B$528,"Yes",$A$2:$A$528,"Neuron",$W$2:$W$528,$W303)&gt;1)
),"Yes","No"),
IF($A303="Cybernet",
IF(OR(
AND($Y303&lt;&gt;"",LOWER(TRIM($Y303))&lt;&gt;"n/a",COUNTIFS($B$2:$B$528,"Yes",$A$2:$A$528,"Cybernet",$Y$2:$Y$528,$Y303)&gt;1),
AND($Z303&lt;&gt;"",LOWER(TRIM($Z303))&lt;&gt;"n/a",COUNTIFS($B$2:$B$528,"Yes",$A$2:$A$528,"Cybernet",$Z$2:$Z$528,$Z303)&gt;1)
),"Yes","No"),
IF(AND($AL303&lt;&gt;"",LOWER(TRIM($AL303))&lt;&gt;"n/a"),
IF(COUNTIFS($B$2:$B$528,"Yes",$A$2:$A$528,$A303,$AL$2:$AL$528,$AL303)&gt;1,"Yes","No"),
"No")
)
)
)</f>
        <v/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8"/>
      <c r="AF303" s="4"/>
      <c r="AG303" s="4"/>
      <c r="AH303" s="1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8"/>
      <c r="AX303" s="8"/>
      <c r="AY303" s="8"/>
      <c r="AZ303" s="8"/>
      <c r="BA303" s="12"/>
      <c r="BB303" s="8"/>
      <c r="BC303" s="4"/>
      <c r="BD303" s="4"/>
      <c r="BE303" s="8"/>
      <c r="BF303" s="8"/>
      <c r="BG303" s="8"/>
      <c r="BH303" s="8"/>
      <c r="BI303" s="8"/>
      <c r="BJ303" s="8"/>
      <c r="BK303" s="8"/>
      <c r="BL303" s="4" t="str">
        <f t="shared" si="13"/>
        <v/>
      </c>
      <c r="BM303" s="8" t="str">
        <f t="shared" si="14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1:70" ht="15" customHeight="1">
      <c r="D304" s="15" t="str">
        <f t="shared" si="15"/>
        <v/>
      </c>
      <c r="E304" s="15" t="str">
        <f>IF($A304="","",IF($A304="Neuron",IF(OR(AND($S304&lt;&gt;"",LOWER(TRIM($S304))&lt;&gt;"n/a",COUNTIF($S$2:$S$528,$S304)&gt;1),AND($T304&lt;&gt;"",LOWER(TRIM($T304))&lt;&gt;"n/a",COUNTIF($T$2:$T$528,$T304)&gt;1),AND($W304&lt;&gt;"",LOWER(TRIM($W304))&lt;&gt;"n/a",COUNTIF($W$2:$W$528,$W304)&gt;1)),"Yes","No"),IF($A304="Cybernet",IF(OR(AND($Y304&lt;&gt;"",LOWER(TRIM($Y304))&lt;&gt;"n/a",COUNTIF($Y$2:$Y$528,$Y304)&gt;1),AND($Z304&lt;&gt;"",LOWER(TRIM($Z304))&lt;&gt;"n/a",COUNTIF($Z$2:$Z$528,$Z304)&gt;1)),"Yes","No"),IF(AND($AL304&lt;&gt;"",LOWER(TRIM($AL304))&lt;&gt;"n/a",COUNTIF($AL$2:$AL$528,$AL304)&gt;1),"Yes","No"))))</f>
        <v/>
      </c>
      <c r="F304" t="str">
        <f>IF($B304&lt;&gt;"Yes","",
IF($A304="Neuron",
IF(OR(
AND($S304&lt;&gt;"",LOWER(TRIM($S304))&lt;&gt;"n/a",COUNTIFS($B$2:$B$528,"Yes",$A$2:$A$528,"Neuron",$S$2:$S$528,$S304)&gt;1),
AND($T304&lt;&gt;"",LOWER(TRIM($T304))&lt;&gt;"n/a",COUNTIFS($B$2:$B$528,"Yes",$A$2:$A$528,"Neuron",$T$2:$T$528,$T304)&gt;1),
AND($W304&lt;&gt;"",LOWER(TRIM($W304))&lt;&gt;"n/a",COUNTIFS($B$2:$B$528,"Yes",$A$2:$A$528,"Neuron",$W$2:$W$528,$W304)&gt;1)
),"Yes","No"),
IF($A304="Cybernet",
IF(OR(
AND($Y304&lt;&gt;"",LOWER(TRIM($Y304))&lt;&gt;"n/a",COUNTIFS($B$2:$B$528,"Yes",$A$2:$A$528,"Cybernet",$Y$2:$Y$528,$Y304)&gt;1),
AND($Z304&lt;&gt;"",LOWER(TRIM($Z304))&lt;&gt;"n/a",COUNTIFS($B$2:$B$528,"Yes",$A$2:$A$528,"Cybernet",$Z$2:$Z$528,$Z304)&gt;1)
),"Yes","No"),
IF(AND($AL304&lt;&gt;"",LOWER(TRIM($AL304))&lt;&gt;"n/a"),
IF(COUNTIFS($B$2:$B$528,"Yes",$A$2:$A$528,$A304,$AL$2:$AL$528,$AL304)&gt;1,"Yes","No"),
"No")
)
)
)</f>
        <v/>
      </c>
      <c r="BL304" s="4" t="str">
        <f t="shared" si="13"/>
        <v/>
      </c>
      <c r="BM304" s="8" t="str">
        <f t="shared" si="14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4:70" ht="15" customHeight="1">
      <c r="D305" s="15" t="str">
        <f t="shared" si="15"/>
        <v/>
      </c>
      <c r="E305" s="15" t="str">
        <f>IF($A305="","",IF($A305="Neuron",IF(OR(AND($S305&lt;&gt;"",LOWER(TRIM($S305))&lt;&gt;"n/a",COUNTIF($S$2:$S$528,$S305)&gt;1),AND($T305&lt;&gt;"",LOWER(TRIM($T305))&lt;&gt;"n/a",COUNTIF($T$2:$T$528,$T305)&gt;1),AND($W305&lt;&gt;"",LOWER(TRIM($W305))&lt;&gt;"n/a",COUNTIF($W$2:$W$528,$W305)&gt;1)),"Yes","No"),IF($A305="Cybernet",IF(OR(AND($Y305&lt;&gt;"",LOWER(TRIM($Y305))&lt;&gt;"n/a",COUNTIF($Y$2:$Y$528,$Y305)&gt;1),AND($Z305&lt;&gt;"",LOWER(TRIM($Z305))&lt;&gt;"n/a",COUNTIF($Z$2:$Z$528,$Z305)&gt;1)),"Yes","No"),IF(AND($AL305&lt;&gt;"",LOWER(TRIM($AL305))&lt;&gt;"n/a",COUNTIF($AL$2:$AL$528,$AL305)&gt;1),"Yes","No"))))</f>
        <v/>
      </c>
      <c r="F305" t="str">
        <f>IF($B305&lt;&gt;"Yes","",
IF($A305="Neuron",
IF(OR(
AND($S305&lt;&gt;"",LOWER(TRIM($S305))&lt;&gt;"n/a",COUNTIFS($B$2:$B$528,"Yes",$A$2:$A$528,"Neuron",$S$2:$S$528,$S305)&gt;1),
AND($T305&lt;&gt;"",LOWER(TRIM($T305))&lt;&gt;"n/a",COUNTIFS($B$2:$B$528,"Yes",$A$2:$A$528,"Neuron",$T$2:$T$528,$T305)&gt;1),
AND($W305&lt;&gt;"",LOWER(TRIM($W305))&lt;&gt;"n/a",COUNTIFS($B$2:$B$528,"Yes",$A$2:$A$528,"Neuron",$W$2:$W$528,$W305)&gt;1)
),"Yes","No"),
IF($A305="Cybernet",
IF(OR(
AND($Y305&lt;&gt;"",LOWER(TRIM($Y305))&lt;&gt;"n/a",COUNTIFS($B$2:$B$528,"Yes",$A$2:$A$528,"Cybernet",$Y$2:$Y$528,$Y305)&gt;1),
AND($Z305&lt;&gt;"",LOWER(TRIM($Z305))&lt;&gt;"n/a",COUNTIFS($B$2:$B$528,"Yes",$A$2:$A$528,"Cybernet",$Z$2:$Z$528,$Z305)&gt;1)
),"Yes","No"),
IF(AND($AL305&lt;&gt;"",LOWER(TRIM($AL305))&lt;&gt;"n/a"),
IF(COUNTIFS($B$2:$B$528,"Yes",$A$2:$A$528,$A305,$AL$2:$AL$528,$AL305)&gt;1,"Yes","No"),
"No")
)
)
)</f>
        <v/>
      </c>
      <c r="BL305" s="4" t="str">
        <f t="shared" si="13"/>
        <v/>
      </c>
      <c r="BM305" s="8" t="str">
        <f t="shared" si="14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4:70" ht="15" customHeight="1">
      <c r="D306" s="15" t="str">
        <f t="shared" si="15"/>
        <v/>
      </c>
      <c r="E306" s="15" t="str">
        <f>IF($A306="","",IF($A306="Neuron",IF(OR(AND($S306&lt;&gt;"",LOWER(TRIM($S306))&lt;&gt;"n/a",COUNTIF($S$2:$S$528,$S306)&gt;1),AND($T306&lt;&gt;"",LOWER(TRIM($T306))&lt;&gt;"n/a",COUNTIF($T$2:$T$528,$T306)&gt;1),AND($W306&lt;&gt;"",LOWER(TRIM($W306))&lt;&gt;"n/a",COUNTIF($W$2:$W$528,$W306)&gt;1)),"Yes","No"),IF($A306="Cybernet",IF(OR(AND($Y306&lt;&gt;"",LOWER(TRIM($Y306))&lt;&gt;"n/a",COUNTIF($Y$2:$Y$528,$Y306)&gt;1),AND($Z306&lt;&gt;"",LOWER(TRIM($Z306))&lt;&gt;"n/a",COUNTIF($Z$2:$Z$528,$Z306)&gt;1)),"Yes","No"),IF(AND($AL306&lt;&gt;"",LOWER(TRIM($AL306))&lt;&gt;"n/a",COUNTIF($AL$2:$AL$528,$AL306)&gt;1),"Yes","No"))))</f>
        <v/>
      </c>
      <c r="F306" t="str">
        <f>IF($B306&lt;&gt;"Yes","",
IF($A306="Neuron",
IF(OR(
AND($S306&lt;&gt;"",LOWER(TRIM($S306))&lt;&gt;"n/a",COUNTIFS($B$2:$B$528,"Yes",$A$2:$A$528,"Neuron",$S$2:$S$528,$S306)&gt;1),
AND($T306&lt;&gt;"",LOWER(TRIM($T306))&lt;&gt;"n/a",COUNTIFS($B$2:$B$528,"Yes",$A$2:$A$528,"Neuron",$T$2:$T$528,$T306)&gt;1),
AND($W306&lt;&gt;"",LOWER(TRIM($W306))&lt;&gt;"n/a",COUNTIFS($B$2:$B$528,"Yes",$A$2:$A$528,"Neuron",$W$2:$W$528,$W306)&gt;1)
),"Yes","No"),
IF($A306="Cybernet",
IF(OR(
AND($Y306&lt;&gt;"",LOWER(TRIM($Y306))&lt;&gt;"n/a",COUNTIFS($B$2:$B$528,"Yes",$A$2:$A$528,"Cybernet",$Y$2:$Y$528,$Y306)&gt;1),
AND($Z306&lt;&gt;"",LOWER(TRIM($Z306))&lt;&gt;"n/a",COUNTIFS($B$2:$B$528,"Yes",$A$2:$A$528,"Cybernet",$Z$2:$Z$528,$Z306)&gt;1)
),"Yes","No"),
IF(AND($AL306&lt;&gt;"",LOWER(TRIM($AL306))&lt;&gt;"n/a"),
IF(COUNTIFS($B$2:$B$528,"Yes",$A$2:$A$528,$A306,$AL$2:$AL$528,$AL306)&gt;1,"Yes","No"),
"No")
)
)
)</f>
        <v/>
      </c>
      <c r="BL306" s="4" t="str">
        <f t="shared" si="13"/>
        <v/>
      </c>
      <c r="BM306" s="8" t="str">
        <f t="shared" si="14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4:70" ht="15" customHeight="1">
      <c r="D307" s="15" t="str">
        <f t="shared" si="15"/>
        <v/>
      </c>
      <c r="E307" s="15" t="str">
        <f>IF($A307="","",IF($A307="Neuron",IF(OR(AND($S307&lt;&gt;"",LOWER(TRIM($S307))&lt;&gt;"n/a",COUNTIF($S$2:$S$528,$S307)&gt;1),AND($T307&lt;&gt;"",LOWER(TRIM($T307))&lt;&gt;"n/a",COUNTIF($T$2:$T$528,$T307)&gt;1),AND($W307&lt;&gt;"",LOWER(TRIM($W307))&lt;&gt;"n/a",COUNTIF($W$2:$W$528,$W307)&gt;1)),"Yes","No"),IF($A307="Cybernet",IF(OR(AND($Y307&lt;&gt;"",LOWER(TRIM($Y307))&lt;&gt;"n/a",COUNTIF($Y$2:$Y$528,$Y307)&gt;1),AND($Z307&lt;&gt;"",LOWER(TRIM($Z307))&lt;&gt;"n/a",COUNTIF($Z$2:$Z$528,$Z307)&gt;1)),"Yes","No"),IF(AND($AL307&lt;&gt;"",LOWER(TRIM($AL307))&lt;&gt;"n/a",COUNTIF($AL$2:$AL$528,$AL307)&gt;1),"Yes","No"))))</f>
        <v/>
      </c>
      <c r="F307" t="str">
        <f>IF($B307&lt;&gt;"Yes","",
IF($A307="Neuron",
IF(OR(
AND($S307&lt;&gt;"",LOWER(TRIM($S307))&lt;&gt;"n/a",COUNTIFS($B$2:$B$528,"Yes",$A$2:$A$528,"Neuron",$S$2:$S$528,$S307)&gt;1),
AND($T307&lt;&gt;"",LOWER(TRIM($T307))&lt;&gt;"n/a",COUNTIFS($B$2:$B$528,"Yes",$A$2:$A$528,"Neuron",$T$2:$T$528,$T307)&gt;1),
AND($W307&lt;&gt;"",LOWER(TRIM($W307))&lt;&gt;"n/a",COUNTIFS($B$2:$B$528,"Yes",$A$2:$A$528,"Neuron",$W$2:$W$528,$W307)&gt;1)
),"Yes","No"),
IF($A307="Cybernet",
IF(OR(
AND($Y307&lt;&gt;"",LOWER(TRIM($Y307))&lt;&gt;"n/a",COUNTIFS($B$2:$B$528,"Yes",$A$2:$A$528,"Cybernet",$Y$2:$Y$528,$Y307)&gt;1),
AND($Z307&lt;&gt;"",LOWER(TRIM($Z307))&lt;&gt;"n/a",COUNTIFS($B$2:$B$528,"Yes",$A$2:$A$528,"Cybernet",$Z$2:$Z$528,$Z307)&gt;1)
),"Yes","No"),
IF(AND($AL307&lt;&gt;"",LOWER(TRIM($AL307))&lt;&gt;"n/a"),
IF(COUNTIFS($B$2:$B$528,"Yes",$A$2:$A$528,$A307,$AL$2:$AL$528,$AL307)&gt;1,"Yes","No"),
"No")
)
)
)</f>
        <v/>
      </c>
      <c r="BL307" s="4" t="str">
        <f t="shared" ref="BL307:BL370" si="16">IF($T307="","",IF((IF(AND($AW307&lt;&gt;"Yes",$AW307&lt;&gt;"N/A"),"Power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",""))="","",LEFT(IF(AND($AW307&lt;&gt;"Yes",$AW307&lt;&gt;"N/A"),"Power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",""),LEN(IF(AND($AW307&lt;&gt;"Yes",$AW307&lt;&gt;"N/A"),"Power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",""))-2)))</f>
        <v/>
      </c>
      <c r="BM307" s="8" t="str">
        <f t="shared" ref="BM307:BM370" si="17">IF($T307="","",IF($BL307="","Yes","Blocked"))</f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4:70" ht="15" customHeight="1">
      <c r="D308" s="15" t="str">
        <f t="shared" si="15"/>
        <v/>
      </c>
      <c r="E308" s="15" t="str">
        <f>IF($A308="","",IF($A308="Neuron",IF(OR(AND($S308&lt;&gt;"",LOWER(TRIM($S308))&lt;&gt;"n/a",COUNTIF($S$2:$S$528,$S308)&gt;1),AND($T308&lt;&gt;"",LOWER(TRIM($T308))&lt;&gt;"n/a",COUNTIF($T$2:$T$528,$T308)&gt;1),AND($W308&lt;&gt;"",LOWER(TRIM($W308))&lt;&gt;"n/a",COUNTIF($W$2:$W$528,$W308)&gt;1)),"Yes","No"),IF($A308="Cybernet",IF(OR(AND($Y308&lt;&gt;"",LOWER(TRIM($Y308))&lt;&gt;"n/a",COUNTIF($Y$2:$Y$528,$Y308)&gt;1),AND($Z308&lt;&gt;"",LOWER(TRIM($Z308))&lt;&gt;"n/a",COUNTIF($Z$2:$Z$528,$Z308)&gt;1)),"Yes","No"),IF(AND($AL308&lt;&gt;"",LOWER(TRIM($AL308))&lt;&gt;"n/a",COUNTIF($AL$2:$AL$528,$AL308)&gt;1),"Yes","No"))))</f>
        <v/>
      </c>
      <c r="F308" t="str">
        <f>IF($B308&lt;&gt;"Yes","",
IF($A308="Neuron",
IF(OR(
AND($S308&lt;&gt;"",LOWER(TRIM($S308))&lt;&gt;"n/a",COUNTIFS($B$2:$B$528,"Yes",$A$2:$A$528,"Neuron",$S$2:$S$528,$S308)&gt;1),
AND($T308&lt;&gt;"",LOWER(TRIM($T308))&lt;&gt;"n/a",COUNTIFS($B$2:$B$528,"Yes",$A$2:$A$528,"Neuron",$T$2:$T$528,$T308)&gt;1),
AND($W308&lt;&gt;"",LOWER(TRIM($W308))&lt;&gt;"n/a",COUNTIFS($B$2:$B$528,"Yes",$A$2:$A$528,"Neuron",$W$2:$W$528,$W308)&gt;1)
),"Yes","No"),
IF($A308="Cybernet",
IF(OR(
AND($Y308&lt;&gt;"",LOWER(TRIM($Y308))&lt;&gt;"n/a",COUNTIFS($B$2:$B$528,"Yes",$A$2:$A$528,"Cybernet",$Y$2:$Y$528,$Y308)&gt;1),
AND($Z308&lt;&gt;"",LOWER(TRIM($Z308))&lt;&gt;"n/a",COUNTIFS($B$2:$B$528,"Yes",$A$2:$A$528,"Cybernet",$Z$2:$Z$528,$Z308)&gt;1)
),"Yes","No"),
IF(AND($AL308&lt;&gt;"",LOWER(TRIM($AL308))&lt;&gt;"n/a"),
IF(COUNTIFS($B$2:$B$528,"Yes",$A$2:$A$528,$A308,$AL$2:$AL$528,$AL308)&gt;1,"Yes","No"),
"No")
)
)
)</f>
        <v/>
      </c>
      <c r="BL308" s="4" t="str">
        <f t="shared" si="16"/>
        <v/>
      </c>
      <c r="BM308" s="8" t="str">
        <f t="shared" si="17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4:70" ht="15" customHeight="1">
      <c r="D309" s="15" t="str">
        <f t="shared" si="15"/>
        <v/>
      </c>
      <c r="E309" s="15" t="str">
        <f>IF($A309="","",IF($A309="Neuron",IF(OR(AND($S309&lt;&gt;"",LOWER(TRIM($S309))&lt;&gt;"n/a",COUNTIF($S$2:$S$528,$S309)&gt;1),AND($T309&lt;&gt;"",LOWER(TRIM($T309))&lt;&gt;"n/a",COUNTIF($T$2:$T$528,$T309)&gt;1),AND($W309&lt;&gt;"",LOWER(TRIM($W309))&lt;&gt;"n/a",COUNTIF($W$2:$W$528,$W309)&gt;1)),"Yes","No"),IF($A309="Cybernet",IF(OR(AND($Y309&lt;&gt;"",LOWER(TRIM($Y309))&lt;&gt;"n/a",COUNTIF($Y$2:$Y$528,$Y309)&gt;1),AND($Z309&lt;&gt;"",LOWER(TRIM($Z309))&lt;&gt;"n/a",COUNTIF($Z$2:$Z$528,$Z309)&gt;1)),"Yes","No"),IF(AND($AL309&lt;&gt;"",LOWER(TRIM($AL309))&lt;&gt;"n/a",COUNTIF($AL$2:$AL$528,$AL309)&gt;1),"Yes","No"))))</f>
        <v/>
      </c>
      <c r="F309" t="str">
        <f>IF($B309&lt;&gt;"Yes","",
IF($A309="Neuron",
IF(OR(
AND($S309&lt;&gt;"",LOWER(TRIM($S309))&lt;&gt;"n/a",COUNTIFS($B$2:$B$528,"Yes",$A$2:$A$528,"Neuron",$S$2:$S$528,$S309)&gt;1),
AND($T309&lt;&gt;"",LOWER(TRIM($T309))&lt;&gt;"n/a",COUNTIFS($B$2:$B$528,"Yes",$A$2:$A$528,"Neuron",$T$2:$T$528,$T309)&gt;1),
AND($W309&lt;&gt;"",LOWER(TRIM($W309))&lt;&gt;"n/a",COUNTIFS($B$2:$B$528,"Yes",$A$2:$A$528,"Neuron",$W$2:$W$528,$W309)&gt;1)
),"Yes","No"),
IF($A309="Cybernet",
IF(OR(
AND($Y309&lt;&gt;"",LOWER(TRIM($Y309))&lt;&gt;"n/a",COUNTIFS($B$2:$B$528,"Yes",$A$2:$A$528,"Cybernet",$Y$2:$Y$528,$Y309)&gt;1),
AND($Z309&lt;&gt;"",LOWER(TRIM($Z309))&lt;&gt;"n/a",COUNTIFS($B$2:$B$528,"Yes",$A$2:$A$528,"Cybernet",$Z$2:$Z$528,$Z309)&gt;1)
),"Yes","No"),
IF(AND($AL309&lt;&gt;"",LOWER(TRIM($AL309))&lt;&gt;"n/a"),
IF(COUNTIFS($B$2:$B$528,"Yes",$A$2:$A$528,$A309,$AL$2:$AL$528,$AL309)&gt;1,"Yes","No"),
"No")
)
)
)</f>
        <v/>
      </c>
      <c r="BL309" s="4" t="str">
        <f t="shared" si="16"/>
        <v/>
      </c>
      <c r="BM309" s="8" t="str">
        <f t="shared" si="17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4:70" ht="15" customHeight="1">
      <c r="D310" s="15" t="str">
        <f t="shared" si="15"/>
        <v/>
      </c>
      <c r="E310" s="15" t="str">
        <f>IF($A310="","",IF($A310="Neuron",IF(OR(AND($S310&lt;&gt;"",LOWER(TRIM($S310))&lt;&gt;"n/a",COUNTIF($S$2:$S$528,$S310)&gt;1),AND($T310&lt;&gt;"",LOWER(TRIM($T310))&lt;&gt;"n/a",COUNTIF($T$2:$T$528,$T310)&gt;1),AND($W310&lt;&gt;"",LOWER(TRIM($W310))&lt;&gt;"n/a",COUNTIF($W$2:$W$528,$W310)&gt;1)),"Yes","No"),IF($A310="Cybernet",IF(OR(AND($Y310&lt;&gt;"",LOWER(TRIM($Y310))&lt;&gt;"n/a",COUNTIF($Y$2:$Y$528,$Y310)&gt;1),AND($Z310&lt;&gt;"",LOWER(TRIM($Z310))&lt;&gt;"n/a",COUNTIF($Z$2:$Z$528,$Z310)&gt;1)),"Yes","No"),IF(AND($AL310&lt;&gt;"",LOWER(TRIM($AL310))&lt;&gt;"n/a",COUNTIF($AL$2:$AL$528,$AL310)&gt;1),"Yes","No"))))</f>
        <v/>
      </c>
      <c r="F310" t="str">
        <f>IF($B310&lt;&gt;"Yes","",
IF($A310="Neuron",
IF(OR(
AND($S310&lt;&gt;"",LOWER(TRIM($S310))&lt;&gt;"n/a",COUNTIFS($B$2:$B$528,"Yes",$A$2:$A$528,"Neuron",$S$2:$S$528,$S310)&gt;1),
AND($T310&lt;&gt;"",LOWER(TRIM($T310))&lt;&gt;"n/a",COUNTIFS($B$2:$B$528,"Yes",$A$2:$A$528,"Neuron",$T$2:$T$528,$T310)&gt;1),
AND($W310&lt;&gt;"",LOWER(TRIM($W310))&lt;&gt;"n/a",COUNTIFS($B$2:$B$528,"Yes",$A$2:$A$528,"Neuron",$W$2:$W$528,$W310)&gt;1)
),"Yes","No"),
IF($A310="Cybernet",
IF(OR(
AND($Y310&lt;&gt;"",LOWER(TRIM($Y310))&lt;&gt;"n/a",COUNTIFS($B$2:$B$528,"Yes",$A$2:$A$528,"Cybernet",$Y$2:$Y$528,$Y310)&gt;1),
AND($Z310&lt;&gt;"",LOWER(TRIM($Z310))&lt;&gt;"n/a",COUNTIFS($B$2:$B$528,"Yes",$A$2:$A$528,"Cybernet",$Z$2:$Z$528,$Z310)&gt;1)
),"Yes","No"),
IF(AND($AL310&lt;&gt;"",LOWER(TRIM($AL310))&lt;&gt;"n/a"),
IF(COUNTIFS($B$2:$B$528,"Yes",$A$2:$A$528,$A310,$AL$2:$AL$528,$AL310)&gt;1,"Yes","No"),
"No")
)
)
)</f>
        <v/>
      </c>
      <c r="BL310" s="4" t="str">
        <f t="shared" si="16"/>
        <v/>
      </c>
      <c r="BM310" s="8" t="str">
        <f t="shared" si="17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4:70" ht="15" customHeight="1">
      <c r="D311" s="15" t="str">
        <f t="shared" si="15"/>
        <v/>
      </c>
      <c r="E311" s="15" t="str">
        <f>IF($A311="","",IF($A311="Neuron",IF(OR(AND($S311&lt;&gt;"",LOWER(TRIM($S311))&lt;&gt;"n/a",COUNTIF($S$2:$S$528,$S311)&gt;1),AND($T311&lt;&gt;"",LOWER(TRIM($T311))&lt;&gt;"n/a",COUNTIF($T$2:$T$528,$T311)&gt;1),AND($W311&lt;&gt;"",LOWER(TRIM($W311))&lt;&gt;"n/a",COUNTIF($W$2:$W$528,$W311)&gt;1)),"Yes","No"),IF($A311="Cybernet",IF(OR(AND($Y311&lt;&gt;"",LOWER(TRIM($Y311))&lt;&gt;"n/a",COUNTIF($Y$2:$Y$528,$Y311)&gt;1),AND($Z311&lt;&gt;"",LOWER(TRIM($Z311))&lt;&gt;"n/a",COUNTIF($Z$2:$Z$528,$Z311)&gt;1)),"Yes","No"),IF(AND($AL311&lt;&gt;"",LOWER(TRIM($AL311))&lt;&gt;"n/a",COUNTIF($AL$2:$AL$528,$AL311)&gt;1),"Yes","No"))))</f>
        <v/>
      </c>
      <c r="F311" t="str">
        <f>IF($B311&lt;&gt;"Yes","",
IF($A311="Neuron",
IF(OR(
AND($S311&lt;&gt;"",LOWER(TRIM($S311))&lt;&gt;"n/a",COUNTIFS($B$2:$B$528,"Yes",$A$2:$A$528,"Neuron",$S$2:$S$528,$S311)&gt;1),
AND($T311&lt;&gt;"",LOWER(TRIM($T311))&lt;&gt;"n/a",COUNTIFS($B$2:$B$528,"Yes",$A$2:$A$528,"Neuron",$T$2:$T$528,$T311)&gt;1),
AND($W311&lt;&gt;"",LOWER(TRIM($W311))&lt;&gt;"n/a",COUNTIFS($B$2:$B$528,"Yes",$A$2:$A$528,"Neuron",$W$2:$W$528,$W311)&gt;1)
),"Yes","No"),
IF($A311="Cybernet",
IF(OR(
AND($Y311&lt;&gt;"",LOWER(TRIM($Y311))&lt;&gt;"n/a",COUNTIFS($B$2:$B$528,"Yes",$A$2:$A$528,"Cybernet",$Y$2:$Y$528,$Y311)&gt;1),
AND($Z311&lt;&gt;"",LOWER(TRIM($Z311))&lt;&gt;"n/a",COUNTIFS($B$2:$B$528,"Yes",$A$2:$A$528,"Cybernet",$Z$2:$Z$528,$Z311)&gt;1)
),"Yes","No"),
IF(AND($AL311&lt;&gt;"",LOWER(TRIM($AL311))&lt;&gt;"n/a"),
IF(COUNTIFS($B$2:$B$528,"Yes",$A$2:$A$528,$A311,$AL$2:$AL$528,$AL311)&gt;1,"Yes","No"),
"No")
)
)
)</f>
        <v/>
      </c>
      <c r="BL311" s="4" t="str">
        <f t="shared" si="16"/>
        <v/>
      </c>
      <c r="BM311" s="8" t="str">
        <f t="shared" si="17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4:70" ht="15" customHeight="1">
      <c r="D312" s="15" t="str">
        <f t="shared" si="15"/>
        <v/>
      </c>
      <c r="E312" s="15" t="str">
        <f>IF($A312="","",IF($A312="Neuron",IF(OR(AND($S312&lt;&gt;"",LOWER(TRIM($S312))&lt;&gt;"n/a",COUNTIF($S$2:$S$528,$S312)&gt;1),AND($T312&lt;&gt;"",LOWER(TRIM($T312))&lt;&gt;"n/a",COUNTIF($T$2:$T$528,$T312)&gt;1),AND($W312&lt;&gt;"",LOWER(TRIM($W312))&lt;&gt;"n/a",COUNTIF($W$2:$W$528,$W312)&gt;1)),"Yes","No"),IF($A312="Cybernet",IF(OR(AND($Y312&lt;&gt;"",LOWER(TRIM($Y312))&lt;&gt;"n/a",COUNTIF($Y$2:$Y$528,$Y312)&gt;1),AND($Z312&lt;&gt;"",LOWER(TRIM($Z312))&lt;&gt;"n/a",COUNTIF($Z$2:$Z$528,$Z312)&gt;1)),"Yes","No"),IF(AND($AL312&lt;&gt;"",LOWER(TRIM($AL312))&lt;&gt;"n/a",COUNTIF($AL$2:$AL$528,$AL312)&gt;1),"Yes","No"))))</f>
        <v/>
      </c>
      <c r="F312" t="str">
        <f>IF($B312&lt;&gt;"Yes","",
IF($A312="Neuron",
IF(OR(
AND($S312&lt;&gt;"",LOWER(TRIM($S312))&lt;&gt;"n/a",COUNTIFS($B$2:$B$528,"Yes",$A$2:$A$528,"Neuron",$S$2:$S$528,$S312)&gt;1),
AND($T312&lt;&gt;"",LOWER(TRIM($T312))&lt;&gt;"n/a",COUNTIFS($B$2:$B$528,"Yes",$A$2:$A$528,"Neuron",$T$2:$T$528,$T312)&gt;1),
AND($W312&lt;&gt;"",LOWER(TRIM($W312))&lt;&gt;"n/a",COUNTIFS($B$2:$B$528,"Yes",$A$2:$A$528,"Neuron",$W$2:$W$528,$W312)&gt;1)
),"Yes","No"),
IF($A312="Cybernet",
IF(OR(
AND($Y312&lt;&gt;"",LOWER(TRIM($Y312))&lt;&gt;"n/a",COUNTIFS($B$2:$B$528,"Yes",$A$2:$A$528,"Cybernet",$Y$2:$Y$528,$Y312)&gt;1),
AND($Z312&lt;&gt;"",LOWER(TRIM($Z312))&lt;&gt;"n/a",COUNTIFS($B$2:$B$528,"Yes",$A$2:$A$528,"Cybernet",$Z$2:$Z$528,$Z312)&gt;1)
),"Yes","No"),
IF(AND($AL312&lt;&gt;"",LOWER(TRIM($AL312))&lt;&gt;"n/a"),
IF(COUNTIFS($B$2:$B$528,"Yes",$A$2:$A$528,$A312,$AL$2:$AL$528,$AL312)&gt;1,"Yes","No"),
"No")
)
)
)</f>
        <v/>
      </c>
      <c r="BL312" s="4" t="str">
        <f t="shared" si="16"/>
        <v/>
      </c>
      <c r="BM312" s="8" t="str">
        <f t="shared" si="17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4:70" ht="15" customHeight="1">
      <c r="D313" s="15" t="str">
        <f t="shared" si="15"/>
        <v/>
      </c>
      <c r="E313" s="15" t="str">
        <f>IF($A313="","",IF($A313="Neuron",IF(OR(AND($S313&lt;&gt;"",LOWER(TRIM($S313))&lt;&gt;"n/a",COUNTIF($S$2:$S$528,$S313)&gt;1),AND($T313&lt;&gt;"",LOWER(TRIM($T313))&lt;&gt;"n/a",COUNTIF($T$2:$T$528,$T313)&gt;1),AND($W313&lt;&gt;"",LOWER(TRIM($W313))&lt;&gt;"n/a",COUNTIF($W$2:$W$528,$W313)&gt;1)),"Yes","No"),IF($A313="Cybernet",IF(OR(AND($Y313&lt;&gt;"",LOWER(TRIM($Y313))&lt;&gt;"n/a",COUNTIF($Y$2:$Y$528,$Y313)&gt;1),AND($Z313&lt;&gt;"",LOWER(TRIM($Z313))&lt;&gt;"n/a",COUNTIF($Z$2:$Z$528,$Z313)&gt;1)),"Yes","No"),IF(AND($AL313&lt;&gt;"",LOWER(TRIM($AL313))&lt;&gt;"n/a",COUNTIF($AL$2:$AL$528,$AL313)&gt;1),"Yes","No"))))</f>
        <v/>
      </c>
      <c r="F313" t="str">
        <f>IF($B313&lt;&gt;"Yes","",
IF($A313="Neuron",
IF(OR(
AND($S313&lt;&gt;"",LOWER(TRIM($S313))&lt;&gt;"n/a",COUNTIFS($B$2:$B$528,"Yes",$A$2:$A$528,"Neuron",$S$2:$S$528,$S313)&gt;1),
AND($T313&lt;&gt;"",LOWER(TRIM($T313))&lt;&gt;"n/a",COUNTIFS($B$2:$B$528,"Yes",$A$2:$A$528,"Neuron",$T$2:$T$528,$T313)&gt;1),
AND($W313&lt;&gt;"",LOWER(TRIM($W313))&lt;&gt;"n/a",COUNTIFS($B$2:$B$528,"Yes",$A$2:$A$528,"Neuron",$W$2:$W$528,$W313)&gt;1)
),"Yes","No"),
IF($A313="Cybernet",
IF(OR(
AND($Y313&lt;&gt;"",LOWER(TRIM($Y313))&lt;&gt;"n/a",COUNTIFS($B$2:$B$528,"Yes",$A$2:$A$528,"Cybernet",$Y$2:$Y$528,$Y313)&gt;1),
AND($Z313&lt;&gt;"",LOWER(TRIM($Z313))&lt;&gt;"n/a",COUNTIFS($B$2:$B$528,"Yes",$A$2:$A$528,"Cybernet",$Z$2:$Z$528,$Z313)&gt;1)
),"Yes","No"),
IF(AND($AL313&lt;&gt;"",LOWER(TRIM($AL313))&lt;&gt;"n/a"),
IF(COUNTIFS($B$2:$B$528,"Yes",$A$2:$A$528,$A313,$AL$2:$AL$528,$AL313)&gt;1,"Yes","No"),
"No")
)
)
)</f>
        <v/>
      </c>
      <c r="BL313" s="4" t="str">
        <f t="shared" si="16"/>
        <v/>
      </c>
      <c r="BM313" s="8" t="str">
        <f t="shared" si="17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4:70" ht="15" customHeight="1">
      <c r="D314" s="15" t="str">
        <f t="shared" si="15"/>
        <v/>
      </c>
      <c r="E314" s="15" t="str">
        <f>IF($A314="","",IF($A314="Neuron",IF(OR(AND($S314&lt;&gt;"",LOWER(TRIM($S314))&lt;&gt;"n/a",COUNTIF($S$2:$S$528,$S314)&gt;1),AND($T314&lt;&gt;"",LOWER(TRIM($T314))&lt;&gt;"n/a",COUNTIF($T$2:$T$528,$T314)&gt;1),AND($W314&lt;&gt;"",LOWER(TRIM($W314))&lt;&gt;"n/a",COUNTIF($W$2:$W$528,$W314)&gt;1)),"Yes","No"),IF($A314="Cybernet",IF(OR(AND($Y314&lt;&gt;"",LOWER(TRIM($Y314))&lt;&gt;"n/a",COUNTIF($Y$2:$Y$528,$Y314)&gt;1),AND($Z314&lt;&gt;"",LOWER(TRIM($Z314))&lt;&gt;"n/a",COUNTIF($Z$2:$Z$528,$Z314)&gt;1)),"Yes","No"),IF(AND($AL314&lt;&gt;"",LOWER(TRIM($AL314))&lt;&gt;"n/a",COUNTIF($AL$2:$AL$528,$AL314)&gt;1),"Yes","No"))))</f>
        <v/>
      </c>
      <c r="F314" t="str">
        <f>IF($B314&lt;&gt;"Yes","",
IF($A314="Neuron",
IF(OR(
AND($S314&lt;&gt;"",LOWER(TRIM($S314))&lt;&gt;"n/a",COUNTIFS($B$2:$B$528,"Yes",$A$2:$A$528,"Neuron",$S$2:$S$528,$S314)&gt;1),
AND($T314&lt;&gt;"",LOWER(TRIM($T314))&lt;&gt;"n/a",COUNTIFS($B$2:$B$528,"Yes",$A$2:$A$528,"Neuron",$T$2:$T$528,$T314)&gt;1),
AND($W314&lt;&gt;"",LOWER(TRIM($W314))&lt;&gt;"n/a",COUNTIFS($B$2:$B$528,"Yes",$A$2:$A$528,"Neuron",$W$2:$W$528,$W314)&gt;1)
),"Yes","No"),
IF($A314="Cybernet",
IF(OR(
AND($Y314&lt;&gt;"",LOWER(TRIM($Y314))&lt;&gt;"n/a",COUNTIFS($B$2:$B$528,"Yes",$A$2:$A$528,"Cybernet",$Y$2:$Y$528,$Y314)&gt;1),
AND($Z314&lt;&gt;"",LOWER(TRIM($Z314))&lt;&gt;"n/a",COUNTIFS($B$2:$B$528,"Yes",$A$2:$A$528,"Cybernet",$Z$2:$Z$528,$Z314)&gt;1)
),"Yes","No"),
IF(AND($AL314&lt;&gt;"",LOWER(TRIM($AL314))&lt;&gt;"n/a"),
IF(COUNTIFS($B$2:$B$528,"Yes",$A$2:$A$528,$A314,$AL$2:$AL$528,$AL314)&gt;1,"Yes","No"),
"No")
)
)
)</f>
        <v/>
      </c>
      <c r="BL314" s="4" t="str">
        <f t="shared" si="16"/>
        <v/>
      </c>
      <c r="BM314" s="8" t="str">
        <f t="shared" si="17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4:70" ht="15" customHeight="1">
      <c r="D315" s="15" t="str">
        <f t="shared" si="15"/>
        <v/>
      </c>
      <c r="E315" s="15" t="str">
        <f>IF($A315="","",IF($A315="Neuron",IF(OR(AND($S315&lt;&gt;"",LOWER(TRIM($S315))&lt;&gt;"n/a",COUNTIF($S$2:$S$528,$S315)&gt;1),AND($T315&lt;&gt;"",LOWER(TRIM($T315))&lt;&gt;"n/a",COUNTIF($T$2:$T$528,$T315)&gt;1),AND($W315&lt;&gt;"",LOWER(TRIM($W315))&lt;&gt;"n/a",COUNTIF($W$2:$W$528,$W315)&gt;1)),"Yes","No"),IF($A315="Cybernet",IF(OR(AND($Y315&lt;&gt;"",LOWER(TRIM($Y315))&lt;&gt;"n/a",COUNTIF($Y$2:$Y$528,$Y315)&gt;1),AND($Z315&lt;&gt;"",LOWER(TRIM($Z315))&lt;&gt;"n/a",COUNTIF($Z$2:$Z$528,$Z315)&gt;1)),"Yes","No"),IF(AND($AL315&lt;&gt;"",LOWER(TRIM($AL315))&lt;&gt;"n/a",COUNTIF($AL$2:$AL$528,$AL315)&gt;1),"Yes","No"))))</f>
        <v/>
      </c>
      <c r="F315" t="str">
        <f>IF($B315&lt;&gt;"Yes","",
IF($A315="Neuron",
IF(OR(
AND($S315&lt;&gt;"",LOWER(TRIM($S315))&lt;&gt;"n/a",COUNTIFS($B$2:$B$528,"Yes",$A$2:$A$528,"Neuron",$S$2:$S$528,$S315)&gt;1),
AND($T315&lt;&gt;"",LOWER(TRIM($T315))&lt;&gt;"n/a",COUNTIFS($B$2:$B$528,"Yes",$A$2:$A$528,"Neuron",$T$2:$T$528,$T315)&gt;1),
AND($W315&lt;&gt;"",LOWER(TRIM($W315))&lt;&gt;"n/a",COUNTIFS($B$2:$B$528,"Yes",$A$2:$A$528,"Neuron",$W$2:$W$528,$W315)&gt;1)
),"Yes","No"),
IF($A315="Cybernet",
IF(OR(
AND($Y315&lt;&gt;"",LOWER(TRIM($Y315))&lt;&gt;"n/a",COUNTIFS($B$2:$B$528,"Yes",$A$2:$A$528,"Cybernet",$Y$2:$Y$528,$Y315)&gt;1),
AND($Z315&lt;&gt;"",LOWER(TRIM($Z315))&lt;&gt;"n/a",COUNTIFS($B$2:$B$528,"Yes",$A$2:$A$528,"Cybernet",$Z$2:$Z$528,$Z315)&gt;1)
),"Yes","No"),
IF(AND($AL315&lt;&gt;"",LOWER(TRIM($AL315))&lt;&gt;"n/a"),
IF(COUNTIFS($B$2:$B$528,"Yes",$A$2:$A$528,$A315,$AL$2:$AL$528,$AL315)&gt;1,"Yes","No"),
"No")
)
)
)</f>
        <v/>
      </c>
      <c r="BL315" s="4" t="str">
        <f t="shared" si="16"/>
        <v/>
      </c>
      <c r="BM315" s="8" t="str">
        <f t="shared" si="17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4:70" ht="15" customHeight="1">
      <c r="D316" s="15" t="str">
        <f t="shared" si="15"/>
        <v/>
      </c>
      <c r="E316" s="15" t="str">
        <f>IF($A316="","",IF($A316="Neuron",IF(OR(AND($S316&lt;&gt;"",LOWER(TRIM($S316))&lt;&gt;"n/a",COUNTIF($S$2:$S$528,$S316)&gt;1),AND($T316&lt;&gt;"",LOWER(TRIM($T316))&lt;&gt;"n/a",COUNTIF($T$2:$T$528,$T316)&gt;1),AND($W316&lt;&gt;"",LOWER(TRIM($W316))&lt;&gt;"n/a",COUNTIF($W$2:$W$528,$W316)&gt;1)),"Yes","No"),IF($A316="Cybernet",IF(OR(AND($Y316&lt;&gt;"",LOWER(TRIM($Y316))&lt;&gt;"n/a",COUNTIF($Y$2:$Y$528,$Y316)&gt;1),AND($Z316&lt;&gt;"",LOWER(TRIM($Z316))&lt;&gt;"n/a",COUNTIF($Z$2:$Z$528,$Z316)&gt;1)),"Yes","No"),IF(AND($AL316&lt;&gt;"",LOWER(TRIM($AL316))&lt;&gt;"n/a",COUNTIF($AL$2:$AL$528,$AL316)&gt;1),"Yes","No"))))</f>
        <v/>
      </c>
      <c r="F316" t="str">
        <f>IF($B316&lt;&gt;"Yes","",
IF($A316="Neuron",
IF(OR(
AND($S316&lt;&gt;"",LOWER(TRIM($S316))&lt;&gt;"n/a",COUNTIFS($B$2:$B$528,"Yes",$A$2:$A$528,"Neuron",$S$2:$S$528,$S316)&gt;1),
AND($T316&lt;&gt;"",LOWER(TRIM($T316))&lt;&gt;"n/a",COUNTIFS($B$2:$B$528,"Yes",$A$2:$A$528,"Neuron",$T$2:$T$528,$T316)&gt;1),
AND($W316&lt;&gt;"",LOWER(TRIM($W316))&lt;&gt;"n/a",COUNTIFS($B$2:$B$528,"Yes",$A$2:$A$528,"Neuron",$W$2:$W$528,$W316)&gt;1)
),"Yes","No"),
IF($A316="Cybernet",
IF(OR(
AND($Y316&lt;&gt;"",LOWER(TRIM($Y316))&lt;&gt;"n/a",COUNTIFS($B$2:$B$528,"Yes",$A$2:$A$528,"Cybernet",$Y$2:$Y$528,$Y316)&gt;1),
AND($Z316&lt;&gt;"",LOWER(TRIM($Z316))&lt;&gt;"n/a",COUNTIFS($B$2:$B$528,"Yes",$A$2:$A$528,"Cybernet",$Z$2:$Z$528,$Z316)&gt;1)
),"Yes","No"),
IF(AND($AL316&lt;&gt;"",LOWER(TRIM($AL316))&lt;&gt;"n/a"),
IF(COUNTIFS($B$2:$B$528,"Yes",$A$2:$A$528,$A316,$AL$2:$AL$528,$AL316)&gt;1,"Yes","No"),
"No")
)
)
)</f>
        <v/>
      </c>
      <c r="BL316" s="4" t="str">
        <f t="shared" si="16"/>
        <v/>
      </c>
      <c r="BM316" s="8" t="str">
        <f t="shared" si="17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4:70" ht="15" customHeight="1">
      <c r="D317" s="15" t="str">
        <f t="shared" si="15"/>
        <v/>
      </c>
      <c r="E317" s="15" t="str">
        <f>IF($A317="","",IF($A317="Neuron",IF(OR(AND($S317&lt;&gt;"",LOWER(TRIM($S317))&lt;&gt;"n/a",COUNTIF($S$2:$S$528,$S317)&gt;1),AND($T317&lt;&gt;"",LOWER(TRIM($T317))&lt;&gt;"n/a",COUNTIF($T$2:$T$528,$T317)&gt;1),AND($W317&lt;&gt;"",LOWER(TRIM($W317))&lt;&gt;"n/a",COUNTIF($W$2:$W$528,$W317)&gt;1)),"Yes","No"),IF($A317="Cybernet",IF(OR(AND($Y317&lt;&gt;"",LOWER(TRIM($Y317))&lt;&gt;"n/a",COUNTIF($Y$2:$Y$528,$Y317)&gt;1),AND($Z317&lt;&gt;"",LOWER(TRIM($Z317))&lt;&gt;"n/a",COUNTIF($Z$2:$Z$528,$Z317)&gt;1)),"Yes","No"),IF(AND($AL317&lt;&gt;"",LOWER(TRIM($AL317))&lt;&gt;"n/a",COUNTIF($AL$2:$AL$528,$AL317)&gt;1),"Yes","No"))))</f>
        <v/>
      </c>
      <c r="F317" t="str">
        <f>IF($B317&lt;&gt;"Yes","",
IF($A317="Neuron",
IF(OR(
AND($S317&lt;&gt;"",LOWER(TRIM($S317))&lt;&gt;"n/a",COUNTIFS($B$2:$B$528,"Yes",$A$2:$A$528,"Neuron",$S$2:$S$528,$S317)&gt;1),
AND($T317&lt;&gt;"",LOWER(TRIM($T317))&lt;&gt;"n/a",COUNTIFS($B$2:$B$528,"Yes",$A$2:$A$528,"Neuron",$T$2:$T$528,$T317)&gt;1),
AND($W317&lt;&gt;"",LOWER(TRIM($W317))&lt;&gt;"n/a",COUNTIFS($B$2:$B$528,"Yes",$A$2:$A$528,"Neuron",$W$2:$W$528,$W317)&gt;1)
),"Yes","No"),
IF($A317="Cybernet",
IF(OR(
AND($Y317&lt;&gt;"",LOWER(TRIM($Y317))&lt;&gt;"n/a",COUNTIFS($B$2:$B$528,"Yes",$A$2:$A$528,"Cybernet",$Y$2:$Y$528,$Y317)&gt;1),
AND($Z317&lt;&gt;"",LOWER(TRIM($Z317))&lt;&gt;"n/a",COUNTIFS($B$2:$B$528,"Yes",$A$2:$A$528,"Cybernet",$Z$2:$Z$528,$Z317)&gt;1)
),"Yes","No"),
IF(AND($AL317&lt;&gt;"",LOWER(TRIM($AL317))&lt;&gt;"n/a"),
IF(COUNTIFS($B$2:$B$528,"Yes",$A$2:$A$528,$A317,$AL$2:$AL$528,$AL317)&gt;1,"Yes","No"),
"No")
)
)
)</f>
        <v/>
      </c>
      <c r="BL317" s="4" t="str">
        <f t="shared" si="16"/>
        <v/>
      </c>
      <c r="BM317" s="8" t="str">
        <f t="shared" si="17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4:70" ht="15" customHeight="1">
      <c r="D318" s="15" t="str">
        <f t="shared" si="15"/>
        <v/>
      </c>
      <c r="E318" s="15" t="str">
        <f>IF($A318="","",IF($A318="Neuron",IF(OR(AND($S318&lt;&gt;"",LOWER(TRIM($S318))&lt;&gt;"n/a",COUNTIF($S$2:$S$528,$S318)&gt;1),AND($T318&lt;&gt;"",LOWER(TRIM($T318))&lt;&gt;"n/a",COUNTIF($T$2:$T$528,$T318)&gt;1),AND($W318&lt;&gt;"",LOWER(TRIM($W318))&lt;&gt;"n/a",COUNTIF($W$2:$W$528,$W318)&gt;1)),"Yes","No"),IF($A318="Cybernet",IF(OR(AND($Y318&lt;&gt;"",LOWER(TRIM($Y318))&lt;&gt;"n/a",COUNTIF($Y$2:$Y$528,$Y318)&gt;1),AND($Z318&lt;&gt;"",LOWER(TRIM($Z318))&lt;&gt;"n/a",COUNTIF($Z$2:$Z$528,$Z318)&gt;1)),"Yes","No"),IF(AND($AL318&lt;&gt;"",LOWER(TRIM($AL318))&lt;&gt;"n/a",COUNTIF($AL$2:$AL$528,$AL318)&gt;1),"Yes","No"))))</f>
        <v/>
      </c>
      <c r="F318" t="str">
        <f>IF($B318&lt;&gt;"Yes","",
IF($A318="Neuron",
IF(OR(
AND($S318&lt;&gt;"",LOWER(TRIM($S318))&lt;&gt;"n/a",COUNTIFS($B$2:$B$528,"Yes",$A$2:$A$528,"Neuron",$S$2:$S$528,$S318)&gt;1),
AND($T318&lt;&gt;"",LOWER(TRIM($T318))&lt;&gt;"n/a",COUNTIFS($B$2:$B$528,"Yes",$A$2:$A$528,"Neuron",$T$2:$T$528,$T318)&gt;1),
AND($W318&lt;&gt;"",LOWER(TRIM($W318))&lt;&gt;"n/a",COUNTIFS($B$2:$B$528,"Yes",$A$2:$A$528,"Neuron",$W$2:$W$528,$W318)&gt;1)
),"Yes","No"),
IF($A318="Cybernet",
IF(OR(
AND($Y318&lt;&gt;"",LOWER(TRIM($Y318))&lt;&gt;"n/a",COUNTIFS($B$2:$B$528,"Yes",$A$2:$A$528,"Cybernet",$Y$2:$Y$528,$Y318)&gt;1),
AND($Z318&lt;&gt;"",LOWER(TRIM($Z318))&lt;&gt;"n/a",COUNTIFS($B$2:$B$528,"Yes",$A$2:$A$528,"Cybernet",$Z$2:$Z$528,$Z318)&gt;1)
),"Yes","No"),
IF(AND($AL318&lt;&gt;"",LOWER(TRIM($AL318))&lt;&gt;"n/a"),
IF(COUNTIFS($B$2:$B$528,"Yes",$A$2:$A$528,$A318,$AL$2:$AL$528,$AL318)&gt;1,"Yes","No"),
"No")
)
)
)</f>
        <v/>
      </c>
      <c r="BL318" s="4" t="str">
        <f t="shared" si="16"/>
        <v/>
      </c>
      <c r="BM318" s="8" t="str">
        <f t="shared" si="17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4:70" ht="15" customHeight="1">
      <c r="D319" s="15" t="str">
        <f t="shared" si="15"/>
        <v/>
      </c>
      <c r="E319" s="15" t="str">
        <f>IF($A319="","",IF($A319="Neuron",IF(OR(AND($S319&lt;&gt;"",LOWER(TRIM($S319))&lt;&gt;"n/a",COUNTIF($S$2:$S$528,$S319)&gt;1),AND($T319&lt;&gt;"",LOWER(TRIM($T319))&lt;&gt;"n/a",COUNTIF($T$2:$T$528,$T319)&gt;1),AND($W319&lt;&gt;"",LOWER(TRIM($W319))&lt;&gt;"n/a",COUNTIF($W$2:$W$528,$W319)&gt;1)),"Yes","No"),IF($A319="Cybernet",IF(OR(AND($Y319&lt;&gt;"",LOWER(TRIM($Y319))&lt;&gt;"n/a",COUNTIF($Y$2:$Y$528,$Y319)&gt;1),AND($Z319&lt;&gt;"",LOWER(TRIM($Z319))&lt;&gt;"n/a",COUNTIF($Z$2:$Z$528,$Z319)&gt;1)),"Yes","No"),IF(AND($AL319&lt;&gt;"",LOWER(TRIM($AL319))&lt;&gt;"n/a",COUNTIF($AL$2:$AL$528,$AL319)&gt;1),"Yes","No"))))</f>
        <v/>
      </c>
      <c r="F319" t="str">
        <f>IF($B319&lt;&gt;"Yes","",
IF($A319="Neuron",
IF(OR(
AND($S319&lt;&gt;"",LOWER(TRIM($S319))&lt;&gt;"n/a",COUNTIFS($B$2:$B$528,"Yes",$A$2:$A$528,"Neuron",$S$2:$S$528,$S319)&gt;1),
AND($T319&lt;&gt;"",LOWER(TRIM($T319))&lt;&gt;"n/a",COUNTIFS($B$2:$B$528,"Yes",$A$2:$A$528,"Neuron",$T$2:$T$528,$T319)&gt;1),
AND($W319&lt;&gt;"",LOWER(TRIM($W319))&lt;&gt;"n/a",COUNTIFS($B$2:$B$528,"Yes",$A$2:$A$528,"Neuron",$W$2:$W$528,$W319)&gt;1)
),"Yes","No"),
IF($A319="Cybernet",
IF(OR(
AND($Y319&lt;&gt;"",LOWER(TRIM($Y319))&lt;&gt;"n/a",COUNTIFS($B$2:$B$528,"Yes",$A$2:$A$528,"Cybernet",$Y$2:$Y$528,$Y319)&gt;1),
AND($Z319&lt;&gt;"",LOWER(TRIM($Z319))&lt;&gt;"n/a",COUNTIFS($B$2:$B$528,"Yes",$A$2:$A$528,"Cybernet",$Z$2:$Z$528,$Z319)&gt;1)
),"Yes","No"),
IF(AND($AL319&lt;&gt;"",LOWER(TRIM($AL319))&lt;&gt;"n/a"),
IF(COUNTIFS($B$2:$B$528,"Yes",$A$2:$A$528,$A319,$AL$2:$AL$528,$AL319)&gt;1,"Yes","No"),
"No")
)
)
)</f>
        <v/>
      </c>
      <c r="BL319" s="4" t="str">
        <f t="shared" si="16"/>
        <v/>
      </c>
      <c r="BM319" s="8" t="str">
        <f t="shared" si="17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4:70" ht="15" customHeight="1">
      <c r="D320" s="15" t="str">
        <f t="shared" si="15"/>
        <v/>
      </c>
      <c r="E320" s="15" t="str">
        <f>IF($A320="","",IF($A320="Neuron",IF(OR(AND($S320&lt;&gt;"",LOWER(TRIM($S320))&lt;&gt;"n/a",COUNTIF($S$2:$S$528,$S320)&gt;1),AND($T320&lt;&gt;"",LOWER(TRIM($T320))&lt;&gt;"n/a",COUNTIF($T$2:$T$528,$T320)&gt;1),AND($W320&lt;&gt;"",LOWER(TRIM($W320))&lt;&gt;"n/a",COUNTIF($W$2:$W$528,$W320)&gt;1)),"Yes","No"),IF($A320="Cybernet",IF(OR(AND($Y320&lt;&gt;"",LOWER(TRIM($Y320))&lt;&gt;"n/a",COUNTIF($Y$2:$Y$528,$Y320)&gt;1),AND($Z320&lt;&gt;"",LOWER(TRIM($Z320))&lt;&gt;"n/a",COUNTIF($Z$2:$Z$528,$Z320)&gt;1)),"Yes","No"),IF(AND($AL320&lt;&gt;"",LOWER(TRIM($AL320))&lt;&gt;"n/a",COUNTIF($AL$2:$AL$528,$AL320)&gt;1),"Yes","No"))))</f>
        <v/>
      </c>
      <c r="F320" t="str">
        <f>IF($B320&lt;&gt;"Yes","",
IF($A320="Neuron",
IF(OR(
AND($S320&lt;&gt;"",LOWER(TRIM($S320))&lt;&gt;"n/a",COUNTIFS($B$2:$B$528,"Yes",$A$2:$A$528,"Neuron",$S$2:$S$528,$S320)&gt;1),
AND($T320&lt;&gt;"",LOWER(TRIM($T320))&lt;&gt;"n/a",COUNTIFS($B$2:$B$528,"Yes",$A$2:$A$528,"Neuron",$T$2:$T$528,$T320)&gt;1),
AND($W320&lt;&gt;"",LOWER(TRIM($W320))&lt;&gt;"n/a",COUNTIFS($B$2:$B$528,"Yes",$A$2:$A$528,"Neuron",$W$2:$W$528,$W320)&gt;1)
),"Yes","No"),
IF($A320="Cybernet",
IF(OR(
AND($Y320&lt;&gt;"",LOWER(TRIM($Y320))&lt;&gt;"n/a",COUNTIFS($B$2:$B$528,"Yes",$A$2:$A$528,"Cybernet",$Y$2:$Y$528,$Y320)&gt;1),
AND($Z320&lt;&gt;"",LOWER(TRIM($Z320))&lt;&gt;"n/a",COUNTIFS($B$2:$B$528,"Yes",$A$2:$A$528,"Cybernet",$Z$2:$Z$528,$Z320)&gt;1)
),"Yes","No"),
IF(AND($AL320&lt;&gt;"",LOWER(TRIM($AL320))&lt;&gt;"n/a"),
IF(COUNTIFS($B$2:$B$528,"Yes",$A$2:$A$528,$A320,$AL$2:$AL$528,$AL320)&gt;1,"Yes","No"),
"No")
)
)
)</f>
        <v/>
      </c>
      <c r="BL320" s="4" t="str">
        <f t="shared" si="16"/>
        <v/>
      </c>
      <c r="BM320" s="8" t="str">
        <f t="shared" si="17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 ht="15" customHeight="1">
      <c r="D321" s="15" t="str">
        <f t="shared" si="15"/>
        <v/>
      </c>
      <c r="E321" s="15" t="str">
        <f>IF($A321="","",IF($A321="Neuron",IF(OR(AND($S321&lt;&gt;"",LOWER(TRIM($S321))&lt;&gt;"n/a",COUNTIF($S$2:$S$528,$S321)&gt;1),AND($T321&lt;&gt;"",LOWER(TRIM($T321))&lt;&gt;"n/a",COUNTIF($T$2:$T$528,$T321)&gt;1),AND($W321&lt;&gt;"",LOWER(TRIM($W321))&lt;&gt;"n/a",COUNTIF($W$2:$W$528,$W321)&gt;1)),"Yes","No"),IF($A321="Cybernet",IF(OR(AND($Y321&lt;&gt;"",LOWER(TRIM($Y321))&lt;&gt;"n/a",COUNTIF($Y$2:$Y$528,$Y321)&gt;1),AND($Z321&lt;&gt;"",LOWER(TRIM($Z321))&lt;&gt;"n/a",COUNTIF($Z$2:$Z$528,$Z321)&gt;1)),"Yes","No"),IF(AND($AL321&lt;&gt;"",LOWER(TRIM($AL321))&lt;&gt;"n/a",COUNTIF($AL$2:$AL$528,$AL321)&gt;1),"Yes","No"))))</f>
        <v/>
      </c>
      <c r="F321" t="str">
        <f>IF($B321&lt;&gt;"Yes","",
IF($A321="Neuron",
IF(OR(
AND($S321&lt;&gt;"",LOWER(TRIM($S321))&lt;&gt;"n/a",COUNTIFS($B$2:$B$528,"Yes",$A$2:$A$528,"Neuron",$S$2:$S$528,$S321)&gt;1),
AND($T321&lt;&gt;"",LOWER(TRIM($T321))&lt;&gt;"n/a",COUNTIFS($B$2:$B$528,"Yes",$A$2:$A$528,"Neuron",$T$2:$T$528,$T321)&gt;1),
AND($W321&lt;&gt;"",LOWER(TRIM($W321))&lt;&gt;"n/a",COUNTIFS($B$2:$B$528,"Yes",$A$2:$A$528,"Neuron",$W$2:$W$528,$W321)&gt;1)
),"Yes","No"),
IF($A321="Cybernet",
IF(OR(
AND($Y321&lt;&gt;"",LOWER(TRIM($Y321))&lt;&gt;"n/a",COUNTIFS($B$2:$B$528,"Yes",$A$2:$A$528,"Cybernet",$Y$2:$Y$528,$Y321)&gt;1),
AND($Z321&lt;&gt;"",LOWER(TRIM($Z321))&lt;&gt;"n/a",COUNTIFS($B$2:$B$528,"Yes",$A$2:$A$528,"Cybernet",$Z$2:$Z$528,$Z321)&gt;1)
),"Yes","No"),
IF(AND($AL321&lt;&gt;"",LOWER(TRIM($AL321))&lt;&gt;"n/a"),
IF(COUNTIFS($B$2:$B$528,"Yes",$A$2:$A$528,$A321,$AL$2:$AL$528,$AL321)&gt;1,"Yes","No"),
"No")
)
)
)</f>
        <v/>
      </c>
      <c r="BL321" s="4" t="str">
        <f t="shared" si="16"/>
        <v/>
      </c>
      <c r="BM321" s="8" t="str">
        <f t="shared" si="17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 ht="15" customHeight="1">
      <c r="D322" s="15" t="str">
        <f t="shared" si="15"/>
        <v/>
      </c>
      <c r="E322" s="15" t="str">
        <f>IF($A322="","",IF($A322="Neuron",IF(OR(AND($S322&lt;&gt;"",LOWER(TRIM($S322))&lt;&gt;"n/a",COUNTIF($S$2:$S$528,$S322)&gt;1),AND($T322&lt;&gt;"",LOWER(TRIM($T322))&lt;&gt;"n/a",COUNTIF($T$2:$T$528,$T322)&gt;1),AND($W322&lt;&gt;"",LOWER(TRIM($W322))&lt;&gt;"n/a",COUNTIF($W$2:$W$528,$W322)&gt;1)),"Yes","No"),IF($A322="Cybernet",IF(OR(AND($Y322&lt;&gt;"",LOWER(TRIM($Y322))&lt;&gt;"n/a",COUNTIF($Y$2:$Y$528,$Y322)&gt;1),AND($Z322&lt;&gt;"",LOWER(TRIM($Z322))&lt;&gt;"n/a",COUNTIF($Z$2:$Z$528,$Z322)&gt;1)),"Yes","No"),IF(AND($AL322&lt;&gt;"",LOWER(TRIM($AL322))&lt;&gt;"n/a",COUNTIF($AL$2:$AL$528,$AL322)&gt;1),"Yes","No"))))</f>
        <v/>
      </c>
      <c r="F322" t="str">
        <f>IF($B322&lt;&gt;"Yes","",
IF($A322="Neuron",
IF(OR(
AND($S322&lt;&gt;"",LOWER(TRIM($S322))&lt;&gt;"n/a",COUNTIFS($B$2:$B$528,"Yes",$A$2:$A$528,"Neuron",$S$2:$S$528,$S322)&gt;1),
AND($T322&lt;&gt;"",LOWER(TRIM($T322))&lt;&gt;"n/a",COUNTIFS($B$2:$B$528,"Yes",$A$2:$A$528,"Neuron",$T$2:$T$528,$T322)&gt;1),
AND($W322&lt;&gt;"",LOWER(TRIM($W322))&lt;&gt;"n/a",COUNTIFS($B$2:$B$528,"Yes",$A$2:$A$528,"Neuron",$W$2:$W$528,$W322)&gt;1)
),"Yes","No"),
IF($A322="Cybernet",
IF(OR(
AND($Y322&lt;&gt;"",LOWER(TRIM($Y322))&lt;&gt;"n/a",COUNTIFS($B$2:$B$528,"Yes",$A$2:$A$528,"Cybernet",$Y$2:$Y$528,$Y322)&gt;1),
AND($Z322&lt;&gt;"",LOWER(TRIM($Z322))&lt;&gt;"n/a",COUNTIFS($B$2:$B$528,"Yes",$A$2:$A$528,"Cybernet",$Z$2:$Z$528,$Z322)&gt;1)
),"Yes","No"),
IF(AND($AL322&lt;&gt;"",LOWER(TRIM($AL322))&lt;&gt;"n/a"),
IF(COUNTIFS($B$2:$B$528,"Yes",$A$2:$A$528,$A322,$AL$2:$AL$528,$AL322)&gt;1,"Yes","No"),
"No")
)
)
)</f>
        <v/>
      </c>
      <c r="BL322" s="4" t="str">
        <f t="shared" si="16"/>
        <v/>
      </c>
      <c r="BM322" s="8" t="str">
        <f t="shared" si="17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 ht="15" customHeight="1">
      <c r="D323" s="15" t="str">
        <f t="shared" si="15"/>
        <v/>
      </c>
      <c r="E323" s="15" t="str">
        <f>IF($A323="","",IF($A323="Neuron",IF(OR(AND($S323&lt;&gt;"",LOWER(TRIM($S323))&lt;&gt;"n/a",COUNTIF($S$2:$S$528,$S323)&gt;1),AND($T323&lt;&gt;"",LOWER(TRIM($T323))&lt;&gt;"n/a",COUNTIF($T$2:$T$528,$T323)&gt;1),AND($W323&lt;&gt;"",LOWER(TRIM($W323))&lt;&gt;"n/a",COUNTIF($W$2:$W$528,$W323)&gt;1)),"Yes","No"),IF($A323="Cybernet",IF(OR(AND($Y323&lt;&gt;"",LOWER(TRIM($Y323))&lt;&gt;"n/a",COUNTIF($Y$2:$Y$528,$Y323)&gt;1),AND($Z323&lt;&gt;"",LOWER(TRIM($Z323))&lt;&gt;"n/a",COUNTIF($Z$2:$Z$528,$Z323)&gt;1)),"Yes","No"),IF(AND($AL323&lt;&gt;"",LOWER(TRIM($AL323))&lt;&gt;"n/a",COUNTIF($AL$2:$AL$528,$AL323)&gt;1),"Yes","No"))))</f>
        <v/>
      </c>
      <c r="F323" t="str">
        <f>IF($B323&lt;&gt;"Yes","",
IF($A323="Neuron",
IF(OR(
AND($S323&lt;&gt;"",LOWER(TRIM($S323))&lt;&gt;"n/a",COUNTIFS($B$2:$B$528,"Yes",$A$2:$A$528,"Neuron",$S$2:$S$528,$S323)&gt;1),
AND($T323&lt;&gt;"",LOWER(TRIM($T323))&lt;&gt;"n/a",COUNTIFS($B$2:$B$528,"Yes",$A$2:$A$528,"Neuron",$T$2:$T$528,$T323)&gt;1),
AND($W323&lt;&gt;"",LOWER(TRIM($W323))&lt;&gt;"n/a",COUNTIFS($B$2:$B$528,"Yes",$A$2:$A$528,"Neuron",$W$2:$W$528,$W323)&gt;1)
),"Yes","No"),
IF($A323="Cybernet",
IF(OR(
AND($Y323&lt;&gt;"",LOWER(TRIM($Y323))&lt;&gt;"n/a",COUNTIFS($B$2:$B$528,"Yes",$A$2:$A$528,"Cybernet",$Y$2:$Y$528,$Y323)&gt;1),
AND($Z323&lt;&gt;"",LOWER(TRIM($Z323))&lt;&gt;"n/a",COUNTIFS($B$2:$B$528,"Yes",$A$2:$A$528,"Cybernet",$Z$2:$Z$528,$Z323)&gt;1)
),"Yes","No"),
IF(AND($AL323&lt;&gt;"",LOWER(TRIM($AL323))&lt;&gt;"n/a"),
IF(COUNTIFS($B$2:$B$528,"Yes",$A$2:$A$528,$A323,$AL$2:$AL$528,$AL323)&gt;1,"Yes","No"),
"No")
)
)
)</f>
        <v/>
      </c>
      <c r="BL323" s="4" t="str">
        <f t="shared" si="16"/>
        <v/>
      </c>
      <c r="BM323" s="8" t="str">
        <f t="shared" si="17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 ht="15" customHeight="1">
      <c r="D324" s="15" t="str">
        <f t="shared" si="15"/>
        <v/>
      </c>
      <c r="E324" s="15" t="str">
        <f>IF($A324="","",IF($A324="Neuron",IF(OR(AND($S324&lt;&gt;"",LOWER(TRIM($S324))&lt;&gt;"n/a",COUNTIF($S$2:$S$528,$S324)&gt;1),AND($T324&lt;&gt;"",LOWER(TRIM($T324))&lt;&gt;"n/a",COUNTIF($T$2:$T$528,$T324)&gt;1),AND($W324&lt;&gt;"",LOWER(TRIM($W324))&lt;&gt;"n/a",COUNTIF($W$2:$W$528,$W324)&gt;1)),"Yes","No"),IF($A324="Cybernet",IF(OR(AND($Y324&lt;&gt;"",LOWER(TRIM($Y324))&lt;&gt;"n/a",COUNTIF($Y$2:$Y$528,$Y324)&gt;1),AND($Z324&lt;&gt;"",LOWER(TRIM($Z324))&lt;&gt;"n/a",COUNTIF($Z$2:$Z$528,$Z324)&gt;1)),"Yes","No"),IF(AND($AL324&lt;&gt;"",LOWER(TRIM($AL324))&lt;&gt;"n/a",COUNTIF($AL$2:$AL$528,$AL324)&gt;1),"Yes","No"))))</f>
        <v/>
      </c>
      <c r="F324" t="str">
        <f>IF($B324&lt;&gt;"Yes","",
IF($A324="Neuron",
IF(OR(
AND($S324&lt;&gt;"",LOWER(TRIM($S324))&lt;&gt;"n/a",COUNTIFS($B$2:$B$528,"Yes",$A$2:$A$528,"Neuron",$S$2:$S$528,$S324)&gt;1),
AND($T324&lt;&gt;"",LOWER(TRIM($T324))&lt;&gt;"n/a",COUNTIFS($B$2:$B$528,"Yes",$A$2:$A$528,"Neuron",$T$2:$T$528,$T324)&gt;1),
AND($W324&lt;&gt;"",LOWER(TRIM($W324))&lt;&gt;"n/a",COUNTIFS($B$2:$B$528,"Yes",$A$2:$A$528,"Neuron",$W$2:$W$528,$W324)&gt;1)
),"Yes","No"),
IF($A324="Cybernet",
IF(OR(
AND($Y324&lt;&gt;"",LOWER(TRIM($Y324))&lt;&gt;"n/a",COUNTIFS($B$2:$B$528,"Yes",$A$2:$A$528,"Cybernet",$Y$2:$Y$528,$Y324)&gt;1),
AND($Z324&lt;&gt;"",LOWER(TRIM($Z324))&lt;&gt;"n/a",COUNTIFS($B$2:$B$528,"Yes",$A$2:$A$528,"Cybernet",$Z$2:$Z$528,$Z324)&gt;1)
),"Yes","No"),
IF(AND($AL324&lt;&gt;"",LOWER(TRIM($AL324))&lt;&gt;"n/a"),
IF(COUNTIFS($B$2:$B$528,"Yes",$A$2:$A$528,$A324,$AL$2:$AL$528,$AL324)&gt;1,"Yes","No"),
"No")
)
)
)</f>
        <v/>
      </c>
      <c r="BL324" s="4" t="str">
        <f t="shared" si="16"/>
        <v/>
      </c>
      <c r="BM324" s="8" t="str">
        <f t="shared" si="17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 ht="15" customHeight="1">
      <c r="D325" s="15" t="str">
        <f t="shared" si="15"/>
        <v/>
      </c>
      <c r="E325" s="15" t="str">
        <f>IF($A325="","",IF($A325="Neuron",IF(OR(AND($S325&lt;&gt;"",LOWER(TRIM($S325))&lt;&gt;"n/a",COUNTIF($S$2:$S$528,$S325)&gt;1),AND($T325&lt;&gt;"",LOWER(TRIM($T325))&lt;&gt;"n/a",COUNTIF($T$2:$T$528,$T325)&gt;1),AND($W325&lt;&gt;"",LOWER(TRIM($W325))&lt;&gt;"n/a",COUNTIF($W$2:$W$528,$W325)&gt;1)),"Yes","No"),IF($A325="Cybernet",IF(OR(AND($Y325&lt;&gt;"",LOWER(TRIM($Y325))&lt;&gt;"n/a",COUNTIF($Y$2:$Y$528,$Y325)&gt;1),AND($Z325&lt;&gt;"",LOWER(TRIM($Z325))&lt;&gt;"n/a",COUNTIF($Z$2:$Z$528,$Z325)&gt;1)),"Yes","No"),IF(AND($AL325&lt;&gt;"",LOWER(TRIM($AL325))&lt;&gt;"n/a",COUNTIF($AL$2:$AL$528,$AL325)&gt;1),"Yes","No"))))</f>
        <v/>
      </c>
      <c r="F325" t="str">
        <f>IF($B325&lt;&gt;"Yes","",
IF($A325="Neuron",
IF(OR(
AND($S325&lt;&gt;"",LOWER(TRIM($S325))&lt;&gt;"n/a",COUNTIFS($B$2:$B$528,"Yes",$A$2:$A$528,"Neuron",$S$2:$S$528,$S325)&gt;1),
AND($T325&lt;&gt;"",LOWER(TRIM($T325))&lt;&gt;"n/a",COUNTIFS($B$2:$B$528,"Yes",$A$2:$A$528,"Neuron",$T$2:$T$528,$T325)&gt;1),
AND($W325&lt;&gt;"",LOWER(TRIM($W325))&lt;&gt;"n/a",COUNTIFS($B$2:$B$528,"Yes",$A$2:$A$528,"Neuron",$W$2:$W$528,$W325)&gt;1)
),"Yes","No"),
IF($A325="Cybernet",
IF(OR(
AND($Y325&lt;&gt;"",LOWER(TRIM($Y325))&lt;&gt;"n/a",COUNTIFS($B$2:$B$528,"Yes",$A$2:$A$528,"Cybernet",$Y$2:$Y$528,$Y325)&gt;1),
AND($Z325&lt;&gt;"",LOWER(TRIM($Z325))&lt;&gt;"n/a",COUNTIFS($B$2:$B$528,"Yes",$A$2:$A$528,"Cybernet",$Z$2:$Z$528,$Z325)&gt;1)
),"Yes","No"),
IF(AND($AL325&lt;&gt;"",LOWER(TRIM($AL325))&lt;&gt;"n/a"),
IF(COUNTIFS($B$2:$B$528,"Yes",$A$2:$A$528,$A325,$AL$2:$AL$528,$AL325)&gt;1,"Yes","No"),
"No")
)
)
)</f>
        <v/>
      </c>
      <c r="BL325" s="4" t="str">
        <f t="shared" si="16"/>
        <v/>
      </c>
      <c r="BM325" s="8" t="str">
        <f t="shared" si="17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 ht="15" customHeight="1">
      <c r="D326" s="15" t="str">
        <f t="shared" si="15"/>
        <v/>
      </c>
      <c r="E326" s="15" t="str">
        <f>IF($A326="","",IF($A326="Neuron",IF(OR(AND($S326&lt;&gt;"",LOWER(TRIM($S326))&lt;&gt;"n/a",COUNTIF($S$2:$S$528,$S326)&gt;1),AND($T326&lt;&gt;"",LOWER(TRIM($T326))&lt;&gt;"n/a",COUNTIF($T$2:$T$528,$T326)&gt;1),AND($W326&lt;&gt;"",LOWER(TRIM($W326))&lt;&gt;"n/a",COUNTIF($W$2:$W$528,$W326)&gt;1)),"Yes","No"),IF($A326="Cybernet",IF(OR(AND($Y326&lt;&gt;"",LOWER(TRIM($Y326))&lt;&gt;"n/a",COUNTIF($Y$2:$Y$528,$Y326)&gt;1),AND($Z326&lt;&gt;"",LOWER(TRIM($Z326))&lt;&gt;"n/a",COUNTIF($Z$2:$Z$528,$Z326)&gt;1)),"Yes","No"),IF(AND($AL326&lt;&gt;"",LOWER(TRIM($AL326))&lt;&gt;"n/a",COUNTIF($AL$2:$AL$528,$AL326)&gt;1),"Yes","No"))))</f>
        <v/>
      </c>
      <c r="F326" t="str">
        <f>IF($B326&lt;&gt;"Yes","",
IF($A326="Neuron",
IF(OR(
AND($S326&lt;&gt;"",LOWER(TRIM($S326))&lt;&gt;"n/a",COUNTIFS($B$2:$B$528,"Yes",$A$2:$A$528,"Neuron",$S$2:$S$528,$S326)&gt;1),
AND($T326&lt;&gt;"",LOWER(TRIM($T326))&lt;&gt;"n/a",COUNTIFS($B$2:$B$528,"Yes",$A$2:$A$528,"Neuron",$T$2:$T$528,$T326)&gt;1),
AND($W326&lt;&gt;"",LOWER(TRIM($W326))&lt;&gt;"n/a",COUNTIFS($B$2:$B$528,"Yes",$A$2:$A$528,"Neuron",$W$2:$W$528,$W326)&gt;1)
),"Yes","No"),
IF($A326="Cybernet",
IF(OR(
AND($Y326&lt;&gt;"",LOWER(TRIM($Y326))&lt;&gt;"n/a",COUNTIFS($B$2:$B$528,"Yes",$A$2:$A$528,"Cybernet",$Y$2:$Y$528,$Y326)&gt;1),
AND($Z326&lt;&gt;"",LOWER(TRIM($Z326))&lt;&gt;"n/a",COUNTIFS($B$2:$B$528,"Yes",$A$2:$A$528,"Cybernet",$Z$2:$Z$528,$Z326)&gt;1)
),"Yes","No"),
IF(AND($AL326&lt;&gt;"",LOWER(TRIM($AL326))&lt;&gt;"n/a"),
IF(COUNTIFS($B$2:$B$528,"Yes",$A$2:$A$528,$A326,$AL$2:$AL$528,$AL326)&gt;1,"Yes","No"),
"No")
)
)
)</f>
        <v/>
      </c>
      <c r="BL326" s="4" t="str">
        <f t="shared" si="16"/>
        <v/>
      </c>
      <c r="BM326" s="8" t="str">
        <f t="shared" si="17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 ht="15" customHeight="1">
      <c r="D327" s="15" t="str">
        <f t="shared" si="15"/>
        <v/>
      </c>
      <c r="E327" s="15" t="str">
        <f>IF($A327="","",IF($A327="Neuron",IF(OR(AND($S327&lt;&gt;"",LOWER(TRIM($S327))&lt;&gt;"n/a",COUNTIF($S$2:$S$528,$S327)&gt;1),AND($T327&lt;&gt;"",LOWER(TRIM($T327))&lt;&gt;"n/a",COUNTIF($T$2:$T$528,$T327)&gt;1),AND($W327&lt;&gt;"",LOWER(TRIM($W327))&lt;&gt;"n/a",COUNTIF($W$2:$W$528,$W327)&gt;1)),"Yes","No"),IF($A327="Cybernet",IF(OR(AND($Y327&lt;&gt;"",LOWER(TRIM($Y327))&lt;&gt;"n/a",COUNTIF($Y$2:$Y$528,$Y327)&gt;1),AND($Z327&lt;&gt;"",LOWER(TRIM($Z327))&lt;&gt;"n/a",COUNTIF($Z$2:$Z$528,$Z327)&gt;1)),"Yes","No"),IF(AND($AL327&lt;&gt;"",LOWER(TRIM($AL327))&lt;&gt;"n/a",COUNTIF($AL$2:$AL$528,$AL327)&gt;1),"Yes","No"))))</f>
        <v/>
      </c>
      <c r="F327" t="str">
        <f>IF($B327&lt;&gt;"Yes","",
IF($A327="Neuron",
IF(OR(
AND($S327&lt;&gt;"",LOWER(TRIM($S327))&lt;&gt;"n/a",COUNTIFS($B$2:$B$528,"Yes",$A$2:$A$528,"Neuron",$S$2:$S$528,$S327)&gt;1),
AND($T327&lt;&gt;"",LOWER(TRIM($T327))&lt;&gt;"n/a",COUNTIFS($B$2:$B$528,"Yes",$A$2:$A$528,"Neuron",$T$2:$T$528,$T327)&gt;1),
AND($W327&lt;&gt;"",LOWER(TRIM($W327))&lt;&gt;"n/a",COUNTIFS($B$2:$B$528,"Yes",$A$2:$A$528,"Neuron",$W$2:$W$528,$W327)&gt;1)
),"Yes","No"),
IF($A327="Cybernet",
IF(OR(
AND($Y327&lt;&gt;"",LOWER(TRIM($Y327))&lt;&gt;"n/a",COUNTIFS($B$2:$B$528,"Yes",$A$2:$A$528,"Cybernet",$Y$2:$Y$528,$Y327)&gt;1),
AND($Z327&lt;&gt;"",LOWER(TRIM($Z327))&lt;&gt;"n/a",COUNTIFS($B$2:$B$528,"Yes",$A$2:$A$528,"Cybernet",$Z$2:$Z$528,$Z327)&gt;1)
),"Yes","No"),
IF(AND($AL327&lt;&gt;"",LOWER(TRIM($AL327))&lt;&gt;"n/a"),
IF(COUNTIFS($B$2:$B$528,"Yes",$A$2:$A$528,$A327,$AL$2:$AL$528,$AL327)&gt;1,"Yes","No"),
"No")
)
)
)</f>
        <v/>
      </c>
      <c r="BL327" s="4" t="str">
        <f t="shared" si="16"/>
        <v/>
      </c>
      <c r="BM327" s="8" t="str">
        <f t="shared" si="17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 ht="15" customHeight="1">
      <c r="D328" s="15" t="str">
        <f t="shared" si="15"/>
        <v/>
      </c>
      <c r="E328" s="15" t="str">
        <f>IF($A328="","",IF($A328="Neuron",IF(OR(AND($S328&lt;&gt;"",LOWER(TRIM($S328))&lt;&gt;"n/a",COUNTIF($S$2:$S$528,$S328)&gt;1),AND($T328&lt;&gt;"",LOWER(TRIM($T328))&lt;&gt;"n/a",COUNTIF($T$2:$T$528,$T328)&gt;1),AND($W328&lt;&gt;"",LOWER(TRIM($W328))&lt;&gt;"n/a",COUNTIF($W$2:$W$528,$W328)&gt;1)),"Yes","No"),IF($A328="Cybernet",IF(OR(AND($Y328&lt;&gt;"",LOWER(TRIM($Y328))&lt;&gt;"n/a",COUNTIF($Y$2:$Y$528,$Y328)&gt;1),AND($Z328&lt;&gt;"",LOWER(TRIM($Z328))&lt;&gt;"n/a",COUNTIF($Z$2:$Z$528,$Z328)&gt;1)),"Yes","No"),IF(AND($AL328&lt;&gt;"",LOWER(TRIM($AL328))&lt;&gt;"n/a",COUNTIF($AL$2:$AL$528,$AL328)&gt;1),"Yes","No"))))</f>
        <v/>
      </c>
      <c r="F328" t="str">
        <f>IF($B328&lt;&gt;"Yes","",
IF($A328="Neuron",
IF(OR(
AND($S328&lt;&gt;"",LOWER(TRIM($S328))&lt;&gt;"n/a",COUNTIFS($B$2:$B$528,"Yes",$A$2:$A$528,"Neuron",$S$2:$S$528,$S328)&gt;1),
AND($T328&lt;&gt;"",LOWER(TRIM($T328))&lt;&gt;"n/a",COUNTIFS($B$2:$B$528,"Yes",$A$2:$A$528,"Neuron",$T$2:$T$528,$T328)&gt;1),
AND($W328&lt;&gt;"",LOWER(TRIM($W328))&lt;&gt;"n/a",COUNTIFS($B$2:$B$528,"Yes",$A$2:$A$528,"Neuron",$W$2:$W$528,$W328)&gt;1)
),"Yes","No"),
IF($A328="Cybernet",
IF(OR(
AND($Y328&lt;&gt;"",LOWER(TRIM($Y328))&lt;&gt;"n/a",COUNTIFS($B$2:$B$528,"Yes",$A$2:$A$528,"Cybernet",$Y$2:$Y$528,$Y328)&gt;1),
AND($Z328&lt;&gt;"",LOWER(TRIM($Z328))&lt;&gt;"n/a",COUNTIFS($B$2:$B$528,"Yes",$A$2:$A$528,"Cybernet",$Z$2:$Z$528,$Z328)&gt;1)
),"Yes","No"),
IF(AND($AL328&lt;&gt;"",LOWER(TRIM($AL328))&lt;&gt;"n/a"),
IF(COUNTIFS($B$2:$B$528,"Yes",$A$2:$A$528,$A328,$AL$2:$AL$528,$AL328)&gt;1,"Yes","No"),
"No")
)
)
)</f>
        <v/>
      </c>
      <c r="BL328" s="4" t="str">
        <f t="shared" si="16"/>
        <v/>
      </c>
      <c r="BM328" s="8" t="str">
        <f t="shared" si="17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 ht="15" customHeight="1">
      <c r="D329" s="15" t="str">
        <f t="shared" si="15"/>
        <v/>
      </c>
      <c r="E329" s="15" t="str">
        <f>IF($A329="","",IF($A329="Neuron",IF(OR(AND($S329&lt;&gt;"",LOWER(TRIM($S329))&lt;&gt;"n/a",COUNTIF($S$2:$S$528,$S329)&gt;1),AND($T329&lt;&gt;"",LOWER(TRIM($T329))&lt;&gt;"n/a",COUNTIF($T$2:$T$528,$T329)&gt;1),AND($W329&lt;&gt;"",LOWER(TRIM($W329))&lt;&gt;"n/a",COUNTIF($W$2:$W$528,$W329)&gt;1)),"Yes","No"),IF($A329="Cybernet",IF(OR(AND($Y329&lt;&gt;"",LOWER(TRIM($Y329))&lt;&gt;"n/a",COUNTIF($Y$2:$Y$528,$Y329)&gt;1),AND($Z329&lt;&gt;"",LOWER(TRIM($Z329))&lt;&gt;"n/a",COUNTIF($Z$2:$Z$528,$Z329)&gt;1)),"Yes","No"),IF(AND($AL329&lt;&gt;"",LOWER(TRIM($AL329))&lt;&gt;"n/a",COUNTIF($AL$2:$AL$528,$AL329)&gt;1),"Yes","No"))))</f>
        <v/>
      </c>
      <c r="F329" t="str">
        <f>IF($B329&lt;&gt;"Yes","",
IF($A329="Neuron",
IF(OR(
AND($S329&lt;&gt;"",LOWER(TRIM($S329))&lt;&gt;"n/a",COUNTIFS($B$2:$B$528,"Yes",$A$2:$A$528,"Neuron",$S$2:$S$528,$S329)&gt;1),
AND($T329&lt;&gt;"",LOWER(TRIM($T329))&lt;&gt;"n/a",COUNTIFS($B$2:$B$528,"Yes",$A$2:$A$528,"Neuron",$T$2:$T$528,$T329)&gt;1),
AND($W329&lt;&gt;"",LOWER(TRIM($W329))&lt;&gt;"n/a",COUNTIFS($B$2:$B$528,"Yes",$A$2:$A$528,"Neuron",$W$2:$W$528,$W329)&gt;1)
),"Yes","No"),
IF($A329="Cybernet",
IF(OR(
AND($Y329&lt;&gt;"",LOWER(TRIM($Y329))&lt;&gt;"n/a",COUNTIFS($B$2:$B$528,"Yes",$A$2:$A$528,"Cybernet",$Y$2:$Y$528,$Y329)&gt;1),
AND($Z329&lt;&gt;"",LOWER(TRIM($Z329))&lt;&gt;"n/a",COUNTIFS($B$2:$B$528,"Yes",$A$2:$A$528,"Cybernet",$Z$2:$Z$528,$Z329)&gt;1)
),"Yes","No"),
IF(AND($AL329&lt;&gt;"",LOWER(TRIM($AL329))&lt;&gt;"n/a"),
IF(COUNTIFS($B$2:$B$528,"Yes",$A$2:$A$528,$A329,$AL$2:$AL$528,$AL329)&gt;1,"Yes","No"),
"No")
)
)
)</f>
        <v/>
      </c>
      <c r="BL329" s="4" t="str">
        <f t="shared" si="16"/>
        <v/>
      </c>
      <c r="BM329" s="8" t="str">
        <f t="shared" si="17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 ht="15" customHeight="1">
      <c r="D330" s="15" t="str">
        <f t="shared" si="15"/>
        <v/>
      </c>
      <c r="E330" s="15" t="str">
        <f>IF($A330="","",IF($A330="Neuron",IF(OR(AND($S330&lt;&gt;"",LOWER(TRIM($S330))&lt;&gt;"n/a",COUNTIF($S$2:$S$528,$S330)&gt;1),AND($T330&lt;&gt;"",LOWER(TRIM($T330))&lt;&gt;"n/a",COUNTIF($T$2:$T$528,$T330)&gt;1),AND($W330&lt;&gt;"",LOWER(TRIM($W330))&lt;&gt;"n/a",COUNTIF($W$2:$W$528,$W330)&gt;1)),"Yes","No"),IF($A330="Cybernet",IF(OR(AND($Y330&lt;&gt;"",LOWER(TRIM($Y330))&lt;&gt;"n/a",COUNTIF($Y$2:$Y$528,$Y330)&gt;1),AND($Z330&lt;&gt;"",LOWER(TRIM($Z330))&lt;&gt;"n/a",COUNTIF($Z$2:$Z$528,$Z330)&gt;1)),"Yes","No"),IF(AND($AL330&lt;&gt;"",LOWER(TRIM($AL330))&lt;&gt;"n/a",COUNTIF($AL$2:$AL$528,$AL330)&gt;1),"Yes","No"))))</f>
        <v/>
      </c>
      <c r="F330" t="str">
        <f>IF($B330&lt;&gt;"Yes","",
IF($A330="Neuron",
IF(OR(
AND($S330&lt;&gt;"",LOWER(TRIM($S330))&lt;&gt;"n/a",COUNTIFS($B$2:$B$528,"Yes",$A$2:$A$528,"Neuron",$S$2:$S$528,$S330)&gt;1),
AND($T330&lt;&gt;"",LOWER(TRIM($T330))&lt;&gt;"n/a",COUNTIFS($B$2:$B$528,"Yes",$A$2:$A$528,"Neuron",$T$2:$T$528,$T330)&gt;1),
AND($W330&lt;&gt;"",LOWER(TRIM($W330))&lt;&gt;"n/a",COUNTIFS($B$2:$B$528,"Yes",$A$2:$A$528,"Neuron",$W$2:$W$528,$W330)&gt;1)
),"Yes","No"),
IF($A330="Cybernet",
IF(OR(
AND($Y330&lt;&gt;"",LOWER(TRIM($Y330))&lt;&gt;"n/a",COUNTIFS($B$2:$B$528,"Yes",$A$2:$A$528,"Cybernet",$Y$2:$Y$528,$Y330)&gt;1),
AND($Z330&lt;&gt;"",LOWER(TRIM($Z330))&lt;&gt;"n/a",COUNTIFS($B$2:$B$528,"Yes",$A$2:$A$528,"Cybernet",$Z$2:$Z$528,$Z330)&gt;1)
),"Yes","No"),
IF(AND($AL330&lt;&gt;"",LOWER(TRIM($AL330))&lt;&gt;"n/a"),
IF(COUNTIFS($B$2:$B$528,"Yes",$A$2:$A$528,$A330,$AL$2:$AL$528,$AL330)&gt;1,"Yes","No"),
"No")
)
)
)</f>
        <v/>
      </c>
      <c r="BL330" s="4" t="str">
        <f t="shared" si="16"/>
        <v/>
      </c>
      <c r="BM330" s="8" t="str">
        <f t="shared" si="17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 ht="15" customHeight="1">
      <c r="D331" s="15" t="str">
        <f t="shared" ref="D331:D394" si="18">IF($B331&lt;&gt;"Yes","",IF($C331="No","Yes",IF($C331="Yes","No","")))</f>
        <v/>
      </c>
      <c r="E331" s="15" t="str">
        <f>IF($A331="","",IF($A331="Neuron",IF(OR(AND($S331&lt;&gt;"",LOWER(TRIM($S331))&lt;&gt;"n/a",COUNTIF($S$2:$S$528,$S331)&gt;1),AND($T331&lt;&gt;"",LOWER(TRIM($T331))&lt;&gt;"n/a",COUNTIF($T$2:$T$528,$T331)&gt;1),AND($W331&lt;&gt;"",LOWER(TRIM($W331))&lt;&gt;"n/a",COUNTIF($W$2:$W$528,$W331)&gt;1)),"Yes","No"),IF($A331="Cybernet",IF(OR(AND($Y331&lt;&gt;"",LOWER(TRIM($Y331))&lt;&gt;"n/a",COUNTIF($Y$2:$Y$528,$Y331)&gt;1),AND($Z331&lt;&gt;"",LOWER(TRIM($Z331))&lt;&gt;"n/a",COUNTIF($Z$2:$Z$528,$Z331)&gt;1)),"Yes","No"),IF(AND($AL331&lt;&gt;"",LOWER(TRIM($AL331))&lt;&gt;"n/a",COUNTIF($AL$2:$AL$528,$AL331)&gt;1),"Yes","No"))))</f>
        <v/>
      </c>
      <c r="F331" t="str">
        <f>IF($B331&lt;&gt;"Yes","",
IF($A331="Neuron",
IF(OR(
AND($S331&lt;&gt;"",LOWER(TRIM($S331))&lt;&gt;"n/a",COUNTIFS($B$2:$B$528,"Yes",$A$2:$A$528,"Neuron",$S$2:$S$528,$S331)&gt;1),
AND($T331&lt;&gt;"",LOWER(TRIM($T331))&lt;&gt;"n/a",COUNTIFS($B$2:$B$528,"Yes",$A$2:$A$528,"Neuron",$T$2:$T$528,$T331)&gt;1),
AND($W331&lt;&gt;"",LOWER(TRIM($W331))&lt;&gt;"n/a",COUNTIFS($B$2:$B$528,"Yes",$A$2:$A$528,"Neuron",$W$2:$W$528,$W331)&gt;1)
),"Yes","No"),
IF($A331="Cybernet",
IF(OR(
AND($Y331&lt;&gt;"",LOWER(TRIM($Y331))&lt;&gt;"n/a",COUNTIFS($B$2:$B$528,"Yes",$A$2:$A$528,"Cybernet",$Y$2:$Y$528,$Y331)&gt;1),
AND($Z331&lt;&gt;"",LOWER(TRIM($Z331))&lt;&gt;"n/a",COUNTIFS($B$2:$B$528,"Yes",$A$2:$A$528,"Cybernet",$Z$2:$Z$528,$Z331)&gt;1)
),"Yes","No"),
IF(AND($AL331&lt;&gt;"",LOWER(TRIM($AL331))&lt;&gt;"n/a"),
IF(COUNTIFS($B$2:$B$528,"Yes",$A$2:$A$528,$A331,$AL$2:$AL$528,$AL331)&gt;1,"Yes","No"),
"No")
)
)
)</f>
        <v/>
      </c>
      <c r="BL331" s="4" t="str">
        <f t="shared" si="16"/>
        <v/>
      </c>
      <c r="BM331" s="8" t="str">
        <f t="shared" si="17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 ht="15" customHeight="1">
      <c r="D332" s="15" t="str">
        <f t="shared" si="18"/>
        <v/>
      </c>
      <c r="E332" s="15" t="str">
        <f>IF($A332="","",IF($A332="Neuron",IF(OR(AND($S332&lt;&gt;"",LOWER(TRIM($S332))&lt;&gt;"n/a",COUNTIF($S$2:$S$528,$S332)&gt;1),AND($T332&lt;&gt;"",LOWER(TRIM($T332))&lt;&gt;"n/a",COUNTIF($T$2:$T$528,$T332)&gt;1),AND($W332&lt;&gt;"",LOWER(TRIM($W332))&lt;&gt;"n/a",COUNTIF($W$2:$W$528,$W332)&gt;1)),"Yes","No"),IF($A332="Cybernet",IF(OR(AND($Y332&lt;&gt;"",LOWER(TRIM($Y332))&lt;&gt;"n/a",COUNTIF($Y$2:$Y$528,$Y332)&gt;1),AND($Z332&lt;&gt;"",LOWER(TRIM($Z332))&lt;&gt;"n/a",COUNTIF($Z$2:$Z$528,$Z332)&gt;1)),"Yes","No"),IF(AND($AL332&lt;&gt;"",LOWER(TRIM($AL332))&lt;&gt;"n/a",COUNTIF($AL$2:$AL$528,$AL332)&gt;1),"Yes","No"))))</f>
        <v/>
      </c>
      <c r="F332" t="str">
        <f>IF($B332&lt;&gt;"Yes","",
IF($A332="Neuron",
IF(OR(
AND($S332&lt;&gt;"",LOWER(TRIM($S332))&lt;&gt;"n/a",COUNTIFS($B$2:$B$528,"Yes",$A$2:$A$528,"Neuron",$S$2:$S$528,$S332)&gt;1),
AND($T332&lt;&gt;"",LOWER(TRIM($T332))&lt;&gt;"n/a",COUNTIFS($B$2:$B$528,"Yes",$A$2:$A$528,"Neuron",$T$2:$T$528,$T332)&gt;1),
AND($W332&lt;&gt;"",LOWER(TRIM($W332))&lt;&gt;"n/a",COUNTIFS($B$2:$B$528,"Yes",$A$2:$A$528,"Neuron",$W$2:$W$528,$W332)&gt;1)
),"Yes","No"),
IF($A332="Cybernet",
IF(OR(
AND($Y332&lt;&gt;"",LOWER(TRIM($Y332))&lt;&gt;"n/a",COUNTIFS($B$2:$B$528,"Yes",$A$2:$A$528,"Cybernet",$Y$2:$Y$528,$Y332)&gt;1),
AND($Z332&lt;&gt;"",LOWER(TRIM($Z332))&lt;&gt;"n/a",COUNTIFS($B$2:$B$528,"Yes",$A$2:$A$528,"Cybernet",$Z$2:$Z$528,$Z332)&gt;1)
),"Yes","No"),
IF(AND($AL332&lt;&gt;"",LOWER(TRIM($AL332))&lt;&gt;"n/a"),
IF(COUNTIFS($B$2:$B$528,"Yes",$A$2:$A$528,$A332,$AL$2:$AL$528,$AL332)&gt;1,"Yes","No"),
"No")
)
)
)</f>
        <v/>
      </c>
      <c r="BL332" s="4" t="str">
        <f t="shared" si="16"/>
        <v/>
      </c>
      <c r="BM332" s="8" t="str">
        <f t="shared" si="17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 ht="15" customHeight="1">
      <c r="D333" s="15" t="str">
        <f t="shared" si="18"/>
        <v/>
      </c>
      <c r="E333" s="15" t="str">
        <f>IF($A333="","",IF($A333="Neuron",IF(OR(AND($S333&lt;&gt;"",LOWER(TRIM($S333))&lt;&gt;"n/a",COUNTIF($S$2:$S$528,$S333)&gt;1),AND($T333&lt;&gt;"",LOWER(TRIM($T333))&lt;&gt;"n/a",COUNTIF($T$2:$T$528,$T333)&gt;1),AND($W333&lt;&gt;"",LOWER(TRIM($W333))&lt;&gt;"n/a",COUNTIF($W$2:$W$528,$W333)&gt;1)),"Yes","No"),IF($A333="Cybernet",IF(OR(AND($Y333&lt;&gt;"",LOWER(TRIM($Y333))&lt;&gt;"n/a",COUNTIF($Y$2:$Y$528,$Y333)&gt;1),AND($Z333&lt;&gt;"",LOWER(TRIM($Z333))&lt;&gt;"n/a",COUNTIF($Z$2:$Z$528,$Z333)&gt;1)),"Yes","No"),IF(AND($AL333&lt;&gt;"",LOWER(TRIM($AL333))&lt;&gt;"n/a",COUNTIF($AL$2:$AL$528,$AL333)&gt;1),"Yes","No"))))</f>
        <v/>
      </c>
      <c r="F333" t="str">
        <f>IF($B333&lt;&gt;"Yes","",
IF($A333="Neuron",
IF(OR(
AND($S333&lt;&gt;"",LOWER(TRIM($S333))&lt;&gt;"n/a",COUNTIFS($B$2:$B$528,"Yes",$A$2:$A$528,"Neuron",$S$2:$S$528,$S333)&gt;1),
AND($T333&lt;&gt;"",LOWER(TRIM($T333))&lt;&gt;"n/a",COUNTIFS($B$2:$B$528,"Yes",$A$2:$A$528,"Neuron",$T$2:$T$528,$T333)&gt;1),
AND($W333&lt;&gt;"",LOWER(TRIM($W333))&lt;&gt;"n/a",COUNTIFS($B$2:$B$528,"Yes",$A$2:$A$528,"Neuron",$W$2:$W$528,$W333)&gt;1)
),"Yes","No"),
IF($A333="Cybernet",
IF(OR(
AND($Y333&lt;&gt;"",LOWER(TRIM($Y333))&lt;&gt;"n/a",COUNTIFS($B$2:$B$528,"Yes",$A$2:$A$528,"Cybernet",$Y$2:$Y$528,$Y333)&gt;1),
AND($Z333&lt;&gt;"",LOWER(TRIM($Z333))&lt;&gt;"n/a",COUNTIFS($B$2:$B$528,"Yes",$A$2:$A$528,"Cybernet",$Z$2:$Z$528,$Z333)&gt;1)
),"Yes","No"),
IF(AND($AL333&lt;&gt;"",LOWER(TRIM($AL333))&lt;&gt;"n/a"),
IF(COUNTIFS($B$2:$B$528,"Yes",$A$2:$A$528,$A333,$AL$2:$AL$528,$AL333)&gt;1,"Yes","No"),
"No")
)
)
)</f>
        <v/>
      </c>
      <c r="BL333" s="4" t="str">
        <f t="shared" si="16"/>
        <v/>
      </c>
      <c r="BM333" s="8" t="str">
        <f t="shared" si="17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 ht="15" customHeight="1">
      <c r="D334" s="15" t="str">
        <f t="shared" si="18"/>
        <v/>
      </c>
      <c r="E334" s="15" t="str">
        <f>IF($A334="","",IF($A334="Neuron",IF(OR(AND($S334&lt;&gt;"",LOWER(TRIM($S334))&lt;&gt;"n/a",COUNTIF($S$2:$S$528,$S334)&gt;1),AND($T334&lt;&gt;"",LOWER(TRIM($T334))&lt;&gt;"n/a",COUNTIF($T$2:$T$528,$T334)&gt;1),AND($W334&lt;&gt;"",LOWER(TRIM($W334))&lt;&gt;"n/a",COUNTIF($W$2:$W$528,$W334)&gt;1)),"Yes","No"),IF($A334="Cybernet",IF(OR(AND($Y334&lt;&gt;"",LOWER(TRIM($Y334))&lt;&gt;"n/a",COUNTIF($Y$2:$Y$528,$Y334)&gt;1),AND($Z334&lt;&gt;"",LOWER(TRIM($Z334))&lt;&gt;"n/a",COUNTIF($Z$2:$Z$528,$Z334)&gt;1)),"Yes","No"),IF(AND($AL334&lt;&gt;"",LOWER(TRIM($AL334))&lt;&gt;"n/a",COUNTIF($AL$2:$AL$528,$AL334)&gt;1),"Yes","No"))))</f>
        <v/>
      </c>
      <c r="F334" t="str">
        <f>IF($B334&lt;&gt;"Yes","",
IF($A334="Neuron",
IF(OR(
AND($S334&lt;&gt;"",LOWER(TRIM($S334))&lt;&gt;"n/a",COUNTIFS($B$2:$B$528,"Yes",$A$2:$A$528,"Neuron",$S$2:$S$528,$S334)&gt;1),
AND($T334&lt;&gt;"",LOWER(TRIM($T334))&lt;&gt;"n/a",COUNTIFS($B$2:$B$528,"Yes",$A$2:$A$528,"Neuron",$T$2:$T$528,$T334)&gt;1),
AND($W334&lt;&gt;"",LOWER(TRIM($W334))&lt;&gt;"n/a",COUNTIFS($B$2:$B$528,"Yes",$A$2:$A$528,"Neuron",$W$2:$W$528,$W334)&gt;1)
),"Yes","No"),
IF($A334="Cybernet",
IF(OR(
AND($Y334&lt;&gt;"",LOWER(TRIM($Y334))&lt;&gt;"n/a",COUNTIFS($B$2:$B$528,"Yes",$A$2:$A$528,"Cybernet",$Y$2:$Y$528,$Y334)&gt;1),
AND($Z334&lt;&gt;"",LOWER(TRIM($Z334))&lt;&gt;"n/a",COUNTIFS($B$2:$B$528,"Yes",$A$2:$A$528,"Cybernet",$Z$2:$Z$528,$Z334)&gt;1)
),"Yes","No"),
IF(AND($AL334&lt;&gt;"",LOWER(TRIM($AL334))&lt;&gt;"n/a"),
IF(COUNTIFS($B$2:$B$528,"Yes",$A$2:$A$528,$A334,$AL$2:$AL$528,$AL334)&gt;1,"Yes","No"),
"No")
)
)
)</f>
        <v/>
      </c>
      <c r="BL334" s="4" t="str">
        <f t="shared" si="16"/>
        <v/>
      </c>
      <c r="BM334" s="8" t="str">
        <f t="shared" si="17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 ht="15" customHeight="1">
      <c r="D335" s="15" t="str">
        <f t="shared" si="18"/>
        <v/>
      </c>
      <c r="E335" s="15" t="str">
        <f>IF($A335="","",IF($A335="Neuron",IF(OR(AND($S335&lt;&gt;"",LOWER(TRIM($S335))&lt;&gt;"n/a",COUNTIF($S$2:$S$528,$S335)&gt;1),AND($T335&lt;&gt;"",LOWER(TRIM($T335))&lt;&gt;"n/a",COUNTIF($T$2:$T$528,$T335)&gt;1),AND($W335&lt;&gt;"",LOWER(TRIM($W335))&lt;&gt;"n/a",COUNTIF($W$2:$W$528,$W335)&gt;1)),"Yes","No"),IF($A335="Cybernet",IF(OR(AND($Y335&lt;&gt;"",LOWER(TRIM($Y335))&lt;&gt;"n/a",COUNTIF($Y$2:$Y$528,$Y335)&gt;1),AND($Z335&lt;&gt;"",LOWER(TRIM($Z335))&lt;&gt;"n/a",COUNTIF($Z$2:$Z$528,$Z335)&gt;1)),"Yes","No"),IF(AND($AL335&lt;&gt;"",LOWER(TRIM($AL335))&lt;&gt;"n/a",COUNTIF($AL$2:$AL$528,$AL335)&gt;1),"Yes","No"))))</f>
        <v/>
      </c>
      <c r="F335" t="str">
        <f>IF($B335&lt;&gt;"Yes","",
IF($A335="Neuron",
IF(OR(
AND($S335&lt;&gt;"",LOWER(TRIM($S335))&lt;&gt;"n/a",COUNTIFS($B$2:$B$528,"Yes",$A$2:$A$528,"Neuron",$S$2:$S$528,$S335)&gt;1),
AND($T335&lt;&gt;"",LOWER(TRIM($T335))&lt;&gt;"n/a",COUNTIFS($B$2:$B$528,"Yes",$A$2:$A$528,"Neuron",$T$2:$T$528,$T335)&gt;1),
AND($W335&lt;&gt;"",LOWER(TRIM($W335))&lt;&gt;"n/a",COUNTIFS($B$2:$B$528,"Yes",$A$2:$A$528,"Neuron",$W$2:$W$528,$W335)&gt;1)
),"Yes","No"),
IF($A335="Cybernet",
IF(OR(
AND($Y335&lt;&gt;"",LOWER(TRIM($Y335))&lt;&gt;"n/a",COUNTIFS($B$2:$B$528,"Yes",$A$2:$A$528,"Cybernet",$Y$2:$Y$528,$Y335)&gt;1),
AND($Z335&lt;&gt;"",LOWER(TRIM($Z335))&lt;&gt;"n/a",COUNTIFS($B$2:$B$528,"Yes",$A$2:$A$528,"Cybernet",$Z$2:$Z$528,$Z335)&gt;1)
),"Yes","No"),
IF(AND($AL335&lt;&gt;"",LOWER(TRIM($AL335))&lt;&gt;"n/a"),
IF(COUNTIFS($B$2:$B$528,"Yes",$A$2:$A$528,$A335,$AL$2:$AL$528,$AL335)&gt;1,"Yes","No"),
"No")
)
)
)</f>
        <v/>
      </c>
      <c r="BL335" s="4" t="str">
        <f t="shared" si="16"/>
        <v/>
      </c>
      <c r="BM335" s="8" t="str">
        <f t="shared" si="17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 ht="15" customHeight="1">
      <c r="D336" s="15" t="str">
        <f t="shared" si="18"/>
        <v/>
      </c>
      <c r="E336" s="15" t="str">
        <f>IF($A336="","",IF($A336="Neuron",IF(OR(AND($S336&lt;&gt;"",LOWER(TRIM($S336))&lt;&gt;"n/a",COUNTIF($S$2:$S$528,$S336)&gt;1),AND($T336&lt;&gt;"",LOWER(TRIM($T336))&lt;&gt;"n/a",COUNTIF($T$2:$T$528,$T336)&gt;1),AND($W336&lt;&gt;"",LOWER(TRIM($W336))&lt;&gt;"n/a",COUNTIF($W$2:$W$528,$W336)&gt;1)),"Yes","No"),IF($A336="Cybernet",IF(OR(AND($Y336&lt;&gt;"",LOWER(TRIM($Y336))&lt;&gt;"n/a",COUNTIF($Y$2:$Y$528,$Y336)&gt;1),AND($Z336&lt;&gt;"",LOWER(TRIM($Z336))&lt;&gt;"n/a",COUNTIF($Z$2:$Z$528,$Z336)&gt;1)),"Yes","No"),IF(AND($AL336&lt;&gt;"",LOWER(TRIM($AL336))&lt;&gt;"n/a",COUNTIF($AL$2:$AL$528,$AL336)&gt;1),"Yes","No"))))</f>
        <v/>
      </c>
      <c r="F336" t="str">
        <f>IF($B336&lt;&gt;"Yes","",
IF($A336="Neuron",
IF(OR(
AND($S336&lt;&gt;"",LOWER(TRIM($S336))&lt;&gt;"n/a",COUNTIFS($B$2:$B$528,"Yes",$A$2:$A$528,"Neuron",$S$2:$S$528,$S336)&gt;1),
AND($T336&lt;&gt;"",LOWER(TRIM($T336))&lt;&gt;"n/a",COUNTIFS($B$2:$B$528,"Yes",$A$2:$A$528,"Neuron",$T$2:$T$528,$T336)&gt;1),
AND($W336&lt;&gt;"",LOWER(TRIM($W336))&lt;&gt;"n/a",COUNTIFS($B$2:$B$528,"Yes",$A$2:$A$528,"Neuron",$W$2:$W$528,$W336)&gt;1)
),"Yes","No"),
IF($A336="Cybernet",
IF(OR(
AND($Y336&lt;&gt;"",LOWER(TRIM($Y336))&lt;&gt;"n/a",COUNTIFS($B$2:$B$528,"Yes",$A$2:$A$528,"Cybernet",$Y$2:$Y$528,$Y336)&gt;1),
AND($Z336&lt;&gt;"",LOWER(TRIM($Z336))&lt;&gt;"n/a",COUNTIFS($B$2:$B$528,"Yes",$A$2:$A$528,"Cybernet",$Z$2:$Z$528,$Z336)&gt;1)
),"Yes","No"),
IF(AND($AL336&lt;&gt;"",LOWER(TRIM($AL336))&lt;&gt;"n/a"),
IF(COUNTIFS($B$2:$B$528,"Yes",$A$2:$A$528,$A336,$AL$2:$AL$528,$AL336)&gt;1,"Yes","No"),
"No")
)
)
)</f>
        <v/>
      </c>
      <c r="BL336" s="4" t="str">
        <f t="shared" si="16"/>
        <v/>
      </c>
      <c r="BM336" s="8" t="str">
        <f t="shared" si="17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 ht="15" customHeight="1">
      <c r="D337" s="15" t="str">
        <f t="shared" si="18"/>
        <v/>
      </c>
      <c r="E337" s="15" t="str">
        <f>IF($A337="","",IF($A337="Neuron",IF(OR(AND($S337&lt;&gt;"",LOWER(TRIM($S337))&lt;&gt;"n/a",COUNTIF($S$2:$S$528,$S337)&gt;1),AND($T337&lt;&gt;"",LOWER(TRIM($T337))&lt;&gt;"n/a",COUNTIF($T$2:$T$528,$T337)&gt;1),AND($W337&lt;&gt;"",LOWER(TRIM($W337))&lt;&gt;"n/a",COUNTIF($W$2:$W$528,$W337)&gt;1)),"Yes","No"),IF($A337="Cybernet",IF(OR(AND($Y337&lt;&gt;"",LOWER(TRIM($Y337))&lt;&gt;"n/a",COUNTIF($Y$2:$Y$528,$Y337)&gt;1),AND($Z337&lt;&gt;"",LOWER(TRIM($Z337))&lt;&gt;"n/a",COUNTIF($Z$2:$Z$528,$Z337)&gt;1)),"Yes","No"),IF(AND($AL337&lt;&gt;"",LOWER(TRIM($AL337))&lt;&gt;"n/a",COUNTIF($AL$2:$AL$528,$AL337)&gt;1),"Yes","No"))))</f>
        <v/>
      </c>
      <c r="F337" t="str">
        <f>IF($B337&lt;&gt;"Yes","",
IF($A337="Neuron",
IF(OR(
AND($S337&lt;&gt;"",LOWER(TRIM($S337))&lt;&gt;"n/a",COUNTIFS($B$2:$B$528,"Yes",$A$2:$A$528,"Neuron",$S$2:$S$528,$S337)&gt;1),
AND($T337&lt;&gt;"",LOWER(TRIM($T337))&lt;&gt;"n/a",COUNTIFS($B$2:$B$528,"Yes",$A$2:$A$528,"Neuron",$T$2:$T$528,$T337)&gt;1),
AND($W337&lt;&gt;"",LOWER(TRIM($W337))&lt;&gt;"n/a",COUNTIFS($B$2:$B$528,"Yes",$A$2:$A$528,"Neuron",$W$2:$W$528,$W337)&gt;1)
),"Yes","No"),
IF($A337="Cybernet",
IF(OR(
AND($Y337&lt;&gt;"",LOWER(TRIM($Y337))&lt;&gt;"n/a",COUNTIFS($B$2:$B$528,"Yes",$A$2:$A$528,"Cybernet",$Y$2:$Y$528,$Y337)&gt;1),
AND($Z337&lt;&gt;"",LOWER(TRIM($Z337))&lt;&gt;"n/a",COUNTIFS($B$2:$B$528,"Yes",$A$2:$A$528,"Cybernet",$Z$2:$Z$528,$Z337)&gt;1)
),"Yes","No"),
IF(AND($AL337&lt;&gt;"",LOWER(TRIM($AL337))&lt;&gt;"n/a"),
IF(COUNTIFS($B$2:$B$528,"Yes",$A$2:$A$528,$A337,$AL$2:$AL$528,$AL337)&gt;1,"Yes","No"),
"No")
)
)
)</f>
        <v/>
      </c>
      <c r="BL337" s="4" t="str">
        <f t="shared" si="16"/>
        <v/>
      </c>
      <c r="BM337" s="8" t="str">
        <f t="shared" si="17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 ht="15" customHeight="1">
      <c r="D338" s="15" t="str">
        <f t="shared" si="18"/>
        <v/>
      </c>
      <c r="E338" s="15" t="str">
        <f>IF($A338="","",IF($A338="Neuron",IF(OR(AND($S338&lt;&gt;"",LOWER(TRIM($S338))&lt;&gt;"n/a",COUNTIF($S$2:$S$528,$S338)&gt;1),AND($T338&lt;&gt;"",LOWER(TRIM($T338))&lt;&gt;"n/a",COUNTIF($T$2:$T$528,$T338)&gt;1),AND($W338&lt;&gt;"",LOWER(TRIM($W338))&lt;&gt;"n/a",COUNTIF($W$2:$W$528,$W338)&gt;1)),"Yes","No"),IF($A338="Cybernet",IF(OR(AND($Y338&lt;&gt;"",LOWER(TRIM($Y338))&lt;&gt;"n/a",COUNTIF($Y$2:$Y$528,$Y338)&gt;1),AND($Z338&lt;&gt;"",LOWER(TRIM($Z338))&lt;&gt;"n/a",COUNTIF($Z$2:$Z$528,$Z338)&gt;1)),"Yes","No"),IF(AND($AL338&lt;&gt;"",LOWER(TRIM($AL338))&lt;&gt;"n/a",COUNTIF($AL$2:$AL$528,$AL338)&gt;1),"Yes","No"))))</f>
        <v/>
      </c>
      <c r="F338" t="str">
        <f>IF($B338&lt;&gt;"Yes","",
IF($A338="Neuron",
IF(OR(
AND($S338&lt;&gt;"",LOWER(TRIM($S338))&lt;&gt;"n/a",COUNTIFS($B$2:$B$528,"Yes",$A$2:$A$528,"Neuron",$S$2:$S$528,$S338)&gt;1),
AND($T338&lt;&gt;"",LOWER(TRIM($T338))&lt;&gt;"n/a",COUNTIFS($B$2:$B$528,"Yes",$A$2:$A$528,"Neuron",$T$2:$T$528,$T338)&gt;1),
AND($W338&lt;&gt;"",LOWER(TRIM($W338))&lt;&gt;"n/a",COUNTIFS($B$2:$B$528,"Yes",$A$2:$A$528,"Neuron",$W$2:$W$528,$W338)&gt;1)
),"Yes","No"),
IF($A338="Cybernet",
IF(OR(
AND($Y338&lt;&gt;"",LOWER(TRIM($Y338))&lt;&gt;"n/a",COUNTIFS($B$2:$B$528,"Yes",$A$2:$A$528,"Cybernet",$Y$2:$Y$528,$Y338)&gt;1),
AND($Z338&lt;&gt;"",LOWER(TRIM($Z338))&lt;&gt;"n/a",COUNTIFS($B$2:$B$528,"Yes",$A$2:$A$528,"Cybernet",$Z$2:$Z$528,$Z338)&gt;1)
),"Yes","No"),
IF(AND($AL338&lt;&gt;"",LOWER(TRIM($AL338))&lt;&gt;"n/a"),
IF(COUNTIFS($B$2:$B$528,"Yes",$A$2:$A$528,$A338,$AL$2:$AL$528,$AL338)&gt;1,"Yes","No"),
"No")
)
)
)</f>
        <v/>
      </c>
      <c r="BL338" s="4" t="str">
        <f t="shared" si="16"/>
        <v/>
      </c>
      <c r="BM338" s="8" t="str">
        <f t="shared" si="17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 ht="15" customHeight="1">
      <c r="D339" s="15" t="str">
        <f t="shared" si="18"/>
        <v/>
      </c>
      <c r="E339" s="15" t="str">
        <f>IF($A339="","",IF($A339="Neuron",IF(OR(AND($S339&lt;&gt;"",LOWER(TRIM($S339))&lt;&gt;"n/a",COUNTIF($S$2:$S$528,$S339)&gt;1),AND($T339&lt;&gt;"",LOWER(TRIM($T339))&lt;&gt;"n/a",COUNTIF($T$2:$T$528,$T339)&gt;1),AND($W339&lt;&gt;"",LOWER(TRIM($W339))&lt;&gt;"n/a",COUNTIF($W$2:$W$528,$W339)&gt;1)),"Yes","No"),IF($A339="Cybernet",IF(OR(AND($Y339&lt;&gt;"",LOWER(TRIM($Y339))&lt;&gt;"n/a",COUNTIF($Y$2:$Y$528,$Y339)&gt;1),AND($Z339&lt;&gt;"",LOWER(TRIM($Z339))&lt;&gt;"n/a",COUNTIF($Z$2:$Z$528,$Z339)&gt;1)),"Yes","No"),IF(AND($AL339&lt;&gt;"",LOWER(TRIM($AL339))&lt;&gt;"n/a",COUNTIF($AL$2:$AL$528,$AL339)&gt;1),"Yes","No"))))</f>
        <v/>
      </c>
      <c r="F339" t="str">
        <f>IF($B339&lt;&gt;"Yes","",
IF($A339="Neuron",
IF(OR(
AND($S339&lt;&gt;"",LOWER(TRIM($S339))&lt;&gt;"n/a",COUNTIFS($B$2:$B$528,"Yes",$A$2:$A$528,"Neuron",$S$2:$S$528,$S339)&gt;1),
AND($T339&lt;&gt;"",LOWER(TRIM($T339))&lt;&gt;"n/a",COUNTIFS($B$2:$B$528,"Yes",$A$2:$A$528,"Neuron",$T$2:$T$528,$T339)&gt;1),
AND($W339&lt;&gt;"",LOWER(TRIM($W339))&lt;&gt;"n/a",COUNTIFS($B$2:$B$528,"Yes",$A$2:$A$528,"Neuron",$W$2:$W$528,$W339)&gt;1)
),"Yes","No"),
IF($A339="Cybernet",
IF(OR(
AND($Y339&lt;&gt;"",LOWER(TRIM($Y339))&lt;&gt;"n/a",COUNTIFS($B$2:$B$528,"Yes",$A$2:$A$528,"Cybernet",$Y$2:$Y$528,$Y339)&gt;1),
AND($Z339&lt;&gt;"",LOWER(TRIM($Z339))&lt;&gt;"n/a",COUNTIFS($B$2:$B$528,"Yes",$A$2:$A$528,"Cybernet",$Z$2:$Z$528,$Z339)&gt;1)
),"Yes","No"),
IF(AND($AL339&lt;&gt;"",LOWER(TRIM($AL339))&lt;&gt;"n/a"),
IF(COUNTIFS($B$2:$B$528,"Yes",$A$2:$A$528,$A339,$AL$2:$AL$528,$AL339)&gt;1,"Yes","No"),
"No")
)
)
)</f>
        <v/>
      </c>
      <c r="BL339" s="4" t="str">
        <f t="shared" si="16"/>
        <v/>
      </c>
      <c r="BM339" s="8" t="str">
        <f t="shared" si="17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 ht="15" customHeight="1">
      <c r="D340" s="15" t="str">
        <f t="shared" si="18"/>
        <v/>
      </c>
      <c r="E340" s="15" t="str">
        <f>IF($A340="","",IF($A340="Neuron",IF(OR(AND($S340&lt;&gt;"",LOWER(TRIM($S340))&lt;&gt;"n/a",COUNTIF($S$2:$S$528,$S340)&gt;1),AND($T340&lt;&gt;"",LOWER(TRIM($T340))&lt;&gt;"n/a",COUNTIF($T$2:$T$528,$T340)&gt;1),AND($W340&lt;&gt;"",LOWER(TRIM($W340))&lt;&gt;"n/a",COUNTIF($W$2:$W$528,$W340)&gt;1)),"Yes","No"),IF($A340="Cybernet",IF(OR(AND($Y340&lt;&gt;"",LOWER(TRIM($Y340))&lt;&gt;"n/a",COUNTIF($Y$2:$Y$528,$Y340)&gt;1),AND($Z340&lt;&gt;"",LOWER(TRIM($Z340))&lt;&gt;"n/a",COUNTIF($Z$2:$Z$528,$Z340)&gt;1)),"Yes","No"),IF(AND($AL340&lt;&gt;"",LOWER(TRIM($AL340))&lt;&gt;"n/a",COUNTIF($AL$2:$AL$528,$AL340)&gt;1),"Yes","No"))))</f>
        <v/>
      </c>
      <c r="F340" t="str">
        <f>IF($B340&lt;&gt;"Yes","",
IF($A340="Neuron",
IF(OR(
AND($S340&lt;&gt;"",LOWER(TRIM($S340))&lt;&gt;"n/a",COUNTIFS($B$2:$B$528,"Yes",$A$2:$A$528,"Neuron",$S$2:$S$528,$S340)&gt;1),
AND($T340&lt;&gt;"",LOWER(TRIM($T340))&lt;&gt;"n/a",COUNTIFS($B$2:$B$528,"Yes",$A$2:$A$528,"Neuron",$T$2:$T$528,$T340)&gt;1),
AND($W340&lt;&gt;"",LOWER(TRIM($W340))&lt;&gt;"n/a",COUNTIFS($B$2:$B$528,"Yes",$A$2:$A$528,"Neuron",$W$2:$W$528,$W340)&gt;1)
),"Yes","No"),
IF($A340="Cybernet",
IF(OR(
AND($Y340&lt;&gt;"",LOWER(TRIM($Y340))&lt;&gt;"n/a",COUNTIFS($B$2:$B$528,"Yes",$A$2:$A$528,"Cybernet",$Y$2:$Y$528,$Y340)&gt;1),
AND($Z340&lt;&gt;"",LOWER(TRIM($Z340))&lt;&gt;"n/a",COUNTIFS($B$2:$B$528,"Yes",$A$2:$A$528,"Cybernet",$Z$2:$Z$528,$Z340)&gt;1)
),"Yes","No"),
IF(AND($AL340&lt;&gt;"",LOWER(TRIM($AL340))&lt;&gt;"n/a"),
IF(COUNTIFS($B$2:$B$528,"Yes",$A$2:$A$528,$A340,$AL$2:$AL$528,$AL340)&gt;1,"Yes","No"),
"No")
)
)
)</f>
        <v/>
      </c>
      <c r="BL340" s="4" t="str">
        <f t="shared" si="16"/>
        <v/>
      </c>
      <c r="BM340" s="8" t="str">
        <f t="shared" si="17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 ht="15" customHeight="1">
      <c r="D341" s="15" t="str">
        <f t="shared" si="18"/>
        <v/>
      </c>
      <c r="E341" s="15" t="str">
        <f>IF($A341="","",IF($A341="Neuron",IF(OR(AND($S341&lt;&gt;"",LOWER(TRIM($S341))&lt;&gt;"n/a",COUNTIF($S$2:$S$528,$S341)&gt;1),AND($T341&lt;&gt;"",LOWER(TRIM($T341))&lt;&gt;"n/a",COUNTIF($T$2:$T$528,$T341)&gt;1),AND($W341&lt;&gt;"",LOWER(TRIM($W341))&lt;&gt;"n/a",COUNTIF($W$2:$W$528,$W341)&gt;1)),"Yes","No"),IF($A341="Cybernet",IF(OR(AND($Y341&lt;&gt;"",LOWER(TRIM($Y341))&lt;&gt;"n/a",COUNTIF($Y$2:$Y$528,$Y341)&gt;1),AND($Z341&lt;&gt;"",LOWER(TRIM($Z341))&lt;&gt;"n/a",COUNTIF($Z$2:$Z$528,$Z341)&gt;1)),"Yes","No"),IF(AND($AL341&lt;&gt;"",LOWER(TRIM($AL341))&lt;&gt;"n/a",COUNTIF($AL$2:$AL$528,$AL341)&gt;1),"Yes","No"))))</f>
        <v/>
      </c>
      <c r="F341" t="str">
        <f>IF($B341&lt;&gt;"Yes","",
IF($A341="Neuron",
IF(OR(
AND($S341&lt;&gt;"",LOWER(TRIM($S341))&lt;&gt;"n/a",COUNTIFS($B$2:$B$528,"Yes",$A$2:$A$528,"Neuron",$S$2:$S$528,$S341)&gt;1),
AND($T341&lt;&gt;"",LOWER(TRIM($T341))&lt;&gt;"n/a",COUNTIFS($B$2:$B$528,"Yes",$A$2:$A$528,"Neuron",$T$2:$T$528,$T341)&gt;1),
AND($W341&lt;&gt;"",LOWER(TRIM($W341))&lt;&gt;"n/a",COUNTIFS($B$2:$B$528,"Yes",$A$2:$A$528,"Neuron",$W$2:$W$528,$W341)&gt;1)
),"Yes","No"),
IF($A341="Cybernet",
IF(OR(
AND($Y341&lt;&gt;"",LOWER(TRIM($Y341))&lt;&gt;"n/a",COUNTIFS($B$2:$B$528,"Yes",$A$2:$A$528,"Cybernet",$Y$2:$Y$528,$Y341)&gt;1),
AND($Z341&lt;&gt;"",LOWER(TRIM($Z341))&lt;&gt;"n/a",COUNTIFS($B$2:$B$528,"Yes",$A$2:$A$528,"Cybernet",$Z$2:$Z$528,$Z341)&gt;1)
),"Yes","No"),
IF(AND($AL341&lt;&gt;"",LOWER(TRIM($AL341))&lt;&gt;"n/a"),
IF(COUNTIFS($B$2:$B$528,"Yes",$A$2:$A$528,$A341,$AL$2:$AL$528,$AL341)&gt;1,"Yes","No"),
"No")
)
)
)</f>
        <v/>
      </c>
      <c r="BL341" s="4" t="str">
        <f t="shared" si="16"/>
        <v/>
      </c>
      <c r="BM341" s="8" t="str">
        <f t="shared" si="17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 ht="15" customHeight="1">
      <c r="D342" s="15" t="str">
        <f t="shared" si="18"/>
        <v/>
      </c>
      <c r="E342" s="15" t="str">
        <f>IF($A342="","",IF($A342="Neuron",IF(OR(AND($S342&lt;&gt;"",LOWER(TRIM($S342))&lt;&gt;"n/a",COUNTIF($S$2:$S$528,$S342)&gt;1),AND($T342&lt;&gt;"",LOWER(TRIM($T342))&lt;&gt;"n/a",COUNTIF($T$2:$T$528,$T342)&gt;1),AND($W342&lt;&gt;"",LOWER(TRIM($W342))&lt;&gt;"n/a",COUNTIF($W$2:$W$528,$W342)&gt;1)),"Yes","No"),IF($A342="Cybernet",IF(OR(AND($Y342&lt;&gt;"",LOWER(TRIM($Y342))&lt;&gt;"n/a",COUNTIF($Y$2:$Y$528,$Y342)&gt;1),AND($Z342&lt;&gt;"",LOWER(TRIM($Z342))&lt;&gt;"n/a",COUNTIF($Z$2:$Z$528,$Z342)&gt;1)),"Yes","No"),IF(AND($AL342&lt;&gt;"",LOWER(TRIM($AL342))&lt;&gt;"n/a",COUNTIF($AL$2:$AL$528,$AL342)&gt;1),"Yes","No"))))</f>
        <v/>
      </c>
      <c r="F342" t="str">
        <f>IF($B342&lt;&gt;"Yes","",
IF($A342="Neuron",
IF(OR(
AND($S342&lt;&gt;"",LOWER(TRIM($S342))&lt;&gt;"n/a",COUNTIFS($B$2:$B$528,"Yes",$A$2:$A$528,"Neuron",$S$2:$S$528,$S342)&gt;1),
AND($T342&lt;&gt;"",LOWER(TRIM($T342))&lt;&gt;"n/a",COUNTIFS($B$2:$B$528,"Yes",$A$2:$A$528,"Neuron",$T$2:$T$528,$T342)&gt;1),
AND($W342&lt;&gt;"",LOWER(TRIM($W342))&lt;&gt;"n/a",COUNTIFS($B$2:$B$528,"Yes",$A$2:$A$528,"Neuron",$W$2:$W$528,$W342)&gt;1)
),"Yes","No"),
IF($A342="Cybernet",
IF(OR(
AND($Y342&lt;&gt;"",LOWER(TRIM($Y342))&lt;&gt;"n/a",COUNTIFS($B$2:$B$528,"Yes",$A$2:$A$528,"Cybernet",$Y$2:$Y$528,$Y342)&gt;1),
AND($Z342&lt;&gt;"",LOWER(TRIM($Z342))&lt;&gt;"n/a",COUNTIFS($B$2:$B$528,"Yes",$A$2:$A$528,"Cybernet",$Z$2:$Z$528,$Z342)&gt;1)
),"Yes","No"),
IF(AND($AL342&lt;&gt;"",LOWER(TRIM($AL342))&lt;&gt;"n/a"),
IF(COUNTIFS($B$2:$B$528,"Yes",$A$2:$A$528,$A342,$AL$2:$AL$528,$AL342)&gt;1,"Yes","No"),
"No")
)
)
)</f>
        <v/>
      </c>
      <c r="BL342" s="4" t="str">
        <f t="shared" si="16"/>
        <v/>
      </c>
      <c r="BM342" s="8" t="str">
        <f t="shared" si="17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 ht="15" customHeight="1">
      <c r="D343" s="15" t="str">
        <f t="shared" si="18"/>
        <v/>
      </c>
      <c r="E343" s="15" t="str">
        <f>IF($A343="","",IF($A343="Neuron",IF(OR(AND($S343&lt;&gt;"",LOWER(TRIM($S343))&lt;&gt;"n/a",COUNTIF($S$2:$S$528,$S343)&gt;1),AND($T343&lt;&gt;"",LOWER(TRIM($T343))&lt;&gt;"n/a",COUNTIF($T$2:$T$528,$T343)&gt;1),AND($W343&lt;&gt;"",LOWER(TRIM($W343))&lt;&gt;"n/a",COUNTIF($W$2:$W$528,$W343)&gt;1)),"Yes","No"),IF($A343="Cybernet",IF(OR(AND($Y343&lt;&gt;"",LOWER(TRIM($Y343))&lt;&gt;"n/a",COUNTIF($Y$2:$Y$528,$Y343)&gt;1),AND($Z343&lt;&gt;"",LOWER(TRIM($Z343))&lt;&gt;"n/a",COUNTIF($Z$2:$Z$528,$Z343)&gt;1)),"Yes","No"),IF(AND($AL343&lt;&gt;"",LOWER(TRIM($AL343))&lt;&gt;"n/a",COUNTIF($AL$2:$AL$528,$AL343)&gt;1),"Yes","No"))))</f>
        <v/>
      </c>
      <c r="F343" t="str">
        <f>IF($B343&lt;&gt;"Yes","",
IF($A343="Neuron",
IF(OR(
AND($S343&lt;&gt;"",LOWER(TRIM($S343))&lt;&gt;"n/a",COUNTIFS($B$2:$B$528,"Yes",$A$2:$A$528,"Neuron",$S$2:$S$528,$S343)&gt;1),
AND($T343&lt;&gt;"",LOWER(TRIM($T343))&lt;&gt;"n/a",COUNTIFS($B$2:$B$528,"Yes",$A$2:$A$528,"Neuron",$T$2:$T$528,$T343)&gt;1),
AND($W343&lt;&gt;"",LOWER(TRIM($W343))&lt;&gt;"n/a",COUNTIFS($B$2:$B$528,"Yes",$A$2:$A$528,"Neuron",$W$2:$W$528,$W343)&gt;1)
),"Yes","No"),
IF($A343="Cybernet",
IF(OR(
AND($Y343&lt;&gt;"",LOWER(TRIM($Y343))&lt;&gt;"n/a",COUNTIFS($B$2:$B$528,"Yes",$A$2:$A$528,"Cybernet",$Y$2:$Y$528,$Y343)&gt;1),
AND($Z343&lt;&gt;"",LOWER(TRIM($Z343))&lt;&gt;"n/a",COUNTIFS($B$2:$B$528,"Yes",$A$2:$A$528,"Cybernet",$Z$2:$Z$528,$Z343)&gt;1)
),"Yes","No"),
IF(AND($AL343&lt;&gt;"",LOWER(TRIM($AL343))&lt;&gt;"n/a"),
IF(COUNTIFS($B$2:$B$528,"Yes",$A$2:$A$528,$A343,$AL$2:$AL$528,$AL343)&gt;1,"Yes","No"),
"No")
)
)
)</f>
        <v/>
      </c>
      <c r="BL343" s="4" t="str">
        <f t="shared" si="16"/>
        <v/>
      </c>
      <c r="BM343" s="8" t="str">
        <f t="shared" si="17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 ht="15" customHeight="1">
      <c r="D344" s="15" t="str">
        <f t="shared" si="18"/>
        <v/>
      </c>
      <c r="E344" s="15" t="str">
        <f>IF($A344="","",IF($A344="Neuron",IF(OR(AND($S344&lt;&gt;"",LOWER(TRIM($S344))&lt;&gt;"n/a",COUNTIF($S$2:$S$528,$S344)&gt;1),AND($T344&lt;&gt;"",LOWER(TRIM($T344))&lt;&gt;"n/a",COUNTIF($T$2:$T$528,$T344)&gt;1),AND($W344&lt;&gt;"",LOWER(TRIM($W344))&lt;&gt;"n/a",COUNTIF($W$2:$W$528,$W344)&gt;1)),"Yes","No"),IF($A344="Cybernet",IF(OR(AND($Y344&lt;&gt;"",LOWER(TRIM($Y344))&lt;&gt;"n/a",COUNTIF($Y$2:$Y$528,$Y344)&gt;1),AND($Z344&lt;&gt;"",LOWER(TRIM($Z344))&lt;&gt;"n/a",COUNTIF($Z$2:$Z$528,$Z344)&gt;1)),"Yes","No"),IF(AND($AL344&lt;&gt;"",LOWER(TRIM($AL344))&lt;&gt;"n/a",COUNTIF($AL$2:$AL$528,$AL344)&gt;1),"Yes","No"))))</f>
        <v/>
      </c>
      <c r="F344" t="str">
        <f>IF($B344&lt;&gt;"Yes","",
IF($A344="Neuron",
IF(OR(
AND($S344&lt;&gt;"",LOWER(TRIM($S344))&lt;&gt;"n/a",COUNTIFS($B$2:$B$528,"Yes",$A$2:$A$528,"Neuron",$S$2:$S$528,$S344)&gt;1),
AND($T344&lt;&gt;"",LOWER(TRIM($T344))&lt;&gt;"n/a",COUNTIFS($B$2:$B$528,"Yes",$A$2:$A$528,"Neuron",$T$2:$T$528,$T344)&gt;1),
AND($W344&lt;&gt;"",LOWER(TRIM($W344))&lt;&gt;"n/a",COUNTIFS($B$2:$B$528,"Yes",$A$2:$A$528,"Neuron",$W$2:$W$528,$W344)&gt;1)
),"Yes","No"),
IF($A344="Cybernet",
IF(OR(
AND($Y344&lt;&gt;"",LOWER(TRIM($Y344))&lt;&gt;"n/a",COUNTIFS($B$2:$B$528,"Yes",$A$2:$A$528,"Cybernet",$Y$2:$Y$528,$Y344)&gt;1),
AND($Z344&lt;&gt;"",LOWER(TRIM($Z344))&lt;&gt;"n/a",COUNTIFS($B$2:$B$528,"Yes",$A$2:$A$528,"Cybernet",$Z$2:$Z$528,$Z344)&gt;1)
),"Yes","No"),
IF(AND($AL344&lt;&gt;"",LOWER(TRIM($AL344))&lt;&gt;"n/a"),
IF(COUNTIFS($B$2:$B$528,"Yes",$A$2:$A$528,$A344,$AL$2:$AL$528,$AL344)&gt;1,"Yes","No"),
"No")
)
)
)</f>
        <v/>
      </c>
      <c r="BL344" s="4" t="str">
        <f t="shared" si="16"/>
        <v/>
      </c>
      <c r="BM344" s="8" t="str">
        <f t="shared" si="17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 ht="15" customHeight="1">
      <c r="D345" s="15" t="str">
        <f t="shared" si="18"/>
        <v/>
      </c>
      <c r="E345" s="15" t="str">
        <f>IF($A345="","",IF($A345="Neuron",IF(OR(AND($S345&lt;&gt;"",LOWER(TRIM($S345))&lt;&gt;"n/a",COUNTIF($S$2:$S$528,$S345)&gt;1),AND($T345&lt;&gt;"",LOWER(TRIM($T345))&lt;&gt;"n/a",COUNTIF($T$2:$T$528,$T345)&gt;1),AND($W345&lt;&gt;"",LOWER(TRIM($W345))&lt;&gt;"n/a",COUNTIF($W$2:$W$528,$W345)&gt;1)),"Yes","No"),IF($A345="Cybernet",IF(OR(AND($Y345&lt;&gt;"",LOWER(TRIM($Y345))&lt;&gt;"n/a",COUNTIF($Y$2:$Y$528,$Y345)&gt;1),AND($Z345&lt;&gt;"",LOWER(TRIM($Z345))&lt;&gt;"n/a",COUNTIF($Z$2:$Z$528,$Z345)&gt;1)),"Yes","No"),IF(AND($AL345&lt;&gt;"",LOWER(TRIM($AL345))&lt;&gt;"n/a",COUNTIF($AL$2:$AL$528,$AL345)&gt;1),"Yes","No"))))</f>
        <v/>
      </c>
      <c r="F345" t="str">
        <f>IF($B345&lt;&gt;"Yes","",
IF($A345="Neuron",
IF(OR(
AND($S345&lt;&gt;"",LOWER(TRIM($S345))&lt;&gt;"n/a",COUNTIFS($B$2:$B$528,"Yes",$A$2:$A$528,"Neuron",$S$2:$S$528,$S345)&gt;1),
AND($T345&lt;&gt;"",LOWER(TRIM($T345))&lt;&gt;"n/a",COUNTIFS($B$2:$B$528,"Yes",$A$2:$A$528,"Neuron",$T$2:$T$528,$T345)&gt;1),
AND($W345&lt;&gt;"",LOWER(TRIM($W345))&lt;&gt;"n/a",COUNTIFS($B$2:$B$528,"Yes",$A$2:$A$528,"Neuron",$W$2:$W$528,$W345)&gt;1)
),"Yes","No"),
IF($A345="Cybernet",
IF(OR(
AND($Y345&lt;&gt;"",LOWER(TRIM($Y345))&lt;&gt;"n/a",COUNTIFS($B$2:$B$528,"Yes",$A$2:$A$528,"Cybernet",$Y$2:$Y$528,$Y345)&gt;1),
AND($Z345&lt;&gt;"",LOWER(TRIM($Z345))&lt;&gt;"n/a",COUNTIFS($B$2:$B$528,"Yes",$A$2:$A$528,"Cybernet",$Z$2:$Z$528,$Z345)&gt;1)
),"Yes","No"),
IF(AND($AL345&lt;&gt;"",LOWER(TRIM($AL345))&lt;&gt;"n/a"),
IF(COUNTIFS($B$2:$B$528,"Yes",$A$2:$A$528,$A345,$AL$2:$AL$528,$AL345)&gt;1,"Yes","No"),
"No")
)
)
)</f>
        <v/>
      </c>
      <c r="BL345" s="4" t="str">
        <f t="shared" si="16"/>
        <v/>
      </c>
      <c r="BM345" s="8" t="str">
        <f t="shared" si="17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 ht="15" customHeight="1">
      <c r="D346" s="15" t="str">
        <f t="shared" si="18"/>
        <v/>
      </c>
      <c r="E346" s="15" t="str">
        <f>IF($A346="","",IF($A346="Neuron",IF(OR(AND($S346&lt;&gt;"",LOWER(TRIM($S346))&lt;&gt;"n/a",COUNTIF($S$2:$S$528,$S346)&gt;1),AND($T346&lt;&gt;"",LOWER(TRIM($T346))&lt;&gt;"n/a",COUNTIF($T$2:$T$528,$T346)&gt;1),AND($W346&lt;&gt;"",LOWER(TRIM($W346))&lt;&gt;"n/a",COUNTIF($W$2:$W$528,$W346)&gt;1)),"Yes","No"),IF($A346="Cybernet",IF(OR(AND($Y346&lt;&gt;"",LOWER(TRIM($Y346))&lt;&gt;"n/a",COUNTIF($Y$2:$Y$528,$Y346)&gt;1),AND($Z346&lt;&gt;"",LOWER(TRIM($Z346))&lt;&gt;"n/a",COUNTIF($Z$2:$Z$528,$Z346)&gt;1)),"Yes","No"),IF(AND($AL346&lt;&gt;"",LOWER(TRIM($AL346))&lt;&gt;"n/a",COUNTIF($AL$2:$AL$528,$AL346)&gt;1),"Yes","No"))))</f>
        <v/>
      </c>
      <c r="F346" t="str">
        <f>IF($B346&lt;&gt;"Yes","",
IF($A346="Neuron",
IF(OR(
AND($S346&lt;&gt;"",LOWER(TRIM($S346))&lt;&gt;"n/a",COUNTIFS($B$2:$B$528,"Yes",$A$2:$A$528,"Neuron",$S$2:$S$528,$S346)&gt;1),
AND($T346&lt;&gt;"",LOWER(TRIM($T346))&lt;&gt;"n/a",COUNTIFS($B$2:$B$528,"Yes",$A$2:$A$528,"Neuron",$T$2:$T$528,$T346)&gt;1),
AND($W346&lt;&gt;"",LOWER(TRIM($W346))&lt;&gt;"n/a",COUNTIFS($B$2:$B$528,"Yes",$A$2:$A$528,"Neuron",$W$2:$W$528,$W346)&gt;1)
),"Yes","No"),
IF($A346="Cybernet",
IF(OR(
AND($Y346&lt;&gt;"",LOWER(TRIM($Y346))&lt;&gt;"n/a",COUNTIFS($B$2:$B$528,"Yes",$A$2:$A$528,"Cybernet",$Y$2:$Y$528,$Y346)&gt;1),
AND($Z346&lt;&gt;"",LOWER(TRIM($Z346))&lt;&gt;"n/a",COUNTIFS($B$2:$B$528,"Yes",$A$2:$A$528,"Cybernet",$Z$2:$Z$528,$Z346)&gt;1)
),"Yes","No"),
IF(AND($AL346&lt;&gt;"",LOWER(TRIM($AL346))&lt;&gt;"n/a"),
IF(COUNTIFS($B$2:$B$528,"Yes",$A$2:$A$528,$A346,$AL$2:$AL$528,$AL346)&gt;1,"Yes","No"),
"No")
)
)
)</f>
        <v/>
      </c>
      <c r="BL346" s="4" t="str">
        <f t="shared" si="16"/>
        <v/>
      </c>
      <c r="BM346" s="8" t="str">
        <f t="shared" si="17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 ht="15" customHeight="1">
      <c r="D347" s="15" t="str">
        <f t="shared" si="18"/>
        <v/>
      </c>
      <c r="E347" s="15" t="str">
        <f>IF($A347="","",IF($A347="Neuron",IF(OR(AND($S347&lt;&gt;"",LOWER(TRIM($S347))&lt;&gt;"n/a",COUNTIF($S$2:$S$528,$S347)&gt;1),AND($T347&lt;&gt;"",LOWER(TRIM($T347))&lt;&gt;"n/a",COUNTIF($T$2:$T$528,$T347)&gt;1),AND($W347&lt;&gt;"",LOWER(TRIM($W347))&lt;&gt;"n/a",COUNTIF($W$2:$W$528,$W347)&gt;1)),"Yes","No"),IF($A347="Cybernet",IF(OR(AND($Y347&lt;&gt;"",LOWER(TRIM($Y347))&lt;&gt;"n/a",COUNTIF($Y$2:$Y$528,$Y347)&gt;1),AND($Z347&lt;&gt;"",LOWER(TRIM($Z347))&lt;&gt;"n/a",COUNTIF($Z$2:$Z$528,$Z347)&gt;1)),"Yes","No"),IF(AND($AL347&lt;&gt;"",LOWER(TRIM($AL347))&lt;&gt;"n/a",COUNTIF($AL$2:$AL$528,$AL347)&gt;1),"Yes","No"))))</f>
        <v/>
      </c>
      <c r="F347" t="str">
        <f>IF($B347&lt;&gt;"Yes","",
IF($A347="Neuron",
IF(OR(
AND($S347&lt;&gt;"",LOWER(TRIM($S347))&lt;&gt;"n/a",COUNTIFS($B$2:$B$528,"Yes",$A$2:$A$528,"Neuron",$S$2:$S$528,$S347)&gt;1),
AND($T347&lt;&gt;"",LOWER(TRIM($T347))&lt;&gt;"n/a",COUNTIFS($B$2:$B$528,"Yes",$A$2:$A$528,"Neuron",$T$2:$T$528,$T347)&gt;1),
AND($W347&lt;&gt;"",LOWER(TRIM($W347))&lt;&gt;"n/a",COUNTIFS($B$2:$B$528,"Yes",$A$2:$A$528,"Neuron",$W$2:$W$528,$W347)&gt;1)
),"Yes","No"),
IF($A347="Cybernet",
IF(OR(
AND($Y347&lt;&gt;"",LOWER(TRIM($Y347))&lt;&gt;"n/a",COUNTIFS($B$2:$B$528,"Yes",$A$2:$A$528,"Cybernet",$Y$2:$Y$528,$Y347)&gt;1),
AND($Z347&lt;&gt;"",LOWER(TRIM($Z347))&lt;&gt;"n/a",COUNTIFS($B$2:$B$528,"Yes",$A$2:$A$528,"Cybernet",$Z$2:$Z$528,$Z347)&gt;1)
),"Yes","No"),
IF(AND($AL347&lt;&gt;"",LOWER(TRIM($AL347))&lt;&gt;"n/a"),
IF(COUNTIFS($B$2:$B$528,"Yes",$A$2:$A$528,$A347,$AL$2:$AL$528,$AL347)&gt;1,"Yes","No"),
"No")
)
)
)</f>
        <v/>
      </c>
      <c r="BL347" s="4" t="str">
        <f t="shared" si="16"/>
        <v/>
      </c>
      <c r="BM347" s="8" t="str">
        <f t="shared" si="17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 ht="15" customHeight="1">
      <c r="D348" s="15" t="str">
        <f t="shared" si="18"/>
        <v/>
      </c>
      <c r="E348" s="15" t="str">
        <f>IF($A348="","",IF($A348="Neuron",IF(OR(AND($S348&lt;&gt;"",LOWER(TRIM($S348))&lt;&gt;"n/a",COUNTIF($S$2:$S$528,$S348)&gt;1),AND($T348&lt;&gt;"",LOWER(TRIM($T348))&lt;&gt;"n/a",COUNTIF($T$2:$T$528,$T348)&gt;1),AND($W348&lt;&gt;"",LOWER(TRIM($W348))&lt;&gt;"n/a",COUNTIF($W$2:$W$528,$W348)&gt;1)),"Yes","No"),IF($A348="Cybernet",IF(OR(AND($Y348&lt;&gt;"",LOWER(TRIM($Y348))&lt;&gt;"n/a",COUNTIF($Y$2:$Y$528,$Y348)&gt;1),AND($Z348&lt;&gt;"",LOWER(TRIM($Z348))&lt;&gt;"n/a",COUNTIF($Z$2:$Z$528,$Z348)&gt;1)),"Yes","No"),IF(AND($AL348&lt;&gt;"",LOWER(TRIM($AL348))&lt;&gt;"n/a",COUNTIF($AL$2:$AL$528,$AL348)&gt;1),"Yes","No"))))</f>
        <v/>
      </c>
      <c r="F348" t="str">
        <f>IF($B348&lt;&gt;"Yes","",
IF($A348="Neuron",
IF(OR(
AND($S348&lt;&gt;"",LOWER(TRIM($S348))&lt;&gt;"n/a",COUNTIFS($B$2:$B$528,"Yes",$A$2:$A$528,"Neuron",$S$2:$S$528,$S348)&gt;1),
AND($T348&lt;&gt;"",LOWER(TRIM($T348))&lt;&gt;"n/a",COUNTIFS($B$2:$B$528,"Yes",$A$2:$A$528,"Neuron",$T$2:$T$528,$T348)&gt;1),
AND($W348&lt;&gt;"",LOWER(TRIM($W348))&lt;&gt;"n/a",COUNTIFS($B$2:$B$528,"Yes",$A$2:$A$528,"Neuron",$W$2:$W$528,$W348)&gt;1)
),"Yes","No"),
IF($A348="Cybernet",
IF(OR(
AND($Y348&lt;&gt;"",LOWER(TRIM($Y348))&lt;&gt;"n/a",COUNTIFS($B$2:$B$528,"Yes",$A$2:$A$528,"Cybernet",$Y$2:$Y$528,$Y348)&gt;1),
AND($Z348&lt;&gt;"",LOWER(TRIM($Z348))&lt;&gt;"n/a",COUNTIFS($B$2:$B$528,"Yes",$A$2:$A$528,"Cybernet",$Z$2:$Z$528,$Z348)&gt;1)
),"Yes","No"),
IF(AND($AL348&lt;&gt;"",LOWER(TRIM($AL348))&lt;&gt;"n/a"),
IF(COUNTIFS($B$2:$B$528,"Yes",$A$2:$A$528,$A348,$AL$2:$AL$528,$AL348)&gt;1,"Yes","No"),
"No")
)
)
)</f>
        <v/>
      </c>
      <c r="BL348" s="4" t="str">
        <f t="shared" si="16"/>
        <v/>
      </c>
      <c r="BM348" s="8" t="str">
        <f t="shared" si="17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 ht="15" customHeight="1">
      <c r="D349" s="15" t="str">
        <f t="shared" si="18"/>
        <v/>
      </c>
      <c r="E349" s="15" t="str">
        <f>IF($A349="","",IF($A349="Neuron",IF(OR(AND($S349&lt;&gt;"",LOWER(TRIM($S349))&lt;&gt;"n/a",COUNTIF($S$2:$S$528,$S349)&gt;1),AND($T349&lt;&gt;"",LOWER(TRIM($T349))&lt;&gt;"n/a",COUNTIF($T$2:$T$528,$T349)&gt;1),AND($W349&lt;&gt;"",LOWER(TRIM($W349))&lt;&gt;"n/a",COUNTIF($W$2:$W$528,$W349)&gt;1)),"Yes","No"),IF($A349="Cybernet",IF(OR(AND($Y349&lt;&gt;"",LOWER(TRIM($Y349))&lt;&gt;"n/a",COUNTIF($Y$2:$Y$528,$Y349)&gt;1),AND($Z349&lt;&gt;"",LOWER(TRIM($Z349))&lt;&gt;"n/a",COUNTIF($Z$2:$Z$528,$Z349)&gt;1)),"Yes","No"),IF(AND($AL349&lt;&gt;"",LOWER(TRIM($AL349))&lt;&gt;"n/a",COUNTIF($AL$2:$AL$528,$AL349)&gt;1),"Yes","No"))))</f>
        <v/>
      </c>
      <c r="F349" t="str">
        <f>IF($B349&lt;&gt;"Yes","",
IF($A349="Neuron",
IF(OR(
AND($S349&lt;&gt;"",LOWER(TRIM($S349))&lt;&gt;"n/a",COUNTIFS($B$2:$B$528,"Yes",$A$2:$A$528,"Neuron",$S$2:$S$528,$S349)&gt;1),
AND($T349&lt;&gt;"",LOWER(TRIM($T349))&lt;&gt;"n/a",COUNTIFS($B$2:$B$528,"Yes",$A$2:$A$528,"Neuron",$T$2:$T$528,$T349)&gt;1),
AND($W349&lt;&gt;"",LOWER(TRIM($W349))&lt;&gt;"n/a",COUNTIFS($B$2:$B$528,"Yes",$A$2:$A$528,"Neuron",$W$2:$W$528,$W349)&gt;1)
),"Yes","No"),
IF($A349="Cybernet",
IF(OR(
AND($Y349&lt;&gt;"",LOWER(TRIM($Y349))&lt;&gt;"n/a",COUNTIFS($B$2:$B$528,"Yes",$A$2:$A$528,"Cybernet",$Y$2:$Y$528,$Y349)&gt;1),
AND($Z349&lt;&gt;"",LOWER(TRIM($Z349))&lt;&gt;"n/a",COUNTIFS($B$2:$B$528,"Yes",$A$2:$A$528,"Cybernet",$Z$2:$Z$528,$Z349)&gt;1)
),"Yes","No"),
IF(AND($AL349&lt;&gt;"",LOWER(TRIM($AL349))&lt;&gt;"n/a"),
IF(COUNTIFS($B$2:$B$528,"Yes",$A$2:$A$528,$A349,$AL$2:$AL$528,$AL349)&gt;1,"Yes","No"),
"No")
)
)
)</f>
        <v/>
      </c>
      <c r="BL349" s="4" t="str">
        <f t="shared" si="16"/>
        <v/>
      </c>
      <c r="BM349" s="8" t="str">
        <f t="shared" si="17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 ht="15" customHeight="1">
      <c r="D350" s="15" t="str">
        <f t="shared" si="18"/>
        <v/>
      </c>
      <c r="E350" s="15" t="str">
        <f>IF($A350="","",IF($A350="Neuron",IF(OR(AND($S350&lt;&gt;"",LOWER(TRIM($S350))&lt;&gt;"n/a",COUNTIF($S$2:$S$528,$S350)&gt;1),AND($T350&lt;&gt;"",LOWER(TRIM($T350))&lt;&gt;"n/a",COUNTIF($T$2:$T$528,$T350)&gt;1),AND($W350&lt;&gt;"",LOWER(TRIM($W350))&lt;&gt;"n/a",COUNTIF($W$2:$W$528,$W350)&gt;1)),"Yes","No"),IF($A350="Cybernet",IF(OR(AND($Y350&lt;&gt;"",LOWER(TRIM($Y350))&lt;&gt;"n/a",COUNTIF($Y$2:$Y$528,$Y350)&gt;1),AND($Z350&lt;&gt;"",LOWER(TRIM($Z350))&lt;&gt;"n/a",COUNTIF($Z$2:$Z$528,$Z350)&gt;1)),"Yes","No"),IF(AND($AL350&lt;&gt;"",LOWER(TRIM($AL350))&lt;&gt;"n/a",COUNTIF($AL$2:$AL$528,$AL350)&gt;1),"Yes","No"))))</f>
        <v/>
      </c>
      <c r="F350" t="str">
        <f>IF($B350&lt;&gt;"Yes","",
IF($A350="Neuron",
IF(OR(
AND($S350&lt;&gt;"",LOWER(TRIM($S350))&lt;&gt;"n/a",COUNTIFS($B$2:$B$528,"Yes",$A$2:$A$528,"Neuron",$S$2:$S$528,$S350)&gt;1),
AND($T350&lt;&gt;"",LOWER(TRIM($T350))&lt;&gt;"n/a",COUNTIFS($B$2:$B$528,"Yes",$A$2:$A$528,"Neuron",$T$2:$T$528,$T350)&gt;1),
AND($W350&lt;&gt;"",LOWER(TRIM($W350))&lt;&gt;"n/a",COUNTIFS($B$2:$B$528,"Yes",$A$2:$A$528,"Neuron",$W$2:$W$528,$W350)&gt;1)
),"Yes","No"),
IF($A350="Cybernet",
IF(OR(
AND($Y350&lt;&gt;"",LOWER(TRIM($Y350))&lt;&gt;"n/a",COUNTIFS($B$2:$B$528,"Yes",$A$2:$A$528,"Cybernet",$Y$2:$Y$528,$Y350)&gt;1),
AND($Z350&lt;&gt;"",LOWER(TRIM($Z350))&lt;&gt;"n/a",COUNTIFS($B$2:$B$528,"Yes",$A$2:$A$528,"Cybernet",$Z$2:$Z$528,$Z350)&gt;1)
),"Yes","No"),
IF(AND($AL350&lt;&gt;"",LOWER(TRIM($AL350))&lt;&gt;"n/a"),
IF(COUNTIFS($B$2:$B$528,"Yes",$A$2:$A$528,$A350,$AL$2:$AL$528,$AL350)&gt;1,"Yes","No"),
"No")
)
)
)</f>
        <v/>
      </c>
      <c r="BL350" s="4" t="str">
        <f t="shared" si="16"/>
        <v/>
      </c>
      <c r="BM350" s="8" t="str">
        <f t="shared" si="17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 ht="15" customHeight="1">
      <c r="D351" s="15" t="str">
        <f t="shared" si="18"/>
        <v/>
      </c>
      <c r="E351" s="15" t="str">
        <f>IF($A351="","",IF($A351="Neuron",IF(OR(AND($S351&lt;&gt;"",LOWER(TRIM($S351))&lt;&gt;"n/a",COUNTIF($S$2:$S$528,$S351)&gt;1),AND($T351&lt;&gt;"",LOWER(TRIM($T351))&lt;&gt;"n/a",COUNTIF($T$2:$T$528,$T351)&gt;1),AND($W351&lt;&gt;"",LOWER(TRIM($W351))&lt;&gt;"n/a",COUNTIF($W$2:$W$528,$W351)&gt;1)),"Yes","No"),IF($A351="Cybernet",IF(OR(AND($Y351&lt;&gt;"",LOWER(TRIM($Y351))&lt;&gt;"n/a",COUNTIF($Y$2:$Y$528,$Y351)&gt;1),AND($Z351&lt;&gt;"",LOWER(TRIM($Z351))&lt;&gt;"n/a",COUNTIF($Z$2:$Z$528,$Z351)&gt;1)),"Yes","No"),IF(AND($AL351&lt;&gt;"",LOWER(TRIM($AL351))&lt;&gt;"n/a",COUNTIF($AL$2:$AL$528,$AL351)&gt;1),"Yes","No"))))</f>
        <v/>
      </c>
      <c r="F351" t="str">
        <f>IF($B351&lt;&gt;"Yes","",
IF($A351="Neuron",
IF(OR(
AND($S351&lt;&gt;"",LOWER(TRIM($S351))&lt;&gt;"n/a",COUNTIFS($B$2:$B$528,"Yes",$A$2:$A$528,"Neuron",$S$2:$S$528,$S351)&gt;1),
AND($T351&lt;&gt;"",LOWER(TRIM($T351))&lt;&gt;"n/a",COUNTIFS($B$2:$B$528,"Yes",$A$2:$A$528,"Neuron",$T$2:$T$528,$T351)&gt;1),
AND($W351&lt;&gt;"",LOWER(TRIM($W351))&lt;&gt;"n/a",COUNTIFS($B$2:$B$528,"Yes",$A$2:$A$528,"Neuron",$W$2:$W$528,$W351)&gt;1)
),"Yes","No"),
IF($A351="Cybernet",
IF(OR(
AND($Y351&lt;&gt;"",LOWER(TRIM($Y351))&lt;&gt;"n/a",COUNTIFS($B$2:$B$528,"Yes",$A$2:$A$528,"Cybernet",$Y$2:$Y$528,$Y351)&gt;1),
AND($Z351&lt;&gt;"",LOWER(TRIM($Z351))&lt;&gt;"n/a",COUNTIFS($B$2:$B$528,"Yes",$A$2:$A$528,"Cybernet",$Z$2:$Z$528,$Z351)&gt;1)
),"Yes","No"),
IF(AND($AL351&lt;&gt;"",LOWER(TRIM($AL351))&lt;&gt;"n/a"),
IF(COUNTIFS($B$2:$B$528,"Yes",$A$2:$A$528,$A351,$AL$2:$AL$528,$AL351)&gt;1,"Yes","No"),
"No")
)
)
)</f>
        <v/>
      </c>
      <c r="BL351" s="4" t="str">
        <f t="shared" si="16"/>
        <v/>
      </c>
      <c r="BM351" s="8" t="str">
        <f t="shared" si="17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 ht="15" customHeight="1">
      <c r="D352" s="15" t="str">
        <f t="shared" si="18"/>
        <v/>
      </c>
      <c r="E352" s="15" t="str">
        <f>IF($A352="","",IF($A352="Neuron",IF(OR(AND($S352&lt;&gt;"",LOWER(TRIM($S352))&lt;&gt;"n/a",COUNTIF($S$2:$S$528,$S352)&gt;1),AND($T352&lt;&gt;"",LOWER(TRIM($T352))&lt;&gt;"n/a",COUNTIF($T$2:$T$528,$T352)&gt;1),AND($W352&lt;&gt;"",LOWER(TRIM($W352))&lt;&gt;"n/a",COUNTIF($W$2:$W$528,$W352)&gt;1)),"Yes","No"),IF($A352="Cybernet",IF(OR(AND($Y352&lt;&gt;"",LOWER(TRIM($Y352))&lt;&gt;"n/a",COUNTIF($Y$2:$Y$528,$Y352)&gt;1),AND($Z352&lt;&gt;"",LOWER(TRIM($Z352))&lt;&gt;"n/a",COUNTIF($Z$2:$Z$528,$Z352)&gt;1)),"Yes","No"),IF(AND($AL352&lt;&gt;"",LOWER(TRIM($AL352))&lt;&gt;"n/a",COUNTIF($AL$2:$AL$528,$AL352)&gt;1),"Yes","No"))))</f>
        <v/>
      </c>
      <c r="F352" t="str">
        <f>IF($B352&lt;&gt;"Yes","",
IF($A352="Neuron",
IF(OR(
AND($S352&lt;&gt;"",LOWER(TRIM($S352))&lt;&gt;"n/a",COUNTIFS($B$2:$B$528,"Yes",$A$2:$A$528,"Neuron",$S$2:$S$528,$S352)&gt;1),
AND($T352&lt;&gt;"",LOWER(TRIM($T352))&lt;&gt;"n/a",COUNTIFS($B$2:$B$528,"Yes",$A$2:$A$528,"Neuron",$T$2:$T$528,$T352)&gt;1),
AND($W352&lt;&gt;"",LOWER(TRIM($W352))&lt;&gt;"n/a",COUNTIFS($B$2:$B$528,"Yes",$A$2:$A$528,"Neuron",$W$2:$W$528,$W352)&gt;1)
),"Yes","No"),
IF($A352="Cybernet",
IF(OR(
AND($Y352&lt;&gt;"",LOWER(TRIM($Y352))&lt;&gt;"n/a",COUNTIFS($B$2:$B$528,"Yes",$A$2:$A$528,"Cybernet",$Y$2:$Y$528,$Y352)&gt;1),
AND($Z352&lt;&gt;"",LOWER(TRIM($Z352))&lt;&gt;"n/a",COUNTIFS($B$2:$B$528,"Yes",$A$2:$A$528,"Cybernet",$Z$2:$Z$528,$Z352)&gt;1)
),"Yes","No"),
IF(AND($AL352&lt;&gt;"",LOWER(TRIM($AL352))&lt;&gt;"n/a"),
IF(COUNTIFS($B$2:$B$528,"Yes",$A$2:$A$528,$A352,$AL$2:$AL$528,$AL352)&gt;1,"Yes","No"),
"No")
)
)
)</f>
        <v/>
      </c>
      <c r="BL352" s="4" t="str">
        <f t="shared" si="16"/>
        <v/>
      </c>
      <c r="BM352" s="8" t="str">
        <f t="shared" si="17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 ht="15" customHeight="1">
      <c r="D353" s="15" t="str">
        <f t="shared" si="18"/>
        <v/>
      </c>
      <c r="E353" s="15" t="str">
        <f>IF($A353="","",IF($A353="Neuron",IF(OR(AND($S353&lt;&gt;"",LOWER(TRIM($S353))&lt;&gt;"n/a",COUNTIF($S$2:$S$528,$S353)&gt;1),AND($T353&lt;&gt;"",LOWER(TRIM($T353))&lt;&gt;"n/a",COUNTIF($T$2:$T$528,$T353)&gt;1),AND($W353&lt;&gt;"",LOWER(TRIM($W353))&lt;&gt;"n/a",COUNTIF($W$2:$W$528,$W353)&gt;1)),"Yes","No"),IF($A353="Cybernet",IF(OR(AND($Y353&lt;&gt;"",LOWER(TRIM($Y353))&lt;&gt;"n/a",COUNTIF($Y$2:$Y$528,$Y353)&gt;1),AND($Z353&lt;&gt;"",LOWER(TRIM($Z353))&lt;&gt;"n/a",COUNTIF($Z$2:$Z$528,$Z353)&gt;1)),"Yes","No"),IF(AND($AL353&lt;&gt;"",LOWER(TRIM($AL353))&lt;&gt;"n/a",COUNTIF($AL$2:$AL$528,$AL353)&gt;1),"Yes","No"))))</f>
        <v/>
      </c>
      <c r="F353" t="str">
        <f>IF($B353&lt;&gt;"Yes","",
IF($A353="Neuron",
IF(OR(
AND($S353&lt;&gt;"",LOWER(TRIM($S353))&lt;&gt;"n/a",COUNTIFS($B$2:$B$528,"Yes",$A$2:$A$528,"Neuron",$S$2:$S$528,$S353)&gt;1),
AND($T353&lt;&gt;"",LOWER(TRIM($T353))&lt;&gt;"n/a",COUNTIFS($B$2:$B$528,"Yes",$A$2:$A$528,"Neuron",$T$2:$T$528,$T353)&gt;1),
AND($W353&lt;&gt;"",LOWER(TRIM($W353))&lt;&gt;"n/a",COUNTIFS($B$2:$B$528,"Yes",$A$2:$A$528,"Neuron",$W$2:$W$528,$W353)&gt;1)
),"Yes","No"),
IF($A353="Cybernet",
IF(OR(
AND($Y353&lt;&gt;"",LOWER(TRIM($Y353))&lt;&gt;"n/a",COUNTIFS($B$2:$B$528,"Yes",$A$2:$A$528,"Cybernet",$Y$2:$Y$528,$Y353)&gt;1),
AND($Z353&lt;&gt;"",LOWER(TRIM($Z353))&lt;&gt;"n/a",COUNTIFS($B$2:$B$528,"Yes",$A$2:$A$528,"Cybernet",$Z$2:$Z$528,$Z353)&gt;1)
),"Yes","No"),
IF(AND($AL353&lt;&gt;"",LOWER(TRIM($AL353))&lt;&gt;"n/a"),
IF(COUNTIFS($B$2:$B$528,"Yes",$A$2:$A$528,$A353,$AL$2:$AL$528,$AL353)&gt;1,"Yes","No"),
"No")
)
)
)</f>
        <v/>
      </c>
      <c r="BL353" s="4" t="str">
        <f t="shared" si="16"/>
        <v/>
      </c>
      <c r="BM353" s="8" t="str">
        <f t="shared" si="17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 ht="15" customHeight="1">
      <c r="D354" s="15" t="str">
        <f t="shared" si="18"/>
        <v/>
      </c>
      <c r="E354" s="15" t="str">
        <f>IF($A354="","",IF($A354="Neuron",IF(OR(AND($S354&lt;&gt;"",LOWER(TRIM($S354))&lt;&gt;"n/a",COUNTIF($S$2:$S$528,$S354)&gt;1),AND($T354&lt;&gt;"",LOWER(TRIM($T354))&lt;&gt;"n/a",COUNTIF($T$2:$T$528,$T354)&gt;1),AND($W354&lt;&gt;"",LOWER(TRIM($W354))&lt;&gt;"n/a",COUNTIF($W$2:$W$528,$W354)&gt;1)),"Yes","No"),IF($A354="Cybernet",IF(OR(AND($Y354&lt;&gt;"",LOWER(TRIM($Y354))&lt;&gt;"n/a",COUNTIF($Y$2:$Y$528,$Y354)&gt;1),AND($Z354&lt;&gt;"",LOWER(TRIM($Z354))&lt;&gt;"n/a",COUNTIF($Z$2:$Z$528,$Z354)&gt;1)),"Yes","No"),IF(AND($AL354&lt;&gt;"",LOWER(TRIM($AL354))&lt;&gt;"n/a",COUNTIF($AL$2:$AL$528,$AL354)&gt;1),"Yes","No"))))</f>
        <v/>
      </c>
      <c r="F354" t="str">
        <f>IF($B354&lt;&gt;"Yes","",
IF($A354="Neuron",
IF(OR(
AND($S354&lt;&gt;"",LOWER(TRIM($S354))&lt;&gt;"n/a",COUNTIFS($B$2:$B$528,"Yes",$A$2:$A$528,"Neuron",$S$2:$S$528,$S354)&gt;1),
AND($T354&lt;&gt;"",LOWER(TRIM($T354))&lt;&gt;"n/a",COUNTIFS($B$2:$B$528,"Yes",$A$2:$A$528,"Neuron",$T$2:$T$528,$T354)&gt;1),
AND($W354&lt;&gt;"",LOWER(TRIM($W354))&lt;&gt;"n/a",COUNTIFS($B$2:$B$528,"Yes",$A$2:$A$528,"Neuron",$W$2:$W$528,$W354)&gt;1)
),"Yes","No"),
IF($A354="Cybernet",
IF(OR(
AND($Y354&lt;&gt;"",LOWER(TRIM($Y354))&lt;&gt;"n/a",COUNTIFS($B$2:$B$528,"Yes",$A$2:$A$528,"Cybernet",$Y$2:$Y$528,$Y354)&gt;1),
AND($Z354&lt;&gt;"",LOWER(TRIM($Z354))&lt;&gt;"n/a",COUNTIFS($B$2:$B$528,"Yes",$A$2:$A$528,"Cybernet",$Z$2:$Z$528,$Z354)&gt;1)
),"Yes","No"),
IF(AND($AL354&lt;&gt;"",LOWER(TRIM($AL354))&lt;&gt;"n/a"),
IF(COUNTIFS($B$2:$B$528,"Yes",$A$2:$A$528,$A354,$AL$2:$AL$528,$AL354)&gt;1,"Yes","No"),
"No")
)
)
)</f>
        <v/>
      </c>
      <c r="BL354" s="4" t="str">
        <f t="shared" si="16"/>
        <v/>
      </c>
      <c r="BM354" s="8" t="str">
        <f t="shared" si="17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 ht="15" customHeight="1">
      <c r="D355" s="15" t="str">
        <f t="shared" si="18"/>
        <v/>
      </c>
      <c r="E355" s="15" t="str">
        <f>IF($A355="","",IF($A355="Neuron",IF(OR(AND($S355&lt;&gt;"",LOWER(TRIM($S355))&lt;&gt;"n/a",COUNTIF($S$2:$S$528,$S355)&gt;1),AND($T355&lt;&gt;"",LOWER(TRIM($T355))&lt;&gt;"n/a",COUNTIF($T$2:$T$528,$T355)&gt;1),AND($W355&lt;&gt;"",LOWER(TRIM($W355))&lt;&gt;"n/a",COUNTIF($W$2:$W$528,$W355)&gt;1)),"Yes","No"),IF($A355="Cybernet",IF(OR(AND($Y355&lt;&gt;"",LOWER(TRIM($Y355))&lt;&gt;"n/a",COUNTIF($Y$2:$Y$528,$Y355)&gt;1),AND($Z355&lt;&gt;"",LOWER(TRIM($Z355))&lt;&gt;"n/a",COUNTIF($Z$2:$Z$528,$Z355)&gt;1)),"Yes","No"),IF(AND($AL355&lt;&gt;"",LOWER(TRIM($AL355))&lt;&gt;"n/a",COUNTIF($AL$2:$AL$528,$AL355)&gt;1),"Yes","No"))))</f>
        <v/>
      </c>
      <c r="F355" t="str">
        <f>IF($B355&lt;&gt;"Yes","",
IF($A355="Neuron",
IF(OR(
AND($S355&lt;&gt;"",LOWER(TRIM($S355))&lt;&gt;"n/a",COUNTIFS($B$2:$B$528,"Yes",$A$2:$A$528,"Neuron",$S$2:$S$528,$S355)&gt;1),
AND($T355&lt;&gt;"",LOWER(TRIM($T355))&lt;&gt;"n/a",COUNTIFS($B$2:$B$528,"Yes",$A$2:$A$528,"Neuron",$T$2:$T$528,$T355)&gt;1),
AND($W355&lt;&gt;"",LOWER(TRIM($W355))&lt;&gt;"n/a",COUNTIFS($B$2:$B$528,"Yes",$A$2:$A$528,"Neuron",$W$2:$W$528,$W355)&gt;1)
),"Yes","No"),
IF($A355="Cybernet",
IF(OR(
AND($Y355&lt;&gt;"",LOWER(TRIM($Y355))&lt;&gt;"n/a",COUNTIFS($B$2:$B$528,"Yes",$A$2:$A$528,"Cybernet",$Y$2:$Y$528,$Y355)&gt;1),
AND($Z355&lt;&gt;"",LOWER(TRIM($Z355))&lt;&gt;"n/a",COUNTIFS($B$2:$B$528,"Yes",$A$2:$A$528,"Cybernet",$Z$2:$Z$528,$Z355)&gt;1)
),"Yes","No"),
IF(AND($AL355&lt;&gt;"",LOWER(TRIM($AL355))&lt;&gt;"n/a"),
IF(COUNTIFS($B$2:$B$528,"Yes",$A$2:$A$528,$A355,$AL$2:$AL$528,$AL355)&gt;1,"Yes","No"),
"No")
)
)
)</f>
        <v/>
      </c>
      <c r="BL355" s="4" t="str">
        <f t="shared" si="16"/>
        <v/>
      </c>
      <c r="BM355" s="8" t="str">
        <f t="shared" si="17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 ht="15" customHeight="1">
      <c r="D356" s="15" t="str">
        <f t="shared" si="18"/>
        <v/>
      </c>
      <c r="E356" s="15" t="str">
        <f>IF($A356="","",IF($A356="Neuron",IF(OR(AND($S356&lt;&gt;"",LOWER(TRIM($S356))&lt;&gt;"n/a",COUNTIF($S$2:$S$528,$S356)&gt;1),AND($T356&lt;&gt;"",LOWER(TRIM($T356))&lt;&gt;"n/a",COUNTIF($T$2:$T$528,$T356)&gt;1),AND($W356&lt;&gt;"",LOWER(TRIM($W356))&lt;&gt;"n/a",COUNTIF($W$2:$W$528,$W356)&gt;1)),"Yes","No"),IF($A356="Cybernet",IF(OR(AND($Y356&lt;&gt;"",LOWER(TRIM($Y356))&lt;&gt;"n/a",COUNTIF($Y$2:$Y$528,$Y356)&gt;1),AND($Z356&lt;&gt;"",LOWER(TRIM($Z356))&lt;&gt;"n/a",COUNTIF($Z$2:$Z$528,$Z356)&gt;1)),"Yes","No"),IF(AND($AL356&lt;&gt;"",LOWER(TRIM($AL356))&lt;&gt;"n/a",COUNTIF($AL$2:$AL$528,$AL356)&gt;1),"Yes","No"))))</f>
        <v/>
      </c>
      <c r="F356" t="str">
        <f>IF($B356&lt;&gt;"Yes","",
IF($A356="Neuron",
IF(OR(
AND($S356&lt;&gt;"",LOWER(TRIM($S356))&lt;&gt;"n/a",COUNTIFS($B$2:$B$528,"Yes",$A$2:$A$528,"Neuron",$S$2:$S$528,$S356)&gt;1),
AND($T356&lt;&gt;"",LOWER(TRIM($T356))&lt;&gt;"n/a",COUNTIFS($B$2:$B$528,"Yes",$A$2:$A$528,"Neuron",$T$2:$T$528,$T356)&gt;1),
AND($W356&lt;&gt;"",LOWER(TRIM($W356))&lt;&gt;"n/a",COUNTIFS($B$2:$B$528,"Yes",$A$2:$A$528,"Neuron",$W$2:$W$528,$W356)&gt;1)
),"Yes","No"),
IF($A356="Cybernet",
IF(OR(
AND($Y356&lt;&gt;"",LOWER(TRIM($Y356))&lt;&gt;"n/a",COUNTIFS($B$2:$B$528,"Yes",$A$2:$A$528,"Cybernet",$Y$2:$Y$528,$Y356)&gt;1),
AND($Z356&lt;&gt;"",LOWER(TRIM($Z356))&lt;&gt;"n/a",COUNTIFS($B$2:$B$528,"Yes",$A$2:$A$528,"Cybernet",$Z$2:$Z$528,$Z356)&gt;1)
),"Yes","No"),
IF(AND($AL356&lt;&gt;"",LOWER(TRIM($AL356))&lt;&gt;"n/a"),
IF(COUNTIFS($B$2:$B$528,"Yes",$A$2:$A$528,$A356,$AL$2:$AL$528,$AL356)&gt;1,"Yes","No"),
"No")
)
)
)</f>
        <v/>
      </c>
      <c r="BL356" s="4" t="str">
        <f t="shared" si="16"/>
        <v/>
      </c>
      <c r="BM356" s="8" t="str">
        <f t="shared" si="17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 ht="15" customHeight="1">
      <c r="D357" s="15" t="str">
        <f t="shared" si="18"/>
        <v/>
      </c>
      <c r="E357" s="15" t="str">
        <f>IF($A357="","",IF($A357="Neuron",IF(OR(AND($S357&lt;&gt;"",LOWER(TRIM($S357))&lt;&gt;"n/a",COUNTIF($S$2:$S$528,$S357)&gt;1),AND($T357&lt;&gt;"",LOWER(TRIM($T357))&lt;&gt;"n/a",COUNTIF($T$2:$T$528,$T357)&gt;1),AND($W357&lt;&gt;"",LOWER(TRIM($W357))&lt;&gt;"n/a",COUNTIF($W$2:$W$528,$W357)&gt;1)),"Yes","No"),IF($A357="Cybernet",IF(OR(AND($Y357&lt;&gt;"",LOWER(TRIM($Y357))&lt;&gt;"n/a",COUNTIF($Y$2:$Y$528,$Y357)&gt;1),AND($Z357&lt;&gt;"",LOWER(TRIM($Z357))&lt;&gt;"n/a",COUNTIF($Z$2:$Z$528,$Z357)&gt;1)),"Yes","No"),IF(AND($AL357&lt;&gt;"",LOWER(TRIM($AL357))&lt;&gt;"n/a",COUNTIF($AL$2:$AL$528,$AL357)&gt;1),"Yes","No"))))</f>
        <v/>
      </c>
      <c r="F357" t="str">
        <f>IF($B357&lt;&gt;"Yes","",
IF($A357="Neuron",
IF(OR(
AND($S357&lt;&gt;"",LOWER(TRIM($S357))&lt;&gt;"n/a",COUNTIFS($B$2:$B$528,"Yes",$A$2:$A$528,"Neuron",$S$2:$S$528,$S357)&gt;1),
AND($T357&lt;&gt;"",LOWER(TRIM($T357))&lt;&gt;"n/a",COUNTIFS($B$2:$B$528,"Yes",$A$2:$A$528,"Neuron",$T$2:$T$528,$T357)&gt;1),
AND($W357&lt;&gt;"",LOWER(TRIM($W357))&lt;&gt;"n/a",COUNTIFS($B$2:$B$528,"Yes",$A$2:$A$528,"Neuron",$W$2:$W$528,$W357)&gt;1)
),"Yes","No"),
IF($A357="Cybernet",
IF(OR(
AND($Y357&lt;&gt;"",LOWER(TRIM($Y357))&lt;&gt;"n/a",COUNTIFS($B$2:$B$528,"Yes",$A$2:$A$528,"Cybernet",$Y$2:$Y$528,$Y357)&gt;1),
AND($Z357&lt;&gt;"",LOWER(TRIM($Z357))&lt;&gt;"n/a",COUNTIFS($B$2:$B$528,"Yes",$A$2:$A$528,"Cybernet",$Z$2:$Z$528,$Z357)&gt;1)
),"Yes","No"),
IF(AND($AL357&lt;&gt;"",LOWER(TRIM($AL357))&lt;&gt;"n/a"),
IF(COUNTIFS($B$2:$B$528,"Yes",$A$2:$A$528,$A357,$AL$2:$AL$528,$AL357)&gt;1,"Yes","No"),
"No")
)
)
)</f>
        <v/>
      </c>
      <c r="BL357" s="4" t="str">
        <f t="shared" si="16"/>
        <v/>
      </c>
      <c r="BM357" s="8" t="str">
        <f t="shared" si="17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 ht="15" customHeight="1">
      <c r="D358" s="15" t="str">
        <f t="shared" si="18"/>
        <v/>
      </c>
      <c r="E358" s="15" t="str">
        <f>IF($A358="","",IF($A358="Neuron",IF(OR(AND($S358&lt;&gt;"",LOWER(TRIM($S358))&lt;&gt;"n/a",COUNTIF($S$2:$S$528,$S358)&gt;1),AND($T358&lt;&gt;"",LOWER(TRIM($T358))&lt;&gt;"n/a",COUNTIF($T$2:$T$528,$T358)&gt;1),AND($W358&lt;&gt;"",LOWER(TRIM($W358))&lt;&gt;"n/a",COUNTIF($W$2:$W$528,$W358)&gt;1)),"Yes","No"),IF($A358="Cybernet",IF(OR(AND($Y358&lt;&gt;"",LOWER(TRIM($Y358))&lt;&gt;"n/a",COUNTIF($Y$2:$Y$528,$Y358)&gt;1),AND($Z358&lt;&gt;"",LOWER(TRIM($Z358))&lt;&gt;"n/a",COUNTIF($Z$2:$Z$528,$Z358)&gt;1)),"Yes","No"),IF(AND($AL358&lt;&gt;"",LOWER(TRIM($AL358))&lt;&gt;"n/a",COUNTIF($AL$2:$AL$528,$AL358)&gt;1),"Yes","No"))))</f>
        <v/>
      </c>
      <c r="F358" t="str">
        <f>IF($B358&lt;&gt;"Yes","",
IF($A358="Neuron",
IF(OR(
AND($S358&lt;&gt;"",LOWER(TRIM($S358))&lt;&gt;"n/a",COUNTIFS($B$2:$B$528,"Yes",$A$2:$A$528,"Neuron",$S$2:$S$528,$S358)&gt;1),
AND($T358&lt;&gt;"",LOWER(TRIM($T358))&lt;&gt;"n/a",COUNTIFS($B$2:$B$528,"Yes",$A$2:$A$528,"Neuron",$T$2:$T$528,$T358)&gt;1),
AND($W358&lt;&gt;"",LOWER(TRIM($W358))&lt;&gt;"n/a",COUNTIFS($B$2:$B$528,"Yes",$A$2:$A$528,"Neuron",$W$2:$W$528,$W358)&gt;1)
),"Yes","No"),
IF($A358="Cybernet",
IF(OR(
AND($Y358&lt;&gt;"",LOWER(TRIM($Y358))&lt;&gt;"n/a",COUNTIFS($B$2:$B$528,"Yes",$A$2:$A$528,"Cybernet",$Y$2:$Y$528,$Y358)&gt;1),
AND($Z358&lt;&gt;"",LOWER(TRIM($Z358))&lt;&gt;"n/a",COUNTIFS($B$2:$B$528,"Yes",$A$2:$A$528,"Cybernet",$Z$2:$Z$528,$Z358)&gt;1)
),"Yes","No"),
IF(AND($AL358&lt;&gt;"",LOWER(TRIM($AL358))&lt;&gt;"n/a"),
IF(COUNTIFS($B$2:$B$528,"Yes",$A$2:$A$528,$A358,$AL$2:$AL$528,$AL358)&gt;1,"Yes","No"),
"No")
)
)
)</f>
        <v/>
      </c>
      <c r="BL358" s="4" t="str">
        <f t="shared" si="16"/>
        <v/>
      </c>
      <c r="BM358" s="8" t="str">
        <f t="shared" si="17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 ht="15" customHeight="1">
      <c r="D359" s="15" t="str">
        <f t="shared" si="18"/>
        <v/>
      </c>
      <c r="E359" s="15" t="str">
        <f>IF($A359="","",IF($A359="Neuron",IF(OR(AND($S359&lt;&gt;"",LOWER(TRIM($S359))&lt;&gt;"n/a",COUNTIF($S$2:$S$528,$S359)&gt;1),AND($T359&lt;&gt;"",LOWER(TRIM($T359))&lt;&gt;"n/a",COUNTIF($T$2:$T$528,$T359)&gt;1),AND($W359&lt;&gt;"",LOWER(TRIM($W359))&lt;&gt;"n/a",COUNTIF($W$2:$W$528,$W359)&gt;1)),"Yes","No"),IF($A359="Cybernet",IF(OR(AND($Y359&lt;&gt;"",LOWER(TRIM($Y359))&lt;&gt;"n/a",COUNTIF($Y$2:$Y$528,$Y359)&gt;1),AND($Z359&lt;&gt;"",LOWER(TRIM($Z359))&lt;&gt;"n/a",COUNTIF($Z$2:$Z$528,$Z359)&gt;1)),"Yes","No"),IF(AND($AL359&lt;&gt;"",LOWER(TRIM($AL359))&lt;&gt;"n/a",COUNTIF($AL$2:$AL$528,$AL359)&gt;1),"Yes","No"))))</f>
        <v/>
      </c>
      <c r="F359" t="str">
        <f>IF($B359&lt;&gt;"Yes","",
IF($A359="Neuron",
IF(OR(
AND($S359&lt;&gt;"",LOWER(TRIM($S359))&lt;&gt;"n/a",COUNTIFS($B$2:$B$528,"Yes",$A$2:$A$528,"Neuron",$S$2:$S$528,$S359)&gt;1),
AND($T359&lt;&gt;"",LOWER(TRIM($T359))&lt;&gt;"n/a",COUNTIFS($B$2:$B$528,"Yes",$A$2:$A$528,"Neuron",$T$2:$T$528,$T359)&gt;1),
AND($W359&lt;&gt;"",LOWER(TRIM($W359))&lt;&gt;"n/a",COUNTIFS($B$2:$B$528,"Yes",$A$2:$A$528,"Neuron",$W$2:$W$528,$W359)&gt;1)
),"Yes","No"),
IF($A359="Cybernet",
IF(OR(
AND($Y359&lt;&gt;"",LOWER(TRIM($Y359))&lt;&gt;"n/a",COUNTIFS($B$2:$B$528,"Yes",$A$2:$A$528,"Cybernet",$Y$2:$Y$528,$Y359)&gt;1),
AND($Z359&lt;&gt;"",LOWER(TRIM($Z359))&lt;&gt;"n/a",COUNTIFS($B$2:$B$528,"Yes",$A$2:$A$528,"Cybernet",$Z$2:$Z$528,$Z359)&gt;1)
),"Yes","No"),
IF(AND($AL359&lt;&gt;"",LOWER(TRIM($AL359))&lt;&gt;"n/a"),
IF(COUNTIFS($B$2:$B$528,"Yes",$A$2:$A$528,$A359,$AL$2:$AL$528,$AL359)&gt;1,"Yes","No"),
"No")
)
)
)</f>
        <v/>
      </c>
      <c r="BL359" s="4" t="str">
        <f t="shared" si="16"/>
        <v/>
      </c>
      <c r="BM359" s="8" t="str">
        <f t="shared" si="17"/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 ht="15" customHeight="1">
      <c r="D360" s="15" t="str">
        <f t="shared" si="18"/>
        <v/>
      </c>
      <c r="E360" s="15" t="str">
        <f>IF($A360="","",IF($A360="Neuron",IF(OR(AND($S360&lt;&gt;"",LOWER(TRIM($S360))&lt;&gt;"n/a",COUNTIF($S$2:$S$528,$S360)&gt;1),AND($T360&lt;&gt;"",LOWER(TRIM($T360))&lt;&gt;"n/a",COUNTIF($T$2:$T$528,$T360)&gt;1),AND($W360&lt;&gt;"",LOWER(TRIM($W360))&lt;&gt;"n/a",COUNTIF($W$2:$W$528,$W360)&gt;1)),"Yes","No"),IF($A360="Cybernet",IF(OR(AND($Y360&lt;&gt;"",LOWER(TRIM($Y360))&lt;&gt;"n/a",COUNTIF($Y$2:$Y$528,$Y360)&gt;1),AND($Z360&lt;&gt;"",LOWER(TRIM($Z360))&lt;&gt;"n/a",COUNTIF($Z$2:$Z$528,$Z360)&gt;1)),"Yes","No"),IF(AND($AL360&lt;&gt;"",LOWER(TRIM($AL360))&lt;&gt;"n/a",COUNTIF($AL$2:$AL$528,$AL360)&gt;1),"Yes","No"))))</f>
        <v/>
      </c>
      <c r="F360" t="str">
        <f>IF($B360&lt;&gt;"Yes","",
IF($A360="Neuron",
IF(OR(
AND($S360&lt;&gt;"",LOWER(TRIM($S360))&lt;&gt;"n/a",COUNTIFS($B$2:$B$528,"Yes",$A$2:$A$528,"Neuron",$S$2:$S$528,$S360)&gt;1),
AND($T360&lt;&gt;"",LOWER(TRIM($T360))&lt;&gt;"n/a",COUNTIFS($B$2:$B$528,"Yes",$A$2:$A$528,"Neuron",$T$2:$T$528,$T360)&gt;1),
AND($W360&lt;&gt;"",LOWER(TRIM($W360))&lt;&gt;"n/a",COUNTIFS($B$2:$B$528,"Yes",$A$2:$A$528,"Neuron",$W$2:$W$528,$W360)&gt;1)
),"Yes","No"),
IF($A360="Cybernet",
IF(OR(
AND($Y360&lt;&gt;"",LOWER(TRIM($Y360))&lt;&gt;"n/a",COUNTIFS($B$2:$B$528,"Yes",$A$2:$A$528,"Cybernet",$Y$2:$Y$528,$Y360)&gt;1),
AND($Z360&lt;&gt;"",LOWER(TRIM($Z360))&lt;&gt;"n/a",COUNTIFS($B$2:$B$528,"Yes",$A$2:$A$528,"Cybernet",$Z$2:$Z$528,$Z360)&gt;1)
),"Yes","No"),
IF(AND($AL360&lt;&gt;"",LOWER(TRIM($AL360))&lt;&gt;"n/a"),
IF(COUNTIFS($B$2:$B$528,"Yes",$A$2:$A$528,$A360,$AL$2:$AL$528,$AL360)&gt;1,"Yes","No"),
"No")
)
)
)</f>
        <v/>
      </c>
      <c r="BL360" s="4" t="str">
        <f t="shared" si="16"/>
        <v/>
      </c>
      <c r="BM360" s="8" t="str">
        <f t="shared" si="17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 ht="15" customHeight="1">
      <c r="D361" s="15" t="str">
        <f t="shared" si="18"/>
        <v/>
      </c>
      <c r="E361" s="15" t="str">
        <f>IF($A361="","",IF($A361="Neuron",IF(OR(AND($S361&lt;&gt;"",LOWER(TRIM($S361))&lt;&gt;"n/a",COUNTIF($S$2:$S$528,$S361)&gt;1),AND($T361&lt;&gt;"",LOWER(TRIM($T361))&lt;&gt;"n/a",COUNTIF($T$2:$T$528,$T361)&gt;1),AND($W361&lt;&gt;"",LOWER(TRIM($W361))&lt;&gt;"n/a",COUNTIF($W$2:$W$528,$W361)&gt;1)),"Yes","No"),IF($A361="Cybernet",IF(OR(AND($Y361&lt;&gt;"",LOWER(TRIM($Y361))&lt;&gt;"n/a",COUNTIF($Y$2:$Y$528,$Y361)&gt;1),AND($Z361&lt;&gt;"",LOWER(TRIM($Z361))&lt;&gt;"n/a",COUNTIF($Z$2:$Z$528,$Z361)&gt;1)),"Yes","No"),IF(AND($AL361&lt;&gt;"",LOWER(TRIM($AL361))&lt;&gt;"n/a",COUNTIF($AL$2:$AL$528,$AL361)&gt;1),"Yes","No"))))</f>
        <v/>
      </c>
      <c r="F361" t="str">
        <f>IF($B361&lt;&gt;"Yes","",
IF($A361="Neuron",
IF(OR(
AND($S361&lt;&gt;"",LOWER(TRIM($S361))&lt;&gt;"n/a",COUNTIFS($B$2:$B$528,"Yes",$A$2:$A$528,"Neuron",$S$2:$S$528,$S361)&gt;1),
AND($T361&lt;&gt;"",LOWER(TRIM($T361))&lt;&gt;"n/a",COUNTIFS($B$2:$B$528,"Yes",$A$2:$A$528,"Neuron",$T$2:$T$528,$T361)&gt;1),
AND($W361&lt;&gt;"",LOWER(TRIM($W361))&lt;&gt;"n/a",COUNTIFS($B$2:$B$528,"Yes",$A$2:$A$528,"Neuron",$W$2:$W$528,$W361)&gt;1)
),"Yes","No"),
IF($A361="Cybernet",
IF(OR(
AND($Y361&lt;&gt;"",LOWER(TRIM($Y361))&lt;&gt;"n/a",COUNTIFS($B$2:$B$528,"Yes",$A$2:$A$528,"Cybernet",$Y$2:$Y$528,$Y361)&gt;1),
AND($Z361&lt;&gt;"",LOWER(TRIM($Z361))&lt;&gt;"n/a",COUNTIFS($B$2:$B$528,"Yes",$A$2:$A$528,"Cybernet",$Z$2:$Z$528,$Z361)&gt;1)
),"Yes","No"),
IF(AND($AL361&lt;&gt;"",LOWER(TRIM($AL361))&lt;&gt;"n/a"),
IF(COUNTIFS($B$2:$B$528,"Yes",$A$2:$A$528,$A361,$AL$2:$AL$528,$AL361)&gt;1,"Yes","No"),
"No")
)
)
)</f>
        <v/>
      </c>
      <c r="BL361" s="4" t="str">
        <f t="shared" si="16"/>
        <v/>
      </c>
      <c r="BM361" s="8" t="str">
        <f t="shared" si="17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 ht="15" customHeight="1">
      <c r="D362" s="15" t="str">
        <f t="shared" si="18"/>
        <v/>
      </c>
      <c r="E362" s="15" t="str">
        <f>IF($A362="","",IF($A362="Neuron",IF(OR(AND($S362&lt;&gt;"",LOWER(TRIM($S362))&lt;&gt;"n/a",COUNTIF($S$2:$S$528,$S362)&gt;1),AND($T362&lt;&gt;"",LOWER(TRIM($T362))&lt;&gt;"n/a",COUNTIF($T$2:$T$528,$T362)&gt;1),AND($W362&lt;&gt;"",LOWER(TRIM($W362))&lt;&gt;"n/a",COUNTIF($W$2:$W$528,$W362)&gt;1)),"Yes","No"),IF($A362="Cybernet",IF(OR(AND($Y362&lt;&gt;"",LOWER(TRIM($Y362))&lt;&gt;"n/a",COUNTIF($Y$2:$Y$528,$Y362)&gt;1),AND($Z362&lt;&gt;"",LOWER(TRIM($Z362))&lt;&gt;"n/a",COUNTIF($Z$2:$Z$528,$Z362)&gt;1)),"Yes","No"),IF(AND($AL362&lt;&gt;"",LOWER(TRIM($AL362))&lt;&gt;"n/a",COUNTIF($AL$2:$AL$528,$AL362)&gt;1),"Yes","No"))))</f>
        <v/>
      </c>
      <c r="F362" t="str">
        <f>IF($B362&lt;&gt;"Yes","",
IF($A362="Neuron",
IF(OR(
AND($S362&lt;&gt;"",LOWER(TRIM($S362))&lt;&gt;"n/a",COUNTIFS($B$2:$B$528,"Yes",$A$2:$A$528,"Neuron",$S$2:$S$528,$S362)&gt;1),
AND($T362&lt;&gt;"",LOWER(TRIM($T362))&lt;&gt;"n/a",COUNTIFS($B$2:$B$528,"Yes",$A$2:$A$528,"Neuron",$T$2:$T$528,$T362)&gt;1),
AND($W362&lt;&gt;"",LOWER(TRIM($W362))&lt;&gt;"n/a",COUNTIFS($B$2:$B$528,"Yes",$A$2:$A$528,"Neuron",$W$2:$W$528,$W362)&gt;1)
),"Yes","No"),
IF($A362="Cybernet",
IF(OR(
AND($Y362&lt;&gt;"",LOWER(TRIM($Y362))&lt;&gt;"n/a",COUNTIFS($B$2:$B$528,"Yes",$A$2:$A$528,"Cybernet",$Y$2:$Y$528,$Y362)&gt;1),
AND($Z362&lt;&gt;"",LOWER(TRIM($Z362))&lt;&gt;"n/a",COUNTIFS($B$2:$B$528,"Yes",$A$2:$A$528,"Cybernet",$Z$2:$Z$528,$Z362)&gt;1)
),"Yes","No"),
IF(AND($AL362&lt;&gt;"",LOWER(TRIM($AL362))&lt;&gt;"n/a"),
IF(COUNTIFS($B$2:$B$528,"Yes",$A$2:$A$528,$A362,$AL$2:$AL$528,$AL362)&gt;1,"Yes","No"),
"No")
)
)
)</f>
        <v/>
      </c>
      <c r="BL362" s="4" t="str">
        <f t="shared" si="16"/>
        <v/>
      </c>
      <c r="BM362" s="8" t="str">
        <f t="shared" si="17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 ht="15" customHeight="1">
      <c r="D363" s="15" t="str">
        <f t="shared" si="18"/>
        <v/>
      </c>
      <c r="E363" s="15" t="str">
        <f>IF($A363="","",IF($A363="Neuron",IF(OR(AND($S363&lt;&gt;"",LOWER(TRIM($S363))&lt;&gt;"n/a",COUNTIF($S$2:$S$528,$S363)&gt;1),AND($T363&lt;&gt;"",LOWER(TRIM($T363))&lt;&gt;"n/a",COUNTIF($T$2:$T$528,$T363)&gt;1),AND($W363&lt;&gt;"",LOWER(TRIM($W363))&lt;&gt;"n/a",COUNTIF($W$2:$W$528,$W363)&gt;1)),"Yes","No"),IF($A363="Cybernet",IF(OR(AND($Y363&lt;&gt;"",LOWER(TRIM($Y363))&lt;&gt;"n/a",COUNTIF($Y$2:$Y$528,$Y363)&gt;1),AND($Z363&lt;&gt;"",LOWER(TRIM($Z363))&lt;&gt;"n/a",COUNTIF($Z$2:$Z$528,$Z363)&gt;1)),"Yes","No"),IF(AND($AL363&lt;&gt;"",LOWER(TRIM($AL363))&lt;&gt;"n/a",COUNTIF($AL$2:$AL$528,$AL363)&gt;1),"Yes","No"))))</f>
        <v/>
      </c>
      <c r="F363" t="str">
        <f>IF($B363&lt;&gt;"Yes","",
IF($A363="Neuron",
IF(OR(
AND($S363&lt;&gt;"",LOWER(TRIM($S363))&lt;&gt;"n/a",COUNTIFS($B$2:$B$528,"Yes",$A$2:$A$528,"Neuron",$S$2:$S$528,$S363)&gt;1),
AND($T363&lt;&gt;"",LOWER(TRIM($T363))&lt;&gt;"n/a",COUNTIFS($B$2:$B$528,"Yes",$A$2:$A$528,"Neuron",$T$2:$T$528,$T363)&gt;1),
AND($W363&lt;&gt;"",LOWER(TRIM($W363))&lt;&gt;"n/a",COUNTIFS($B$2:$B$528,"Yes",$A$2:$A$528,"Neuron",$W$2:$W$528,$W363)&gt;1)
),"Yes","No"),
IF($A363="Cybernet",
IF(OR(
AND($Y363&lt;&gt;"",LOWER(TRIM($Y363))&lt;&gt;"n/a",COUNTIFS($B$2:$B$528,"Yes",$A$2:$A$528,"Cybernet",$Y$2:$Y$528,$Y363)&gt;1),
AND($Z363&lt;&gt;"",LOWER(TRIM($Z363))&lt;&gt;"n/a",COUNTIFS($B$2:$B$528,"Yes",$A$2:$A$528,"Cybernet",$Z$2:$Z$528,$Z363)&gt;1)
),"Yes","No"),
IF(AND($AL363&lt;&gt;"",LOWER(TRIM($AL363))&lt;&gt;"n/a"),
IF(COUNTIFS($B$2:$B$528,"Yes",$A$2:$A$528,$A363,$AL$2:$AL$528,$AL363)&gt;1,"Yes","No"),
"No")
)
)
)</f>
        <v/>
      </c>
      <c r="BL363" s="4" t="str">
        <f t="shared" si="16"/>
        <v/>
      </c>
      <c r="BM363" s="8" t="str">
        <f t="shared" si="17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 ht="15" customHeight="1">
      <c r="D364" s="15" t="str">
        <f t="shared" si="18"/>
        <v/>
      </c>
      <c r="E364" s="15" t="str">
        <f>IF($A364="","",IF($A364="Neuron",IF(OR(AND($S364&lt;&gt;"",LOWER(TRIM($S364))&lt;&gt;"n/a",COUNTIF($S$2:$S$528,$S364)&gt;1),AND($T364&lt;&gt;"",LOWER(TRIM($T364))&lt;&gt;"n/a",COUNTIF($T$2:$T$528,$T364)&gt;1),AND($W364&lt;&gt;"",LOWER(TRIM($W364))&lt;&gt;"n/a",COUNTIF($W$2:$W$528,$W364)&gt;1)),"Yes","No"),IF($A364="Cybernet",IF(OR(AND($Y364&lt;&gt;"",LOWER(TRIM($Y364))&lt;&gt;"n/a",COUNTIF($Y$2:$Y$528,$Y364)&gt;1),AND($Z364&lt;&gt;"",LOWER(TRIM($Z364))&lt;&gt;"n/a",COUNTIF($Z$2:$Z$528,$Z364)&gt;1)),"Yes","No"),IF(AND($AL364&lt;&gt;"",LOWER(TRIM($AL364))&lt;&gt;"n/a",COUNTIF($AL$2:$AL$528,$AL364)&gt;1),"Yes","No"))))</f>
        <v/>
      </c>
      <c r="F364" t="str">
        <f>IF($B364&lt;&gt;"Yes","",
IF($A364="Neuron",
IF(OR(
AND($S364&lt;&gt;"",LOWER(TRIM($S364))&lt;&gt;"n/a",COUNTIFS($B$2:$B$528,"Yes",$A$2:$A$528,"Neuron",$S$2:$S$528,$S364)&gt;1),
AND($T364&lt;&gt;"",LOWER(TRIM($T364))&lt;&gt;"n/a",COUNTIFS($B$2:$B$528,"Yes",$A$2:$A$528,"Neuron",$T$2:$T$528,$T364)&gt;1),
AND($W364&lt;&gt;"",LOWER(TRIM($W364))&lt;&gt;"n/a",COUNTIFS($B$2:$B$528,"Yes",$A$2:$A$528,"Neuron",$W$2:$W$528,$W364)&gt;1)
),"Yes","No"),
IF($A364="Cybernet",
IF(OR(
AND($Y364&lt;&gt;"",LOWER(TRIM($Y364))&lt;&gt;"n/a",COUNTIFS($B$2:$B$528,"Yes",$A$2:$A$528,"Cybernet",$Y$2:$Y$528,$Y364)&gt;1),
AND($Z364&lt;&gt;"",LOWER(TRIM($Z364))&lt;&gt;"n/a",COUNTIFS($B$2:$B$528,"Yes",$A$2:$A$528,"Cybernet",$Z$2:$Z$528,$Z364)&gt;1)
),"Yes","No"),
IF(AND($AL364&lt;&gt;"",LOWER(TRIM($AL364))&lt;&gt;"n/a"),
IF(COUNTIFS($B$2:$B$528,"Yes",$A$2:$A$528,$A364,$AL$2:$AL$528,$AL364)&gt;1,"Yes","No"),
"No")
)
)
)</f>
        <v/>
      </c>
      <c r="BL364" s="4" t="str">
        <f t="shared" si="16"/>
        <v/>
      </c>
      <c r="BM364" s="8" t="str">
        <f t="shared" si="17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 ht="15" customHeight="1">
      <c r="D365" s="15" t="str">
        <f t="shared" si="18"/>
        <v/>
      </c>
      <c r="E365" s="15" t="str">
        <f>IF($A365="","",IF($A365="Neuron",IF(OR(AND($S365&lt;&gt;"",LOWER(TRIM($S365))&lt;&gt;"n/a",COUNTIF($S$2:$S$528,$S365)&gt;1),AND($T365&lt;&gt;"",LOWER(TRIM($T365))&lt;&gt;"n/a",COUNTIF($T$2:$T$528,$T365)&gt;1),AND($W365&lt;&gt;"",LOWER(TRIM($W365))&lt;&gt;"n/a",COUNTIF($W$2:$W$528,$W365)&gt;1)),"Yes","No"),IF($A365="Cybernet",IF(OR(AND($Y365&lt;&gt;"",LOWER(TRIM($Y365))&lt;&gt;"n/a",COUNTIF($Y$2:$Y$528,$Y365)&gt;1),AND($Z365&lt;&gt;"",LOWER(TRIM($Z365))&lt;&gt;"n/a",COUNTIF($Z$2:$Z$528,$Z365)&gt;1)),"Yes","No"),IF(AND($AL365&lt;&gt;"",LOWER(TRIM($AL365))&lt;&gt;"n/a",COUNTIF($AL$2:$AL$528,$AL365)&gt;1),"Yes","No"))))</f>
        <v/>
      </c>
      <c r="F365" t="str">
        <f>IF($B365&lt;&gt;"Yes","",
IF($A365="Neuron",
IF(OR(
AND($S365&lt;&gt;"",LOWER(TRIM($S365))&lt;&gt;"n/a",COUNTIFS($B$2:$B$528,"Yes",$A$2:$A$528,"Neuron",$S$2:$S$528,$S365)&gt;1),
AND($T365&lt;&gt;"",LOWER(TRIM($T365))&lt;&gt;"n/a",COUNTIFS($B$2:$B$528,"Yes",$A$2:$A$528,"Neuron",$T$2:$T$528,$T365)&gt;1),
AND($W365&lt;&gt;"",LOWER(TRIM($W365))&lt;&gt;"n/a",COUNTIFS($B$2:$B$528,"Yes",$A$2:$A$528,"Neuron",$W$2:$W$528,$W365)&gt;1)
),"Yes","No"),
IF($A365="Cybernet",
IF(OR(
AND($Y365&lt;&gt;"",LOWER(TRIM($Y365))&lt;&gt;"n/a",COUNTIFS($B$2:$B$528,"Yes",$A$2:$A$528,"Cybernet",$Y$2:$Y$528,$Y365)&gt;1),
AND($Z365&lt;&gt;"",LOWER(TRIM($Z365))&lt;&gt;"n/a",COUNTIFS($B$2:$B$528,"Yes",$A$2:$A$528,"Cybernet",$Z$2:$Z$528,$Z365)&gt;1)
),"Yes","No"),
IF(AND($AL365&lt;&gt;"",LOWER(TRIM($AL365))&lt;&gt;"n/a"),
IF(COUNTIFS($B$2:$B$528,"Yes",$A$2:$A$528,$A365,$AL$2:$AL$528,$AL365)&gt;1,"Yes","No"),
"No")
)
)
)</f>
        <v/>
      </c>
      <c r="BL365" s="4" t="str">
        <f t="shared" si="16"/>
        <v/>
      </c>
      <c r="BM365" s="8" t="str">
        <f t="shared" si="17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 ht="15" customHeight="1">
      <c r="D366" s="15" t="str">
        <f t="shared" si="18"/>
        <v/>
      </c>
      <c r="E366" s="15" t="str">
        <f>IF($A366="","",IF($A366="Neuron",IF(OR(AND($S366&lt;&gt;"",LOWER(TRIM($S366))&lt;&gt;"n/a",COUNTIF($S$2:$S$528,$S366)&gt;1),AND($T366&lt;&gt;"",LOWER(TRIM($T366))&lt;&gt;"n/a",COUNTIF($T$2:$T$528,$T366)&gt;1),AND($W366&lt;&gt;"",LOWER(TRIM($W366))&lt;&gt;"n/a",COUNTIF($W$2:$W$528,$W366)&gt;1)),"Yes","No"),IF($A366="Cybernet",IF(OR(AND($Y366&lt;&gt;"",LOWER(TRIM($Y366))&lt;&gt;"n/a",COUNTIF($Y$2:$Y$528,$Y366)&gt;1),AND($Z366&lt;&gt;"",LOWER(TRIM($Z366))&lt;&gt;"n/a",COUNTIF($Z$2:$Z$528,$Z366)&gt;1)),"Yes","No"),IF(AND($AL366&lt;&gt;"",LOWER(TRIM($AL366))&lt;&gt;"n/a",COUNTIF($AL$2:$AL$528,$AL366)&gt;1),"Yes","No"))))</f>
        <v/>
      </c>
      <c r="F366" t="str">
        <f>IF($B366&lt;&gt;"Yes","",
IF($A366="Neuron",
IF(OR(
AND($S366&lt;&gt;"",LOWER(TRIM($S366))&lt;&gt;"n/a",COUNTIFS($B$2:$B$528,"Yes",$A$2:$A$528,"Neuron",$S$2:$S$528,$S366)&gt;1),
AND($T366&lt;&gt;"",LOWER(TRIM($T366))&lt;&gt;"n/a",COUNTIFS($B$2:$B$528,"Yes",$A$2:$A$528,"Neuron",$T$2:$T$528,$T366)&gt;1),
AND($W366&lt;&gt;"",LOWER(TRIM($W366))&lt;&gt;"n/a",COUNTIFS($B$2:$B$528,"Yes",$A$2:$A$528,"Neuron",$W$2:$W$528,$W366)&gt;1)
),"Yes","No"),
IF($A366="Cybernet",
IF(OR(
AND($Y366&lt;&gt;"",LOWER(TRIM($Y366))&lt;&gt;"n/a",COUNTIFS($B$2:$B$528,"Yes",$A$2:$A$528,"Cybernet",$Y$2:$Y$528,$Y366)&gt;1),
AND($Z366&lt;&gt;"",LOWER(TRIM($Z366))&lt;&gt;"n/a",COUNTIFS($B$2:$B$528,"Yes",$A$2:$A$528,"Cybernet",$Z$2:$Z$528,$Z366)&gt;1)
),"Yes","No"),
IF(AND($AL366&lt;&gt;"",LOWER(TRIM($AL366))&lt;&gt;"n/a"),
IF(COUNTIFS($B$2:$B$528,"Yes",$A$2:$A$528,$A366,$AL$2:$AL$528,$AL366)&gt;1,"Yes","No"),
"No")
)
)
)</f>
        <v/>
      </c>
      <c r="BL366" s="4" t="str">
        <f t="shared" si="16"/>
        <v/>
      </c>
      <c r="BM366" s="8" t="str">
        <f t="shared" si="17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 ht="15" customHeight="1">
      <c r="D367" s="15" t="str">
        <f t="shared" si="18"/>
        <v/>
      </c>
      <c r="E367" s="15" t="str">
        <f>IF($A367="","",IF($A367="Neuron",IF(OR(AND($S367&lt;&gt;"",LOWER(TRIM($S367))&lt;&gt;"n/a",COUNTIF($S$2:$S$528,$S367)&gt;1),AND($T367&lt;&gt;"",LOWER(TRIM($T367))&lt;&gt;"n/a",COUNTIF($T$2:$T$528,$T367)&gt;1),AND($W367&lt;&gt;"",LOWER(TRIM($W367))&lt;&gt;"n/a",COUNTIF($W$2:$W$528,$W367)&gt;1)),"Yes","No"),IF($A367="Cybernet",IF(OR(AND($Y367&lt;&gt;"",LOWER(TRIM($Y367))&lt;&gt;"n/a",COUNTIF($Y$2:$Y$528,$Y367)&gt;1),AND($Z367&lt;&gt;"",LOWER(TRIM($Z367))&lt;&gt;"n/a",COUNTIF($Z$2:$Z$528,$Z367)&gt;1)),"Yes","No"),IF(AND($AL367&lt;&gt;"",LOWER(TRIM($AL367))&lt;&gt;"n/a",COUNTIF($AL$2:$AL$528,$AL367)&gt;1),"Yes","No"))))</f>
        <v/>
      </c>
      <c r="F367" t="str">
        <f>IF($B367&lt;&gt;"Yes","",
IF($A367="Neuron",
IF(OR(
AND($S367&lt;&gt;"",LOWER(TRIM($S367))&lt;&gt;"n/a",COUNTIFS($B$2:$B$528,"Yes",$A$2:$A$528,"Neuron",$S$2:$S$528,$S367)&gt;1),
AND($T367&lt;&gt;"",LOWER(TRIM($T367))&lt;&gt;"n/a",COUNTIFS($B$2:$B$528,"Yes",$A$2:$A$528,"Neuron",$T$2:$T$528,$T367)&gt;1),
AND($W367&lt;&gt;"",LOWER(TRIM($W367))&lt;&gt;"n/a",COUNTIFS($B$2:$B$528,"Yes",$A$2:$A$528,"Neuron",$W$2:$W$528,$W367)&gt;1)
),"Yes","No"),
IF($A367="Cybernet",
IF(OR(
AND($Y367&lt;&gt;"",LOWER(TRIM($Y367))&lt;&gt;"n/a",COUNTIFS($B$2:$B$528,"Yes",$A$2:$A$528,"Cybernet",$Y$2:$Y$528,$Y367)&gt;1),
AND($Z367&lt;&gt;"",LOWER(TRIM($Z367))&lt;&gt;"n/a",COUNTIFS($B$2:$B$528,"Yes",$A$2:$A$528,"Cybernet",$Z$2:$Z$528,$Z367)&gt;1)
),"Yes","No"),
IF(AND($AL367&lt;&gt;"",LOWER(TRIM($AL367))&lt;&gt;"n/a"),
IF(COUNTIFS($B$2:$B$528,"Yes",$A$2:$A$528,$A367,$AL$2:$AL$528,$AL367)&gt;1,"Yes","No"),
"No")
)
)
)</f>
        <v/>
      </c>
      <c r="BL367" s="4" t="str">
        <f t="shared" si="16"/>
        <v/>
      </c>
      <c r="BM367" s="8" t="str">
        <f t="shared" si="17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 ht="15" customHeight="1">
      <c r="D368" s="15" t="str">
        <f t="shared" si="18"/>
        <v/>
      </c>
      <c r="E368" s="15" t="str">
        <f>IF($A368="","",IF($A368="Neuron",IF(OR(AND($S368&lt;&gt;"",LOWER(TRIM($S368))&lt;&gt;"n/a",COUNTIF($S$2:$S$528,$S368)&gt;1),AND($T368&lt;&gt;"",LOWER(TRIM($T368))&lt;&gt;"n/a",COUNTIF($T$2:$T$528,$T368)&gt;1),AND($W368&lt;&gt;"",LOWER(TRIM($W368))&lt;&gt;"n/a",COUNTIF($W$2:$W$528,$W368)&gt;1)),"Yes","No"),IF($A368="Cybernet",IF(OR(AND($Y368&lt;&gt;"",LOWER(TRIM($Y368))&lt;&gt;"n/a",COUNTIF($Y$2:$Y$528,$Y368)&gt;1),AND($Z368&lt;&gt;"",LOWER(TRIM($Z368))&lt;&gt;"n/a",COUNTIF($Z$2:$Z$528,$Z368)&gt;1)),"Yes","No"),IF(AND($AL368&lt;&gt;"",LOWER(TRIM($AL368))&lt;&gt;"n/a",COUNTIF($AL$2:$AL$528,$AL368)&gt;1),"Yes","No"))))</f>
        <v/>
      </c>
      <c r="F368" t="str">
        <f>IF($B368&lt;&gt;"Yes","",
IF($A368="Neuron",
IF(OR(
AND($S368&lt;&gt;"",LOWER(TRIM($S368))&lt;&gt;"n/a",COUNTIFS($B$2:$B$528,"Yes",$A$2:$A$528,"Neuron",$S$2:$S$528,$S368)&gt;1),
AND($T368&lt;&gt;"",LOWER(TRIM($T368))&lt;&gt;"n/a",COUNTIFS($B$2:$B$528,"Yes",$A$2:$A$528,"Neuron",$T$2:$T$528,$T368)&gt;1),
AND($W368&lt;&gt;"",LOWER(TRIM($W368))&lt;&gt;"n/a",COUNTIFS($B$2:$B$528,"Yes",$A$2:$A$528,"Neuron",$W$2:$W$528,$W368)&gt;1)
),"Yes","No"),
IF($A368="Cybernet",
IF(OR(
AND($Y368&lt;&gt;"",LOWER(TRIM($Y368))&lt;&gt;"n/a",COUNTIFS($B$2:$B$528,"Yes",$A$2:$A$528,"Cybernet",$Y$2:$Y$528,$Y368)&gt;1),
AND($Z368&lt;&gt;"",LOWER(TRIM($Z368))&lt;&gt;"n/a",COUNTIFS($B$2:$B$528,"Yes",$A$2:$A$528,"Cybernet",$Z$2:$Z$528,$Z368)&gt;1)
),"Yes","No"),
IF(AND($AL368&lt;&gt;"",LOWER(TRIM($AL368))&lt;&gt;"n/a"),
IF(COUNTIFS($B$2:$B$528,"Yes",$A$2:$A$528,$A368,$AL$2:$AL$528,$AL368)&gt;1,"Yes","No"),
"No")
)
)
)</f>
        <v/>
      </c>
      <c r="BL368" s="4" t="str">
        <f t="shared" si="16"/>
        <v/>
      </c>
      <c r="BM368" s="8" t="str">
        <f t="shared" si="17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 ht="15" customHeight="1">
      <c r="D369" s="15" t="str">
        <f t="shared" si="18"/>
        <v/>
      </c>
      <c r="E369" s="15" t="str">
        <f>IF($A369="","",IF($A369="Neuron",IF(OR(AND($S369&lt;&gt;"",LOWER(TRIM($S369))&lt;&gt;"n/a",COUNTIF($S$2:$S$528,$S369)&gt;1),AND($T369&lt;&gt;"",LOWER(TRIM($T369))&lt;&gt;"n/a",COUNTIF($T$2:$T$528,$T369)&gt;1),AND($W369&lt;&gt;"",LOWER(TRIM($W369))&lt;&gt;"n/a",COUNTIF($W$2:$W$528,$W369)&gt;1)),"Yes","No"),IF($A369="Cybernet",IF(OR(AND($Y369&lt;&gt;"",LOWER(TRIM($Y369))&lt;&gt;"n/a",COUNTIF($Y$2:$Y$528,$Y369)&gt;1),AND($Z369&lt;&gt;"",LOWER(TRIM($Z369))&lt;&gt;"n/a",COUNTIF($Z$2:$Z$528,$Z369)&gt;1)),"Yes","No"),IF(AND($AL369&lt;&gt;"",LOWER(TRIM($AL369))&lt;&gt;"n/a",COUNTIF($AL$2:$AL$528,$AL369)&gt;1),"Yes","No"))))</f>
        <v/>
      </c>
      <c r="F369" t="str">
        <f>IF($B369&lt;&gt;"Yes","",
IF($A369="Neuron",
IF(OR(
AND($S369&lt;&gt;"",LOWER(TRIM($S369))&lt;&gt;"n/a",COUNTIFS($B$2:$B$528,"Yes",$A$2:$A$528,"Neuron",$S$2:$S$528,$S369)&gt;1),
AND($T369&lt;&gt;"",LOWER(TRIM($T369))&lt;&gt;"n/a",COUNTIFS($B$2:$B$528,"Yes",$A$2:$A$528,"Neuron",$T$2:$T$528,$T369)&gt;1),
AND($W369&lt;&gt;"",LOWER(TRIM($W369))&lt;&gt;"n/a",COUNTIFS($B$2:$B$528,"Yes",$A$2:$A$528,"Neuron",$W$2:$W$528,$W369)&gt;1)
),"Yes","No"),
IF($A369="Cybernet",
IF(OR(
AND($Y369&lt;&gt;"",LOWER(TRIM($Y369))&lt;&gt;"n/a",COUNTIFS($B$2:$B$528,"Yes",$A$2:$A$528,"Cybernet",$Y$2:$Y$528,$Y369)&gt;1),
AND($Z369&lt;&gt;"",LOWER(TRIM($Z369))&lt;&gt;"n/a",COUNTIFS($B$2:$B$528,"Yes",$A$2:$A$528,"Cybernet",$Z$2:$Z$528,$Z369)&gt;1)
),"Yes","No"),
IF(AND($AL369&lt;&gt;"",LOWER(TRIM($AL369))&lt;&gt;"n/a"),
IF(COUNTIFS($B$2:$B$528,"Yes",$A$2:$A$528,$A369,$AL$2:$AL$528,$AL369)&gt;1,"Yes","No"),
"No")
)
)
)</f>
        <v/>
      </c>
      <c r="BL369" s="4" t="str">
        <f t="shared" si="16"/>
        <v/>
      </c>
      <c r="BM369" s="8" t="str">
        <f t="shared" si="17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 ht="15" customHeight="1">
      <c r="D370" s="15" t="str">
        <f t="shared" si="18"/>
        <v/>
      </c>
      <c r="E370" s="15" t="str">
        <f>IF($A370="","",IF($A370="Neuron",IF(OR(AND($S370&lt;&gt;"",LOWER(TRIM($S370))&lt;&gt;"n/a",COUNTIF($S$2:$S$528,$S370)&gt;1),AND($T370&lt;&gt;"",LOWER(TRIM($T370))&lt;&gt;"n/a",COUNTIF($T$2:$T$528,$T370)&gt;1),AND($W370&lt;&gt;"",LOWER(TRIM($W370))&lt;&gt;"n/a",COUNTIF($W$2:$W$528,$W370)&gt;1)),"Yes","No"),IF($A370="Cybernet",IF(OR(AND($Y370&lt;&gt;"",LOWER(TRIM($Y370))&lt;&gt;"n/a",COUNTIF($Y$2:$Y$528,$Y370)&gt;1),AND($Z370&lt;&gt;"",LOWER(TRIM($Z370))&lt;&gt;"n/a",COUNTIF($Z$2:$Z$528,$Z370)&gt;1)),"Yes","No"),IF(AND($AL370&lt;&gt;"",LOWER(TRIM($AL370))&lt;&gt;"n/a",COUNTIF($AL$2:$AL$528,$AL370)&gt;1),"Yes","No"))))</f>
        <v/>
      </c>
      <c r="F370" t="str">
        <f>IF($B370&lt;&gt;"Yes","",
IF($A370="Neuron",
IF(OR(
AND($S370&lt;&gt;"",LOWER(TRIM($S370))&lt;&gt;"n/a",COUNTIFS($B$2:$B$528,"Yes",$A$2:$A$528,"Neuron",$S$2:$S$528,$S370)&gt;1),
AND($T370&lt;&gt;"",LOWER(TRIM($T370))&lt;&gt;"n/a",COUNTIFS($B$2:$B$528,"Yes",$A$2:$A$528,"Neuron",$T$2:$T$528,$T370)&gt;1),
AND($W370&lt;&gt;"",LOWER(TRIM($W370))&lt;&gt;"n/a",COUNTIFS($B$2:$B$528,"Yes",$A$2:$A$528,"Neuron",$W$2:$W$528,$W370)&gt;1)
),"Yes","No"),
IF($A370="Cybernet",
IF(OR(
AND($Y370&lt;&gt;"",LOWER(TRIM($Y370))&lt;&gt;"n/a",COUNTIFS($B$2:$B$528,"Yes",$A$2:$A$528,"Cybernet",$Y$2:$Y$528,$Y370)&gt;1),
AND($Z370&lt;&gt;"",LOWER(TRIM($Z370))&lt;&gt;"n/a",COUNTIFS($B$2:$B$528,"Yes",$A$2:$A$528,"Cybernet",$Z$2:$Z$528,$Z370)&gt;1)
),"Yes","No"),
IF(AND($AL370&lt;&gt;"",LOWER(TRIM($AL370))&lt;&gt;"n/a"),
IF(COUNTIFS($B$2:$B$528,"Yes",$A$2:$A$528,$A370,$AL$2:$AL$528,$AL370)&gt;1,"Yes","No"),
"No")
)
)
)</f>
        <v/>
      </c>
      <c r="BL370" s="4" t="str">
        <f t="shared" si="16"/>
        <v/>
      </c>
      <c r="BM370" s="8" t="str">
        <f t="shared" si="17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 ht="15" customHeight="1">
      <c r="D371" s="15" t="str">
        <f t="shared" si="18"/>
        <v/>
      </c>
      <c r="E371" s="15" t="str">
        <f>IF($A371="","",IF($A371="Neuron",IF(OR(AND($S371&lt;&gt;"",LOWER(TRIM($S371))&lt;&gt;"n/a",COUNTIF($S$2:$S$528,$S371)&gt;1),AND($T371&lt;&gt;"",LOWER(TRIM($T371))&lt;&gt;"n/a",COUNTIF($T$2:$T$528,$T371)&gt;1),AND($W371&lt;&gt;"",LOWER(TRIM($W371))&lt;&gt;"n/a",COUNTIF($W$2:$W$528,$W371)&gt;1)),"Yes","No"),IF($A371="Cybernet",IF(OR(AND($Y371&lt;&gt;"",LOWER(TRIM($Y371))&lt;&gt;"n/a",COUNTIF($Y$2:$Y$528,$Y371)&gt;1),AND($Z371&lt;&gt;"",LOWER(TRIM($Z371))&lt;&gt;"n/a",COUNTIF($Z$2:$Z$528,$Z371)&gt;1)),"Yes","No"),IF(AND($AL371&lt;&gt;"",LOWER(TRIM($AL371))&lt;&gt;"n/a",COUNTIF($AL$2:$AL$528,$AL371)&gt;1),"Yes","No"))))</f>
        <v/>
      </c>
      <c r="F371" t="str">
        <f>IF($B371&lt;&gt;"Yes","",
IF($A371="Neuron",
IF(OR(
AND($S371&lt;&gt;"",LOWER(TRIM($S371))&lt;&gt;"n/a",COUNTIFS($B$2:$B$528,"Yes",$A$2:$A$528,"Neuron",$S$2:$S$528,$S371)&gt;1),
AND($T371&lt;&gt;"",LOWER(TRIM($T371))&lt;&gt;"n/a",COUNTIFS($B$2:$B$528,"Yes",$A$2:$A$528,"Neuron",$T$2:$T$528,$T371)&gt;1),
AND($W371&lt;&gt;"",LOWER(TRIM($W371))&lt;&gt;"n/a",COUNTIFS($B$2:$B$528,"Yes",$A$2:$A$528,"Neuron",$W$2:$W$528,$W371)&gt;1)
),"Yes","No"),
IF($A371="Cybernet",
IF(OR(
AND($Y371&lt;&gt;"",LOWER(TRIM($Y371))&lt;&gt;"n/a",COUNTIFS($B$2:$B$528,"Yes",$A$2:$A$528,"Cybernet",$Y$2:$Y$528,$Y371)&gt;1),
AND($Z371&lt;&gt;"",LOWER(TRIM($Z371))&lt;&gt;"n/a",COUNTIFS($B$2:$B$528,"Yes",$A$2:$A$528,"Cybernet",$Z$2:$Z$528,$Z371)&gt;1)
),"Yes","No"),
IF(AND($AL371&lt;&gt;"",LOWER(TRIM($AL371))&lt;&gt;"n/a"),
IF(COUNTIFS($B$2:$B$528,"Yes",$A$2:$A$528,$A371,$AL$2:$AL$528,$AL371)&gt;1,"Yes","No"),
"No")
)
)
)</f>
        <v/>
      </c>
      <c r="BL371" s="4" t="str">
        <f t="shared" ref="BL371:BL434" si="19">IF($T371="","",IF((IF(AND($AW371&lt;&gt;"Yes",$AW371&lt;&gt;"N/A"),"Power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",""))="","",LEFT(IF(AND($AW371&lt;&gt;"Yes",$AW371&lt;&gt;"N/A"),"Power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",""),LEN(IF(AND($AW371&lt;&gt;"Yes",$AW371&lt;&gt;"N/A"),"Power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",""))-2)))</f>
        <v/>
      </c>
      <c r="BM371" s="8" t="str">
        <f t="shared" ref="BM371:BM434" si="20">IF($T371="","",IF($BL371="","Yes","Blocked"))</f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 ht="15" customHeight="1">
      <c r="D372" s="15" t="str">
        <f t="shared" si="18"/>
        <v/>
      </c>
      <c r="E372" s="15" t="str">
        <f>IF($A372="","",IF($A372="Neuron",IF(OR(AND($S372&lt;&gt;"",LOWER(TRIM($S372))&lt;&gt;"n/a",COUNTIF($S$2:$S$528,$S372)&gt;1),AND($T372&lt;&gt;"",LOWER(TRIM($T372))&lt;&gt;"n/a",COUNTIF($T$2:$T$528,$T372)&gt;1),AND($W372&lt;&gt;"",LOWER(TRIM($W372))&lt;&gt;"n/a",COUNTIF($W$2:$W$528,$W372)&gt;1)),"Yes","No"),IF($A372="Cybernet",IF(OR(AND($Y372&lt;&gt;"",LOWER(TRIM($Y372))&lt;&gt;"n/a",COUNTIF($Y$2:$Y$528,$Y372)&gt;1),AND($Z372&lt;&gt;"",LOWER(TRIM($Z372))&lt;&gt;"n/a",COUNTIF($Z$2:$Z$528,$Z372)&gt;1)),"Yes","No"),IF(AND($AL372&lt;&gt;"",LOWER(TRIM($AL372))&lt;&gt;"n/a",COUNTIF($AL$2:$AL$528,$AL372)&gt;1),"Yes","No"))))</f>
        <v/>
      </c>
      <c r="F372" t="str">
        <f>IF($B372&lt;&gt;"Yes","",
IF($A372="Neuron",
IF(OR(
AND($S372&lt;&gt;"",LOWER(TRIM($S372))&lt;&gt;"n/a",COUNTIFS($B$2:$B$528,"Yes",$A$2:$A$528,"Neuron",$S$2:$S$528,$S372)&gt;1),
AND($T372&lt;&gt;"",LOWER(TRIM($T372))&lt;&gt;"n/a",COUNTIFS($B$2:$B$528,"Yes",$A$2:$A$528,"Neuron",$T$2:$T$528,$T372)&gt;1),
AND($W372&lt;&gt;"",LOWER(TRIM($W372))&lt;&gt;"n/a",COUNTIFS($B$2:$B$528,"Yes",$A$2:$A$528,"Neuron",$W$2:$W$528,$W372)&gt;1)
),"Yes","No"),
IF($A372="Cybernet",
IF(OR(
AND($Y372&lt;&gt;"",LOWER(TRIM($Y372))&lt;&gt;"n/a",COUNTIFS($B$2:$B$528,"Yes",$A$2:$A$528,"Cybernet",$Y$2:$Y$528,$Y372)&gt;1),
AND($Z372&lt;&gt;"",LOWER(TRIM($Z372))&lt;&gt;"n/a",COUNTIFS($B$2:$B$528,"Yes",$A$2:$A$528,"Cybernet",$Z$2:$Z$528,$Z372)&gt;1)
),"Yes","No"),
IF(AND($AL372&lt;&gt;"",LOWER(TRIM($AL372))&lt;&gt;"n/a"),
IF(COUNTIFS($B$2:$B$528,"Yes",$A$2:$A$528,$A372,$AL$2:$AL$528,$AL372)&gt;1,"Yes","No"),
"No")
)
)
)</f>
        <v/>
      </c>
      <c r="BL372" s="4" t="str">
        <f t="shared" si="19"/>
        <v/>
      </c>
      <c r="BM372" s="8" t="str">
        <f t="shared" si="20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 ht="15" customHeight="1">
      <c r="D373" s="15" t="str">
        <f t="shared" si="18"/>
        <v/>
      </c>
      <c r="E373" s="15" t="str">
        <f>IF($A373="","",IF($A373="Neuron",IF(OR(AND($S373&lt;&gt;"",LOWER(TRIM($S373))&lt;&gt;"n/a",COUNTIF($S$2:$S$528,$S373)&gt;1),AND($T373&lt;&gt;"",LOWER(TRIM($T373))&lt;&gt;"n/a",COUNTIF($T$2:$T$528,$T373)&gt;1),AND($W373&lt;&gt;"",LOWER(TRIM($W373))&lt;&gt;"n/a",COUNTIF($W$2:$W$528,$W373)&gt;1)),"Yes","No"),IF($A373="Cybernet",IF(OR(AND($Y373&lt;&gt;"",LOWER(TRIM($Y373))&lt;&gt;"n/a",COUNTIF($Y$2:$Y$528,$Y373)&gt;1),AND($Z373&lt;&gt;"",LOWER(TRIM($Z373))&lt;&gt;"n/a",COUNTIF($Z$2:$Z$528,$Z373)&gt;1)),"Yes","No"),IF(AND($AL373&lt;&gt;"",LOWER(TRIM($AL373))&lt;&gt;"n/a",COUNTIF($AL$2:$AL$528,$AL373)&gt;1),"Yes","No"))))</f>
        <v/>
      </c>
      <c r="F373" t="str">
        <f>IF($B373&lt;&gt;"Yes","",
IF($A373="Neuron",
IF(OR(
AND($S373&lt;&gt;"",LOWER(TRIM($S373))&lt;&gt;"n/a",COUNTIFS($B$2:$B$528,"Yes",$A$2:$A$528,"Neuron",$S$2:$S$528,$S373)&gt;1),
AND($T373&lt;&gt;"",LOWER(TRIM($T373))&lt;&gt;"n/a",COUNTIFS($B$2:$B$528,"Yes",$A$2:$A$528,"Neuron",$T$2:$T$528,$T373)&gt;1),
AND($W373&lt;&gt;"",LOWER(TRIM($W373))&lt;&gt;"n/a",COUNTIFS($B$2:$B$528,"Yes",$A$2:$A$528,"Neuron",$W$2:$W$528,$W373)&gt;1)
),"Yes","No"),
IF($A373="Cybernet",
IF(OR(
AND($Y373&lt;&gt;"",LOWER(TRIM($Y373))&lt;&gt;"n/a",COUNTIFS($B$2:$B$528,"Yes",$A$2:$A$528,"Cybernet",$Y$2:$Y$528,$Y373)&gt;1),
AND($Z373&lt;&gt;"",LOWER(TRIM($Z373))&lt;&gt;"n/a",COUNTIFS($B$2:$B$528,"Yes",$A$2:$A$528,"Cybernet",$Z$2:$Z$528,$Z373)&gt;1)
),"Yes","No"),
IF(AND($AL373&lt;&gt;"",LOWER(TRIM($AL373))&lt;&gt;"n/a"),
IF(COUNTIFS($B$2:$B$528,"Yes",$A$2:$A$528,$A373,$AL$2:$AL$528,$AL373)&gt;1,"Yes","No"),
"No")
)
)
)</f>
        <v/>
      </c>
      <c r="BL373" s="4" t="str">
        <f t="shared" si="19"/>
        <v/>
      </c>
      <c r="BM373" s="8" t="str">
        <f t="shared" si="20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 ht="15" customHeight="1">
      <c r="D374" s="15" t="str">
        <f t="shared" si="18"/>
        <v/>
      </c>
      <c r="E374" s="15" t="str">
        <f>IF($A374="","",IF($A374="Neuron",IF(OR(AND($S374&lt;&gt;"",LOWER(TRIM($S374))&lt;&gt;"n/a",COUNTIF($S$2:$S$528,$S374)&gt;1),AND($T374&lt;&gt;"",LOWER(TRIM($T374))&lt;&gt;"n/a",COUNTIF($T$2:$T$528,$T374)&gt;1),AND($W374&lt;&gt;"",LOWER(TRIM($W374))&lt;&gt;"n/a",COUNTIF($W$2:$W$528,$W374)&gt;1)),"Yes","No"),IF($A374="Cybernet",IF(OR(AND($Y374&lt;&gt;"",LOWER(TRIM($Y374))&lt;&gt;"n/a",COUNTIF($Y$2:$Y$528,$Y374)&gt;1),AND($Z374&lt;&gt;"",LOWER(TRIM($Z374))&lt;&gt;"n/a",COUNTIF($Z$2:$Z$528,$Z374)&gt;1)),"Yes","No"),IF(AND($AL374&lt;&gt;"",LOWER(TRIM($AL374))&lt;&gt;"n/a",COUNTIF($AL$2:$AL$528,$AL374)&gt;1),"Yes","No"))))</f>
        <v/>
      </c>
      <c r="F374" t="str">
        <f>IF($B374&lt;&gt;"Yes","",
IF($A374="Neuron",
IF(OR(
AND($S374&lt;&gt;"",LOWER(TRIM($S374))&lt;&gt;"n/a",COUNTIFS($B$2:$B$528,"Yes",$A$2:$A$528,"Neuron",$S$2:$S$528,$S374)&gt;1),
AND($T374&lt;&gt;"",LOWER(TRIM($T374))&lt;&gt;"n/a",COUNTIFS($B$2:$B$528,"Yes",$A$2:$A$528,"Neuron",$T$2:$T$528,$T374)&gt;1),
AND($W374&lt;&gt;"",LOWER(TRIM($W374))&lt;&gt;"n/a",COUNTIFS($B$2:$B$528,"Yes",$A$2:$A$528,"Neuron",$W$2:$W$528,$W374)&gt;1)
),"Yes","No"),
IF($A374="Cybernet",
IF(OR(
AND($Y374&lt;&gt;"",LOWER(TRIM($Y374))&lt;&gt;"n/a",COUNTIFS($B$2:$B$528,"Yes",$A$2:$A$528,"Cybernet",$Y$2:$Y$528,$Y374)&gt;1),
AND($Z374&lt;&gt;"",LOWER(TRIM($Z374))&lt;&gt;"n/a",COUNTIFS($B$2:$B$528,"Yes",$A$2:$A$528,"Cybernet",$Z$2:$Z$528,$Z374)&gt;1)
),"Yes","No"),
IF(AND($AL374&lt;&gt;"",LOWER(TRIM($AL374))&lt;&gt;"n/a"),
IF(COUNTIFS($B$2:$B$528,"Yes",$A$2:$A$528,$A374,$AL$2:$AL$528,$AL374)&gt;1,"Yes","No"),
"No")
)
)
)</f>
        <v/>
      </c>
      <c r="BL374" s="4" t="str">
        <f t="shared" si="19"/>
        <v/>
      </c>
      <c r="BM374" s="8" t="str">
        <f t="shared" si="20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 ht="15" customHeight="1">
      <c r="D375" s="15" t="str">
        <f t="shared" si="18"/>
        <v/>
      </c>
      <c r="E375" s="15" t="str">
        <f>IF($A375="","",IF($A375="Neuron",IF(OR(AND($S375&lt;&gt;"",LOWER(TRIM($S375))&lt;&gt;"n/a",COUNTIF($S$2:$S$528,$S375)&gt;1),AND($T375&lt;&gt;"",LOWER(TRIM($T375))&lt;&gt;"n/a",COUNTIF($T$2:$T$528,$T375)&gt;1),AND($W375&lt;&gt;"",LOWER(TRIM($W375))&lt;&gt;"n/a",COUNTIF($W$2:$W$528,$W375)&gt;1)),"Yes","No"),IF($A375="Cybernet",IF(OR(AND($Y375&lt;&gt;"",LOWER(TRIM($Y375))&lt;&gt;"n/a",COUNTIF($Y$2:$Y$528,$Y375)&gt;1),AND($Z375&lt;&gt;"",LOWER(TRIM($Z375))&lt;&gt;"n/a",COUNTIF($Z$2:$Z$528,$Z375)&gt;1)),"Yes","No"),IF(AND($AL375&lt;&gt;"",LOWER(TRIM($AL375))&lt;&gt;"n/a",COUNTIF($AL$2:$AL$528,$AL375)&gt;1),"Yes","No"))))</f>
        <v/>
      </c>
      <c r="F375" t="str">
        <f>IF($B375&lt;&gt;"Yes","",
IF($A375="Neuron",
IF(OR(
AND($S375&lt;&gt;"",LOWER(TRIM($S375))&lt;&gt;"n/a",COUNTIFS($B$2:$B$528,"Yes",$A$2:$A$528,"Neuron",$S$2:$S$528,$S375)&gt;1),
AND($T375&lt;&gt;"",LOWER(TRIM($T375))&lt;&gt;"n/a",COUNTIFS($B$2:$B$528,"Yes",$A$2:$A$528,"Neuron",$T$2:$T$528,$T375)&gt;1),
AND($W375&lt;&gt;"",LOWER(TRIM($W375))&lt;&gt;"n/a",COUNTIFS($B$2:$B$528,"Yes",$A$2:$A$528,"Neuron",$W$2:$W$528,$W375)&gt;1)
),"Yes","No"),
IF($A375="Cybernet",
IF(OR(
AND($Y375&lt;&gt;"",LOWER(TRIM($Y375))&lt;&gt;"n/a",COUNTIFS($B$2:$B$528,"Yes",$A$2:$A$528,"Cybernet",$Y$2:$Y$528,$Y375)&gt;1),
AND($Z375&lt;&gt;"",LOWER(TRIM($Z375))&lt;&gt;"n/a",COUNTIFS($B$2:$B$528,"Yes",$A$2:$A$528,"Cybernet",$Z$2:$Z$528,$Z375)&gt;1)
),"Yes","No"),
IF(AND($AL375&lt;&gt;"",LOWER(TRIM($AL375))&lt;&gt;"n/a"),
IF(COUNTIFS($B$2:$B$528,"Yes",$A$2:$A$528,$A375,$AL$2:$AL$528,$AL375)&gt;1,"Yes","No"),
"No")
)
)
)</f>
        <v/>
      </c>
      <c r="BL375" s="4" t="str">
        <f t="shared" si="19"/>
        <v/>
      </c>
      <c r="BM375" s="8" t="str">
        <f t="shared" si="20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 ht="15" customHeight="1">
      <c r="D376" s="15" t="str">
        <f t="shared" si="18"/>
        <v/>
      </c>
      <c r="E376" s="15" t="str">
        <f>IF($A376="","",IF($A376="Neuron",IF(OR(AND($S376&lt;&gt;"",LOWER(TRIM($S376))&lt;&gt;"n/a",COUNTIF($S$2:$S$528,$S376)&gt;1),AND($T376&lt;&gt;"",LOWER(TRIM($T376))&lt;&gt;"n/a",COUNTIF($T$2:$T$528,$T376)&gt;1),AND($W376&lt;&gt;"",LOWER(TRIM($W376))&lt;&gt;"n/a",COUNTIF($W$2:$W$528,$W376)&gt;1)),"Yes","No"),IF($A376="Cybernet",IF(OR(AND($Y376&lt;&gt;"",LOWER(TRIM($Y376))&lt;&gt;"n/a",COUNTIF($Y$2:$Y$528,$Y376)&gt;1),AND($Z376&lt;&gt;"",LOWER(TRIM($Z376))&lt;&gt;"n/a",COUNTIF($Z$2:$Z$528,$Z376)&gt;1)),"Yes","No"),IF(AND($AL376&lt;&gt;"",LOWER(TRIM($AL376))&lt;&gt;"n/a",COUNTIF($AL$2:$AL$528,$AL376)&gt;1),"Yes","No"))))</f>
        <v/>
      </c>
      <c r="F376" t="str">
        <f>IF($B376&lt;&gt;"Yes","",
IF($A376="Neuron",
IF(OR(
AND($S376&lt;&gt;"",LOWER(TRIM($S376))&lt;&gt;"n/a",COUNTIFS($B$2:$B$528,"Yes",$A$2:$A$528,"Neuron",$S$2:$S$528,$S376)&gt;1),
AND($T376&lt;&gt;"",LOWER(TRIM($T376))&lt;&gt;"n/a",COUNTIFS($B$2:$B$528,"Yes",$A$2:$A$528,"Neuron",$T$2:$T$528,$T376)&gt;1),
AND($W376&lt;&gt;"",LOWER(TRIM($W376))&lt;&gt;"n/a",COUNTIFS($B$2:$B$528,"Yes",$A$2:$A$528,"Neuron",$W$2:$W$528,$W376)&gt;1)
),"Yes","No"),
IF($A376="Cybernet",
IF(OR(
AND($Y376&lt;&gt;"",LOWER(TRIM($Y376))&lt;&gt;"n/a",COUNTIFS($B$2:$B$528,"Yes",$A$2:$A$528,"Cybernet",$Y$2:$Y$528,$Y376)&gt;1),
AND($Z376&lt;&gt;"",LOWER(TRIM($Z376))&lt;&gt;"n/a",COUNTIFS($B$2:$B$528,"Yes",$A$2:$A$528,"Cybernet",$Z$2:$Z$528,$Z376)&gt;1)
),"Yes","No"),
IF(AND($AL376&lt;&gt;"",LOWER(TRIM($AL376))&lt;&gt;"n/a"),
IF(COUNTIFS($B$2:$B$528,"Yes",$A$2:$A$528,$A376,$AL$2:$AL$528,$AL376)&gt;1,"Yes","No"),
"No")
)
)
)</f>
        <v/>
      </c>
      <c r="BL376" s="4" t="str">
        <f t="shared" si="19"/>
        <v/>
      </c>
      <c r="BM376" s="8" t="str">
        <f t="shared" si="20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 ht="15" customHeight="1">
      <c r="D377" s="15" t="str">
        <f t="shared" si="18"/>
        <v/>
      </c>
      <c r="E377" s="15" t="str">
        <f>IF($A377="","",IF($A377="Neuron",IF(OR(AND($S377&lt;&gt;"",LOWER(TRIM($S377))&lt;&gt;"n/a",COUNTIF($S$2:$S$528,$S377)&gt;1),AND($T377&lt;&gt;"",LOWER(TRIM($T377))&lt;&gt;"n/a",COUNTIF($T$2:$T$528,$T377)&gt;1),AND($W377&lt;&gt;"",LOWER(TRIM($W377))&lt;&gt;"n/a",COUNTIF($W$2:$W$528,$W377)&gt;1)),"Yes","No"),IF($A377="Cybernet",IF(OR(AND($Y377&lt;&gt;"",LOWER(TRIM($Y377))&lt;&gt;"n/a",COUNTIF($Y$2:$Y$528,$Y377)&gt;1),AND($Z377&lt;&gt;"",LOWER(TRIM($Z377))&lt;&gt;"n/a",COUNTIF($Z$2:$Z$528,$Z377)&gt;1)),"Yes","No"),IF(AND($AL377&lt;&gt;"",LOWER(TRIM($AL377))&lt;&gt;"n/a",COUNTIF($AL$2:$AL$528,$AL377)&gt;1),"Yes","No"))))</f>
        <v/>
      </c>
      <c r="F377" t="str">
        <f>IF($B377&lt;&gt;"Yes","",
IF($A377="Neuron",
IF(OR(
AND($S377&lt;&gt;"",LOWER(TRIM($S377))&lt;&gt;"n/a",COUNTIFS($B$2:$B$528,"Yes",$A$2:$A$528,"Neuron",$S$2:$S$528,$S377)&gt;1),
AND($T377&lt;&gt;"",LOWER(TRIM($T377))&lt;&gt;"n/a",COUNTIFS($B$2:$B$528,"Yes",$A$2:$A$528,"Neuron",$T$2:$T$528,$T377)&gt;1),
AND($W377&lt;&gt;"",LOWER(TRIM($W377))&lt;&gt;"n/a",COUNTIFS($B$2:$B$528,"Yes",$A$2:$A$528,"Neuron",$W$2:$W$528,$W377)&gt;1)
),"Yes","No"),
IF($A377="Cybernet",
IF(OR(
AND($Y377&lt;&gt;"",LOWER(TRIM($Y377))&lt;&gt;"n/a",COUNTIFS($B$2:$B$528,"Yes",$A$2:$A$528,"Cybernet",$Y$2:$Y$528,$Y377)&gt;1),
AND($Z377&lt;&gt;"",LOWER(TRIM($Z377))&lt;&gt;"n/a",COUNTIFS($B$2:$B$528,"Yes",$A$2:$A$528,"Cybernet",$Z$2:$Z$528,$Z377)&gt;1)
),"Yes","No"),
IF(AND($AL377&lt;&gt;"",LOWER(TRIM($AL377))&lt;&gt;"n/a"),
IF(COUNTIFS($B$2:$B$528,"Yes",$A$2:$A$528,$A377,$AL$2:$AL$528,$AL377)&gt;1,"Yes","No"),
"No")
)
)
)</f>
        <v/>
      </c>
      <c r="BL377" s="4" t="str">
        <f t="shared" si="19"/>
        <v/>
      </c>
      <c r="BM377" s="8" t="str">
        <f t="shared" si="20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 ht="15" customHeight="1">
      <c r="D378" s="15" t="str">
        <f t="shared" si="18"/>
        <v/>
      </c>
      <c r="E378" s="15" t="str">
        <f>IF($A378="","",IF($A378="Neuron",IF(OR(AND($S378&lt;&gt;"",LOWER(TRIM($S378))&lt;&gt;"n/a",COUNTIF($S$2:$S$528,$S378)&gt;1),AND($T378&lt;&gt;"",LOWER(TRIM($T378))&lt;&gt;"n/a",COUNTIF($T$2:$T$528,$T378)&gt;1),AND($W378&lt;&gt;"",LOWER(TRIM($W378))&lt;&gt;"n/a",COUNTIF($W$2:$W$528,$W378)&gt;1)),"Yes","No"),IF($A378="Cybernet",IF(OR(AND($Y378&lt;&gt;"",LOWER(TRIM($Y378))&lt;&gt;"n/a",COUNTIF($Y$2:$Y$528,$Y378)&gt;1),AND($Z378&lt;&gt;"",LOWER(TRIM($Z378))&lt;&gt;"n/a",COUNTIF($Z$2:$Z$528,$Z378)&gt;1)),"Yes","No"),IF(AND($AL378&lt;&gt;"",LOWER(TRIM($AL378))&lt;&gt;"n/a",COUNTIF($AL$2:$AL$528,$AL378)&gt;1),"Yes","No"))))</f>
        <v/>
      </c>
      <c r="F378" t="str">
        <f>IF($B378&lt;&gt;"Yes","",
IF($A378="Neuron",
IF(OR(
AND($S378&lt;&gt;"",LOWER(TRIM($S378))&lt;&gt;"n/a",COUNTIFS($B$2:$B$528,"Yes",$A$2:$A$528,"Neuron",$S$2:$S$528,$S378)&gt;1),
AND($T378&lt;&gt;"",LOWER(TRIM($T378))&lt;&gt;"n/a",COUNTIFS($B$2:$B$528,"Yes",$A$2:$A$528,"Neuron",$T$2:$T$528,$T378)&gt;1),
AND($W378&lt;&gt;"",LOWER(TRIM($W378))&lt;&gt;"n/a",COUNTIFS($B$2:$B$528,"Yes",$A$2:$A$528,"Neuron",$W$2:$W$528,$W378)&gt;1)
),"Yes","No"),
IF($A378="Cybernet",
IF(OR(
AND($Y378&lt;&gt;"",LOWER(TRIM($Y378))&lt;&gt;"n/a",COUNTIFS($B$2:$B$528,"Yes",$A$2:$A$528,"Cybernet",$Y$2:$Y$528,$Y378)&gt;1),
AND($Z378&lt;&gt;"",LOWER(TRIM($Z378))&lt;&gt;"n/a",COUNTIFS($B$2:$B$528,"Yes",$A$2:$A$528,"Cybernet",$Z$2:$Z$528,$Z378)&gt;1)
),"Yes","No"),
IF(AND($AL378&lt;&gt;"",LOWER(TRIM($AL378))&lt;&gt;"n/a"),
IF(COUNTIFS($B$2:$B$528,"Yes",$A$2:$A$528,$A378,$AL$2:$AL$528,$AL378)&gt;1,"Yes","No"),
"No")
)
)
)</f>
        <v/>
      </c>
      <c r="BL378" s="4" t="str">
        <f t="shared" si="19"/>
        <v/>
      </c>
      <c r="BM378" s="8" t="str">
        <f t="shared" si="20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 ht="15" customHeight="1">
      <c r="D379" s="15" t="str">
        <f t="shared" si="18"/>
        <v/>
      </c>
      <c r="E379" s="15" t="str">
        <f>IF($A379="","",IF($A379="Neuron",IF(OR(AND($S379&lt;&gt;"",LOWER(TRIM($S379))&lt;&gt;"n/a",COUNTIF($S$2:$S$528,$S379)&gt;1),AND($T379&lt;&gt;"",LOWER(TRIM($T379))&lt;&gt;"n/a",COUNTIF($T$2:$T$528,$T379)&gt;1),AND($W379&lt;&gt;"",LOWER(TRIM($W379))&lt;&gt;"n/a",COUNTIF($W$2:$W$528,$W379)&gt;1)),"Yes","No"),IF($A379="Cybernet",IF(OR(AND($Y379&lt;&gt;"",LOWER(TRIM($Y379))&lt;&gt;"n/a",COUNTIF($Y$2:$Y$528,$Y379)&gt;1),AND($Z379&lt;&gt;"",LOWER(TRIM($Z379))&lt;&gt;"n/a",COUNTIF($Z$2:$Z$528,$Z379)&gt;1)),"Yes","No"),IF(AND($AL379&lt;&gt;"",LOWER(TRIM($AL379))&lt;&gt;"n/a",COUNTIF($AL$2:$AL$528,$AL379)&gt;1),"Yes","No"))))</f>
        <v/>
      </c>
      <c r="F379" t="str">
        <f>IF($B379&lt;&gt;"Yes","",
IF($A379="Neuron",
IF(OR(
AND($S379&lt;&gt;"",LOWER(TRIM($S379))&lt;&gt;"n/a",COUNTIFS($B$2:$B$528,"Yes",$A$2:$A$528,"Neuron",$S$2:$S$528,$S379)&gt;1),
AND($T379&lt;&gt;"",LOWER(TRIM($T379))&lt;&gt;"n/a",COUNTIFS($B$2:$B$528,"Yes",$A$2:$A$528,"Neuron",$T$2:$T$528,$T379)&gt;1),
AND($W379&lt;&gt;"",LOWER(TRIM($W379))&lt;&gt;"n/a",COUNTIFS($B$2:$B$528,"Yes",$A$2:$A$528,"Neuron",$W$2:$W$528,$W379)&gt;1)
),"Yes","No"),
IF($A379="Cybernet",
IF(OR(
AND($Y379&lt;&gt;"",LOWER(TRIM($Y379))&lt;&gt;"n/a",COUNTIFS($B$2:$B$528,"Yes",$A$2:$A$528,"Cybernet",$Y$2:$Y$528,$Y379)&gt;1),
AND($Z379&lt;&gt;"",LOWER(TRIM($Z379))&lt;&gt;"n/a",COUNTIFS($B$2:$B$528,"Yes",$A$2:$A$528,"Cybernet",$Z$2:$Z$528,$Z379)&gt;1)
),"Yes","No"),
IF(AND($AL379&lt;&gt;"",LOWER(TRIM($AL379))&lt;&gt;"n/a"),
IF(COUNTIFS($B$2:$B$528,"Yes",$A$2:$A$528,$A379,$AL$2:$AL$528,$AL379)&gt;1,"Yes","No"),
"No")
)
)
)</f>
        <v/>
      </c>
      <c r="BL379" s="4" t="str">
        <f t="shared" si="19"/>
        <v/>
      </c>
      <c r="BM379" s="8" t="str">
        <f t="shared" si="20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 ht="15" customHeight="1">
      <c r="D380" s="15" t="str">
        <f t="shared" si="18"/>
        <v/>
      </c>
      <c r="E380" s="15" t="str">
        <f>IF($A380="","",IF($A380="Neuron",IF(OR(AND($S380&lt;&gt;"",LOWER(TRIM($S380))&lt;&gt;"n/a",COUNTIF($S$2:$S$528,$S380)&gt;1),AND($T380&lt;&gt;"",LOWER(TRIM($T380))&lt;&gt;"n/a",COUNTIF($T$2:$T$528,$T380)&gt;1),AND($W380&lt;&gt;"",LOWER(TRIM($W380))&lt;&gt;"n/a",COUNTIF($W$2:$W$528,$W380)&gt;1)),"Yes","No"),IF($A380="Cybernet",IF(OR(AND($Y380&lt;&gt;"",LOWER(TRIM($Y380))&lt;&gt;"n/a",COUNTIF($Y$2:$Y$528,$Y380)&gt;1),AND($Z380&lt;&gt;"",LOWER(TRIM($Z380))&lt;&gt;"n/a",COUNTIF($Z$2:$Z$528,$Z380)&gt;1)),"Yes","No"),IF(AND($AL380&lt;&gt;"",LOWER(TRIM($AL380))&lt;&gt;"n/a",COUNTIF($AL$2:$AL$528,$AL380)&gt;1),"Yes","No"))))</f>
        <v/>
      </c>
      <c r="F380" t="str">
        <f>IF($B380&lt;&gt;"Yes","",
IF($A380="Neuron",
IF(OR(
AND($S380&lt;&gt;"",LOWER(TRIM($S380))&lt;&gt;"n/a",COUNTIFS($B$2:$B$528,"Yes",$A$2:$A$528,"Neuron",$S$2:$S$528,$S380)&gt;1),
AND($T380&lt;&gt;"",LOWER(TRIM($T380))&lt;&gt;"n/a",COUNTIFS($B$2:$B$528,"Yes",$A$2:$A$528,"Neuron",$T$2:$T$528,$T380)&gt;1),
AND($W380&lt;&gt;"",LOWER(TRIM($W380))&lt;&gt;"n/a",COUNTIFS($B$2:$B$528,"Yes",$A$2:$A$528,"Neuron",$W$2:$W$528,$W380)&gt;1)
),"Yes","No"),
IF($A380="Cybernet",
IF(OR(
AND($Y380&lt;&gt;"",LOWER(TRIM($Y380))&lt;&gt;"n/a",COUNTIFS($B$2:$B$528,"Yes",$A$2:$A$528,"Cybernet",$Y$2:$Y$528,$Y380)&gt;1),
AND($Z380&lt;&gt;"",LOWER(TRIM($Z380))&lt;&gt;"n/a",COUNTIFS($B$2:$B$528,"Yes",$A$2:$A$528,"Cybernet",$Z$2:$Z$528,$Z380)&gt;1)
),"Yes","No"),
IF(AND($AL380&lt;&gt;"",LOWER(TRIM($AL380))&lt;&gt;"n/a"),
IF(COUNTIFS($B$2:$B$528,"Yes",$A$2:$A$528,$A380,$AL$2:$AL$528,$AL380)&gt;1,"Yes","No"),
"No")
)
)
)</f>
        <v/>
      </c>
      <c r="BL380" s="4" t="str">
        <f t="shared" si="19"/>
        <v/>
      </c>
      <c r="BM380" s="8" t="str">
        <f t="shared" si="20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 ht="15" customHeight="1">
      <c r="D381" s="15" t="str">
        <f t="shared" si="18"/>
        <v/>
      </c>
      <c r="E381" s="15" t="str">
        <f>IF($A381="","",IF($A381="Neuron",IF(OR(AND($S381&lt;&gt;"",LOWER(TRIM($S381))&lt;&gt;"n/a",COUNTIF($S$2:$S$528,$S381)&gt;1),AND($T381&lt;&gt;"",LOWER(TRIM($T381))&lt;&gt;"n/a",COUNTIF($T$2:$T$528,$T381)&gt;1),AND($W381&lt;&gt;"",LOWER(TRIM($W381))&lt;&gt;"n/a",COUNTIF($W$2:$W$528,$W381)&gt;1)),"Yes","No"),IF($A381="Cybernet",IF(OR(AND($Y381&lt;&gt;"",LOWER(TRIM($Y381))&lt;&gt;"n/a",COUNTIF($Y$2:$Y$528,$Y381)&gt;1),AND($Z381&lt;&gt;"",LOWER(TRIM($Z381))&lt;&gt;"n/a",COUNTIF($Z$2:$Z$528,$Z381)&gt;1)),"Yes","No"),IF(AND($AL381&lt;&gt;"",LOWER(TRIM($AL381))&lt;&gt;"n/a",COUNTIF($AL$2:$AL$528,$AL381)&gt;1),"Yes","No"))))</f>
        <v/>
      </c>
      <c r="F381" t="str">
        <f>IF($B381&lt;&gt;"Yes","",
IF($A381="Neuron",
IF(OR(
AND($S381&lt;&gt;"",LOWER(TRIM($S381))&lt;&gt;"n/a",COUNTIFS($B$2:$B$528,"Yes",$A$2:$A$528,"Neuron",$S$2:$S$528,$S381)&gt;1),
AND($T381&lt;&gt;"",LOWER(TRIM($T381))&lt;&gt;"n/a",COUNTIFS($B$2:$B$528,"Yes",$A$2:$A$528,"Neuron",$T$2:$T$528,$T381)&gt;1),
AND($W381&lt;&gt;"",LOWER(TRIM($W381))&lt;&gt;"n/a",COUNTIFS($B$2:$B$528,"Yes",$A$2:$A$528,"Neuron",$W$2:$W$528,$W381)&gt;1)
),"Yes","No"),
IF($A381="Cybernet",
IF(OR(
AND($Y381&lt;&gt;"",LOWER(TRIM($Y381))&lt;&gt;"n/a",COUNTIFS($B$2:$B$528,"Yes",$A$2:$A$528,"Cybernet",$Y$2:$Y$528,$Y381)&gt;1),
AND($Z381&lt;&gt;"",LOWER(TRIM($Z381))&lt;&gt;"n/a",COUNTIFS($B$2:$B$528,"Yes",$A$2:$A$528,"Cybernet",$Z$2:$Z$528,$Z381)&gt;1)
),"Yes","No"),
IF(AND($AL381&lt;&gt;"",LOWER(TRIM($AL381))&lt;&gt;"n/a"),
IF(COUNTIFS($B$2:$B$528,"Yes",$A$2:$A$528,$A381,$AL$2:$AL$528,$AL381)&gt;1,"Yes","No"),
"No")
)
)
)</f>
        <v/>
      </c>
      <c r="BL381" s="4" t="str">
        <f t="shared" si="19"/>
        <v/>
      </c>
      <c r="BM381" s="8" t="str">
        <f t="shared" si="20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 ht="15" customHeight="1">
      <c r="D382" s="15" t="str">
        <f t="shared" si="18"/>
        <v/>
      </c>
      <c r="E382" s="15" t="str">
        <f>IF($A382="","",IF($A382="Neuron",IF(OR(AND($S382&lt;&gt;"",LOWER(TRIM($S382))&lt;&gt;"n/a",COUNTIF($S$2:$S$528,$S382)&gt;1),AND($T382&lt;&gt;"",LOWER(TRIM($T382))&lt;&gt;"n/a",COUNTIF($T$2:$T$528,$T382)&gt;1),AND($W382&lt;&gt;"",LOWER(TRIM($W382))&lt;&gt;"n/a",COUNTIF($W$2:$W$528,$W382)&gt;1)),"Yes","No"),IF($A382="Cybernet",IF(OR(AND($Y382&lt;&gt;"",LOWER(TRIM($Y382))&lt;&gt;"n/a",COUNTIF($Y$2:$Y$528,$Y382)&gt;1),AND($Z382&lt;&gt;"",LOWER(TRIM($Z382))&lt;&gt;"n/a",COUNTIF($Z$2:$Z$528,$Z382)&gt;1)),"Yes","No"),IF(AND($AL382&lt;&gt;"",LOWER(TRIM($AL382))&lt;&gt;"n/a",COUNTIF($AL$2:$AL$528,$AL382)&gt;1),"Yes","No"))))</f>
        <v/>
      </c>
      <c r="F382" t="str">
        <f>IF($B382&lt;&gt;"Yes","",
IF($A382="Neuron",
IF(OR(
AND($S382&lt;&gt;"",LOWER(TRIM($S382))&lt;&gt;"n/a",COUNTIFS($B$2:$B$528,"Yes",$A$2:$A$528,"Neuron",$S$2:$S$528,$S382)&gt;1),
AND($T382&lt;&gt;"",LOWER(TRIM($T382))&lt;&gt;"n/a",COUNTIFS($B$2:$B$528,"Yes",$A$2:$A$528,"Neuron",$T$2:$T$528,$T382)&gt;1),
AND($W382&lt;&gt;"",LOWER(TRIM($W382))&lt;&gt;"n/a",COUNTIFS($B$2:$B$528,"Yes",$A$2:$A$528,"Neuron",$W$2:$W$528,$W382)&gt;1)
),"Yes","No"),
IF($A382="Cybernet",
IF(OR(
AND($Y382&lt;&gt;"",LOWER(TRIM($Y382))&lt;&gt;"n/a",COUNTIFS($B$2:$B$528,"Yes",$A$2:$A$528,"Cybernet",$Y$2:$Y$528,$Y382)&gt;1),
AND($Z382&lt;&gt;"",LOWER(TRIM($Z382))&lt;&gt;"n/a",COUNTIFS($B$2:$B$528,"Yes",$A$2:$A$528,"Cybernet",$Z$2:$Z$528,$Z382)&gt;1)
),"Yes","No"),
IF(AND($AL382&lt;&gt;"",LOWER(TRIM($AL382))&lt;&gt;"n/a"),
IF(COUNTIFS($B$2:$B$528,"Yes",$A$2:$A$528,$A382,$AL$2:$AL$528,$AL382)&gt;1,"Yes","No"),
"No")
)
)
)</f>
        <v/>
      </c>
      <c r="BL382" s="4" t="str">
        <f t="shared" si="19"/>
        <v/>
      </c>
      <c r="BM382" s="8" t="str">
        <f t="shared" si="20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 ht="15" customHeight="1">
      <c r="D383" s="15" t="str">
        <f t="shared" si="18"/>
        <v/>
      </c>
      <c r="E383" s="15" t="str">
        <f>IF($A383="","",IF($A383="Neuron",IF(OR(AND($S383&lt;&gt;"",LOWER(TRIM($S383))&lt;&gt;"n/a",COUNTIF($S$2:$S$528,$S383)&gt;1),AND($T383&lt;&gt;"",LOWER(TRIM($T383))&lt;&gt;"n/a",COUNTIF($T$2:$T$528,$T383)&gt;1),AND($W383&lt;&gt;"",LOWER(TRIM($W383))&lt;&gt;"n/a",COUNTIF($W$2:$W$528,$W383)&gt;1)),"Yes","No"),IF($A383="Cybernet",IF(OR(AND($Y383&lt;&gt;"",LOWER(TRIM($Y383))&lt;&gt;"n/a",COUNTIF($Y$2:$Y$528,$Y383)&gt;1),AND($Z383&lt;&gt;"",LOWER(TRIM($Z383))&lt;&gt;"n/a",COUNTIF($Z$2:$Z$528,$Z383)&gt;1)),"Yes","No"),IF(AND($AL383&lt;&gt;"",LOWER(TRIM($AL383))&lt;&gt;"n/a",COUNTIF($AL$2:$AL$528,$AL383)&gt;1),"Yes","No"))))</f>
        <v/>
      </c>
      <c r="F383" t="str">
        <f>IF($B383&lt;&gt;"Yes","",
IF($A383="Neuron",
IF(OR(
AND($S383&lt;&gt;"",LOWER(TRIM($S383))&lt;&gt;"n/a",COUNTIFS($B$2:$B$528,"Yes",$A$2:$A$528,"Neuron",$S$2:$S$528,$S383)&gt;1),
AND($T383&lt;&gt;"",LOWER(TRIM($T383))&lt;&gt;"n/a",COUNTIFS($B$2:$B$528,"Yes",$A$2:$A$528,"Neuron",$T$2:$T$528,$T383)&gt;1),
AND($W383&lt;&gt;"",LOWER(TRIM($W383))&lt;&gt;"n/a",COUNTIFS($B$2:$B$528,"Yes",$A$2:$A$528,"Neuron",$W$2:$W$528,$W383)&gt;1)
),"Yes","No"),
IF($A383="Cybernet",
IF(OR(
AND($Y383&lt;&gt;"",LOWER(TRIM($Y383))&lt;&gt;"n/a",COUNTIFS($B$2:$B$528,"Yes",$A$2:$A$528,"Cybernet",$Y$2:$Y$528,$Y383)&gt;1),
AND($Z383&lt;&gt;"",LOWER(TRIM($Z383))&lt;&gt;"n/a",COUNTIFS($B$2:$B$528,"Yes",$A$2:$A$528,"Cybernet",$Z$2:$Z$528,$Z383)&gt;1)
),"Yes","No"),
IF(AND($AL383&lt;&gt;"",LOWER(TRIM($AL383))&lt;&gt;"n/a"),
IF(COUNTIFS($B$2:$B$528,"Yes",$A$2:$A$528,$A383,$AL$2:$AL$528,$AL383)&gt;1,"Yes","No"),
"No")
)
)
)</f>
        <v/>
      </c>
      <c r="BL383" s="4" t="str">
        <f t="shared" si="19"/>
        <v/>
      </c>
      <c r="BM383" s="8" t="str">
        <f t="shared" si="20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 ht="15" customHeight="1">
      <c r="D384" s="15" t="str">
        <f t="shared" si="18"/>
        <v/>
      </c>
      <c r="E384" s="15" t="str">
        <f>IF($A384="","",IF($A384="Neuron",IF(OR(AND($S384&lt;&gt;"",LOWER(TRIM($S384))&lt;&gt;"n/a",COUNTIF($S$2:$S$528,$S384)&gt;1),AND($T384&lt;&gt;"",LOWER(TRIM($T384))&lt;&gt;"n/a",COUNTIF($T$2:$T$528,$T384)&gt;1),AND($W384&lt;&gt;"",LOWER(TRIM($W384))&lt;&gt;"n/a",COUNTIF($W$2:$W$528,$W384)&gt;1)),"Yes","No"),IF($A384="Cybernet",IF(OR(AND($Y384&lt;&gt;"",LOWER(TRIM($Y384))&lt;&gt;"n/a",COUNTIF($Y$2:$Y$528,$Y384)&gt;1),AND($Z384&lt;&gt;"",LOWER(TRIM($Z384))&lt;&gt;"n/a",COUNTIF($Z$2:$Z$528,$Z384)&gt;1)),"Yes","No"),IF(AND($AL384&lt;&gt;"",LOWER(TRIM($AL384))&lt;&gt;"n/a",COUNTIF($AL$2:$AL$528,$AL384)&gt;1),"Yes","No"))))</f>
        <v/>
      </c>
      <c r="F384" t="str">
        <f>IF($B384&lt;&gt;"Yes","",
IF($A384="Neuron",
IF(OR(
AND($S384&lt;&gt;"",LOWER(TRIM($S384))&lt;&gt;"n/a",COUNTIFS($B$2:$B$528,"Yes",$A$2:$A$528,"Neuron",$S$2:$S$528,$S384)&gt;1),
AND($T384&lt;&gt;"",LOWER(TRIM($T384))&lt;&gt;"n/a",COUNTIFS($B$2:$B$528,"Yes",$A$2:$A$528,"Neuron",$T$2:$T$528,$T384)&gt;1),
AND($W384&lt;&gt;"",LOWER(TRIM($W384))&lt;&gt;"n/a",COUNTIFS($B$2:$B$528,"Yes",$A$2:$A$528,"Neuron",$W$2:$W$528,$W384)&gt;1)
),"Yes","No"),
IF($A384="Cybernet",
IF(OR(
AND($Y384&lt;&gt;"",LOWER(TRIM($Y384))&lt;&gt;"n/a",COUNTIFS($B$2:$B$528,"Yes",$A$2:$A$528,"Cybernet",$Y$2:$Y$528,$Y384)&gt;1),
AND($Z384&lt;&gt;"",LOWER(TRIM($Z384))&lt;&gt;"n/a",COUNTIFS($B$2:$B$528,"Yes",$A$2:$A$528,"Cybernet",$Z$2:$Z$528,$Z384)&gt;1)
),"Yes","No"),
IF(AND($AL384&lt;&gt;"",LOWER(TRIM($AL384))&lt;&gt;"n/a"),
IF(COUNTIFS($B$2:$B$528,"Yes",$A$2:$A$528,$A384,$AL$2:$AL$528,$AL384)&gt;1,"Yes","No"),
"No")
)
)
)</f>
        <v/>
      </c>
      <c r="BL384" s="4" t="str">
        <f t="shared" si="19"/>
        <v/>
      </c>
      <c r="BM384" s="8" t="str">
        <f t="shared" si="20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 ht="15" customHeight="1">
      <c r="D385" s="15" t="str">
        <f t="shared" si="18"/>
        <v/>
      </c>
      <c r="E385" s="15" t="str">
        <f>IF($A385="","",IF($A385="Neuron",IF(OR(AND($S385&lt;&gt;"",LOWER(TRIM($S385))&lt;&gt;"n/a",COUNTIF($S$2:$S$528,$S385)&gt;1),AND($T385&lt;&gt;"",LOWER(TRIM($T385))&lt;&gt;"n/a",COUNTIF($T$2:$T$528,$T385)&gt;1),AND($W385&lt;&gt;"",LOWER(TRIM($W385))&lt;&gt;"n/a",COUNTIF($W$2:$W$528,$W385)&gt;1)),"Yes","No"),IF($A385="Cybernet",IF(OR(AND($Y385&lt;&gt;"",LOWER(TRIM($Y385))&lt;&gt;"n/a",COUNTIF($Y$2:$Y$528,$Y385)&gt;1),AND($Z385&lt;&gt;"",LOWER(TRIM($Z385))&lt;&gt;"n/a",COUNTIF($Z$2:$Z$528,$Z385)&gt;1)),"Yes","No"),IF(AND($AL385&lt;&gt;"",LOWER(TRIM($AL385))&lt;&gt;"n/a",COUNTIF($AL$2:$AL$528,$AL385)&gt;1),"Yes","No"))))</f>
        <v/>
      </c>
      <c r="F385" t="str">
        <f>IF($B385&lt;&gt;"Yes","",
IF($A385="Neuron",
IF(OR(
AND($S385&lt;&gt;"",LOWER(TRIM($S385))&lt;&gt;"n/a",COUNTIFS($B$2:$B$528,"Yes",$A$2:$A$528,"Neuron",$S$2:$S$528,$S385)&gt;1),
AND($T385&lt;&gt;"",LOWER(TRIM($T385))&lt;&gt;"n/a",COUNTIFS($B$2:$B$528,"Yes",$A$2:$A$528,"Neuron",$T$2:$T$528,$T385)&gt;1),
AND($W385&lt;&gt;"",LOWER(TRIM($W385))&lt;&gt;"n/a",COUNTIFS($B$2:$B$528,"Yes",$A$2:$A$528,"Neuron",$W$2:$W$528,$W385)&gt;1)
),"Yes","No"),
IF($A385="Cybernet",
IF(OR(
AND($Y385&lt;&gt;"",LOWER(TRIM($Y385))&lt;&gt;"n/a",COUNTIFS($B$2:$B$528,"Yes",$A$2:$A$528,"Cybernet",$Y$2:$Y$528,$Y385)&gt;1),
AND($Z385&lt;&gt;"",LOWER(TRIM($Z385))&lt;&gt;"n/a",COUNTIFS($B$2:$B$528,"Yes",$A$2:$A$528,"Cybernet",$Z$2:$Z$528,$Z385)&gt;1)
),"Yes","No"),
IF(AND($AL385&lt;&gt;"",LOWER(TRIM($AL385))&lt;&gt;"n/a"),
IF(COUNTIFS($B$2:$B$528,"Yes",$A$2:$A$528,$A385,$AL$2:$AL$528,$AL385)&gt;1,"Yes","No"),
"No")
)
)
)</f>
        <v/>
      </c>
      <c r="BL385" s="4" t="str">
        <f t="shared" si="19"/>
        <v/>
      </c>
      <c r="BM385" s="8" t="str">
        <f t="shared" si="20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 ht="15" customHeight="1">
      <c r="D386" s="15" t="str">
        <f t="shared" si="18"/>
        <v/>
      </c>
      <c r="E386" s="15" t="str">
        <f>IF($A386="","",IF($A386="Neuron",IF(OR(AND($S386&lt;&gt;"",LOWER(TRIM($S386))&lt;&gt;"n/a",COUNTIF($S$2:$S$528,$S386)&gt;1),AND($T386&lt;&gt;"",LOWER(TRIM($T386))&lt;&gt;"n/a",COUNTIF($T$2:$T$528,$T386)&gt;1),AND($W386&lt;&gt;"",LOWER(TRIM($W386))&lt;&gt;"n/a",COUNTIF($W$2:$W$528,$W386)&gt;1)),"Yes","No"),IF($A386="Cybernet",IF(OR(AND($Y386&lt;&gt;"",LOWER(TRIM($Y386))&lt;&gt;"n/a",COUNTIF($Y$2:$Y$528,$Y386)&gt;1),AND($Z386&lt;&gt;"",LOWER(TRIM($Z386))&lt;&gt;"n/a",COUNTIF($Z$2:$Z$528,$Z386)&gt;1)),"Yes","No"),IF(AND($AL386&lt;&gt;"",LOWER(TRIM($AL386))&lt;&gt;"n/a",COUNTIF($AL$2:$AL$528,$AL386)&gt;1),"Yes","No"))))</f>
        <v/>
      </c>
      <c r="F386" t="str">
        <f>IF($B386&lt;&gt;"Yes","",
IF($A386="Neuron",
IF(OR(
AND($S386&lt;&gt;"",LOWER(TRIM($S386))&lt;&gt;"n/a",COUNTIFS($B$2:$B$528,"Yes",$A$2:$A$528,"Neuron",$S$2:$S$528,$S386)&gt;1),
AND($T386&lt;&gt;"",LOWER(TRIM($T386))&lt;&gt;"n/a",COUNTIFS($B$2:$B$528,"Yes",$A$2:$A$528,"Neuron",$T$2:$T$528,$T386)&gt;1),
AND($W386&lt;&gt;"",LOWER(TRIM($W386))&lt;&gt;"n/a",COUNTIFS($B$2:$B$528,"Yes",$A$2:$A$528,"Neuron",$W$2:$W$528,$W386)&gt;1)
),"Yes","No"),
IF($A386="Cybernet",
IF(OR(
AND($Y386&lt;&gt;"",LOWER(TRIM($Y386))&lt;&gt;"n/a",COUNTIFS($B$2:$B$528,"Yes",$A$2:$A$528,"Cybernet",$Y$2:$Y$528,$Y386)&gt;1),
AND($Z386&lt;&gt;"",LOWER(TRIM($Z386))&lt;&gt;"n/a",COUNTIFS($B$2:$B$528,"Yes",$A$2:$A$528,"Cybernet",$Z$2:$Z$528,$Z386)&gt;1)
),"Yes","No"),
IF(AND($AL386&lt;&gt;"",LOWER(TRIM($AL386))&lt;&gt;"n/a"),
IF(COUNTIFS($B$2:$B$528,"Yes",$A$2:$A$528,$A386,$AL$2:$AL$528,$AL386)&gt;1,"Yes","No"),
"No")
)
)
)</f>
        <v/>
      </c>
      <c r="BL386" s="4" t="str">
        <f t="shared" si="19"/>
        <v/>
      </c>
      <c r="BM386" s="8" t="str">
        <f t="shared" si="20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 ht="15" customHeight="1">
      <c r="D387" s="15" t="str">
        <f t="shared" si="18"/>
        <v/>
      </c>
      <c r="E387" s="15" t="str">
        <f>IF($A387="","",IF($A387="Neuron",IF(OR(AND($S387&lt;&gt;"",LOWER(TRIM($S387))&lt;&gt;"n/a",COUNTIF($S$2:$S$528,$S387)&gt;1),AND($T387&lt;&gt;"",LOWER(TRIM($T387))&lt;&gt;"n/a",COUNTIF($T$2:$T$528,$T387)&gt;1),AND($W387&lt;&gt;"",LOWER(TRIM($W387))&lt;&gt;"n/a",COUNTIF($W$2:$W$528,$W387)&gt;1)),"Yes","No"),IF($A387="Cybernet",IF(OR(AND($Y387&lt;&gt;"",LOWER(TRIM($Y387))&lt;&gt;"n/a",COUNTIF($Y$2:$Y$528,$Y387)&gt;1),AND($Z387&lt;&gt;"",LOWER(TRIM($Z387))&lt;&gt;"n/a",COUNTIF($Z$2:$Z$528,$Z387)&gt;1)),"Yes","No"),IF(AND($AL387&lt;&gt;"",LOWER(TRIM($AL387))&lt;&gt;"n/a",COUNTIF($AL$2:$AL$528,$AL387)&gt;1),"Yes","No"))))</f>
        <v/>
      </c>
      <c r="F387" t="str">
        <f>IF($B387&lt;&gt;"Yes","",
IF($A387="Neuron",
IF(OR(
AND($S387&lt;&gt;"",LOWER(TRIM($S387))&lt;&gt;"n/a",COUNTIFS($B$2:$B$528,"Yes",$A$2:$A$528,"Neuron",$S$2:$S$528,$S387)&gt;1),
AND($T387&lt;&gt;"",LOWER(TRIM($T387))&lt;&gt;"n/a",COUNTIFS($B$2:$B$528,"Yes",$A$2:$A$528,"Neuron",$T$2:$T$528,$T387)&gt;1),
AND($W387&lt;&gt;"",LOWER(TRIM($W387))&lt;&gt;"n/a",COUNTIFS($B$2:$B$528,"Yes",$A$2:$A$528,"Neuron",$W$2:$W$528,$W387)&gt;1)
),"Yes","No"),
IF($A387="Cybernet",
IF(OR(
AND($Y387&lt;&gt;"",LOWER(TRIM($Y387))&lt;&gt;"n/a",COUNTIFS($B$2:$B$528,"Yes",$A$2:$A$528,"Cybernet",$Y$2:$Y$528,$Y387)&gt;1),
AND($Z387&lt;&gt;"",LOWER(TRIM($Z387))&lt;&gt;"n/a",COUNTIFS($B$2:$B$528,"Yes",$A$2:$A$528,"Cybernet",$Z$2:$Z$528,$Z387)&gt;1)
),"Yes","No"),
IF(AND($AL387&lt;&gt;"",LOWER(TRIM($AL387))&lt;&gt;"n/a"),
IF(COUNTIFS($B$2:$B$528,"Yes",$A$2:$A$528,$A387,$AL$2:$AL$528,$AL387)&gt;1,"Yes","No"),
"No")
)
)
)</f>
        <v/>
      </c>
      <c r="BL387" s="4" t="str">
        <f t="shared" si="19"/>
        <v/>
      </c>
      <c r="BM387" s="8" t="str">
        <f t="shared" si="20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 ht="15" customHeight="1">
      <c r="D388" s="15" t="str">
        <f t="shared" si="18"/>
        <v/>
      </c>
      <c r="E388" s="15" t="str">
        <f>IF($A388="","",IF($A388="Neuron",IF(OR(AND($S388&lt;&gt;"",LOWER(TRIM($S388))&lt;&gt;"n/a",COUNTIF($S$2:$S$528,$S388)&gt;1),AND($T388&lt;&gt;"",LOWER(TRIM($T388))&lt;&gt;"n/a",COUNTIF($T$2:$T$528,$T388)&gt;1),AND($W388&lt;&gt;"",LOWER(TRIM($W388))&lt;&gt;"n/a",COUNTIF($W$2:$W$528,$W388)&gt;1)),"Yes","No"),IF($A388="Cybernet",IF(OR(AND($Y388&lt;&gt;"",LOWER(TRIM($Y388))&lt;&gt;"n/a",COUNTIF($Y$2:$Y$528,$Y388)&gt;1),AND($Z388&lt;&gt;"",LOWER(TRIM($Z388))&lt;&gt;"n/a",COUNTIF($Z$2:$Z$528,$Z388)&gt;1)),"Yes","No"),IF(AND($AL388&lt;&gt;"",LOWER(TRIM($AL388))&lt;&gt;"n/a",COUNTIF($AL$2:$AL$528,$AL388)&gt;1),"Yes","No"))))</f>
        <v/>
      </c>
      <c r="F388" t="str">
        <f>IF($B388&lt;&gt;"Yes","",
IF($A388="Neuron",
IF(OR(
AND($S388&lt;&gt;"",LOWER(TRIM($S388))&lt;&gt;"n/a",COUNTIFS($B$2:$B$528,"Yes",$A$2:$A$528,"Neuron",$S$2:$S$528,$S388)&gt;1),
AND($T388&lt;&gt;"",LOWER(TRIM($T388))&lt;&gt;"n/a",COUNTIFS($B$2:$B$528,"Yes",$A$2:$A$528,"Neuron",$T$2:$T$528,$T388)&gt;1),
AND($W388&lt;&gt;"",LOWER(TRIM($W388))&lt;&gt;"n/a",COUNTIFS($B$2:$B$528,"Yes",$A$2:$A$528,"Neuron",$W$2:$W$528,$W388)&gt;1)
),"Yes","No"),
IF($A388="Cybernet",
IF(OR(
AND($Y388&lt;&gt;"",LOWER(TRIM($Y388))&lt;&gt;"n/a",COUNTIFS($B$2:$B$528,"Yes",$A$2:$A$528,"Cybernet",$Y$2:$Y$528,$Y388)&gt;1),
AND($Z388&lt;&gt;"",LOWER(TRIM($Z388))&lt;&gt;"n/a",COUNTIFS($B$2:$B$528,"Yes",$A$2:$A$528,"Cybernet",$Z$2:$Z$528,$Z388)&gt;1)
),"Yes","No"),
IF(AND($AL388&lt;&gt;"",LOWER(TRIM($AL388))&lt;&gt;"n/a"),
IF(COUNTIFS($B$2:$B$528,"Yes",$A$2:$A$528,$A388,$AL$2:$AL$528,$AL388)&gt;1,"Yes","No"),
"No")
)
)
)</f>
        <v/>
      </c>
      <c r="BL388" s="4" t="str">
        <f t="shared" si="19"/>
        <v/>
      </c>
      <c r="BM388" s="8" t="str">
        <f t="shared" si="20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 ht="15" customHeight="1">
      <c r="D389" s="15" t="str">
        <f t="shared" si="18"/>
        <v/>
      </c>
      <c r="E389" s="15" t="str">
        <f>IF($A389="","",IF($A389="Neuron",IF(OR(AND($S389&lt;&gt;"",LOWER(TRIM($S389))&lt;&gt;"n/a",COUNTIF($S$2:$S$528,$S389)&gt;1),AND($T389&lt;&gt;"",LOWER(TRIM($T389))&lt;&gt;"n/a",COUNTIF($T$2:$T$528,$T389)&gt;1),AND($W389&lt;&gt;"",LOWER(TRIM($W389))&lt;&gt;"n/a",COUNTIF($W$2:$W$528,$W389)&gt;1)),"Yes","No"),IF($A389="Cybernet",IF(OR(AND($Y389&lt;&gt;"",LOWER(TRIM($Y389))&lt;&gt;"n/a",COUNTIF($Y$2:$Y$528,$Y389)&gt;1),AND($Z389&lt;&gt;"",LOWER(TRIM($Z389))&lt;&gt;"n/a",COUNTIF($Z$2:$Z$528,$Z389)&gt;1)),"Yes","No"),IF(AND($AL389&lt;&gt;"",LOWER(TRIM($AL389))&lt;&gt;"n/a",COUNTIF($AL$2:$AL$528,$AL389)&gt;1),"Yes","No"))))</f>
        <v/>
      </c>
      <c r="F389" t="str">
        <f>IF($B389&lt;&gt;"Yes","",
IF($A389="Neuron",
IF(OR(
AND($S389&lt;&gt;"",LOWER(TRIM($S389))&lt;&gt;"n/a",COUNTIFS($B$2:$B$528,"Yes",$A$2:$A$528,"Neuron",$S$2:$S$528,$S389)&gt;1),
AND($T389&lt;&gt;"",LOWER(TRIM($T389))&lt;&gt;"n/a",COUNTIFS($B$2:$B$528,"Yes",$A$2:$A$528,"Neuron",$T$2:$T$528,$T389)&gt;1),
AND($W389&lt;&gt;"",LOWER(TRIM($W389))&lt;&gt;"n/a",COUNTIFS($B$2:$B$528,"Yes",$A$2:$A$528,"Neuron",$W$2:$W$528,$W389)&gt;1)
),"Yes","No"),
IF($A389="Cybernet",
IF(OR(
AND($Y389&lt;&gt;"",LOWER(TRIM($Y389))&lt;&gt;"n/a",COUNTIFS($B$2:$B$528,"Yes",$A$2:$A$528,"Cybernet",$Y$2:$Y$528,$Y389)&gt;1),
AND($Z389&lt;&gt;"",LOWER(TRIM($Z389))&lt;&gt;"n/a",COUNTIFS($B$2:$B$528,"Yes",$A$2:$A$528,"Cybernet",$Z$2:$Z$528,$Z389)&gt;1)
),"Yes","No"),
IF(AND($AL389&lt;&gt;"",LOWER(TRIM($AL389))&lt;&gt;"n/a"),
IF(COUNTIFS($B$2:$B$528,"Yes",$A$2:$A$528,$A389,$AL$2:$AL$528,$AL389)&gt;1,"Yes","No"),
"No")
)
)
)</f>
        <v/>
      </c>
      <c r="BL389" s="4" t="str">
        <f t="shared" si="19"/>
        <v/>
      </c>
      <c r="BM389" s="8" t="str">
        <f t="shared" si="20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 ht="15" customHeight="1">
      <c r="D390" s="15" t="str">
        <f t="shared" si="18"/>
        <v/>
      </c>
      <c r="E390" s="15" t="str">
        <f>IF($A390="","",IF($A390="Neuron",IF(OR(AND($S390&lt;&gt;"",LOWER(TRIM($S390))&lt;&gt;"n/a",COUNTIF($S$2:$S$528,$S390)&gt;1),AND($T390&lt;&gt;"",LOWER(TRIM($T390))&lt;&gt;"n/a",COUNTIF($T$2:$T$528,$T390)&gt;1),AND($W390&lt;&gt;"",LOWER(TRIM($W390))&lt;&gt;"n/a",COUNTIF($W$2:$W$528,$W390)&gt;1)),"Yes","No"),IF($A390="Cybernet",IF(OR(AND($Y390&lt;&gt;"",LOWER(TRIM($Y390))&lt;&gt;"n/a",COUNTIF($Y$2:$Y$528,$Y390)&gt;1),AND($Z390&lt;&gt;"",LOWER(TRIM($Z390))&lt;&gt;"n/a",COUNTIF($Z$2:$Z$528,$Z390)&gt;1)),"Yes","No"),IF(AND($AL390&lt;&gt;"",LOWER(TRIM($AL390))&lt;&gt;"n/a",COUNTIF($AL$2:$AL$528,$AL390)&gt;1),"Yes","No"))))</f>
        <v/>
      </c>
      <c r="F390" t="str">
        <f>IF($B390&lt;&gt;"Yes","",
IF($A390="Neuron",
IF(OR(
AND($S390&lt;&gt;"",LOWER(TRIM($S390))&lt;&gt;"n/a",COUNTIFS($B$2:$B$528,"Yes",$A$2:$A$528,"Neuron",$S$2:$S$528,$S390)&gt;1),
AND($T390&lt;&gt;"",LOWER(TRIM($T390))&lt;&gt;"n/a",COUNTIFS($B$2:$B$528,"Yes",$A$2:$A$528,"Neuron",$T$2:$T$528,$T390)&gt;1),
AND($W390&lt;&gt;"",LOWER(TRIM($W390))&lt;&gt;"n/a",COUNTIFS($B$2:$B$528,"Yes",$A$2:$A$528,"Neuron",$W$2:$W$528,$W390)&gt;1)
),"Yes","No"),
IF($A390="Cybernet",
IF(OR(
AND($Y390&lt;&gt;"",LOWER(TRIM($Y390))&lt;&gt;"n/a",COUNTIFS($B$2:$B$528,"Yes",$A$2:$A$528,"Cybernet",$Y$2:$Y$528,$Y390)&gt;1),
AND($Z390&lt;&gt;"",LOWER(TRIM($Z390))&lt;&gt;"n/a",COUNTIFS($B$2:$B$528,"Yes",$A$2:$A$528,"Cybernet",$Z$2:$Z$528,$Z390)&gt;1)
),"Yes","No"),
IF(AND($AL390&lt;&gt;"",LOWER(TRIM($AL390))&lt;&gt;"n/a"),
IF(COUNTIFS($B$2:$B$528,"Yes",$A$2:$A$528,$A390,$AL$2:$AL$528,$AL390)&gt;1,"Yes","No"),
"No")
)
)
)</f>
        <v/>
      </c>
      <c r="BL390" s="4" t="str">
        <f t="shared" si="19"/>
        <v/>
      </c>
      <c r="BM390" s="8" t="str">
        <f t="shared" si="20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 ht="15" customHeight="1">
      <c r="D391" s="15" t="str">
        <f t="shared" si="18"/>
        <v/>
      </c>
      <c r="E391" s="15" t="str">
        <f>IF($A391="","",IF($A391="Neuron",IF(OR(AND($S391&lt;&gt;"",LOWER(TRIM($S391))&lt;&gt;"n/a",COUNTIF($S$2:$S$528,$S391)&gt;1),AND($T391&lt;&gt;"",LOWER(TRIM($T391))&lt;&gt;"n/a",COUNTIF($T$2:$T$528,$T391)&gt;1),AND($W391&lt;&gt;"",LOWER(TRIM($W391))&lt;&gt;"n/a",COUNTIF($W$2:$W$528,$W391)&gt;1)),"Yes","No"),IF($A391="Cybernet",IF(OR(AND($Y391&lt;&gt;"",LOWER(TRIM($Y391))&lt;&gt;"n/a",COUNTIF($Y$2:$Y$528,$Y391)&gt;1),AND($Z391&lt;&gt;"",LOWER(TRIM($Z391))&lt;&gt;"n/a",COUNTIF($Z$2:$Z$528,$Z391)&gt;1)),"Yes","No"),IF(AND($AL391&lt;&gt;"",LOWER(TRIM($AL391))&lt;&gt;"n/a",COUNTIF($AL$2:$AL$528,$AL391)&gt;1),"Yes","No"))))</f>
        <v/>
      </c>
      <c r="F391" t="str">
        <f>IF($B391&lt;&gt;"Yes","",
IF($A391="Neuron",
IF(OR(
AND($S391&lt;&gt;"",LOWER(TRIM($S391))&lt;&gt;"n/a",COUNTIFS($B$2:$B$528,"Yes",$A$2:$A$528,"Neuron",$S$2:$S$528,$S391)&gt;1),
AND($T391&lt;&gt;"",LOWER(TRIM($T391))&lt;&gt;"n/a",COUNTIFS($B$2:$B$528,"Yes",$A$2:$A$528,"Neuron",$T$2:$T$528,$T391)&gt;1),
AND($W391&lt;&gt;"",LOWER(TRIM($W391))&lt;&gt;"n/a",COUNTIFS($B$2:$B$528,"Yes",$A$2:$A$528,"Neuron",$W$2:$W$528,$W391)&gt;1)
),"Yes","No"),
IF($A391="Cybernet",
IF(OR(
AND($Y391&lt;&gt;"",LOWER(TRIM($Y391))&lt;&gt;"n/a",COUNTIFS($B$2:$B$528,"Yes",$A$2:$A$528,"Cybernet",$Y$2:$Y$528,$Y391)&gt;1),
AND($Z391&lt;&gt;"",LOWER(TRIM($Z391))&lt;&gt;"n/a",COUNTIFS($B$2:$B$528,"Yes",$A$2:$A$528,"Cybernet",$Z$2:$Z$528,$Z391)&gt;1)
),"Yes","No"),
IF(AND($AL391&lt;&gt;"",LOWER(TRIM($AL391))&lt;&gt;"n/a"),
IF(COUNTIFS($B$2:$B$528,"Yes",$A$2:$A$528,$A391,$AL$2:$AL$528,$AL391)&gt;1,"Yes","No"),
"No")
)
)
)</f>
        <v/>
      </c>
      <c r="BL391" s="4" t="str">
        <f t="shared" si="19"/>
        <v/>
      </c>
      <c r="BM391" s="8" t="str">
        <f t="shared" si="20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 ht="15" customHeight="1">
      <c r="D392" s="15" t="str">
        <f t="shared" si="18"/>
        <v/>
      </c>
      <c r="E392" s="15" t="str">
        <f>IF($A392="","",IF($A392="Neuron",IF(OR(AND($S392&lt;&gt;"",LOWER(TRIM($S392))&lt;&gt;"n/a",COUNTIF($S$2:$S$528,$S392)&gt;1),AND($T392&lt;&gt;"",LOWER(TRIM($T392))&lt;&gt;"n/a",COUNTIF($T$2:$T$528,$T392)&gt;1),AND($W392&lt;&gt;"",LOWER(TRIM($W392))&lt;&gt;"n/a",COUNTIF($W$2:$W$528,$W392)&gt;1)),"Yes","No"),IF($A392="Cybernet",IF(OR(AND($Y392&lt;&gt;"",LOWER(TRIM($Y392))&lt;&gt;"n/a",COUNTIF($Y$2:$Y$528,$Y392)&gt;1),AND($Z392&lt;&gt;"",LOWER(TRIM($Z392))&lt;&gt;"n/a",COUNTIF($Z$2:$Z$528,$Z392)&gt;1)),"Yes","No"),IF(AND($AL392&lt;&gt;"",LOWER(TRIM($AL392))&lt;&gt;"n/a",COUNTIF($AL$2:$AL$528,$AL392)&gt;1),"Yes","No"))))</f>
        <v/>
      </c>
      <c r="F392" t="str">
        <f>IF($B392&lt;&gt;"Yes","",
IF($A392="Neuron",
IF(OR(
AND($S392&lt;&gt;"",LOWER(TRIM($S392))&lt;&gt;"n/a",COUNTIFS($B$2:$B$528,"Yes",$A$2:$A$528,"Neuron",$S$2:$S$528,$S392)&gt;1),
AND($T392&lt;&gt;"",LOWER(TRIM($T392))&lt;&gt;"n/a",COUNTIFS($B$2:$B$528,"Yes",$A$2:$A$528,"Neuron",$T$2:$T$528,$T392)&gt;1),
AND($W392&lt;&gt;"",LOWER(TRIM($W392))&lt;&gt;"n/a",COUNTIFS($B$2:$B$528,"Yes",$A$2:$A$528,"Neuron",$W$2:$W$528,$W392)&gt;1)
),"Yes","No"),
IF($A392="Cybernet",
IF(OR(
AND($Y392&lt;&gt;"",LOWER(TRIM($Y392))&lt;&gt;"n/a",COUNTIFS($B$2:$B$528,"Yes",$A$2:$A$528,"Cybernet",$Y$2:$Y$528,$Y392)&gt;1),
AND($Z392&lt;&gt;"",LOWER(TRIM($Z392))&lt;&gt;"n/a",COUNTIFS($B$2:$B$528,"Yes",$A$2:$A$528,"Cybernet",$Z$2:$Z$528,$Z392)&gt;1)
),"Yes","No"),
IF(AND($AL392&lt;&gt;"",LOWER(TRIM($AL392))&lt;&gt;"n/a"),
IF(COUNTIFS($B$2:$B$528,"Yes",$A$2:$A$528,$A392,$AL$2:$AL$528,$AL392)&gt;1,"Yes","No"),
"No")
)
)
)</f>
        <v/>
      </c>
      <c r="BL392" s="4" t="str">
        <f t="shared" si="19"/>
        <v/>
      </c>
      <c r="BM392" s="8" t="str">
        <f t="shared" si="20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 ht="15" customHeight="1">
      <c r="D393" s="15" t="str">
        <f t="shared" si="18"/>
        <v/>
      </c>
      <c r="E393" s="15" t="str">
        <f>IF($A393="","",IF($A393="Neuron",IF(OR(AND($S393&lt;&gt;"",LOWER(TRIM($S393))&lt;&gt;"n/a",COUNTIF($S$2:$S$528,$S393)&gt;1),AND($T393&lt;&gt;"",LOWER(TRIM($T393))&lt;&gt;"n/a",COUNTIF($T$2:$T$528,$T393)&gt;1),AND($W393&lt;&gt;"",LOWER(TRIM($W393))&lt;&gt;"n/a",COUNTIF($W$2:$W$528,$W393)&gt;1)),"Yes","No"),IF($A393="Cybernet",IF(OR(AND($Y393&lt;&gt;"",LOWER(TRIM($Y393))&lt;&gt;"n/a",COUNTIF($Y$2:$Y$528,$Y393)&gt;1),AND($Z393&lt;&gt;"",LOWER(TRIM($Z393))&lt;&gt;"n/a",COUNTIF($Z$2:$Z$528,$Z393)&gt;1)),"Yes","No"),IF(AND($AL393&lt;&gt;"",LOWER(TRIM($AL393))&lt;&gt;"n/a",COUNTIF($AL$2:$AL$528,$AL393)&gt;1),"Yes","No"))))</f>
        <v/>
      </c>
      <c r="F393" t="str">
        <f>IF($B393&lt;&gt;"Yes","",
IF($A393="Neuron",
IF(OR(
AND($S393&lt;&gt;"",LOWER(TRIM($S393))&lt;&gt;"n/a",COUNTIFS($B$2:$B$528,"Yes",$A$2:$A$528,"Neuron",$S$2:$S$528,$S393)&gt;1),
AND($T393&lt;&gt;"",LOWER(TRIM($T393))&lt;&gt;"n/a",COUNTIFS($B$2:$B$528,"Yes",$A$2:$A$528,"Neuron",$T$2:$T$528,$T393)&gt;1),
AND($W393&lt;&gt;"",LOWER(TRIM($W393))&lt;&gt;"n/a",COUNTIFS($B$2:$B$528,"Yes",$A$2:$A$528,"Neuron",$W$2:$W$528,$W393)&gt;1)
),"Yes","No"),
IF($A393="Cybernet",
IF(OR(
AND($Y393&lt;&gt;"",LOWER(TRIM($Y393))&lt;&gt;"n/a",COUNTIFS($B$2:$B$528,"Yes",$A$2:$A$528,"Cybernet",$Y$2:$Y$528,$Y393)&gt;1),
AND($Z393&lt;&gt;"",LOWER(TRIM($Z393))&lt;&gt;"n/a",COUNTIFS($B$2:$B$528,"Yes",$A$2:$A$528,"Cybernet",$Z$2:$Z$528,$Z393)&gt;1)
),"Yes","No"),
IF(AND($AL393&lt;&gt;"",LOWER(TRIM($AL393))&lt;&gt;"n/a"),
IF(COUNTIFS($B$2:$B$528,"Yes",$A$2:$A$528,$A393,$AL$2:$AL$528,$AL393)&gt;1,"Yes","No"),
"No")
)
)
)</f>
        <v/>
      </c>
      <c r="BL393" s="4" t="str">
        <f t="shared" si="19"/>
        <v/>
      </c>
      <c r="BM393" s="8" t="str">
        <f t="shared" si="20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 ht="15" customHeight="1">
      <c r="D394" s="15" t="str">
        <f t="shared" si="18"/>
        <v/>
      </c>
      <c r="E394" s="15" t="str">
        <f>IF($A394="","",IF($A394="Neuron",IF(OR(AND($S394&lt;&gt;"",LOWER(TRIM($S394))&lt;&gt;"n/a",COUNTIF($S$2:$S$528,$S394)&gt;1),AND($T394&lt;&gt;"",LOWER(TRIM($T394))&lt;&gt;"n/a",COUNTIF($T$2:$T$528,$T394)&gt;1),AND($W394&lt;&gt;"",LOWER(TRIM($W394))&lt;&gt;"n/a",COUNTIF($W$2:$W$528,$W394)&gt;1)),"Yes","No"),IF($A394="Cybernet",IF(OR(AND($Y394&lt;&gt;"",LOWER(TRIM($Y394))&lt;&gt;"n/a",COUNTIF($Y$2:$Y$528,$Y394)&gt;1),AND($Z394&lt;&gt;"",LOWER(TRIM($Z394))&lt;&gt;"n/a",COUNTIF($Z$2:$Z$528,$Z394)&gt;1)),"Yes","No"),IF(AND($AL394&lt;&gt;"",LOWER(TRIM($AL394))&lt;&gt;"n/a",COUNTIF($AL$2:$AL$528,$AL394)&gt;1),"Yes","No"))))</f>
        <v/>
      </c>
      <c r="F394" t="str">
        <f>IF($B394&lt;&gt;"Yes","",
IF($A394="Neuron",
IF(OR(
AND($S394&lt;&gt;"",LOWER(TRIM($S394))&lt;&gt;"n/a",COUNTIFS($B$2:$B$528,"Yes",$A$2:$A$528,"Neuron",$S$2:$S$528,$S394)&gt;1),
AND($T394&lt;&gt;"",LOWER(TRIM($T394))&lt;&gt;"n/a",COUNTIFS($B$2:$B$528,"Yes",$A$2:$A$528,"Neuron",$T$2:$T$528,$T394)&gt;1),
AND($W394&lt;&gt;"",LOWER(TRIM($W394))&lt;&gt;"n/a",COUNTIFS($B$2:$B$528,"Yes",$A$2:$A$528,"Neuron",$W$2:$W$528,$W394)&gt;1)
),"Yes","No"),
IF($A394="Cybernet",
IF(OR(
AND($Y394&lt;&gt;"",LOWER(TRIM($Y394))&lt;&gt;"n/a",COUNTIFS($B$2:$B$528,"Yes",$A$2:$A$528,"Cybernet",$Y$2:$Y$528,$Y394)&gt;1),
AND($Z394&lt;&gt;"",LOWER(TRIM($Z394))&lt;&gt;"n/a",COUNTIFS($B$2:$B$528,"Yes",$A$2:$A$528,"Cybernet",$Z$2:$Z$528,$Z394)&gt;1)
),"Yes","No"),
IF(AND($AL394&lt;&gt;"",LOWER(TRIM($AL394))&lt;&gt;"n/a"),
IF(COUNTIFS($B$2:$B$528,"Yes",$A$2:$A$528,$A394,$AL$2:$AL$528,$AL394)&gt;1,"Yes","No"),
"No")
)
)
)</f>
        <v/>
      </c>
      <c r="BL394" s="4" t="str">
        <f t="shared" si="19"/>
        <v/>
      </c>
      <c r="BM394" s="8" t="str">
        <f t="shared" si="20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 ht="15" customHeight="1">
      <c r="D395" s="15" t="str">
        <f t="shared" ref="D395:D458" si="21">IF($B395&lt;&gt;"Yes","",IF($C395="No","Yes",IF($C395="Yes","No","")))</f>
        <v/>
      </c>
      <c r="E395" s="15" t="str">
        <f>IF($A395="","",IF($A395="Neuron",IF(OR(AND($S395&lt;&gt;"",LOWER(TRIM($S395))&lt;&gt;"n/a",COUNTIF($S$2:$S$528,$S395)&gt;1),AND($T395&lt;&gt;"",LOWER(TRIM($T395))&lt;&gt;"n/a",COUNTIF($T$2:$T$528,$T395)&gt;1),AND($W395&lt;&gt;"",LOWER(TRIM($W395))&lt;&gt;"n/a",COUNTIF($W$2:$W$528,$W395)&gt;1)),"Yes","No"),IF($A395="Cybernet",IF(OR(AND($Y395&lt;&gt;"",LOWER(TRIM($Y395))&lt;&gt;"n/a",COUNTIF($Y$2:$Y$528,$Y395)&gt;1),AND($Z395&lt;&gt;"",LOWER(TRIM($Z395))&lt;&gt;"n/a",COUNTIF($Z$2:$Z$528,$Z395)&gt;1)),"Yes","No"),IF(AND($AL395&lt;&gt;"",LOWER(TRIM($AL395))&lt;&gt;"n/a",COUNTIF($AL$2:$AL$528,$AL395)&gt;1),"Yes","No"))))</f>
        <v/>
      </c>
      <c r="F395" t="str">
        <f>IF($B395&lt;&gt;"Yes","",
IF($A395="Neuron",
IF(OR(
AND($S395&lt;&gt;"",LOWER(TRIM($S395))&lt;&gt;"n/a",COUNTIFS($B$2:$B$528,"Yes",$A$2:$A$528,"Neuron",$S$2:$S$528,$S395)&gt;1),
AND($T395&lt;&gt;"",LOWER(TRIM($T395))&lt;&gt;"n/a",COUNTIFS($B$2:$B$528,"Yes",$A$2:$A$528,"Neuron",$T$2:$T$528,$T395)&gt;1),
AND($W395&lt;&gt;"",LOWER(TRIM($W395))&lt;&gt;"n/a",COUNTIFS($B$2:$B$528,"Yes",$A$2:$A$528,"Neuron",$W$2:$W$528,$W395)&gt;1)
),"Yes","No"),
IF($A395="Cybernet",
IF(OR(
AND($Y395&lt;&gt;"",LOWER(TRIM($Y395))&lt;&gt;"n/a",COUNTIFS($B$2:$B$528,"Yes",$A$2:$A$528,"Cybernet",$Y$2:$Y$528,$Y395)&gt;1),
AND($Z395&lt;&gt;"",LOWER(TRIM($Z395))&lt;&gt;"n/a",COUNTIFS($B$2:$B$528,"Yes",$A$2:$A$528,"Cybernet",$Z$2:$Z$528,$Z395)&gt;1)
),"Yes","No"),
IF(AND($AL395&lt;&gt;"",LOWER(TRIM($AL395))&lt;&gt;"n/a"),
IF(COUNTIFS($B$2:$B$528,"Yes",$A$2:$A$528,$A395,$AL$2:$AL$528,$AL395)&gt;1,"Yes","No"),
"No")
)
)
)</f>
        <v/>
      </c>
      <c r="BL395" s="4" t="str">
        <f t="shared" si="19"/>
        <v/>
      </c>
      <c r="BM395" s="8" t="str">
        <f t="shared" si="20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 ht="15" customHeight="1">
      <c r="D396" s="15" t="str">
        <f t="shared" si="21"/>
        <v/>
      </c>
      <c r="E396" s="15" t="str">
        <f>IF($A396="","",IF($A396="Neuron",IF(OR(AND($S396&lt;&gt;"",LOWER(TRIM($S396))&lt;&gt;"n/a",COUNTIF($S$2:$S$528,$S396)&gt;1),AND($T396&lt;&gt;"",LOWER(TRIM($T396))&lt;&gt;"n/a",COUNTIF($T$2:$T$528,$T396)&gt;1),AND($W396&lt;&gt;"",LOWER(TRIM($W396))&lt;&gt;"n/a",COUNTIF($W$2:$W$528,$W396)&gt;1)),"Yes","No"),IF($A396="Cybernet",IF(OR(AND($Y396&lt;&gt;"",LOWER(TRIM($Y396))&lt;&gt;"n/a",COUNTIF($Y$2:$Y$528,$Y396)&gt;1),AND($Z396&lt;&gt;"",LOWER(TRIM($Z396))&lt;&gt;"n/a",COUNTIF($Z$2:$Z$528,$Z396)&gt;1)),"Yes","No"),IF(AND($AL396&lt;&gt;"",LOWER(TRIM($AL396))&lt;&gt;"n/a",COUNTIF($AL$2:$AL$528,$AL396)&gt;1),"Yes","No"))))</f>
        <v/>
      </c>
      <c r="F396" t="str">
        <f>IF($B396&lt;&gt;"Yes","",
IF($A396="Neuron",
IF(OR(
AND($S396&lt;&gt;"",LOWER(TRIM($S396))&lt;&gt;"n/a",COUNTIFS($B$2:$B$528,"Yes",$A$2:$A$528,"Neuron",$S$2:$S$528,$S396)&gt;1),
AND($T396&lt;&gt;"",LOWER(TRIM($T396))&lt;&gt;"n/a",COUNTIFS($B$2:$B$528,"Yes",$A$2:$A$528,"Neuron",$T$2:$T$528,$T396)&gt;1),
AND($W396&lt;&gt;"",LOWER(TRIM($W396))&lt;&gt;"n/a",COUNTIFS($B$2:$B$528,"Yes",$A$2:$A$528,"Neuron",$W$2:$W$528,$W396)&gt;1)
),"Yes","No"),
IF($A396="Cybernet",
IF(OR(
AND($Y396&lt;&gt;"",LOWER(TRIM($Y396))&lt;&gt;"n/a",COUNTIFS($B$2:$B$528,"Yes",$A$2:$A$528,"Cybernet",$Y$2:$Y$528,$Y396)&gt;1),
AND($Z396&lt;&gt;"",LOWER(TRIM($Z396))&lt;&gt;"n/a",COUNTIFS($B$2:$B$528,"Yes",$A$2:$A$528,"Cybernet",$Z$2:$Z$528,$Z396)&gt;1)
),"Yes","No"),
IF(AND($AL396&lt;&gt;"",LOWER(TRIM($AL396))&lt;&gt;"n/a"),
IF(COUNTIFS($B$2:$B$528,"Yes",$A$2:$A$528,$A396,$AL$2:$AL$528,$AL396)&gt;1,"Yes","No"),
"No")
)
)
)</f>
        <v/>
      </c>
      <c r="BL396" s="4" t="str">
        <f t="shared" si="19"/>
        <v/>
      </c>
      <c r="BM396" s="8" t="str">
        <f t="shared" si="20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 ht="15" customHeight="1">
      <c r="D397" s="15" t="str">
        <f t="shared" si="21"/>
        <v/>
      </c>
      <c r="E397" s="15" t="str">
        <f>IF($A397="","",IF($A397="Neuron",IF(OR(AND($S397&lt;&gt;"",LOWER(TRIM($S397))&lt;&gt;"n/a",COUNTIF($S$2:$S$528,$S397)&gt;1),AND($T397&lt;&gt;"",LOWER(TRIM($T397))&lt;&gt;"n/a",COUNTIF($T$2:$T$528,$T397)&gt;1),AND($W397&lt;&gt;"",LOWER(TRIM($W397))&lt;&gt;"n/a",COUNTIF($W$2:$W$528,$W397)&gt;1)),"Yes","No"),IF($A397="Cybernet",IF(OR(AND($Y397&lt;&gt;"",LOWER(TRIM($Y397))&lt;&gt;"n/a",COUNTIF($Y$2:$Y$528,$Y397)&gt;1),AND($Z397&lt;&gt;"",LOWER(TRIM($Z397))&lt;&gt;"n/a",COUNTIF($Z$2:$Z$528,$Z397)&gt;1)),"Yes","No"),IF(AND($AL397&lt;&gt;"",LOWER(TRIM($AL397))&lt;&gt;"n/a",COUNTIF($AL$2:$AL$528,$AL397)&gt;1),"Yes","No"))))</f>
        <v/>
      </c>
      <c r="F397" t="str">
        <f>IF($B397&lt;&gt;"Yes","",
IF($A397="Neuron",
IF(OR(
AND($S397&lt;&gt;"",LOWER(TRIM($S397))&lt;&gt;"n/a",COUNTIFS($B$2:$B$528,"Yes",$A$2:$A$528,"Neuron",$S$2:$S$528,$S397)&gt;1),
AND($T397&lt;&gt;"",LOWER(TRIM($T397))&lt;&gt;"n/a",COUNTIFS($B$2:$B$528,"Yes",$A$2:$A$528,"Neuron",$T$2:$T$528,$T397)&gt;1),
AND($W397&lt;&gt;"",LOWER(TRIM($W397))&lt;&gt;"n/a",COUNTIFS($B$2:$B$528,"Yes",$A$2:$A$528,"Neuron",$W$2:$W$528,$W397)&gt;1)
),"Yes","No"),
IF($A397="Cybernet",
IF(OR(
AND($Y397&lt;&gt;"",LOWER(TRIM($Y397))&lt;&gt;"n/a",COUNTIFS($B$2:$B$528,"Yes",$A$2:$A$528,"Cybernet",$Y$2:$Y$528,$Y397)&gt;1),
AND($Z397&lt;&gt;"",LOWER(TRIM($Z397))&lt;&gt;"n/a",COUNTIFS($B$2:$B$528,"Yes",$A$2:$A$528,"Cybernet",$Z$2:$Z$528,$Z397)&gt;1)
),"Yes","No"),
IF(AND($AL397&lt;&gt;"",LOWER(TRIM($AL397))&lt;&gt;"n/a"),
IF(COUNTIFS($B$2:$B$528,"Yes",$A$2:$A$528,$A397,$AL$2:$AL$528,$AL397)&gt;1,"Yes","No"),
"No")
)
)
)</f>
        <v/>
      </c>
      <c r="BL397" s="4" t="str">
        <f t="shared" si="19"/>
        <v/>
      </c>
      <c r="BM397" s="8" t="str">
        <f t="shared" si="20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 ht="15" customHeight="1">
      <c r="D398" s="15" t="str">
        <f t="shared" si="21"/>
        <v/>
      </c>
      <c r="E398" s="15" t="str">
        <f>IF($A398="","",IF($A398="Neuron",IF(OR(AND($S398&lt;&gt;"",LOWER(TRIM($S398))&lt;&gt;"n/a",COUNTIF($S$2:$S$528,$S398)&gt;1),AND($T398&lt;&gt;"",LOWER(TRIM($T398))&lt;&gt;"n/a",COUNTIF($T$2:$T$528,$T398)&gt;1),AND($W398&lt;&gt;"",LOWER(TRIM($W398))&lt;&gt;"n/a",COUNTIF($W$2:$W$528,$W398)&gt;1)),"Yes","No"),IF($A398="Cybernet",IF(OR(AND($Y398&lt;&gt;"",LOWER(TRIM($Y398))&lt;&gt;"n/a",COUNTIF($Y$2:$Y$528,$Y398)&gt;1),AND($Z398&lt;&gt;"",LOWER(TRIM($Z398))&lt;&gt;"n/a",COUNTIF($Z$2:$Z$528,$Z398)&gt;1)),"Yes","No"),IF(AND($AL398&lt;&gt;"",LOWER(TRIM($AL398))&lt;&gt;"n/a",COUNTIF($AL$2:$AL$528,$AL398)&gt;1),"Yes","No"))))</f>
        <v/>
      </c>
      <c r="F398" t="str">
        <f>IF($B398&lt;&gt;"Yes","",
IF($A398="Neuron",
IF(OR(
AND($S398&lt;&gt;"",LOWER(TRIM($S398))&lt;&gt;"n/a",COUNTIFS($B$2:$B$528,"Yes",$A$2:$A$528,"Neuron",$S$2:$S$528,$S398)&gt;1),
AND($T398&lt;&gt;"",LOWER(TRIM($T398))&lt;&gt;"n/a",COUNTIFS($B$2:$B$528,"Yes",$A$2:$A$528,"Neuron",$T$2:$T$528,$T398)&gt;1),
AND($W398&lt;&gt;"",LOWER(TRIM($W398))&lt;&gt;"n/a",COUNTIFS($B$2:$B$528,"Yes",$A$2:$A$528,"Neuron",$W$2:$W$528,$W398)&gt;1)
),"Yes","No"),
IF($A398="Cybernet",
IF(OR(
AND($Y398&lt;&gt;"",LOWER(TRIM($Y398))&lt;&gt;"n/a",COUNTIFS($B$2:$B$528,"Yes",$A$2:$A$528,"Cybernet",$Y$2:$Y$528,$Y398)&gt;1),
AND($Z398&lt;&gt;"",LOWER(TRIM($Z398))&lt;&gt;"n/a",COUNTIFS($B$2:$B$528,"Yes",$A$2:$A$528,"Cybernet",$Z$2:$Z$528,$Z398)&gt;1)
),"Yes","No"),
IF(AND($AL398&lt;&gt;"",LOWER(TRIM($AL398))&lt;&gt;"n/a"),
IF(COUNTIFS($B$2:$B$528,"Yes",$A$2:$A$528,$A398,$AL$2:$AL$528,$AL398)&gt;1,"Yes","No"),
"No")
)
)
)</f>
        <v/>
      </c>
      <c r="BL398" s="4" t="str">
        <f t="shared" si="19"/>
        <v/>
      </c>
      <c r="BM398" s="8" t="str">
        <f t="shared" si="20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 ht="15" customHeight="1">
      <c r="D399" s="15" t="str">
        <f t="shared" si="21"/>
        <v/>
      </c>
      <c r="E399" s="15" t="str">
        <f>IF($A399="","",IF($A399="Neuron",IF(OR(AND($S399&lt;&gt;"",LOWER(TRIM($S399))&lt;&gt;"n/a",COUNTIF($S$2:$S$528,$S399)&gt;1),AND($T399&lt;&gt;"",LOWER(TRIM($T399))&lt;&gt;"n/a",COUNTIF($T$2:$T$528,$T399)&gt;1),AND($W399&lt;&gt;"",LOWER(TRIM($W399))&lt;&gt;"n/a",COUNTIF($W$2:$W$528,$W399)&gt;1)),"Yes","No"),IF($A399="Cybernet",IF(OR(AND($Y399&lt;&gt;"",LOWER(TRIM($Y399))&lt;&gt;"n/a",COUNTIF($Y$2:$Y$528,$Y399)&gt;1),AND($Z399&lt;&gt;"",LOWER(TRIM($Z399))&lt;&gt;"n/a",COUNTIF($Z$2:$Z$528,$Z399)&gt;1)),"Yes","No"),IF(AND($AL399&lt;&gt;"",LOWER(TRIM($AL399))&lt;&gt;"n/a",COUNTIF($AL$2:$AL$528,$AL399)&gt;1),"Yes","No"))))</f>
        <v/>
      </c>
      <c r="F399" t="str">
        <f>IF($B399&lt;&gt;"Yes","",
IF($A399="Neuron",
IF(OR(
AND($S399&lt;&gt;"",LOWER(TRIM($S399))&lt;&gt;"n/a",COUNTIFS($B$2:$B$528,"Yes",$A$2:$A$528,"Neuron",$S$2:$S$528,$S399)&gt;1),
AND($T399&lt;&gt;"",LOWER(TRIM($T399))&lt;&gt;"n/a",COUNTIFS($B$2:$B$528,"Yes",$A$2:$A$528,"Neuron",$T$2:$T$528,$T399)&gt;1),
AND($W399&lt;&gt;"",LOWER(TRIM($W399))&lt;&gt;"n/a",COUNTIFS($B$2:$B$528,"Yes",$A$2:$A$528,"Neuron",$W$2:$W$528,$W399)&gt;1)
),"Yes","No"),
IF($A399="Cybernet",
IF(OR(
AND($Y399&lt;&gt;"",LOWER(TRIM($Y399))&lt;&gt;"n/a",COUNTIFS($B$2:$B$528,"Yes",$A$2:$A$528,"Cybernet",$Y$2:$Y$528,$Y399)&gt;1),
AND($Z399&lt;&gt;"",LOWER(TRIM($Z399))&lt;&gt;"n/a",COUNTIFS($B$2:$B$528,"Yes",$A$2:$A$528,"Cybernet",$Z$2:$Z$528,$Z399)&gt;1)
),"Yes","No"),
IF(AND($AL399&lt;&gt;"",LOWER(TRIM($AL399))&lt;&gt;"n/a"),
IF(COUNTIFS($B$2:$B$528,"Yes",$A$2:$A$528,$A399,$AL$2:$AL$528,$AL399)&gt;1,"Yes","No"),
"No")
)
)
)</f>
        <v/>
      </c>
      <c r="BL399" s="4" t="str">
        <f t="shared" si="19"/>
        <v/>
      </c>
      <c r="BM399" s="8" t="str">
        <f t="shared" si="20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 ht="15" customHeight="1">
      <c r="D400" s="15" t="str">
        <f t="shared" si="21"/>
        <v/>
      </c>
      <c r="E400" s="15" t="str">
        <f>IF($A400="","",IF($A400="Neuron",IF(OR(AND($S400&lt;&gt;"",LOWER(TRIM($S400))&lt;&gt;"n/a",COUNTIF($S$2:$S$528,$S400)&gt;1),AND($T400&lt;&gt;"",LOWER(TRIM($T400))&lt;&gt;"n/a",COUNTIF($T$2:$T$528,$T400)&gt;1),AND($W400&lt;&gt;"",LOWER(TRIM($W400))&lt;&gt;"n/a",COUNTIF($W$2:$W$528,$W400)&gt;1)),"Yes","No"),IF($A400="Cybernet",IF(OR(AND($Y400&lt;&gt;"",LOWER(TRIM($Y400))&lt;&gt;"n/a",COUNTIF($Y$2:$Y$528,$Y400)&gt;1),AND($Z400&lt;&gt;"",LOWER(TRIM($Z400))&lt;&gt;"n/a",COUNTIF($Z$2:$Z$528,$Z400)&gt;1)),"Yes","No"),IF(AND($AL400&lt;&gt;"",LOWER(TRIM($AL400))&lt;&gt;"n/a",COUNTIF($AL$2:$AL$528,$AL400)&gt;1),"Yes","No"))))</f>
        <v/>
      </c>
      <c r="F400" t="str">
        <f>IF($B400&lt;&gt;"Yes","",
IF($A400="Neuron",
IF(OR(
AND($S400&lt;&gt;"",LOWER(TRIM($S400))&lt;&gt;"n/a",COUNTIFS($B$2:$B$528,"Yes",$A$2:$A$528,"Neuron",$S$2:$S$528,$S400)&gt;1),
AND($T400&lt;&gt;"",LOWER(TRIM($T400))&lt;&gt;"n/a",COUNTIFS($B$2:$B$528,"Yes",$A$2:$A$528,"Neuron",$T$2:$T$528,$T400)&gt;1),
AND($W400&lt;&gt;"",LOWER(TRIM($W400))&lt;&gt;"n/a",COUNTIFS($B$2:$B$528,"Yes",$A$2:$A$528,"Neuron",$W$2:$W$528,$W400)&gt;1)
),"Yes","No"),
IF($A400="Cybernet",
IF(OR(
AND($Y400&lt;&gt;"",LOWER(TRIM($Y400))&lt;&gt;"n/a",COUNTIFS($B$2:$B$528,"Yes",$A$2:$A$528,"Cybernet",$Y$2:$Y$528,$Y400)&gt;1),
AND($Z400&lt;&gt;"",LOWER(TRIM($Z400))&lt;&gt;"n/a",COUNTIFS($B$2:$B$528,"Yes",$A$2:$A$528,"Cybernet",$Z$2:$Z$528,$Z400)&gt;1)
),"Yes","No"),
IF(AND($AL400&lt;&gt;"",LOWER(TRIM($AL400))&lt;&gt;"n/a"),
IF(COUNTIFS($B$2:$B$528,"Yes",$A$2:$A$528,$A400,$AL$2:$AL$528,$AL400)&gt;1,"Yes","No"),
"No")
)
)
)</f>
        <v/>
      </c>
      <c r="BL400" s="4" t="str">
        <f t="shared" si="19"/>
        <v/>
      </c>
      <c r="BM400" s="8" t="str">
        <f t="shared" si="20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 ht="15" customHeight="1">
      <c r="D401" s="15" t="str">
        <f t="shared" si="21"/>
        <v/>
      </c>
      <c r="E401" s="15" t="str">
        <f>IF($A401="","",IF($A401="Neuron",IF(OR(AND($S401&lt;&gt;"",LOWER(TRIM($S401))&lt;&gt;"n/a",COUNTIF($S$2:$S$528,$S401)&gt;1),AND($T401&lt;&gt;"",LOWER(TRIM($T401))&lt;&gt;"n/a",COUNTIF($T$2:$T$528,$T401)&gt;1),AND($W401&lt;&gt;"",LOWER(TRIM($W401))&lt;&gt;"n/a",COUNTIF($W$2:$W$528,$W401)&gt;1)),"Yes","No"),IF($A401="Cybernet",IF(OR(AND($Y401&lt;&gt;"",LOWER(TRIM($Y401))&lt;&gt;"n/a",COUNTIF($Y$2:$Y$528,$Y401)&gt;1),AND($Z401&lt;&gt;"",LOWER(TRIM($Z401))&lt;&gt;"n/a",COUNTIF($Z$2:$Z$528,$Z401)&gt;1)),"Yes","No"),IF(AND($AL401&lt;&gt;"",LOWER(TRIM($AL401))&lt;&gt;"n/a",COUNTIF($AL$2:$AL$528,$AL401)&gt;1),"Yes","No"))))</f>
        <v/>
      </c>
      <c r="F401" t="str">
        <f>IF($B401&lt;&gt;"Yes","",
IF($A401="Neuron",
IF(OR(
AND($S401&lt;&gt;"",LOWER(TRIM($S401))&lt;&gt;"n/a",COUNTIFS($B$2:$B$528,"Yes",$A$2:$A$528,"Neuron",$S$2:$S$528,$S401)&gt;1),
AND($T401&lt;&gt;"",LOWER(TRIM($T401))&lt;&gt;"n/a",COUNTIFS($B$2:$B$528,"Yes",$A$2:$A$528,"Neuron",$T$2:$T$528,$T401)&gt;1),
AND($W401&lt;&gt;"",LOWER(TRIM($W401))&lt;&gt;"n/a",COUNTIFS($B$2:$B$528,"Yes",$A$2:$A$528,"Neuron",$W$2:$W$528,$W401)&gt;1)
),"Yes","No"),
IF($A401="Cybernet",
IF(OR(
AND($Y401&lt;&gt;"",LOWER(TRIM($Y401))&lt;&gt;"n/a",COUNTIFS($B$2:$B$528,"Yes",$A$2:$A$528,"Cybernet",$Y$2:$Y$528,$Y401)&gt;1),
AND($Z401&lt;&gt;"",LOWER(TRIM($Z401))&lt;&gt;"n/a",COUNTIFS($B$2:$B$528,"Yes",$A$2:$A$528,"Cybernet",$Z$2:$Z$528,$Z401)&gt;1)
),"Yes","No"),
IF(AND($AL401&lt;&gt;"",LOWER(TRIM($AL401))&lt;&gt;"n/a"),
IF(COUNTIFS($B$2:$B$528,"Yes",$A$2:$A$528,$A401,$AL$2:$AL$528,$AL401)&gt;1,"Yes","No"),
"No")
)
)
)</f>
        <v/>
      </c>
      <c r="BL401" s="4" t="str">
        <f t="shared" si="19"/>
        <v/>
      </c>
      <c r="BM401" s="8" t="str">
        <f t="shared" si="20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 ht="15" customHeight="1">
      <c r="D402" s="15" t="str">
        <f t="shared" si="21"/>
        <v/>
      </c>
      <c r="E402" s="15" t="str">
        <f>IF($A402="","",IF($A402="Neuron",IF(OR(AND($S402&lt;&gt;"",LOWER(TRIM($S402))&lt;&gt;"n/a",COUNTIF($S$2:$S$528,$S402)&gt;1),AND($T402&lt;&gt;"",LOWER(TRIM($T402))&lt;&gt;"n/a",COUNTIF($T$2:$T$528,$T402)&gt;1),AND($W402&lt;&gt;"",LOWER(TRIM($W402))&lt;&gt;"n/a",COUNTIF($W$2:$W$528,$W402)&gt;1)),"Yes","No"),IF($A402="Cybernet",IF(OR(AND($Y402&lt;&gt;"",LOWER(TRIM($Y402))&lt;&gt;"n/a",COUNTIF($Y$2:$Y$528,$Y402)&gt;1),AND($Z402&lt;&gt;"",LOWER(TRIM($Z402))&lt;&gt;"n/a",COUNTIF($Z$2:$Z$528,$Z402)&gt;1)),"Yes","No"),IF(AND($AL402&lt;&gt;"",LOWER(TRIM($AL402))&lt;&gt;"n/a",COUNTIF($AL$2:$AL$528,$AL402)&gt;1),"Yes","No"))))</f>
        <v/>
      </c>
      <c r="F402" t="str">
        <f>IF($B402&lt;&gt;"Yes","",
IF($A402="Neuron",
IF(OR(
AND($S402&lt;&gt;"",LOWER(TRIM($S402))&lt;&gt;"n/a",COUNTIFS($B$2:$B$528,"Yes",$A$2:$A$528,"Neuron",$S$2:$S$528,$S402)&gt;1),
AND($T402&lt;&gt;"",LOWER(TRIM($T402))&lt;&gt;"n/a",COUNTIFS($B$2:$B$528,"Yes",$A$2:$A$528,"Neuron",$T$2:$T$528,$T402)&gt;1),
AND($W402&lt;&gt;"",LOWER(TRIM($W402))&lt;&gt;"n/a",COUNTIFS($B$2:$B$528,"Yes",$A$2:$A$528,"Neuron",$W$2:$W$528,$W402)&gt;1)
),"Yes","No"),
IF($A402="Cybernet",
IF(OR(
AND($Y402&lt;&gt;"",LOWER(TRIM($Y402))&lt;&gt;"n/a",COUNTIFS($B$2:$B$528,"Yes",$A$2:$A$528,"Cybernet",$Y$2:$Y$528,$Y402)&gt;1),
AND($Z402&lt;&gt;"",LOWER(TRIM($Z402))&lt;&gt;"n/a",COUNTIFS($B$2:$B$528,"Yes",$A$2:$A$528,"Cybernet",$Z$2:$Z$528,$Z402)&gt;1)
),"Yes","No"),
IF(AND($AL402&lt;&gt;"",LOWER(TRIM($AL402))&lt;&gt;"n/a"),
IF(COUNTIFS($B$2:$B$528,"Yes",$A$2:$A$528,$A402,$AL$2:$AL$528,$AL402)&gt;1,"Yes","No"),
"No")
)
)
)</f>
        <v/>
      </c>
      <c r="BL402" s="4" t="str">
        <f t="shared" si="19"/>
        <v/>
      </c>
      <c r="BM402" s="8" t="str">
        <f t="shared" si="20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 ht="15" customHeight="1">
      <c r="D403" s="15" t="str">
        <f t="shared" si="21"/>
        <v/>
      </c>
      <c r="E403" s="15" t="str">
        <f>IF($A403="","",IF($A403="Neuron",IF(OR(AND($S403&lt;&gt;"",LOWER(TRIM($S403))&lt;&gt;"n/a",COUNTIF($S$2:$S$528,$S403)&gt;1),AND($T403&lt;&gt;"",LOWER(TRIM($T403))&lt;&gt;"n/a",COUNTIF($T$2:$T$528,$T403)&gt;1),AND($W403&lt;&gt;"",LOWER(TRIM($W403))&lt;&gt;"n/a",COUNTIF($W$2:$W$528,$W403)&gt;1)),"Yes","No"),IF($A403="Cybernet",IF(OR(AND($Y403&lt;&gt;"",LOWER(TRIM($Y403))&lt;&gt;"n/a",COUNTIF($Y$2:$Y$528,$Y403)&gt;1),AND($Z403&lt;&gt;"",LOWER(TRIM($Z403))&lt;&gt;"n/a",COUNTIF($Z$2:$Z$528,$Z403)&gt;1)),"Yes","No"),IF(AND($AL403&lt;&gt;"",LOWER(TRIM($AL403))&lt;&gt;"n/a",COUNTIF($AL$2:$AL$528,$AL403)&gt;1),"Yes","No"))))</f>
        <v/>
      </c>
      <c r="F403" t="str">
        <f>IF($B403&lt;&gt;"Yes","",
IF($A403="Neuron",
IF(OR(
AND($S403&lt;&gt;"",LOWER(TRIM($S403))&lt;&gt;"n/a",COUNTIFS($B$2:$B$528,"Yes",$A$2:$A$528,"Neuron",$S$2:$S$528,$S403)&gt;1),
AND($T403&lt;&gt;"",LOWER(TRIM($T403))&lt;&gt;"n/a",COUNTIFS($B$2:$B$528,"Yes",$A$2:$A$528,"Neuron",$T$2:$T$528,$T403)&gt;1),
AND($W403&lt;&gt;"",LOWER(TRIM($W403))&lt;&gt;"n/a",COUNTIFS($B$2:$B$528,"Yes",$A$2:$A$528,"Neuron",$W$2:$W$528,$W403)&gt;1)
),"Yes","No"),
IF($A403="Cybernet",
IF(OR(
AND($Y403&lt;&gt;"",LOWER(TRIM($Y403))&lt;&gt;"n/a",COUNTIFS($B$2:$B$528,"Yes",$A$2:$A$528,"Cybernet",$Y$2:$Y$528,$Y403)&gt;1),
AND($Z403&lt;&gt;"",LOWER(TRIM($Z403))&lt;&gt;"n/a",COUNTIFS($B$2:$B$528,"Yes",$A$2:$A$528,"Cybernet",$Z$2:$Z$528,$Z403)&gt;1)
),"Yes","No"),
IF(AND($AL403&lt;&gt;"",LOWER(TRIM($AL403))&lt;&gt;"n/a"),
IF(COUNTIFS($B$2:$B$528,"Yes",$A$2:$A$528,$A403,$AL$2:$AL$528,$AL403)&gt;1,"Yes","No"),
"No")
)
)
)</f>
        <v/>
      </c>
      <c r="BL403" s="4" t="str">
        <f t="shared" si="19"/>
        <v/>
      </c>
      <c r="BM403" s="8" t="str">
        <f t="shared" si="20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 ht="15" customHeight="1">
      <c r="D404" s="15" t="str">
        <f t="shared" si="21"/>
        <v/>
      </c>
      <c r="E404" s="15" t="str">
        <f>IF($A404="","",IF($A404="Neuron",IF(OR(AND($S404&lt;&gt;"",LOWER(TRIM($S404))&lt;&gt;"n/a",COUNTIF($S$2:$S$528,$S404)&gt;1),AND($T404&lt;&gt;"",LOWER(TRIM($T404))&lt;&gt;"n/a",COUNTIF($T$2:$T$528,$T404)&gt;1),AND($W404&lt;&gt;"",LOWER(TRIM($W404))&lt;&gt;"n/a",COUNTIF($W$2:$W$528,$W404)&gt;1)),"Yes","No"),IF($A404="Cybernet",IF(OR(AND($Y404&lt;&gt;"",LOWER(TRIM($Y404))&lt;&gt;"n/a",COUNTIF($Y$2:$Y$528,$Y404)&gt;1),AND($Z404&lt;&gt;"",LOWER(TRIM($Z404))&lt;&gt;"n/a",COUNTIF($Z$2:$Z$528,$Z404)&gt;1)),"Yes","No"),IF(AND($AL404&lt;&gt;"",LOWER(TRIM($AL404))&lt;&gt;"n/a",COUNTIF($AL$2:$AL$528,$AL404)&gt;1),"Yes","No"))))</f>
        <v/>
      </c>
      <c r="F404" t="str">
        <f>IF($B404&lt;&gt;"Yes","",
IF($A404="Neuron",
IF(OR(
AND($S404&lt;&gt;"",LOWER(TRIM($S404))&lt;&gt;"n/a",COUNTIFS($B$2:$B$528,"Yes",$A$2:$A$528,"Neuron",$S$2:$S$528,$S404)&gt;1),
AND($T404&lt;&gt;"",LOWER(TRIM($T404))&lt;&gt;"n/a",COUNTIFS($B$2:$B$528,"Yes",$A$2:$A$528,"Neuron",$T$2:$T$528,$T404)&gt;1),
AND($W404&lt;&gt;"",LOWER(TRIM($W404))&lt;&gt;"n/a",COUNTIFS($B$2:$B$528,"Yes",$A$2:$A$528,"Neuron",$W$2:$W$528,$W404)&gt;1)
),"Yes","No"),
IF($A404="Cybernet",
IF(OR(
AND($Y404&lt;&gt;"",LOWER(TRIM($Y404))&lt;&gt;"n/a",COUNTIFS($B$2:$B$528,"Yes",$A$2:$A$528,"Cybernet",$Y$2:$Y$528,$Y404)&gt;1),
AND($Z404&lt;&gt;"",LOWER(TRIM($Z404))&lt;&gt;"n/a",COUNTIFS($B$2:$B$528,"Yes",$A$2:$A$528,"Cybernet",$Z$2:$Z$528,$Z404)&gt;1)
),"Yes","No"),
IF(AND($AL404&lt;&gt;"",LOWER(TRIM($AL404))&lt;&gt;"n/a"),
IF(COUNTIFS($B$2:$B$528,"Yes",$A$2:$A$528,$A404,$AL$2:$AL$528,$AL404)&gt;1,"Yes","No"),
"No")
)
)
)</f>
        <v/>
      </c>
      <c r="BL404" s="4" t="str">
        <f t="shared" si="19"/>
        <v/>
      </c>
      <c r="BM404" s="8" t="str">
        <f t="shared" si="20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 ht="15" customHeight="1">
      <c r="D405" s="15" t="str">
        <f t="shared" si="21"/>
        <v/>
      </c>
      <c r="E405" s="15" t="str">
        <f>IF($A405="","",IF($A405="Neuron",IF(OR(AND($S405&lt;&gt;"",LOWER(TRIM($S405))&lt;&gt;"n/a",COUNTIF($S$2:$S$528,$S405)&gt;1),AND($T405&lt;&gt;"",LOWER(TRIM($T405))&lt;&gt;"n/a",COUNTIF($T$2:$T$528,$T405)&gt;1),AND($W405&lt;&gt;"",LOWER(TRIM($W405))&lt;&gt;"n/a",COUNTIF($W$2:$W$528,$W405)&gt;1)),"Yes","No"),IF($A405="Cybernet",IF(OR(AND($Y405&lt;&gt;"",LOWER(TRIM($Y405))&lt;&gt;"n/a",COUNTIF($Y$2:$Y$528,$Y405)&gt;1),AND($Z405&lt;&gt;"",LOWER(TRIM($Z405))&lt;&gt;"n/a",COUNTIF($Z$2:$Z$528,$Z405)&gt;1)),"Yes","No"),IF(AND($AL405&lt;&gt;"",LOWER(TRIM($AL405))&lt;&gt;"n/a",COUNTIF($AL$2:$AL$528,$AL405)&gt;1),"Yes","No"))))</f>
        <v/>
      </c>
      <c r="F405" t="str">
        <f>IF($B405&lt;&gt;"Yes","",
IF($A405="Neuron",
IF(OR(
AND($S405&lt;&gt;"",LOWER(TRIM($S405))&lt;&gt;"n/a",COUNTIFS($B$2:$B$528,"Yes",$A$2:$A$528,"Neuron",$S$2:$S$528,$S405)&gt;1),
AND($T405&lt;&gt;"",LOWER(TRIM($T405))&lt;&gt;"n/a",COUNTIFS($B$2:$B$528,"Yes",$A$2:$A$528,"Neuron",$T$2:$T$528,$T405)&gt;1),
AND($W405&lt;&gt;"",LOWER(TRIM($W405))&lt;&gt;"n/a",COUNTIFS($B$2:$B$528,"Yes",$A$2:$A$528,"Neuron",$W$2:$W$528,$W405)&gt;1)
),"Yes","No"),
IF($A405="Cybernet",
IF(OR(
AND($Y405&lt;&gt;"",LOWER(TRIM($Y405))&lt;&gt;"n/a",COUNTIFS($B$2:$B$528,"Yes",$A$2:$A$528,"Cybernet",$Y$2:$Y$528,$Y405)&gt;1),
AND($Z405&lt;&gt;"",LOWER(TRIM($Z405))&lt;&gt;"n/a",COUNTIFS($B$2:$B$528,"Yes",$A$2:$A$528,"Cybernet",$Z$2:$Z$528,$Z405)&gt;1)
),"Yes","No"),
IF(AND($AL405&lt;&gt;"",LOWER(TRIM($AL405))&lt;&gt;"n/a"),
IF(COUNTIFS($B$2:$B$528,"Yes",$A$2:$A$528,$A405,$AL$2:$AL$528,$AL405)&gt;1,"Yes","No"),
"No")
)
)
)</f>
        <v/>
      </c>
      <c r="BL405" s="4" t="str">
        <f t="shared" si="19"/>
        <v/>
      </c>
      <c r="BM405" s="8" t="str">
        <f t="shared" si="20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 ht="15" customHeight="1">
      <c r="D406" s="15" t="str">
        <f t="shared" si="21"/>
        <v/>
      </c>
      <c r="E406" s="15" t="str">
        <f>IF($A406="","",IF($A406="Neuron",IF(OR(AND($S406&lt;&gt;"",LOWER(TRIM($S406))&lt;&gt;"n/a",COUNTIF($S$2:$S$528,$S406)&gt;1),AND($T406&lt;&gt;"",LOWER(TRIM($T406))&lt;&gt;"n/a",COUNTIF($T$2:$T$528,$T406)&gt;1),AND($W406&lt;&gt;"",LOWER(TRIM($W406))&lt;&gt;"n/a",COUNTIF($W$2:$W$528,$W406)&gt;1)),"Yes","No"),IF($A406="Cybernet",IF(OR(AND($Y406&lt;&gt;"",LOWER(TRIM($Y406))&lt;&gt;"n/a",COUNTIF($Y$2:$Y$528,$Y406)&gt;1),AND($Z406&lt;&gt;"",LOWER(TRIM($Z406))&lt;&gt;"n/a",COUNTIF($Z$2:$Z$528,$Z406)&gt;1)),"Yes","No"),IF(AND($AL406&lt;&gt;"",LOWER(TRIM($AL406))&lt;&gt;"n/a",COUNTIF($AL$2:$AL$528,$AL406)&gt;1),"Yes","No"))))</f>
        <v/>
      </c>
      <c r="F406" t="str">
        <f>IF($B406&lt;&gt;"Yes","",
IF($A406="Neuron",
IF(OR(
AND($S406&lt;&gt;"",LOWER(TRIM($S406))&lt;&gt;"n/a",COUNTIFS($B$2:$B$528,"Yes",$A$2:$A$528,"Neuron",$S$2:$S$528,$S406)&gt;1),
AND($T406&lt;&gt;"",LOWER(TRIM($T406))&lt;&gt;"n/a",COUNTIFS($B$2:$B$528,"Yes",$A$2:$A$528,"Neuron",$T$2:$T$528,$T406)&gt;1),
AND($W406&lt;&gt;"",LOWER(TRIM($W406))&lt;&gt;"n/a",COUNTIFS($B$2:$B$528,"Yes",$A$2:$A$528,"Neuron",$W$2:$W$528,$W406)&gt;1)
),"Yes","No"),
IF($A406="Cybernet",
IF(OR(
AND($Y406&lt;&gt;"",LOWER(TRIM($Y406))&lt;&gt;"n/a",COUNTIFS($B$2:$B$528,"Yes",$A$2:$A$528,"Cybernet",$Y$2:$Y$528,$Y406)&gt;1),
AND($Z406&lt;&gt;"",LOWER(TRIM($Z406))&lt;&gt;"n/a",COUNTIFS($B$2:$B$528,"Yes",$A$2:$A$528,"Cybernet",$Z$2:$Z$528,$Z406)&gt;1)
),"Yes","No"),
IF(AND($AL406&lt;&gt;"",LOWER(TRIM($AL406))&lt;&gt;"n/a"),
IF(COUNTIFS($B$2:$B$528,"Yes",$A$2:$A$528,$A406,$AL$2:$AL$528,$AL406)&gt;1,"Yes","No"),
"No")
)
)
)</f>
        <v/>
      </c>
      <c r="BL406" s="4" t="str">
        <f t="shared" si="19"/>
        <v/>
      </c>
      <c r="BM406" s="8" t="str">
        <f t="shared" si="20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 ht="15" customHeight="1">
      <c r="D407" s="15" t="str">
        <f t="shared" si="21"/>
        <v/>
      </c>
      <c r="E407" s="15" t="str">
        <f>IF($A407="","",IF($A407="Neuron",IF(OR(AND($S407&lt;&gt;"",LOWER(TRIM($S407))&lt;&gt;"n/a",COUNTIF($S$2:$S$528,$S407)&gt;1),AND($T407&lt;&gt;"",LOWER(TRIM($T407))&lt;&gt;"n/a",COUNTIF($T$2:$T$528,$T407)&gt;1),AND($W407&lt;&gt;"",LOWER(TRIM($W407))&lt;&gt;"n/a",COUNTIF($W$2:$W$528,$W407)&gt;1)),"Yes","No"),IF($A407="Cybernet",IF(OR(AND($Y407&lt;&gt;"",LOWER(TRIM($Y407))&lt;&gt;"n/a",COUNTIF($Y$2:$Y$528,$Y407)&gt;1),AND($Z407&lt;&gt;"",LOWER(TRIM($Z407))&lt;&gt;"n/a",COUNTIF($Z$2:$Z$528,$Z407)&gt;1)),"Yes","No"),IF(AND($AL407&lt;&gt;"",LOWER(TRIM($AL407))&lt;&gt;"n/a",COUNTIF($AL$2:$AL$528,$AL407)&gt;1),"Yes","No"))))</f>
        <v/>
      </c>
      <c r="F407" t="str">
        <f>IF($B407&lt;&gt;"Yes","",
IF($A407="Neuron",
IF(OR(
AND($S407&lt;&gt;"",LOWER(TRIM($S407))&lt;&gt;"n/a",COUNTIFS($B$2:$B$528,"Yes",$A$2:$A$528,"Neuron",$S$2:$S$528,$S407)&gt;1),
AND($T407&lt;&gt;"",LOWER(TRIM($T407))&lt;&gt;"n/a",COUNTIFS($B$2:$B$528,"Yes",$A$2:$A$528,"Neuron",$T$2:$T$528,$T407)&gt;1),
AND($W407&lt;&gt;"",LOWER(TRIM($W407))&lt;&gt;"n/a",COUNTIFS($B$2:$B$528,"Yes",$A$2:$A$528,"Neuron",$W$2:$W$528,$W407)&gt;1)
),"Yes","No"),
IF($A407="Cybernet",
IF(OR(
AND($Y407&lt;&gt;"",LOWER(TRIM($Y407))&lt;&gt;"n/a",COUNTIFS($B$2:$B$528,"Yes",$A$2:$A$528,"Cybernet",$Y$2:$Y$528,$Y407)&gt;1),
AND($Z407&lt;&gt;"",LOWER(TRIM($Z407))&lt;&gt;"n/a",COUNTIFS($B$2:$B$528,"Yes",$A$2:$A$528,"Cybernet",$Z$2:$Z$528,$Z407)&gt;1)
),"Yes","No"),
IF(AND($AL407&lt;&gt;"",LOWER(TRIM($AL407))&lt;&gt;"n/a"),
IF(COUNTIFS($B$2:$B$528,"Yes",$A$2:$A$528,$A407,$AL$2:$AL$528,$AL407)&gt;1,"Yes","No"),
"No")
)
)
)</f>
        <v/>
      </c>
      <c r="BL407" s="4" t="str">
        <f t="shared" si="19"/>
        <v/>
      </c>
      <c r="BM407" s="8" t="str">
        <f t="shared" si="20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 ht="15" customHeight="1">
      <c r="D408" s="15" t="str">
        <f t="shared" si="21"/>
        <v/>
      </c>
      <c r="E408" s="15" t="str">
        <f>IF($A408="","",IF($A408="Neuron",IF(OR(AND($S408&lt;&gt;"",LOWER(TRIM($S408))&lt;&gt;"n/a",COUNTIF($S$2:$S$528,$S408)&gt;1),AND($T408&lt;&gt;"",LOWER(TRIM($T408))&lt;&gt;"n/a",COUNTIF($T$2:$T$528,$T408)&gt;1),AND($W408&lt;&gt;"",LOWER(TRIM($W408))&lt;&gt;"n/a",COUNTIF($W$2:$W$528,$W408)&gt;1)),"Yes","No"),IF($A408="Cybernet",IF(OR(AND($Y408&lt;&gt;"",LOWER(TRIM($Y408))&lt;&gt;"n/a",COUNTIF($Y$2:$Y$528,$Y408)&gt;1),AND($Z408&lt;&gt;"",LOWER(TRIM($Z408))&lt;&gt;"n/a",COUNTIF($Z$2:$Z$528,$Z408)&gt;1)),"Yes","No"),IF(AND($AL408&lt;&gt;"",LOWER(TRIM($AL408))&lt;&gt;"n/a",COUNTIF($AL$2:$AL$528,$AL408)&gt;1),"Yes","No"))))</f>
        <v/>
      </c>
      <c r="F408" t="str">
        <f>IF($B408&lt;&gt;"Yes","",
IF($A408="Neuron",
IF(OR(
AND($S408&lt;&gt;"",LOWER(TRIM($S408))&lt;&gt;"n/a",COUNTIFS($B$2:$B$528,"Yes",$A$2:$A$528,"Neuron",$S$2:$S$528,$S408)&gt;1),
AND($T408&lt;&gt;"",LOWER(TRIM($T408))&lt;&gt;"n/a",COUNTIFS($B$2:$B$528,"Yes",$A$2:$A$528,"Neuron",$T$2:$T$528,$T408)&gt;1),
AND($W408&lt;&gt;"",LOWER(TRIM($W408))&lt;&gt;"n/a",COUNTIFS($B$2:$B$528,"Yes",$A$2:$A$528,"Neuron",$W$2:$W$528,$W408)&gt;1)
),"Yes","No"),
IF($A408="Cybernet",
IF(OR(
AND($Y408&lt;&gt;"",LOWER(TRIM($Y408))&lt;&gt;"n/a",COUNTIFS($B$2:$B$528,"Yes",$A$2:$A$528,"Cybernet",$Y$2:$Y$528,$Y408)&gt;1),
AND($Z408&lt;&gt;"",LOWER(TRIM($Z408))&lt;&gt;"n/a",COUNTIFS($B$2:$B$528,"Yes",$A$2:$A$528,"Cybernet",$Z$2:$Z$528,$Z408)&gt;1)
),"Yes","No"),
IF(AND($AL408&lt;&gt;"",LOWER(TRIM($AL408))&lt;&gt;"n/a"),
IF(COUNTIFS($B$2:$B$528,"Yes",$A$2:$A$528,$A408,$AL$2:$AL$528,$AL408)&gt;1,"Yes","No"),
"No")
)
)
)</f>
        <v/>
      </c>
      <c r="BL408" s="4" t="str">
        <f t="shared" si="19"/>
        <v/>
      </c>
      <c r="BM408" s="8" t="str">
        <f t="shared" si="20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 ht="15" customHeight="1">
      <c r="D409" s="15" t="str">
        <f t="shared" si="21"/>
        <v/>
      </c>
      <c r="E409" s="15" t="str">
        <f>IF($A409="","",IF($A409="Neuron",IF(OR(AND($S409&lt;&gt;"",LOWER(TRIM($S409))&lt;&gt;"n/a",COUNTIF($S$2:$S$528,$S409)&gt;1),AND($T409&lt;&gt;"",LOWER(TRIM($T409))&lt;&gt;"n/a",COUNTIF($T$2:$T$528,$T409)&gt;1),AND($W409&lt;&gt;"",LOWER(TRIM($W409))&lt;&gt;"n/a",COUNTIF($W$2:$W$528,$W409)&gt;1)),"Yes","No"),IF($A409="Cybernet",IF(OR(AND($Y409&lt;&gt;"",LOWER(TRIM($Y409))&lt;&gt;"n/a",COUNTIF($Y$2:$Y$528,$Y409)&gt;1),AND($Z409&lt;&gt;"",LOWER(TRIM($Z409))&lt;&gt;"n/a",COUNTIF($Z$2:$Z$528,$Z409)&gt;1)),"Yes","No"),IF(AND($AL409&lt;&gt;"",LOWER(TRIM($AL409))&lt;&gt;"n/a",COUNTIF($AL$2:$AL$528,$AL409)&gt;1),"Yes","No"))))</f>
        <v/>
      </c>
      <c r="F409" t="str">
        <f>IF($B409&lt;&gt;"Yes","",
IF($A409="Neuron",
IF(OR(
AND($S409&lt;&gt;"",LOWER(TRIM($S409))&lt;&gt;"n/a",COUNTIFS($B$2:$B$528,"Yes",$A$2:$A$528,"Neuron",$S$2:$S$528,$S409)&gt;1),
AND($T409&lt;&gt;"",LOWER(TRIM($T409))&lt;&gt;"n/a",COUNTIFS($B$2:$B$528,"Yes",$A$2:$A$528,"Neuron",$T$2:$T$528,$T409)&gt;1),
AND($W409&lt;&gt;"",LOWER(TRIM($W409))&lt;&gt;"n/a",COUNTIFS($B$2:$B$528,"Yes",$A$2:$A$528,"Neuron",$W$2:$W$528,$W409)&gt;1)
),"Yes","No"),
IF($A409="Cybernet",
IF(OR(
AND($Y409&lt;&gt;"",LOWER(TRIM($Y409))&lt;&gt;"n/a",COUNTIFS($B$2:$B$528,"Yes",$A$2:$A$528,"Cybernet",$Y$2:$Y$528,$Y409)&gt;1),
AND($Z409&lt;&gt;"",LOWER(TRIM($Z409))&lt;&gt;"n/a",COUNTIFS($B$2:$B$528,"Yes",$A$2:$A$528,"Cybernet",$Z$2:$Z$528,$Z409)&gt;1)
),"Yes","No"),
IF(AND($AL409&lt;&gt;"",LOWER(TRIM($AL409))&lt;&gt;"n/a"),
IF(COUNTIFS($B$2:$B$528,"Yes",$A$2:$A$528,$A409,$AL$2:$AL$528,$AL409)&gt;1,"Yes","No"),
"No")
)
)
)</f>
        <v/>
      </c>
      <c r="BL409" s="4" t="str">
        <f t="shared" si="19"/>
        <v/>
      </c>
      <c r="BM409" s="8" t="str">
        <f t="shared" si="20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 ht="15" customHeight="1">
      <c r="D410" s="15" t="str">
        <f t="shared" si="21"/>
        <v/>
      </c>
      <c r="E410" s="15" t="str">
        <f>IF($A410="","",IF($A410="Neuron",IF(OR(AND($S410&lt;&gt;"",LOWER(TRIM($S410))&lt;&gt;"n/a",COUNTIF($S$2:$S$528,$S410)&gt;1),AND($T410&lt;&gt;"",LOWER(TRIM($T410))&lt;&gt;"n/a",COUNTIF($T$2:$T$528,$T410)&gt;1),AND($W410&lt;&gt;"",LOWER(TRIM($W410))&lt;&gt;"n/a",COUNTIF($W$2:$W$528,$W410)&gt;1)),"Yes","No"),IF($A410="Cybernet",IF(OR(AND($Y410&lt;&gt;"",LOWER(TRIM($Y410))&lt;&gt;"n/a",COUNTIF($Y$2:$Y$528,$Y410)&gt;1),AND($Z410&lt;&gt;"",LOWER(TRIM($Z410))&lt;&gt;"n/a",COUNTIF($Z$2:$Z$528,$Z410)&gt;1)),"Yes","No"),IF(AND($AL410&lt;&gt;"",LOWER(TRIM($AL410))&lt;&gt;"n/a",COUNTIF($AL$2:$AL$528,$AL410)&gt;1),"Yes","No"))))</f>
        <v/>
      </c>
      <c r="F410" t="str">
        <f>IF($B410&lt;&gt;"Yes","",
IF($A410="Neuron",
IF(OR(
AND($S410&lt;&gt;"",LOWER(TRIM($S410))&lt;&gt;"n/a",COUNTIFS($B$2:$B$528,"Yes",$A$2:$A$528,"Neuron",$S$2:$S$528,$S410)&gt;1),
AND($T410&lt;&gt;"",LOWER(TRIM($T410))&lt;&gt;"n/a",COUNTIFS($B$2:$B$528,"Yes",$A$2:$A$528,"Neuron",$T$2:$T$528,$T410)&gt;1),
AND($W410&lt;&gt;"",LOWER(TRIM($W410))&lt;&gt;"n/a",COUNTIFS($B$2:$B$528,"Yes",$A$2:$A$528,"Neuron",$W$2:$W$528,$W410)&gt;1)
),"Yes","No"),
IF($A410="Cybernet",
IF(OR(
AND($Y410&lt;&gt;"",LOWER(TRIM($Y410))&lt;&gt;"n/a",COUNTIFS($B$2:$B$528,"Yes",$A$2:$A$528,"Cybernet",$Y$2:$Y$528,$Y410)&gt;1),
AND($Z410&lt;&gt;"",LOWER(TRIM($Z410))&lt;&gt;"n/a",COUNTIFS($B$2:$B$528,"Yes",$A$2:$A$528,"Cybernet",$Z$2:$Z$528,$Z410)&gt;1)
),"Yes","No"),
IF(AND($AL410&lt;&gt;"",LOWER(TRIM($AL410))&lt;&gt;"n/a"),
IF(COUNTIFS($B$2:$B$528,"Yes",$A$2:$A$528,$A410,$AL$2:$AL$528,$AL410)&gt;1,"Yes","No"),
"No")
)
)
)</f>
        <v/>
      </c>
      <c r="BL410" s="4" t="str">
        <f t="shared" si="19"/>
        <v/>
      </c>
      <c r="BM410" s="8" t="str">
        <f t="shared" si="20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 ht="15" customHeight="1">
      <c r="D411" s="15" t="str">
        <f t="shared" si="21"/>
        <v/>
      </c>
      <c r="E411" s="15" t="str">
        <f>IF($A411="","",IF($A411="Neuron",IF(OR(AND($S411&lt;&gt;"",LOWER(TRIM($S411))&lt;&gt;"n/a",COUNTIF($S$2:$S$528,$S411)&gt;1),AND($T411&lt;&gt;"",LOWER(TRIM($T411))&lt;&gt;"n/a",COUNTIF($T$2:$T$528,$T411)&gt;1),AND($W411&lt;&gt;"",LOWER(TRIM($W411))&lt;&gt;"n/a",COUNTIF($W$2:$W$528,$W411)&gt;1)),"Yes","No"),IF($A411="Cybernet",IF(OR(AND($Y411&lt;&gt;"",LOWER(TRIM($Y411))&lt;&gt;"n/a",COUNTIF($Y$2:$Y$528,$Y411)&gt;1),AND($Z411&lt;&gt;"",LOWER(TRIM($Z411))&lt;&gt;"n/a",COUNTIF($Z$2:$Z$528,$Z411)&gt;1)),"Yes","No"),IF(AND($AL411&lt;&gt;"",LOWER(TRIM($AL411))&lt;&gt;"n/a",COUNTIF($AL$2:$AL$528,$AL411)&gt;1),"Yes","No"))))</f>
        <v/>
      </c>
      <c r="F411" t="str">
        <f>IF($B411&lt;&gt;"Yes","",
IF($A411="Neuron",
IF(OR(
AND($S411&lt;&gt;"",LOWER(TRIM($S411))&lt;&gt;"n/a",COUNTIFS($B$2:$B$528,"Yes",$A$2:$A$528,"Neuron",$S$2:$S$528,$S411)&gt;1),
AND($T411&lt;&gt;"",LOWER(TRIM($T411))&lt;&gt;"n/a",COUNTIFS($B$2:$B$528,"Yes",$A$2:$A$528,"Neuron",$T$2:$T$528,$T411)&gt;1),
AND($W411&lt;&gt;"",LOWER(TRIM($W411))&lt;&gt;"n/a",COUNTIFS($B$2:$B$528,"Yes",$A$2:$A$528,"Neuron",$W$2:$W$528,$W411)&gt;1)
),"Yes","No"),
IF($A411="Cybernet",
IF(OR(
AND($Y411&lt;&gt;"",LOWER(TRIM($Y411))&lt;&gt;"n/a",COUNTIFS($B$2:$B$528,"Yes",$A$2:$A$528,"Cybernet",$Y$2:$Y$528,$Y411)&gt;1),
AND($Z411&lt;&gt;"",LOWER(TRIM($Z411))&lt;&gt;"n/a",COUNTIFS($B$2:$B$528,"Yes",$A$2:$A$528,"Cybernet",$Z$2:$Z$528,$Z411)&gt;1)
),"Yes","No"),
IF(AND($AL411&lt;&gt;"",LOWER(TRIM($AL411))&lt;&gt;"n/a"),
IF(COUNTIFS($B$2:$B$528,"Yes",$A$2:$A$528,$A411,$AL$2:$AL$528,$AL411)&gt;1,"Yes","No"),
"No")
)
)
)</f>
        <v/>
      </c>
      <c r="BL411" s="4" t="str">
        <f t="shared" si="19"/>
        <v/>
      </c>
      <c r="BM411" s="8" t="str">
        <f t="shared" si="20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 ht="15" customHeight="1">
      <c r="D412" s="15" t="str">
        <f t="shared" si="21"/>
        <v/>
      </c>
      <c r="E412" s="15" t="str">
        <f>IF($A412="","",IF($A412="Neuron",IF(OR(AND($S412&lt;&gt;"",LOWER(TRIM($S412))&lt;&gt;"n/a",COUNTIF($S$2:$S$528,$S412)&gt;1),AND($T412&lt;&gt;"",LOWER(TRIM($T412))&lt;&gt;"n/a",COUNTIF($T$2:$T$528,$T412)&gt;1),AND($W412&lt;&gt;"",LOWER(TRIM($W412))&lt;&gt;"n/a",COUNTIF($W$2:$W$528,$W412)&gt;1)),"Yes","No"),IF($A412="Cybernet",IF(OR(AND($Y412&lt;&gt;"",LOWER(TRIM($Y412))&lt;&gt;"n/a",COUNTIF($Y$2:$Y$528,$Y412)&gt;1),AND($Z412&lt;&gt;"",LOWER(TRIM($Z412))&lt;&gt;"n/a",COUNTIF($Z$2:$Z$528,$Z412)&gt;1)),"Yes","No"),IF(AND($AL412&lt;&gt;"",LOWER(TRIM($AL412))&lt;&gt;"n/a",COUNTIF($AL$2:$AL$528,$AL412)&gt;1),"Yes","No"))))</f>
        <v/>
      </c>
      <c r="F412" t="str">
        <f>IF($B412&lt;&gt;"Yes","",
IF($A412="Neuron",
IF(OR(
AND($S412&lt;&gt;"",LOWER(TRIM($S412))&lt;&gt;"n/a",COUNTIFS($B$2:$B$528,"Yes",$A$2:$A$528,"Neuron",$S$2:$S$528,$S412)&gt;1),
AND($T412&lt;&gt;"",LOWER(TRIM($T412))&lt;&gt;"n/a",COUNTIFS($B$2:$B$528,"Yes",$A$2:$A$528,"Neuron",$T$2:$T$528,$T412)&gt;1),
AND($W412&lt;&gt;"",LOWER(TRIM($W412))&lt;&gt;"n/a",COUNTIFS($B$2:$B$528,"Yes",$A$2:$A$528,"Neuron",$W$2:$W$528,$W412)&gt;1)
),"Yes","No"),
IF($A412="Cybernet",
IF(OR(
AND($Y412&lt;&gt;"",LOWER(TRIM($Y412))&lt;&gt;"n/a",COUNTIFS($B$2:$B$528,"Yes",$A$2:$A$528,"Cybernet",$Y$2:$Y$528,$Y412)&gt;1),
AND($Z412&lt;&gt;"",LOWER(TRIM($Z412))&lt;&gt;"n/a",COUNTIFS($B$2:$B$528,"Yes",$A$2:$A$528,"Cybernet",$Z$2:$Z$528,$Z412)&gt;1)
),"Yes","No"),
IF(AND($AL412&lt;&gt;"",LOWER(TRIM($AL412))&lt;&gt;"n/a"),
IF(COUNTIFS($B$2:$B$528,"Yes",$A$2:$A$528,$A412,$AL$2:$AL$528,$AL412)&gt;1,"Yes","No"),
"No")
)
)
)</f>
        <v/>
      </c>
      <c r="BL412" s="4" t="str">
        <f t="shared" si="19"/>
        <v/>
      </c>
      <c r="BM412" s="8" t="str">
        <f t="shared" si="20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 ht="15" customHeight="1">
      <c r="D413" s="15" t="str">
        <f t="shared" si="21"/>
        <v/>
      </c>
      <c r="E413" s="15" t="str">
        <f>IF($A413="","",IF($A413="Neuron",IF(OR(AND($S413&lt;&gt;"",LOWER(TRIM($S413))&lt;&gt;"n/a",COUNTIF($S$2:$S$528,$S413)&gt;1),AND($T413&lt;&gt;"",LOWER(TRIM($T413))&lt;&gt;"n/a",COUNTIF($T$2:$T$528,$T413)&gt;1),AND($W413&lt;&gt;"",LOWER(TRIM($W413))&lt;&gt;"n/a",COUNTIF($W$2:$W$528,$W413)&gt;1)),"Yes","No"),IF($A413="Cybernet",IF(OR(AND($Y413&lt;&gt;"",LOWER(TRIM($Y413))&lt;&gt;"n/a",COUNTIF($Y$2:$Y$528,$Y413)&gt;1),AND($Z413&lt;&gt;"",LOWER(TRIM($Z413))&lt;&gt;"n/a",COUNTIF($Z$2:$Z$528,$Z413)&gt;1)),"Yes","No"),IF(AND($AL413&lt;&gt;"",LOWER(TRIM($AL413))&lt;&gt;"n/a",COUNTIF($AL$2:$AL$528,$AL413)&gt;1),"Yes","No"))))</f>
        <v/>
      </c>
      <c r="F413" t="str">
        <f>IF($B413&lt;&gt;"Yes","",
IF($A413="Neuron",
IF(OR(
AND($S413&lt;&gt;"",LOWER(TRIM($S413))&lt;&gt;"n/a",COUNTIFS($B$2:$B$528,"Yes",$A$2:$A$528,"Neuron",$S$2:$S$528,$S413)&gt;1),
AND($T413&lt;&gt;"",LOWER(TRIM($T413))&lt;&gt;"n/a",COUNTIFS($B$2:$B$528,"Yes",$A$2:$A$528,"Neuron",$T$2:$T$528,$T413)&gt;1),
AND($W413&lt;&gt;"",LOWER(TRIM($W413))&lt;&gt;"n/a",COUNTIFS($B$2:$B$528,"Yes",$A$2:$A$528,"Neuron",$W$2:$W$528,$W413)&gt;1)
),"Yes","No"),
IF($A413="Cybernet",
IF(OR(
AND($Y413&lt;&gt;"",LOWER(TRIM($Y413))&lt;&gt;"n/a",COUNTIFS($B$2:$B$528,"Yes",$A$2:$A$528,"Cybernet",$Y$2:$Y$528,$Y413)&gt;1),
AND($Z413&lt;&gt;"",LOWER(TRIM($Z413))&lt;&gt;"n/a",COUNTIFS($B$2:$B$528,"Yes",$A$2:$A$528,"Cybernet",$Z$2:$Z$528,$Z413)&gt;1)
),"Yes","No"),
IF(AND($AL413&lt;&gt;"",LOWER(TRIM($AL413))&lt;&gt;"n/a"),
IF(COUNTIFS($B$2:$B$528,"Yes",$A$2:$A$528,$A413,$AL$2:$AL$528,$AL413)&gt;1,"Yes","No"),
"No")
)
)
)</f>
        <v/>
      </c>
      <c r="BL413" s="4" t="str">
        <f t="shared" si="19"/>
        <v/>
      </c>
      <c r="BM413" s="8" t="str">
        <f t="shared" si="20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 ht="15" customHeight="1">
      <c r="D414" s="15" t="str">
        <f t="shared" si="21"/>
        <v/>
      </c>
      <c r="E414" s="15" t="str">
        <f>IF($A414="","",IF($A414="Neuron",IF(OR(AND($S414&lt;&gt;"",LOWER(TRIM($S414))&lt;&gt;"n/a",COUNTIF($S$2:$S$528,$S414)&gt;1),AND($T414&lt;&gt;"",LOWER(TRIM($T414))&lt;&gt;"n/a",COUNTIF($T$2:$T$528,$T414)&gt;1),AND($W414&lt;&gt;"",LOWER(TRIM($W414))&lt;&gt;"n/a",COUNTIF($W$2:$W$528,$W414)&gt;1)),"Yes","No"),IF($A414="Cybernet",IF(OR(AND($Y414&lt;&gt;"",LOWER(TRIM($Y414))&lt;&gt;"n/a",COUNTIF($Y$2:$Y$528,$Y414)&gt;1),AND($Z414&lt;&gt;"",LOWER(TRIM($Z414))&lt;&gt;"n/a",COUNTIF($Z$2:$Z$528,$Z414)&gt;1)),"Yes","No"),IF(AND($AL414&lt;&gt;"",LOWER(TRIM($AL414))&lt;&gt;"n/a",COUNTIF($AL$2:$AL$528,$AL414)&gt;1),"Yes","No"))))</f>
        <v/>
      </c>
      <c r="F414" t="str">
        <f>IF($B414&lt;&gt;"Yes","",
IF($A414="Neuron",
IF(OR(
AND($S414&lt;&gt;"",LOWER(TRIM($S414))&lt;&gt;"n/a",COUNTIFS($B$2:$B$528,"Yes",$A$2:$A$528,"Neuron",$S$2:$S$528,$S414)&gt;1),
AND($T414&lt;&gt;"",LOWER(TRIM($T414))&lt;&gt;"n/a",COUNTIFS($B$2:$B$528,"Yes",$A$2:$A$528,"Neuron",$T$2:$T$528,$T414)&gt;1),
AND($W414&lt;&gt;"",LOWER(TRIM($W414))&lt;&gt;"n/a",COUNTIFS($B$2:$B$528,"Yes",$A$2:$A$528,"Neuron",$W$2:$W$528,$W414)&gt;1)
),"Yes","No"),
IF($A414="Cybernet",
IF(OR(
AND($Y414&lt;&gt;"",LOWER(TRIM($Y414))&lt;&gt;"n/a",COUNTIFS($B$2:$B$528,"Yes",$A$2:$A$528,"Cybernet",$Y$2:$Y$528,$Y414)&gt;1),
AND($Z414&lt;&gt;"",LOWER(TRIM($Z414))&lt;&gt;"n/a",COUNTIFS($B$2:$B$528,"Yes",$A$2:$A$528,"Cybernet",$Z$2:$Z$528,$Z414)&gt;1)
),"Yes","No"),
IF(AND($AL414&lt;&gt;"",LOWER(TRIM($AL414))&lt;&gt;"n/a"),
IF(COUNTIFS($B$2:$B$528,"Yes",$A$2:$A$528,$A414,$AL$2:$AL$528,$AL414)&gt;1,"Yes","No"),
"No")
)
)
)</f>
        <v/>
      </c>
      <c r="BL414" s="4" t="str">
        <f t="shared" si="19"/>
        <v/>
      </c>
      <c r="BM414" s="8" t="str">
        <f t="shared" si="20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 ht="15" customHeight="1">
      <c r="D415" s="15" t="str">
        <f t="shared" si="21"/>
        <v/>
      </c>
      <c r="E415" s="15" t="str">
        <f>IF($A415="","",IF($A415="Neuron",IF(OR(AND($S415&lt;&gt;"",LOWER(TRIM($S415))&lt;&gt;"n/a",COUNTIF($S$2:$S$528,$S415)&gt;1),AND($T415&lt;&gt;"",LOWER(TRIM($T415))&lt;&gt;"n/a",COUNTIF($T$2:$T$528,$T415)&gt;1),AND($W415&lt;&gt;"",LOWER(TRIM($W415))&lt;&gt;"n/a",COUNTIF($W$2:$W$528,$W415)&gt;1)),"Yes","No"),IF($A415="Cybernet",IF(OR(AND($Y415&lt;&gt;"",LOWER(TRIM($Y415))&lt;&gt;"n/a",COUNTIF($Y$2:$Y$528,$Y415)&gt;1),AND($Z415&lt;&gt;"",LOWER(TRIM($Z415))&lt;&gt;"n/a",COUNTIF($Z$2:$Z$528,$Z415)&gt;1)),"Yes","No"),IF(AND($AL415&lt;&gt;"",LOWER(TRIM($AL415))&lt;&gt;"n/a",COUNTIF($AL$2:$AL$528,$AL415)&gt;1),"Yes","No"))))</f>
        <v/>
      </c>
      <c r="F415" t="str">
        <f>IF($B415&lt;&gt;"Yes","",
IF($A415="Neuron",
IF(OR(
AND($S415&lt;&gt;"",LOWER(TRIM($S415))&lt;&gt;"n/a",COUNTIFS($B$2:$B$528,"Yes",$A$2:$A$528,"Neuron",$S$2:$S$528,$S415)&gt;1),
AND($T415&lt;&gt;"",LOWER(TRIM($T415))&lt;&gt;"n/a",COUNTIFS($B$2:$B$528,"Yes",$A$2:$A$528,"Neuron",$T$2:$T$528,$T415)&gt;1),
AND($W415&lt;&gt;"",LOWER(TRIM($W415))&lt;&gt;"n/a",COUNTIFS($B$2:$B$528,"Yes",$A$2:$A$528,"Neuron",$W$2:$W$528,$W415)&gt;1)
),"Yes","No"),
IF($A415="Cybernet",
IF(OR(
AND($Y415&lt;&gt;"",LOWER(TRIM($Y415))&lt;&gt;"n/a",COUNTIFS($B$2:$B$528,"Yes",$A$2:$A$528,"Cybernet",$Y$2:$Y$528,$Y415)&gt;1),
AND($Z415&lt;&gt;"",LOWER(TRIM($Z415))&lt;&gt;"n/a",COUNTIFS($B$2:$B$528,"Yes",$A$2:$A$528,"Cybernet",$Z$2:$Z$528,$Z415)&gt;1)
),"Yes","No"),
IF(AND($AL415&lt;&gt;"",LOWER(TRIM($AL415))&lt;&gt;"n/a"),
IF(COUNTIFS($B$2:$B$528,"Yes",$A$2:$A$528,$A415,$AL$2:$AL$528,$AL415)&gt;1,"Yes","No"),
"No")
)
)
)</f>
        <v/>
      </c>
      <c r="BL415" s="4" t="str">
        <f t="shared" si="19"/>
        <v/>
      </c>
      <c r="BM415" s="8" t="str">
        <f t="shared" si="20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 ht="15" customHeight="1">
      <c r="D416" s="15" t="str">
        <f t="shared" si="21"/>
        <v/>
      </c>
      <c r="E416" s="15" t="str">
        <f>IF($A416="","",IF($A416="Neuron",IF(OR(AND($S416&lt;&gt;"",LOWER(TRIM($S416))&lt;&gt;"n/a",COUNTIF($S$2:$S$528,$S416)&gt;1),AND($T416&lt;&gt;"",LOWER(TRIM($T416))&lt;&gt;"n/a",COUNTIF($T$2:$T$528,$T416)&gt;1),AND($W416&lt;&gt;"",LOWER(TRIM($W416))&lt;&gt;"n/a",COUNTIF($W$2:$W$528,$W416)&gt;1)),"Yes","No"),IF($A416="Cybernet",IF(OR(AND($Y416&lt;&gt;"",LOWER(TRIM($Y416))&lt;&gt;"n/a",COUNTIF($Y$2:$Y$528,$Y416)&gt;1),AND($Z416&lt;&gt;"",LOWER(TRIM($Z416))&lt;&gt;"n/a",COUNTIF($Z$2:$Z$528,$Z416)&gt;1)),"Yes","No"),IF(AND($AL416&lt;&gt;"",LOWER(TRIM($AL416))&lt;&gt;"n/a",COUNTIF($AL$2:$AL$528,$AL416)&gt;1),"Yes","No"))))</f>
        <v/>
      </c>
      <c r="F416" t="str">
        <f>IF($B416&lt;&gt;"Yes","",
IF($A416="Neuron",
IF(OR(
AND($S416&lt;&gt;"",LOWER(TRIM($S416))&lt;&gt;"n/a",COUNTIFS($B$2:$B$528,"Yes",$A$2:$A$528,"Neuron",$S$2:$S$528,$S416)&gt;1),
AND($T416&lt;&gt;"",LOWER(TRIM($T416))&lt;&gt;"n/a",COUNTIFS($B$2:$B$528,"Yes",$A$2:$A$528,"Neuron",$T$2:$T$528,$T416)&gt;1),
AND($W416&lt;&gt;"",LOWER(TRIM($W416))&lt;&gt;"n/a",COUNTIFS($B$2:$B$528,"Yes",$A$2:$A$528,"Neuron",$W$2:$W$528,$W416)&gt;1)
),"Yes","No"),
IF($A416="Cybernet",
IF(OR(
AND($Y416&lt;&gt;"",LOWER(TRIM($Y416))&lt;&gt;"n/a",COUNTIFS($B$2:$B$528,"Yes",$A$2:$A$528,"Cybernet",$Y$2:$Y$528,$Y416)&gt;1),
AND($Z416&lt;&gt;"",LOWER(TRIM($Z416))&lt;&gt;"n/a",COUNTIFS($B$2:$B$528,"Yes",$A$2:$A$528,"Cybernet",$Z$2:$Z$528,$Z416)&gt;1)
),"Yes","No"),
IF(AND($AL416&lt;&gt;"",LOWER(TRIM($AL416))&lt;&gt;"n/a"),
IF(COUNTIFS($B$2:$B$528,"Yes",$A$2:$A$528,$A416,$AL$2:$AL$528,$AL416)&gt;1,"Yes","No"),
"No")
)
)
)</f>
        <v/>
      </c>
      <c r="BL416" s="4" t="str">
        <f t="shared" si="19"/>
        <v/>
      </c>
      <c r="BM416" s="8" t="str">
        <f t="shared" si="20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 ht="15" customHeight="1">
      <c r="D417" s="15" t="str">
        <f t="shared" si="21"/>
        <v/>
      </c>
      <c r="E417" s="15" t="str">
        <f>IF($A417="","",IF($A417="Neuron",IF(OR(AND($S417&lt;&gt;"",LOWER(TRIM($S417))&lt;&gt;"n/a",COUNTIF($S$2:$S$528,$S417)&gt;1),AND($T417&lt;&gt;"",LOWER(TRIM($T417))&lt;&gt;"n/a",COUNTIF($T$2:$T$528,$T417)&gt;1),AND($W417&lt;&gt;"",LOWER(TRIM($W417))&lt;&gt;"n/a",COUNTIF($W$2:$W$528,$W417)&gt;1)),"Yes","No"),IF($A417="Cybernet",IF(OR(AND($Y417&lt;&gt;"",LOWER(TRIM($Y417))&lt;&gt;"n/a",COUNTIF($Y$2:$Y$528,$Y417)&gt;1),AND($Z417&lt;&gt;"",LOWER(TRIM($Z417))&lt;&gt;"n/a",COUNTIF($Z$2:$Z$528,$Z417)&gt;1)),"Yes","No"),IF(AND($AL417&lt;&gt;"",LOWER(TRIM($AL417))&lt;&gt;"n/a",COUNTIF($AL$2:$AL$528,$AL417)&gt;1),"Yes","No"))))</f>
        <v/>
      </c>
      <c r="F417" t="str">
        <f>IF($B417&lt;&gt;"Yes","",
IF($A417="Neuron",
IF(OR(
AND($S417&lt;&gt;"",LOWER(TRIM($S417))&lt;&gt;"n/a",COUNTIFS($B$2:$B$528,"Yes",$A$2:$A$528,"Neuron",$S$2:$S$528,$S417)&gt;1),
AND($T417&lt;&gt;"",LOWER(TRIM($T417))&lt;&gt;"n/a",COUNTIFS($B$2:$B$528,"Yes",$A$2:$A$528,"Neuron",$T$2:$T$528,$T417)&gt;1),
AND($W417&lt;&gt;"",LOWER(TRIM($W417))&lt;&gt;"n/a",COUNTIFS($B$2:$B$528,"Yes",$A$2:$A$528,"Neuron",$W$2:$W$528,$W417)&gt;1)
),"Yes","No"),
IF($A417="Cybernet",
IF(OR(
AND($Y417&lt;&gt;"",LOWER(TRIM($Y417))&lt;&gt;"n/a",COUNTIFS($B$2:$B$528,"Yes",$A$2:$A$528,"Cybernet",$Y$2:$Y$528,$Y417)&gt;1),
AND($Z417&lt;&gt;"",LOWER(TRIM($Z417))&lt;&gt;"n/a",COUNTIFS($B$2:$B$528,"Yes",$A$2:$A$528,"Cybernet",$Z$2:$Z$528,$Z417)&gt;1)
),"Yes","No"),
IF(AND($AL417&lt;&gt;"",LOWER(TRIM($AL417))&lt;&gt;"n/a"),
IF(COUNTIFS($B$2:$B$528,"Yes",$A$2:$A$528,$A417,$AL$2:$AL$528,$AL417)&gt;1,"Yes","No"),
"No")
)
)
)</f>
        <v/>
      </c>
      <c r="BL417" s="4" t="str">
        <f t="shared" si="19"/>
        <v/>
      </c>
      <c r="BM417" s="8" t="str">
        <f t="shared" si="20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 ht="15" customHeight="1">
      <c r="D418" s="15" t="str">
        <f t="shared" si="21"/>
        <v/>
      </c>
      <c r="E418" s="15" t="str">
        <f>IF($A418="","",IF($A418="Neuron",IF(OR(AND($S418&lt;&gt;"",LOWER(TRIM($S418))&lt;&gt;"n/a",COUNTIF($S$2:$S$528,$S418)&gt;1),AND($T418&lt;&gt;"",LOWER(TRIM($T418))&lt;&gt;"n/a",COUNTIF($T$2:$T$528,$T418)&gt;1),AND($W418&lt;&gt;"",LOWER(TRIM($W418))&lt;&gt;"n/a",COUNTIF($W$2:$W$528,$W418)&gt;1)),"Yes","No"),IF($A418="Cybernet",IF(OR(AND($Y418&lt;&gt;"",LOWER(TRIM($Y418))&lt;&gt;"n/a",COUNTIF($Y$2:$Y$528,$Y418)&gt;1),AND($Z418&lt;&gt;"",LOWER(TRIM($Z418))&lt;&gt;"n/a",COUNTIF($Z$2:$Z$528,$Z418)&gt;1)),"Yes","No"),IF(AND($AL418&lt;&gt;"",LOWER(TRIM($AL418))&lt;&gt;"n/a",COUNTIF($AL$2:$AL$528,$AL418)&gt;1),"Yes","No"))))</f>
        <v/>
      </c>
      <c r="F418" t="str">
        <f>IF($B418&lt;&gt;"Yes","",
IF($A418="Neuron",
IF(OR(
AND($S418&lt;&gt;"",LOWER(TRIM($S418))&lt;&gt;"n/a",COUNTIFS($B$2:$B$528,"Yes",$A$2:$A$528,"Neuron",$S$2:$S$528,$S418)&gt;1),
AND($T418&lt;&gt;"",LOWER(TRIM($T418))&lt;&gt;"n/a",COUNTIFS($B$2:$B$528,"Yes",$A$2:$A$528,"Neuron",$T$2:$T$528,$T418)&gt;1),
AND($W418&lt;&gt;"",LOWER(TRIM($W418))&lt;&gt;"n/a",COUNTIFS($B$2:$B$528,"Yes",$A$2:$A$528,"Neuron",$W$2:$W$528,$W418)&gt;1)
),"Yes","No"),
IF($A418="Cybernet",
IF(OR(
AND($Y418&lt;&gt;"",LOWER(TRIM($Y418))&lt;&gt;"n/a",COUNTIFS($B$2:$B$528,"Yes",$A$2:$A$528,"Cybernet",$Y$2:$Y$528,$Y418)&gt;1),
AND($Z418&lt;&gt;"",LOWER(TRIM($Z418))&lt;&gt;"n/a",COUNTIFS($B$2:$B$528,"Yes",$A$2:$A$528,"Cybernet",$Z$2:$Z$528,$Z418)&gt;1)
),"Yes","No"),
IF(AND($AL418&lt;&gt;"",LOWER(TRIM($AL418))&lt;&gt;"n/a"),
IF(COUNTIFS($B$2:$B$528,"Yes",$A$2:$A$528,$A418,$AL$2:$AL$528,$AL418)&gt;1,"Yes","No"),
"No")
)
)
)</f>
        <v/>
      </c>
      <c r="BL418" s="4" t="str">
        <f t="shared" si="19"/>
        <v/>
      </c>
      <c r="BM418" s="8" t="str">
        <f t="shared" si="20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 ht="15" customHeight="1">
      <c r="D419" s="15" t="str">
        <f t="shared" si="21"/>
        <v/>
      </c>
      <c r="E419" s="15" t="str">
        <f>IF($A419="","",IF($A419="Neuron",IF(OR(AND($S419&lt;&gt;"",LOWER(TRIM($S419))&lt;&gt;"n/a",COUNTIF($S$2:$S$528,$S419)&gt;1),AND($T419&lt;&gt;"",LOWER(TRIM($T419))&lt;&gt;"n/a",COUNTIF($T$2:$T$528,$T419)&gt;1),AND($W419&lt;&gt;"",LOWER(TRIM($W419))&lt;&gt;"n/a",COUNTIF($W$2:$W$528,$W419)&gt;1)),"Yes","No"),IF($A419="Cybernet",IF(OR(AND($Y419&lt;&gt;"",LOWER(TRIM($Y419))&lt;&gt;"n/a",COUNTIF($Y$2:$Y$528,$Y419)&gt;1),AND($Z419&lt;&gt;"",LOWER(TRIM($Z419))&lt;&gt;"n/a",COUNTIF($Z$2:$Z$528,$Z419)&gt;1)),"Yes","No"),IF(AND($AL419&lt;&gt;"",LOWER(TRIM($AL419))&lt;&gt;"n/a",COUNTIF($AL$2:$AL$528,$AL419)&gt;1),"Yes","No"))))</f>
        <v/>
      </c>
      <c r="F419" t="str">
        <f>IF($B419&lt;&gt;"Yes","",
IF($A419="Neuron",
IF(OR(
AND($S419&lt;&gt;"",LOWER(TRIM($S419))&lt;&gt;"n/a",COUNTIFS($B$2:$B$528,"Yes",$A$2:$A$528,"Neuron",$S$2:$S$528,$S419)&gt;1),
AND($T419&lt;&gt;"",LOWER(TRIM($T419))&lt;&gt;"n/a",COUNTIFS($B$2:$B$528,"Yes",$A$2:$A$528,"Neuron",$T$2:$T$528,$T419)&gt;1),
AND($W419&lt;&gt;"",LOWER(TRIM($W419))&lt;&gt;"n/a",COUNTIFS($B$2:$B$528,"Yes",$A$2:$A$528,"Neuron",$W$2:$W$528,$W419)&gt;1)
),"Yes","No"),
IF($A419="Cybernet",
IF(OR(
AND($Y419&lt;&gt;"",LOWER(TRIM($Y419))&lt;&gt;"n/a",COUNTIFS($B$2:$B$528,"Yes",$A$2:$A$528,"Cybernet",$Y$2:$Y$528,$Y419)&gt;1),
AND($Z419&lt;&gt;"",LOWER(TRIM($Z419))&lt;&gt;"n/a",COUNTIFS($B$2:$B$528,"Yes",$A$2:$A$528,"Cybernet",$Z$2:$Z$528,$Z419)&gt;1)
),"Yes","No"),
IF(AND($AL419&lt;&gt;"",LOWER(TRIM($AL419))&lt;&gt;"n/a"),
IF(COUNTIFS($B$2:$B$528,"Yes",$A$2:$A$528,$A419,$AL$2:$AL$528,$AL419)&gt;1,"Yes","No"),
"No")
)
)
)</f>
        <v/>
      </c>
      <c r="BL419" s="4" t="str">
        <f t="shared" si="19"/>
        <v/>
      </c>
      <c r="BM419" s="8" t="str">
        <f t="shared" si="20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 ht="15" customHeight="1">
      <c r="D420" s="15" t="str">
        <f t="shared" si="21"/>
        <v/>
      </c>
      <c r="E420" s="15" t="str">
        <f>IF($A420="","",IF($A420="Neuron",IF(OR(AND($S420&lt;&gt;"",LOWER(TRIM($S420))&lt;&gt;"n/a",COUNTIF($S$2:$S$528,$S420)&gt;1),AND($T420&lt;&gt;"",LOWER(TRIM($T420))&lt;&gt;"n/a",COUNTIF($T$2:$T$528,$T420)&gt;1),AND($W420&lt;&gt;"",LOWER(TRIM($W420))&lt;&gt;"n/a",COUNTIF($W$2:$W$528,$W420)&gt;1)),"Yes","No"),IF($A420="Cybernet",IF(OR(AND($Y420&lt;&gt;"",LOWER(TRIM($Y420))&lt;&gt;"n/a",COUNTIF($Y$2:$Y$528,$Y420)&gt;1),AND($Z420&lt;&gt;"",LOWER(TRIM($Z420))&lt;&gt;"n/a",COUNTIF($Z$2:$Z$528,$Z420)&gt;1)),"Yes","No"),IF(AND($AL420&lt;&gt;"",LOWER(TRIM($AL420))&lt;&gt;"n/a",COUNTIF($AL$2:$AL$528,$AL420)&gt;1),"Yes","No"))))</f>
        <v/>
      </c>
      <c r="F420" t="str">
        <f>IF($B420&lt;&gt;"Yes","",
IF($A420="Neuron",
IF(OR(
AND($S420&lt;&gt;"",LOWER(TRIM($S420))&lt;&gt;"n/a",COUNTIFS($B$2:$B$528,"Yes",$A$2:$A$528,"Neuron",$S$2:$S$528,$S420)&gt;1),
AND($T420&lt;&gt;"",LOWER(TRIM($T420))&lt;&gt;"n/a",COUNTIFS($B$2:$B$528,"Yes",$A$2:$A$528,"Neuron",$T$2:$T$528,$T420)&gt;1),
AND($W420&lt;&gt;"",LOWER(TRIM($W420))&lt;&gt;"n/a",COUNTIFS($B$2:$B$528,"Yes",$A$2:$A$528,"Neuron",$W$2:$W$528,$W420)&gt;1)
),"Yes","No"),
IF($A420="Cybernet",
IF(OR(
AND($Y420&lt;&gt;"",LOWER(TRIM($Y420))&lt;&gt;"n/a",COUNTIFS($B$2:$B$528,"Yes",$A$2:$A$528,"Cybernet",$Y$2:$Y$528,$Y420)&gt;1),
AND($Z420&lt;&gt;"",LOWER(TRIM($Z420))&lt;&gt;"n/a",COUNTIFS($B$2:$B$528,"Yes",$A$2:$A$528,"Cybernet",$Z$2:$Z$528,$Z420)&gt;1)
),"Yes","No"),
IF(AND($AL420&lt;&gt;"",LOWER(TRIM($AL420))&lt;&gt;"n/a"),
IF(COUNTIFS($B$2:$B$528,"Yes",$A$2:$A$528,$A420,$AL$2:$AL$528,$AL420)&gt;1,"Yes","No"),
"No")
)
)
)</f>
        <v/>
      </c>
      <c r="BL420" s="4" t="str">
        <f t="shared" si="19"/>
        <v/>
      </c>
      <c r="BM420" s="8" t="str">
        <f t="shared" si="20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 ht="15" customHeight="1">
      <c r="D421" s="15" t="str">
        <f t="shared" si="21"/>
        <v/>
      </c>
      <c r="E421" s="15" t="str">
        <f>IF($A421="","",IF($A421="Neuron",IF(OR(AND($S421&lt;&gt;"",LOWER(TRIM($S421))&lt;&gt;"n/a",COUNTIF($S$2:$S$528,$S421)&gt;1),AND($T421&lt;&gt;"",LOWER(TRIM($T421))&lt;&gt;"n/a",COUNTIF($T$2:$T$528,$T421)&gt;1),AND($W421&lt;&gt;"",LOWER(TRIM($W421))&lt;&gt;"n/a",COUNTIF($W$2:$W$528,$W421)&gt;1)),"Yes","No"),IF($A421="Cybernet",IF(OR(AND($Y421&lt;&gt;"",LOWER(TRIM($Y421))&lt;&gt;"n/a",COUNTIF($Y$2:$Y$528,$Y421)&gt;1),AND($Z421&lt;&gt;"",LOWER(TRIM($Z421))&lt;&gt;"n/a",COUNTIF($Z$2:$Z$528,$Z421)&gt;1)),"Yes","No"),IF(AND($AL421&lt;&gt;"",LOWER(TRIM($AL421))&lt;&gt;"n/a",COUNTIF($AL$2:$AL$528,$AL421)&gt;1),"Yes","No"))))</f>
        <v/>
      </c>
      <c r="F421" t="str">
        <f>IF($B421&lt;&gt;"Yes","",
IF($A421="Neuron",
IF(OR(
AND($S421&lt;&gt;"",LOWER(TRIM($S421))&lt;&gt;"n/a",COUNTIFS($B$2:$B$528,"Yes",$A$2:$A$528,"Neuron",$S$2:$S$528,$S421)&gt;1),
AND($T421&lt;&gt;"",LOWER(TRIM($T421))&lt;&gt;"n/a",COUNTIFS($B$2:$B$528,"Yes",$A$2:$A$528,"Neuron",$T$2:$T$528,$T421)&gt;1),
AND($W421&lt;&gt;"",LOWER(TRIM($W421))&lt;&gt;"n/a",COUNTIFS($B$2:$B$528,"Yes",$A$2:$A$528,"Neuron",$W$2:$W$528,$W421)&gt;1)
),"Yes","No"),
IF($A421="Cybernet",
IF(OR(
AND($Y421&lt;&gt;"",LOWER(TRIM($Y421))&lt;&gt;"n/a",COUNTIFS($B$2:$B$528,"Yes",$A$2:$A$528,"Cybernet",$Y$2:$Y$528,$Y421)&gt;1),
AND($Z421&lt;&gt;"",LOWER(TRIM($Z421))&lt;&gt;"n/a",COUNTIFS($B$2:$B$528,"Yes",$A$2:$A$528,"Cybernet",$Z$2:$Z$528,$Z421)&gt;1)
),"Yes","No"),
IF(AND($AL421&lt;&gt;"",LOWER(TRIM($AL421))&lt;&gt;"n/a"),
IF(COUNTIFS($B$2:$B$528,"Yes",$A$2:$A$528,$A421,$AL$2:$AL$528,$AL421)&gt;1,"Yes","No"),
"No")
)
)
)</f>
        <v/>
      </c>
      <c r="BL421" s="4" t="str">
        <f t="shared" si="19"/>
        <v/>
      </c>
      <c r="BM421" s="8" t="str">
        <f t="shared" si="20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 ht="15" customHeight="1">
      <c r="D422" s="15" t="str">
        <f t="shared" si="21"/>
        <v/>
      </c>
      <c r="E422" s="15" t="str">
        <f>IF($A422="","",IF($A422="Neuron",IF(OR(AND($S422&lt;&gt;"",LOWER(TRIM($S422))&lt;&gt;"n/a",COUNTIF($S$2:$S$528,$S422)&gt;1),AND($T422&lt;&gt;"",LOWER(TRIM($T422))&lt;&gt;"n/a",COUNTIF($T$2:$T$528,$T422)&gt;1),AND($W422&lt;&gt;"",LOWER(TRIM($W422))&lt;&gt;"n/a",COUNTIF($W$2:$W$528,$W422)&gt;1)),"Yes","No"),IF($A422="Cybernet",IF(OR(AND($Y422&lt;&gt;"",LOWER(TRIM($Y422))&lt;&gt;"n/a",COUNTIF($Y$2:$Y$528,$Y422)&gt;1),AND($Z422&lt;&gt;"",LOWER(TRIM($Z422))&lt;&gt;"n/a",COUNTIF($Z$2:$Z$528,$Z422)&gt;1)),"Yes","No"),IF(AND($AL422&lt;&gt;"",LOWER(TRIM($AL422))&lt;&gt;"n/a",COUNTIF($AL$2:$AL$528,$AL422)&gt;1),"Yes","No"))))</f>
        <v/>
      </c>
      <c r="F422" t="str">
        <f>IF($B422&lt;&gt;"Yes","",
IF($A422="Neuron",
IF(OR(
AND($S422&lt;&gt;"",LOWER(TRIM($S422))&lt;&gt;"n/a",COUNTIFS($B$2:$B$528,"Yes",$A$2:$A$528,"Neuron",$S$2:$S$528,$S422)&gt;1),
AND($T422&lt;&gt;"",LOWER(TRIM($T422))&lt;&gt;"n/a",COUNTIFS($B$2:$B$528,"Yes",$A$2:$A$528,"Neuron",$T$2:$T$528,$T422)&gt;1),
AND($W422&lt;&gt;"",LOWER(TRIM($W422))&lt;&gt;"n/a",COUNTIFS($B$2:$B$528,"Yes",$A$2:$A$528,"Neuron",$W$2:$W$528,$W422)&gt;1)
),"Yes","No"),
IF($A422="Cybernet",
IF(OR(
AND($Y422&lt;&gt;"",LOWER(TRIM($Y422))&lt;&gt;"n/a",COUNTIFS($B$2:$B$528,"Yes",$A$2:$A$528,"Cybernet",$Y$2:$Y$528,$Y422)&gt;1),
AND($Z422&lt;&gt;"",LOWER(TRIM($Z422))&lt;&gt;"n/a",COUNTIFS($B$2:$B$528,"Yes",$A$2:$A$528,"Cybernet",$Z$2:$Z$528,$Z422)&gt;1)
),"Yes","No"),
IF(AND($AL422&lt;&gt;"",LOWER(TRIM($AL422))&lt;&gt;"n/a"),
IF(COUNTIFS($B$2:$B$528,"Yes",$A$2:$A$528,$A422,$AL$2:$AL$528,$AL422)&gt;1,"Yes","No"),
"No")
)
)
)</f>
        <v/>
      </c>
      <c r="BL422" s="4" t="str">
        <f t="shared" si="19"/>
        <v/>
      </c>
      <c r="BM422" s="8" t="str">
        <f t="shared" si="20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 ht="15" customHeight="1">
      <c r="D423" s="15" t="str">
        <f t="shared" si="21"/>
        <v/>
      </c>
      <c r="E423" s="15" t="str">
        <f>IF($A423="","",IF($A423="Neuron",IF(OR(AND($S423&lt;&gt;"",LOWER(TRIM($S423))&lt;&gt;"n/a",COUNTIF($S$2:$S$528,$S423)&gt;1),AND($T423&lt;&gt;"",LOWER(TRIM($T423))&lt;&gt;"n/a",COUNTIF($T$2:$T$528,$T423)&gt;1),AND($W423&lt;&gt;"",LOWER(TRIM($W423))&lt;&gt;"n/a",COUNTIF($W$2:$W$528,$W423)&gt;1)),"Yes","No"),IF($A423="Cybernet",IF(OR(AND($Y423&lt;&gt;"",LOWER(TRIM($Y423))&lt;&gt;"n/a",COUNTIF($Y$2:$Y$528,$Y423)&gt;1),AND($Z423&lt;&gt;"",LOWER(TRIM($Z423))&lt;&gt;"n/a",COUNTIF($Z$2:$Z$528,$Z423)&gt;1)),"Yes","No"),IF(AND($AL423&lt;&gt;"",LOWER(TRIM($AL423))&lt;&gt;"n/a",COUNTIF($AL$2:$AL$528,$AL423)&gt;1),"Yes","No"))))</f>
        <v/>
      </c>
      <c r="F423" t="str">
        <f>IF($B423&lt;&gt;"Yes","",
IF($A423="Neuron",
IF(OR(
AND($S423&lt;&gt;"",LOWER(TRIM($S423))&lt;&gt;"n/a",COUNTIFS($B$2:$B$528,"Yes",$A$2:$A$528,"Neuron",$S$2:$S$528,$S423)&gt;1),
AND($T423&lt;&gt;"",LOWER(TRIM($T423))&lt;&gt;"n/a",COUNTIFS($B$2:$B$528,"Yes",$A$2:$A$528,"Neuron",$T$2:$T$528,$T423)&gt;1),
AND($W423&lt;&gt;"",LOWER(TRIM($W423))&lt;&gt;"n/a",COUNTIFS($B$2:$B$528,"Yes",$A$2:$A$528,"Neuron",$W$2:$W$528,$W423)&gt;1)
),"Yes","No"),
IF($A423="Cybernet",
IF(OR(
AND($Y423&lt;&gt;"",LOWER(TRIM($Y423))&lt;&gt;"n/a",COUNTIFS($B$2:$B$528,"Yes",$A$2:$A$528,"Cybernet",$Y$2:$Y$528,$Y423)&gt;1),
AND($Z423&lt;&gt;"",LOWER(TRIM($Z423))&lt;&gt;"n/a",COUNTIFS($B$2:$B$528,"Yes",$A$2:$A$528,"Cybernet",$Z$2:$Z$528,$Z423)&gt;1)
),"Yes","No"),
IF(AND($AL423&lt;&gt;"",LOWER(TRIM($AL423))&lt;&gt;"n/a"),
IF(COUNTIFS($B$2:$B$528,"Yes",$A$2:$A$528,$A423,$AL$2:$AL$528,$AL423)&gt;1,"Yes","No"),
"No")
)
)
)</f>
        <v/>
      </c>
      <c r="BL423" s="4" t="str">
        <f t="shared" si="19"/>
        <v/>
      </c>
      <c r="BM423" s="8" t="str">
        <f t="shared" si="20"/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 ht="15" customHeight="1">
      <c r="D424" s="15" t="str">
        <f t="shared" si="21"/>
        <v/>
      </c>
      <c r="E424" s="15" t="str">
        <f>IF($A424="","",IF($A424="Neuron",IF(OR(AND($S424&lt;&gt;"",LOWER(TRIM($S424))&lt;&gt;"n/a",COUNTIF($S$2:$S$528,$S424)&gt;1),AND($T424&lt;&gt;"",LOWER(TRIM($T424))&lt;&gt;"n/a",COUNTIF($T$2:$T$528,$T424)&gt;1),AND($W424&lt;&gt;"",LOWER(TRIM($W424))&lt;&gt;"n/a",COUNTIF($W$2:$W$528,$W424)&gt;1)),"Yes","No"),IF($A424="Cybernet",IF(OR(AND($Y424&lt;&gt;"",LOWER(TRIM($Y424))&lt;&gt;"n/a",COUNTIF($Y$2:$Y$528,$Y424)&gt;1),AND($Z424&lt;&gt;"",LOWER(TRIM($Z424))&lt;&gt;"n/a",COUNTIF($Z$2:$Z$528,$Z424)&gt;1)),"Yes","No"),IF(AND($AL424&lt;&gt;"",LOWER(TRIM($AL424))&lt;&gt;"n/a",COUNTIF($AL$2:$AL$528,$AL424)&gt;1),"Yes","No"))))</f>
        <v/>
      </c>
      <c r="F424" t="str">
        <f>IF($B424&lt;&gt;"Yes","",
IF($A424="Neuron",
IF(OR(
AND($S424&lt;&gt;"",LOWER(TRIM($S424))&lt;&gt;"n/a",COUNTIFS($B$2:$B$528,"Yes",$A$2:$A$528,"Neuron",$S$2:$S$528,$S424)&gt;1),
AND($T424&lt;&gt;"",LOWER(TRIM($T424))&lt;&gt;"n/a",COUNTIFS($B$2:$B$528,"Yes",$A$2:$A$528,"Neuron",$T$2:$T$528,$T424)&gt;1),
AND($W424&lt;&gt;"",LOWER(TRIM($W424))&lt;&gt;"n/a",COUNTIFS($B$2:$B$528,"Yes",$A$2:$A$528,"Neuron",$W$2:$W$528,$W424)&gt;1)
),"Yes","No"),
IF($A424="Cybernet",
IF(OR(
AND($Y424&lt;&gt;"",LOWER(TRIM($Y424))&lt;&gt;"n/a",COUNTIFS($B$2:$B$528,"Yes",$A$2:$A$528,"Cybernet",$Y$2:$Y$528,$Y424)&gt;1),
AND($Z424&lt;&gt;"",LOWER(TRIM($Z424))&lt;&gt;"n/a",COUNTIFS($B$2:$B$528,"Yes",$A$2:$A$528,"Cybernet",$Z$2:$Z$528,$Z424)&gt;1)
),"Yes","No"),
IF(AND($AL424&lt;&gt;"",LOWER(TRIM($AL424))&lt;&gt;"n/a"),
IF(COUNTIFS($B$2:$B$528,"Yes",$A$2:$A$528,$A424,$AL$2:$AL$528,$AL424)&gt;1,"Yes","No"),
"No")
)
)
)</f>
        <v/>
      </c>
      <c r="BL424" s="4" t="str">
        <f t="shared" si="19"/>
        <v/>
      </c>
      <c r="BM424" s="8" t="str">
        <f t="shared" si="2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 ht="15" customHeight="1">
      <c r="D425" s="15" t="str">
        <f t="shared" si="21"/>
        <v/>
      </c>
      <c r="E425" s="15" t="str">
        <f>IF($A425="","",IF($A425="Neuron",IF(OR(AND($S425&lt;&gt;"",LOWER(TRIM($S425))&lt;&gt;"n/a",COUNTIF($S$2:$S$528,$S425)&gt;1),AND($T425&lt;&gt;"",LOWER(TRIM($T425))&lt;&gt;"n/a",COUNTIF($T$2:$T$528,$T425)&gt;1),AND($W425&lt;&gt;"",LOWER(TRIM($W425))&lt;&gt;"n/a",COUNTIF($W$2:$W$528,$W425)&gt;1)),"Yes","No"),IF($A425="Cybernet",IF(OR(AND($Y425&lt;&gt;"",LOWER(TRIM($Y425))&lt;&gt;"n/a",COUNTIF($Y$2:$Y$528,$Y425)&gt;1),AND($Z425&lt;&gt;"",LOWER(TRIM($Z425))&lt;&gt;"n/a",COUNTIF($Z$2:$Z$528,$Z425)&gt;1)),"Yes","No"),IF(AND($AL425&lt;&gt;"",LOWER(TRIM($AL425))&lt;&gt;"n/a",COUNTIF($AL$2:$AL$528,$AL425)&gt;1),"Yes","No"))))</f>
        <v/>
      </c>
      <c r="F425" t="str">
        <f>IF($B425&lt;&gt;"Yes","",
IF($A425="Neuron",
IF(OR(
AND($S425&lt;&gt;"",LOWER(TRIM($S425))&lt;&gt;"n/a",COUNTIFS($B$2:$B$528,"Yes",$A$2:$A$528,"Neuron",$S$2:$S$528,$S425)&gt;1),
AND($T425&lt;&gt;"",LOWER(TRIM($T425))&lt;&gt;"n/a",COUNTIFS($B$2:$B$528,"Yes",$A$2:$A$528,"Neuron",$T$2:$T$528,$T425)&gt;1),
AND($W425&lt;&gt;"",LOWER(TRIM($W425))&lt;&gt;"n/a",COUNTIFS($B$2:$B$528,"Yes",$A$2:$A$528,"Neuron",$W$2:$W$528,$W425)&gt;1)
),"Yes","No"),
IF($A425="Cybernet",
IF(OR(
AND($Y425&lt;&gt;"",LOWER(TRIM($Y425))&lt;&gt;"n/a",COUNTIFS($B$2:$B$528,"Yes",$A$2:$A$528,"Cybernet",$Y$2:$Y$528,$Y425)&gt;1),
AND($Z425&lt;&gt;"",LOWER(TRIM($Z425))&lt;&gt;"n/a",COUNTIFS($B$2:$B$528,"Yes",$A$2:$A$528,"Cybernet",$Z$2:$Z$528,$Z425)&gt;1)
),"Yes","No"),
IF(AND($AL425&lt;&gt;"",LOWER(TRIM($AL425))&lt;&gt;"n/a"),
IF(COUNTIFS($B$2:$B$528,"Yes",$A$2:$A$528,$A425,$AL$2:$AL$528,$AL425)&gt;1,"Yes","No"),
"No")
)
)
)</f>
        <v/>
      </c>
      <c r="BL425" s="4" t="str">
        <f t="shared" si="19"/>
        <v/>
      </c>
      <c r="BM425" s="8" t="str">
        <f t="shared" si="2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 ht="15" customHeight="1">
      <c r="D426" s="15" t="str">
        <f t="shared" si="21"/>
        <v/>
      </c>
      <c r="E426" s="15" t="str">
        <f>IF($A426="","",IF($A426="Neuron",IF(OR(AND($S426&lt;&gt;"",LOWER(TRIM($S426))&lt;&gt;"n/a",COUNTIF($S$2:$S$528,$S426)&gt;1),AND($T426&lt;&gt;"",LOWER(TRIM($T426))&lt;&gt;"n/a",COUNTIF($T$2:$T$528,$T426)&gt;1),AND($W426&lt;&gt;"",LOWER(TRIM($W426))&lt;&gt;"n/a",COUNTIF($W$2:$W$528,$W426)&gt;1)),"Yes","No"),IF($A426="Cybernet",IF(OR(AND($Y426&lt;&gt;"",LOWER(TRIM($Y426))&lt;&gt;"n/a",COUNTIF($Y$2:$Y$528,$Y426)&gt;1),AND($Z426&lt;&gt;"",LOWER(TRIM($Z426))&lt;&gt;"n/a",COUNTIF($Z$2:$Z$528,$Z426)&gt;1)),"Yes","No"),IF(AND($AL426&lt;&gt;"",LOWER(TRIM($AL426))&lt;&gt;"n/a",COUNTIF($AL$2:$AL$528,$AL426)&gt;1),"Yes","No"))))</f>
        <v/>
      </c>
      <c r="F426" t="str">
        <f>IF($B426&lt;&gt;"Yes","",
IF($A426="Neuron",
IF(OR(
AND($S426&lt;&gt;"",LOWER(TRIM($S426))&lt;&gt;"n/a",COUNTIFS($B$2:$B$528,"Yes",$A$2:$A$528,"Neuron",$S$2:$S$528,$S426)&gt;1),
AND($T426&lt;&gt;"",LOWER(TRIM($T426))&lt;&gt;"n/a",COUNTIFS($B$2:$B$528,"Yes",$A$2:$A$528,"Neuron",$T$2:$T$528,$T426)&gt;1),
AND($W426&lt;&gt;"",LOWER(TRIM($W426))&lt;&gt;"n/a",COUNTIFS($B$2:$B$528,"Yes",$A$2:$A$528,"Neuron",$W$2:$W$528,$W426)&gt;1)
),"Yes","No"),
IF($A426="Cybernet",
IF(OR(
AND($Y426&lt;&gt;"",LOWER(TRIM($Y426))&lt;&gt;"n/a",COUNTIFS($B$2:$B$528,"Yes",$A$2:$A$528,"Cybernet",$Y$2:$Y$528,$Y426)&gt;1),
AND($Z426&lt;&gt;"",LOWER(TRIM($Z426))&lt;&gt;"n/a",COUNTIFS($B$2:$B$528,"Yes",$A$2:$A$528,"Cybernet",$Z$2:$Z$528,$Z426)&gt;1)
),"Yes","No"),
IF(AND($AL426&lt;&gt;"",LOWER(TRIM($AL426))&lt;&gt;"n/a"),
IF(COUNTIFS($B$2:$B$528,"Yes",$A$2:$A$528,$A426,$AL$2:$AL$528,$AL426)&gt;1,"Yes","No"),
"No")
)
)
)</f>
        <v/>
      </c>
      <c r="BL426" s="4" t="str">
        <f t="shared" si="19"/>
        <v/>
      </c>
      <c r="BM426" s="8" t="str">
        <f t="shared" si="2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 ht="15" customHeight="1">
      <c r="D427" s="15" t="str">
        <f t="shared" si="21"/>
        <v/>
      </c>
      <c r="E427" s="15" t="str">
        <f>IF($A427="","",IF($A427="Neuron",IF(OR(AND($S427&lt;&gt;"",LOWER(TRIM($S427))&lt;&gt;"n/a",COUNTIF($S$2:$S$528,$S427)&gt;1),AND($T427&lt;&gt;"",LOWER(TRIM($T427))&lt;&gt;"n/a",COUNTIF($T$2:$T$528,$T427)&gt;1),AND($W427&lt;&gt;"",LOWER(TRIM($W427))&lt;&gt;"n/a",COUNTIF($W$2:$W$528,$W427)&gt;1)),"Yes","No"),IF($A427="Cybernet",IF(OR(AND($Y427&lt;&gt;"",LOWER(TRIM($Y427))&lt;&gt;"n/a",COUNTIF($Y$2:$Y$528,$Y427)&gt;1),AND($Z427&lt;&gt;"",LOWER(TRIM($Z427))&lt;&gt;"n/a",COUNTIF($Z$2:$Z$528,$Z427)&gt;1)),"Yes","No"),IF(AND($AL427&lt;&gt;"",LOWER(TRIM($AL427))&lt;&gt;"n/a",COUNTIF($AL$2:$AL$528,$AL427)&gt;1),"Yes","No"))))</f>
        <v/>
      </c>
      <c r="F427" t="str">
        <f>IF($B427&lt;&gt;"Yes","",
IF($A427="Neuron",
IF(OR(
AND($S427&lt;&gt;"",LOWER(TRIM($S427))&lt;&gt;"n/a",COUNTIFS($B$2:$B$528,"Yes",$A$2:$A$528,"Neuron",$S$2:$S$528,$S427)&gt;1),
AND($T427&lt;&gt;"",LOWER(TRIM($T427))&lt;&gt;"n/a",COUNTIFS($B$2:$B$528,"Yes",$A$2:$A$528,"Neuron",$T$2:$T$528,$T427)&gt;1),
AND($W427&lt;&gt;"",LOWER(TRIM($W427))&lt;&gt;"n/a",COUNTIFS($B$2:$B$528,"Yes",$A$2:$A$528,"Neuron",$W$2:$W$528,$W427)&gt;1)
),"Yes","No"),
IF($A427="Cybernet",
IF(OR(
AND($Y427&lt;&gt;"",LOWER(TRIM($Y427))&lt;&gt;"n/a",COUNTIFS($B$2:$B$528,"Yes",$A$2:$A$528,"Cybernet",$Y$2:$Y$528,$Y427)&gt;1),
AND($Z427&lt;&gt;"",LOWER(TRIM($Z427))&lt;&gt;"n/a",COUNTIFS($B$2:$B$528,"Yes",$A$2:$A$528,"Cybernet",$Z$2:$Z$528,$Z427)&gt;1)
),"Yes","No"),
IF(AND($AL427&lt;&gt;"",LOWER(TRIM($AL427))&lt;&gt;"n/a"),
IF(COUNTIFS($B$2:$B$528,"Yes",$A$2:$A$528,$A427,$AL$2:$AL$528,$AL427)&gt;1,"Yes","No"),
"No")
)
)
)</f>
        <v/>
      </c>
      <c r="BL427" s="4" t="str">
        <f t="shared" si="19"/>
        <v/>
      </c>
      <c r="BM427" s="8" t="str">
        <f t="shared" si="2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 ht="15" customHeight="1">
      <c r="D428" s="15" t="str">
        <f t="shared" si="21"/>
        <v/>
      </c>
      <c r="E428" s="15" t="str">
        <f>IF($A428="","",IF($A428="Neuron",IF(OR(AND($S428&lt;&gt;"",LOWER(TRIM($S428))&lt;&gt;"n/a",COUNTIF($S$2:$S$528,$S428)&gt;1),AND($T428&lt;&gt;"",LOWER(TRIM($T428))&lt;&gt;"n/a",COUNTIF($T$2:$T$528,$T428)&gt;1),AND($W428&lt;&gt;"",LOWER(TRIM($W428))&lt;&gt;"n/a",COUNTIF($W$2:$W$528,$W428)&gt;1)),"Yes","No"),IF($A428="Cybernet",IF(OR(AND($Y428&lt;&gt;"",LOWER(TRIM($Y428))&lt;&gt;"n/a",COUNTIF($Y$2:$Y$528,$Y428)&gt;1),AND($Z428&lt;&gt;"",LOWER(TRIM($Z428))&lt;&gt;"n/a",COUNTIF($Z$2:$Z$528,$Z428)&gt;1)),"Yes","No"),IF(AND($AL428&lt;&gt;"",LOWER(TRIM($AL428))&lt;&gt;"n/a",COUNTIF($AL$2:$AL$528,$AL428)&gt;1),"Yes","No"))))</f>
        <v/>
      </c>
      <c r="F428" t="str">
        <f>IF($B428&lt;&gt;"Yes","",
IF($A428="Neuron",
IF(OR(
AND($S428&lt;&gt;"",LOWER(TRIM($S428))&lt;&gt;"n/a",COUNTIFS($B$2:$B$528,"Yes",$A$2:$A$528,"Neuron",$S$2:$S$528,$S428)&gt;1),
AND($T428&lt;&gt;"",LOWER(TRIM($T428))&lt;&gt;"n/a",COUNTIFS($B$2:$B$528,"Yes",$A$2:$A$528,"Neuron",$T$2:$T$528,$T428)&gt;1),
AND($W428&lt;&gt;"",LOWER(TRIM($W428))&lt;&gt;"n/a",COUNTIFS($B$2:$B$528,"Yes",$A$2:$A$528,"Neuron",$W$2:$W$528,$W428)&gt;1)
),"Yes","No"),
IF($A428="Cybernet",
IF(OR(
AND($Y428&lt;&gt;"",LOWER(TRIM($Y428))&lt;&gt;"n/a",COUNTIFS($B$2:$B$528,"Yes",$A$2:$A$528,"Cybernet",$Y$2:$Y$528,$Y428)&gt;1),
AND($Z428&lt;&gt;"",LOWER(TRIM($Z428))&lt;&gt;"n/a",COUNTIFS($B$2:$B$528,"Yes",$A$2:$A$528,"Cybernet",$Z$2:$Z$528,$Z428)&gt;1)
),"Yes","No"),
IF(AND($AL428&lt;&gt;"",LOWER(TRIM($AL428))&lt;&gt;"n/a"),
IF(COUNTIFS($B$2:$B$528,"Yes",$A$2:$A$528,$A428,$AL$2:$AL$528,$AL428)&gt;1,"Yes","No"),
"No")
)
)
)</f>
        <v/>
      </c>
      <c r="BL428" s="4" t="str">
        <f t="shared" si="19"/>
        <v/>
      </c>
      <c r="BM428" s="8" t="str">
        <f t="shared" si="2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 ht="15" customHeight="1">
      <c r="D429" s="15" t="str">
        <f t="shared" si="21"/>
        <v/>
      </c>
      <c r="E429" s="15" t="str">
        <f>IF($A429="","",IF($A429="Neuron",IF(OR(AND($S429&lt;&gt;"",LOWER(TRIM($S429))&lt;&gt;"n/a",COUNTIF($S$2:$S$528,$S429)&gt;1),AND($T429&lt;&gt;"",LOWER(TRIM($T429))&lt;&gt;"n/a",COUNTIF($T$2:$T$528,$T429)&gt;1),AND($W429&lt;&gt;"",LOWER(TRIM($W429))&lt;&gt;"n/a",COUNTIF($W$2:$W$528,$W429)&gt;1)),"Yes","No"),IF($A429="Cybernet",IF(OR(AND($Y429&lt;&gt;"",LOWER(TRIM($Y429))&lt;&gt;"n/a",COUNTIF($Y$2:$Y$528,$Y429)&gt;1),AND($Z429&lt;&gt;"",LOWER(TRIM($Z429))&lt;&gt;"n/a",COUNTIF($Z$2:$Z$528,$Z429)&gt;1)),"Yes","No"),IF(AND($AL429&lt;&gt;"",LOWER(TRIM($AL429))&lt;&gt;"n/a",COUNTIF($AL$2:$AL$528,$AL429)&gt;1),"Yes","No"))))</f>
        <v/>
      </c>
      <c r="F429" t="str">
        <f>IF($B429&lt;&gt;"Yes","",
IF($A429="Neuron",
IF(OR(
AND($S429&lt;&gt;"",LOWER(TRIM($S429))&lt;&gt;"n/a",COUNTIFS($B$2:$B$528,"Yes",$A$2:$A$528,"Neuron",$S$2:$S$528,$S429)&gt;1),
AND($T429&lt;&gt;"",LOWER(TRIM($T429))&lt;&gt;"n/a",COUNTIFS($B$2:$B$528,"Yes",$A$2:$A$528,"Neuron",$T$2:$T$528,$T429)&gt;1),
AND($W429&lt;&gt;"",LOWER(TRIM($W429))&lt;&gt;"n/a",COUNTIFS($B$2:$B$528,"Yes",$A$2:$A$528,"Neuron",$W$2:$W$528,$W429)&gt;1)
),"Yes","No"),
IF($A429="Cybernet",
IF(OR(
AND($Y429&lt;&gt;"",LOWER(TRIM($Y429))&lt;&gt;"n/a",COUNTIFS($B$2:$B$528,"Yes",$A$2:$A$528,"Cybernet",$Y$2:$Y$528,$Y429)&gt;1),
AND($Z429&lt;&gt;"",LOWER(TRIM($Z429))&lt;&gt;"n/a",COUNTIFS($B$2:$B$528,"Yes",$A$2:$A$528,"Cybernet",$Z$2:$Z$528,$Z429)&gt;1)
),"Yes","No"),
IF(AND($AL429&lt;&gt;"",LOWER(TRIM($AL429))&lt;&gt;"n/a"),
IF(COUNTIFS($B$2:$B$528,"Yes",$A$2:$A$528,$A429,$AL$2:$AL$528,$AL429)&gt;1,"Yes","No"),
"No")
)
)
)</f>
        <v/>
      </c>
      <c r="BL429" s="4" t="str">
        <f t="shared" si="19"/>
        <v/>
      </c>
      <c r="BM429" s="8" t="str">
        <f t="shared" si="2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 ht="15" customHeight="1">
      <c r="D430" s="15" t="str">
        <f t="shared" si="21"/>
        <v/>
      </c>
      <c r="E430" s="15" t="str">
        <f>IF($A430="","",IF($A430="Neuron",IF(OR(AND($S430&lt;&gt;"",LOWER(TRIM($S430))&lt;&gt;"n/a",COUNTIF($S$2:$S$528,$S430)&gt;1),AND($T430&lt;&gt;"",LOWER(TRIM($T430))&lt;&gt;"n/a",COUNTIF($T$2:$T$528,$T430)&gt;1),AND($W430&lt;&gt;"",LOWER(TRIM($W430))&lt;&gt;"n/a",COUNTIF($W$2:$W$528,$W430)&gt;1)),"Yes","No"),IF($A430="Cybernet",IF(OR(AND($Y430&lt;&gt;"",LOWER(TRIM($Y430))&lt;&gt;"n/a",COUNTIF($Y$2:$Y$528,$Y430)&gt;1),AND($Z430&lt;&gt;"",LOWER(TRIM($Z430))&lt;&gt;"n/a",COUNTIF($Z$2:$Z$528,$Z430)&gt;1)),"Yes","No"),IF(AND($AL430&lt;&gt;"",LOWER(TRIM($AL430))&lt;&gt;"n/a",COUNTIF($AL$2:$AL$528,$AL430)&gt;1),"Yes","No"))))</f>
        <v/>
      </c>
      <c r="F430" t="str">
        <f>IF($B430&lt;&gt;"Yes","",
IF($A430="Neuron",
IF(OR(
AND($S430&lt;&gt;"",LOWER(TRIM($S430))&lt;&gt;"n/a",COUNTIFS($B$2:$B$528,"Yes",$A$2:$A$528,"Neuron",$S$2:$S$528,$S430)&gt;1),
AND($T430&lt;&gt;"",LOWER(TRIM($T430))&lt;&gt;"n/a",COUNTIFS($B$2:$B$528,"Yes",$A$2:$A$528,"Neuron",$T$2:$T$528,$T430)&gt;1),
AND($W430&lt;&gt;"",LOWER(TRIM($W430))&lt;&gt;"n/a",COUNTIFS($B$2:$B$528,"Yes",$A$2:$A$528,"Neuron",$W$2:$W$528,$W430)&gt;1)
),"Yes","No"),
IF($A430="Cybernet",
IF(OR(
AND($Y430&lt;&gt;"",LOWER(TRIM($Y430))&lt;&gt;"n/a",COUNTIFS($B$2:$B$528,"Yes",$A$2:$A$528,"Cybernet",$Y$2:$Y$528,$Y430)&gt;1),
AND($Z430&lt;&gt;"",LOWER(TRIM($Z430))&lt;&gt;"n/a",COUNTIFS($B$2:$B$528,"Yes",$A$2:$A$528,"Cybernet",$Z$2:$Z$528,$Z430)&gt;1)
),"Yes","No"),
IF(AND($AL430&lt;&gt;"",LOWER(TRIM($AL430))&lt;&gt;"n/a"),
IF(COUNTIFS($B$2:$B$528,"Yes",$A$2:$A$528,$A430,$AL$2:$AL$528,$AL430)&gt;1,"Yes","No"),
"No")
)
)
)</f>
        <v/>
      </c>
      <c r="BL430" s="4" t="str">
        <f t="shared" si="19"/>
        <v/>
      </c>
      <c r="BM430" s="8" t="str">
        <f t="shared" si="2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 ht="15" customHeight="1">
      <c r="D431" s="15" t="str">
        <f t="shared" si="21"/>
        <v/>
      </c>
      <c r="E431" s="15" t="str">
        <f>IF($A431="","",IF($A431="Neuron",IF(OR(AND($S431&lt;&gt;"",LOWER(TRIM($S431))&lt;&gt;"n/a",COUNTIF($S$2:$S$528,$S431)&gt;1),AND($T431&lt;&gt;"",LOWER(TRIM($T431))&lt;&gt;"n/a",COUNTIF($T$2:$T$528,$T431)&gt;1),AND($W431&lt;&gt;"",LOWER(TRIM($W431))&lt;&gt;"n/a",COUNTIF($W$2:$W$528,$W431)&gt;1)),"Yes","No"),IF($A431="Cybernet",IF(OR(AND($Y431&lt;&gt;"",LOWER(TRIM($Y431))&lt;&gt;"n/a",COUNTIF($Y$2:$Y$528,$Y431)&gt;1),AND($Z431&lt;&gt;"",LOWER(TRIM($Z431))&lt;&gt;"n/a",COUNTIF($Z$2:$Z$528,$Z431)&gt;1)),"Yes","No"),IF(AND($AL431&lt;&gt;"",LOWER(TRIM($AL431))&lt;&gt;"n/a",COUNTIF($AL$2:$AL$528,$AL431)&gt;1),"Yes","No"))))</f>
        <v/>
      </c>
      <c r="F431" t="str">
        <f>IF($B431&lt;&gt;"Yes","",
IF($A431="Neuron",
IF(OR(
AND($S431&lt;&gt;"",LOWER(TRIM($S431))&lt;&gt;"n/a",COUNTIFS($B$2:$B$528,"Yes",$A$2:$A$528,"Neuron",$S$2:$S$528,$S431)&gt;1),
AND($T431&lt;&gt;"",LOWER(TRIM($T431))&lt;&gt;"n/a",COUNTIFS($B$2:$B$528,"Yes",$A$2:$A$528,"Neuron",$T$2:$T$528,$T431)&gt;1),
AND($W431&lt;&gt;"",LOWER(TRIM($W431))&lt;&gt;"n/a",COUNTIFS($B$2:$B$528,"Yes",$A$2:$A$528,"Neuron",$W$2:$W$528,$W431)&gt;1)
),"Yes","No"),
IF($A431="Cybernet",
IF(OR(
AND($Y431&lt;&gt;"",LOWER(TRIM($Y431))&lt;&gt;"n/a",COUNTIFS($B$2:$B$528,"Yes",$A$2:$A$528,"Cybernet",$Y$2:$Y$528,$Y431)&gt;1),
AND($Z431&lt;&gt;"",LOWER(TRIM($Z431))&lt;&gt;"n/a",COUNTIFS($B$2:$B$528,"Yes",$A$2:$A$528,"Cybernet",$Z$2:$Z$528,$Z431)&gt;1)
),"Yes","No"),
IF(AND($AL431&lt;&gt;"",LOWER(TRIM($AL431))&lt;&gt;"n/a"),
IF(COUNTIFS($B$2:$B$528,"Yes",$A$2:$A$528,$A431,$AL$2:$AL$528,$AL431)&gt;1,"Yes","No"),
"No")
)
)
)</f>
        <v/>
      </c>
      <c r="BL431" s="4" t="str">
        <f t="shared" si="19"/>
        <v/>
      </c>
      <c r="BM431" s="8" t="str">
        <f t="shared" si="2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 ht="15" customHeight="1">
      <c r="D432" s="15" t="str">
        <f t="shared" si="21"/>
        <v/>
      </c>
      <c r="E432" s="15" t="str">
        <f>IF($A432="","",IF($A432="Neuron",IF(OR(AND($S432&lt;&gt;"",LOWER(TRIM($S432))&lt;&gt;"n/a",COUNTIF($S$2:$S$528,$S432)&gt;1),AND($T432&lt;&gt;"",LOWER(TRIM($T432))&lt;&gt;"n/a",COUNTIF($T$2:$T$528,$T432)&gt;1),AND($W432&lt;&gt;"",LOWER(TRIM($W432))&lt;&gt;"n/a",COUNTIF($W$2:$W$528,$W432)&gt;1)),"Yes","No"),IF($A432="Cybernet",IF(OR(AND($Y432&lt;&gt;"",LOWER(TRIM($Y432))&lt;&gt;"n/a",COUNTIF($Y$2:$Y$528,$Y432)&gt;1),AND($Z432&lt;&gt;"",LOWER(TRIM($Z432))&lt;&gt;"n/a",COUNTIF($Z$2:$Z$528,$Z432)&gt;1)),"Yes","No"),IF(AND($AL432&lt;&gt;"",LOWER(TRIM($AL432))&lt;&gt;"n/a",COUNTIF($AL$2:$AL$528,$AL432)&gt;1),"Yes","No"))))</f>
        <v/>
      </c>
      <c r="F432" t="str">
        <f>IF($B432&lt;&gt;"Yes","",
IF($A432="Neuron",
IF(OR(
AND($S432&lt;&gt;"",LOWER(TRIM($S432))&lt;&gt;"n/a",COUNTIFS($B$2:$B$528,"Yes",$A$2:$A$528,"Neuron",$S$2:$S$528,$S432)&gt;1),
AND($T432&lt;&gt;"",LOWER(TRIM($T432))&lt;&gt;"n/a",COUNTIFS($B$2:$B$528,"Yes",$A$2:$A$528,"Neuron",$T$2:$T$528,$T432)&gt;1),
AND($W432&lt;&gt;"",LOWER(TRIM($W432))&lt;&gt;"n/a",COUNTIFS($B$2:$B$528,"Yes",$A$2:$A$528,"Neuron",$W$2:$W$528,$W432)&gt;1)
),"Yes","No"),
IF($A432="Cybernet",
IF(OR(
AND($Y432&lt;&gt;"",LOWER(TRIM($Y432))&lt;&gt;"n/a",COUNTIFS($B$2:$B$528,"Yes",$A$2:$A$528,"Cybernet",$Y$2:$Y$528,$Y432)&gt;1),
AND($Z432&lt;&gt;"",LOWER(TRIM($Z432))&lt;&gt;"n/a",COUNTIFS($B$2:$B$528,"Yes",$A$2:$A$528,"Cybernet",$Z$2:$Z$528,$Z432)&gt;1)
),"Yes","No"),
IF(AND($AL432&lt;&gt;"",LOWER(TRIM($AL432))&lt;&gt;"n/a"),
IF(COUNTIFS($B$2:$B$528,"Yes",$A$2:$A$528,$A432,$AL$2:$AL$528,$AL432)&gt;1,"Yes","No"),
"No")
)
)
)</f>
        <v/>
      </c>
      <c r="BL432" s="4" t="str">
        <f t="shared" si="19"/>
        <v/>
      </c>
      <c r="BM432" s="8" t="str">
        <f t="shared" si="2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 ht="15" customHeight="1">
      <c r="D433" s="15" t="str">
        <f t="shared" si="21"/>
        <v/>
      </c>
      <c r="E433" s="15" t="str">
        <f>IF($A433="","",IF($A433="Neuron",IF(OR(AND($S433&lt;&gt;"",LOWER(TRIM($S433))&lt;&gt;"n/a",COUNTIF($S$2:$S$528,$S433)&gt;1),AND($T433&lt;&gt;"",LOWER(TRIM($T433))&lt;&gt;"n/a",COUNTIF($T$2:$T$528,$T433)&gt;1),AND($W433&lt;&gt;"",LOWER(TRIM($W433))&lt;&gt;"n/a",COUNTIF($W$2:$W$528,$W433)&gt;1)),"Yes","No"),IF($A433="Cybernet",IF(OR(AND($Y433&lt;&gt;"",LOWER(TRIM($Y433))&lt;&gt;"n/a",COUNTIF($Y$2:$Y$528,$Y433)&gt;1),AND($Z433&lt;&gt;"",LOWER(TRIM($Z433))&lt;&gt;"n/a",COUNTIF($Z$2:$Z$528,$Z433)&gt;1)),"Yes","No"),IF(AND($AL433&lt;&gt;"",LOWER(TRIM($AL433))&lt;&gt;"n/a",COUNTIF($AL$2:$AL$528,$AL433)&gt;1),"Yes","No"))))</f>
        <v/>
      </c>
      <c r="F433" t="str">
        <f>IF($B433&lt;&gt;"Yes","",
IF($A433="Neuron",
IF(OR(
AND($S433&lt;&gt;"",LOWER(TRIM($S433))&lt;&gt;"n/a",COUNTIFS($B$2:$B$528,"Yes",$A$2:$A$528,"Neuron",$S$2:$S$528,$S433)&gt;1),
AND($T433&lt;&gt;"",LOWER(TRIM($T433))&lt;&gt;"n/a",COUNTIFS($B$2:$B$528,"Yes",$A$2:$A$528,"Neuron",$T$2:$T$528,$T433)&gt;1),
AND($W433&lt;&gt;"",LOWER(TRIM($W433))&lt;&gt;"n/a",COUNTIFS($B$2:$B$528,"Yes",$A$2:$A$528,"Neuron",$W$2:$W$528,$W433)&gt;1)
),"Yes","No"),
IF($A433="Cybernet",
IF(OR(
AND($Y433&lt;&gt;"",LOWER(TRIM($Y433))&lt;&gt;"n/a",COUNTIFS($B$2:$B$528,"Yes",$A$2:$A$528,"Cybernet",$Y$2:$Y$528,$Y433)&gt;1),
AND($Z433&lt;&gt;"",LOWER(TRIM($Z433))&lt;&gt;"n/a",COUNTIFS($B$2:$B$528,"Yes",$A$2:$A$528,"Cybernet",$Z$2:$Z$528,$Z433)&gt;1)
),"Yes","No"),
IF(AND($AL433&lt;&gt;"",LOWER(TRIM($AL433))&lt;&gt;"n/a"),
IF(COUNTIFS($B$2:$B$528,"Yes",$A$2:$A$528,$A433,$AL$2:$AL$528,$AL433)&gt;1,"Yes","No"),
"No")
)
)
)</f>
        <v/>
      </c>
      <c r="BL433" s="4" t="str">
        <f t="shared" si="19"/>
        <v/>
      </c>
      <c r="BM433" s="8" t="str">
        <f t="shared" si="2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 ht="15" customHeight="1">
      <c r="D434" s="15" t="str">
        <f t="shared" si="21"/>
        <v/>
      </c>
      <c r="E434" s="15" t="str">
        <f>IF($A434="","",IF($A434="Neuron",IF(OR(AND($S434&lt;&gt;"",LOWER(TRIM($S434))&lt;&gt;"n/a",COUNTIF($S$2:$S$528,$S434)&gt;1),AND($T434&lt;&gt;"",LOWER(TRIM($T434))&lt;&gt;"n/a",COUNTIF($T$2:$T$528,$T434)&gt;1),AND($W434&lt;&gt;"",LOWER(TRIM($W434))&lt;&gt;"n/a",COUNTIF($W$2:$W$528,$W434)&gt;1)),"Yes","No"),IF($A434="Cybernet",IF(OR(AND($Y434&lt;&gt;"",LOWER(TRIM($Y434))&lt;&gt;"n/a",COUNTIF($Y$2:$Y$528,$Y434)&gt;1),AND($Z434&lt;&gt;"",LOWER(TRIM($Z434))&lt;&gt;"n/a",COUNTIF($Z$2:$Z$528,$Z434)&gt;1)),"Yes","No"),IF(AND($AL434&lt;&gt;"",LOWER(TRIM($AL434))&lt;&gt;"n/a",COUNTIF($AL$2:$AL$528,$AL434)&gt;1),"Yes","No"))))</f>
        <v/>
      </c>
      <c r="F434" t="str">
        <f>IF($B434&lt;&gt;"Yes","",
IF($A434="Neuron",
IF(OR(
AND($S434&lt;&gt;"",LOWER(TRIM($S434))&lt;&gt;"n/a",COUNTIFS($B$2:$B$528,"Yes",$A$2:$A$528,"Neuron",$S$2:$S$528,$S434)&gt;1),
AND($T434&lt;&gt;"",LOWER(TRIM($T434))&lt;&gt;"n/a",COUNTIFS($B$2:$B$528,"Yes",$A$2:$A$528,"Neuron",$T$2:$T$528,$T434)&gt;1),
AND($W434&lt;&gt;"",LOWER(TRIM($W434))&lt;&gt;"n/a",COUNTIFS($B$2:$B$528,"Yes",$A$2:$A$528,"Neuron",$W$2:$W$528,$W434)&gt;1)
),"Yes","No"),
IF($A434="Cybernet",
IF(OR(
AND($Y434&lt;&gt;"",LOWER(TRIM($Y434))&lt;&gt;"n/a",COUNTIFS($B$2:$B$528,"Yes",$A$2:$A$528,"Cybernet",$Y$2:$Y$528,$Y434)&gt;1),
AND($Z434&lt;&gt;"",LOWER(TRIM($Z434))&lt;&gt;"n/a",COUNTIFS($B$2:$B$528,"Yes",$A$2:$A$528,"Cybernet",$Z$2:$Z$528,$Z434)&gt;1)
),"Yes","No"),
IF(AND($AL434&lt;&gt;"",LOWER(TRIM($AL434))&lt;&gt;"n/a"),
IF(COUNTIFS($B$2:$B$528,"Yes",$A$2:$A$528,$A434,$AL$2:$AL$528,$AL434)&gt;1,"Yes","No"),
"No")
)
)
)</f>
        <v/>
      </c>
      <c r="BL434" s="4" t="str">
        <f t="shared" si="19"/>
        <v/>
      </c>
      <c r="BM434" s="8" t="str">
        <f t="shared" si="2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 ht="15" customHeight="1">
      <c r="D435" s="15" t="str">
        <f t="shared" si="21"/>
        <v/>
      </c>
      <c r="E435" s="15" t="str">
        <f>IF($A435="","",IF($A435="Neuron",IF(OR(AND($S435&lt;&gt;"",LOWER(TRIM($S435))&lt;&gt;"n/a",COUNTIF($S$2:$S$528,$S435)&gt;1),AND($T435&lt;&gt;"",LOWER(TRIM($T435))&lt;&gt;"n/a",COUNTIF($T$2:$T$528,$T435)&gt;1),AND($W435&lt;&gt;"",LOWER(TRIM($W435))&lt;&gt;"n/a",COUNTIF($W$2:$W$528,$W435)&gt;1)),"Yes","No"),IF($A435="Cybernet",IF(OR(AND($Y435&lt;&gt;"",LOWER(TRIM($Y435))&lt;&gt;"n/a",COUNTIF($Y$2:$Y$528,$Y435)&gt;1),AND($Z435&lt;&gt;"",LOWER(TRIM($Z435))&lt;&gt;"n/a",COUNTIF($Z$2:$Z$528,$Z435)&gt;1)),"Yes","No"),IF(AND($AL435&lt;&gt;"",LOWER(TRIM($AL435))&lt;&gt;"n/a",COUNTIF($AL$2:$AL$528,$AL435)&gt;1),"Yes","No"))))</f>
        <v/>
      </c>
      <c r="F435" t="str">
        <f>IF($B435&lt;&gt;"Yes","",
IF($A435="Neuron",
IF(OR(
AND($S435&lt;&gt;"",LOWER(TRIM($S435))&lt;&gt;"n/a",COUNTIFS($B$2:$B$528,"Yes",$A$2:$A$528,"Neuron",$S$2:$S$528,$S435)&gt;1),
AND($T435&lt;&gt;"",LOWER(TRIM($T435))&lt;&gt;"n/a",COUNTIFS($B$2:$B$528,"Yes",$A$2:$A$528,"Neuron",$T$2:$T$528,$T435)&gt;1),
AND($W435&lt;&gt;"",LOWER(TRIM($W435))&lt;&gt;"n/a",COUNTIFS($B$2:$B$528,"Yes",$A$2:$A$528,"Neuron",$W$2:$W$528,$W435)&gt;1)
),"Yes","No"),
IF($A435="Cybernet",
IF(OR(
AND($Y435&lt;&gt;"",LOWER(TRIM($Y435))&lt;&gt;"n/a",COUNTIFS($B$2:$B$528,"Yes",$A$2:$A$528,"Cybernet",$Y$2:$Y$528,$Y435)&gt;1),
AND($Z435&lt;&gt;"",LOWER(TRIM($Z435))&lt;&gt;"n/a",COUNTIFS($B$2:$B$528,"Yes",$A$2:$A$528,"Cybernet",$Z$2:$Z$528,$Z435)&gt;1)
),"Yes","No"),
IF(AND($AL435&lt;&gt;"",LOWER(TRIM($AL435))&lt;&gt;"n/a"),
IF(COUNTIFS($B$2:$B$528,"Yes",$A$2:$A$528,$A435,$AL$2:$AL$528,$AL435)&gt;1,"Yes","No"),
"No")
)
)
)</f>
        <v/>
      </c>
      <c r="BL435" s="4" t="str">
        <f t="shared" ref="BL435:BL498" si="22">IF($T435="","",IF((IF(AND($AW435&lt;&gt;"Yes",$AW435&lt;&gt;"N/A"),"Power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",""))="","",LEFT(IF(AND($AW435&lt;&gt;"Yes",$AW435&lt;&gt;"N/A"),"Power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",""),LEN(IF(AND($AW435&lt;&gt;"Yes",$AW435&lt;&gt;"N/A"),"Power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",""))-2)))</f>
        <v/>
      </c>
      <c r="BM435" s="8" t="str">
        <f t="shared" ref="BM435:BM498" si="23">IF($T435="","",IF($BL435="","Yes","Blocked"))</f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 ht="15" customHeight="1">
      <c r="D436" s="15" t="str">
        <f t="shared" si="21"/>
        <v/>
      </c>
      <c r="E436" s="15" t="str">
        <f>IF($A436="","",IF($A436="Neuron",IF(OR(AND($S436&lt;&gt;"",LOWER(TRIM($S436))&lt;&gt;"n/a",COUNTIF($S$2:$S$528,$S436)&gt;1),AND($T436&lt;&gt;"",LOWER(TRIM($T436))&lt;&gt;"n/a",COUNTIF($T$2:$T$528,$T436)&gt;1),AND($W436&lt;&gt;"",LOWER(TRIM($W436))&lt;&gt;"n/a",COUNTIF($W$2:$W$528,$W436)&gt;1)),"Yes","No"),IF($A436="Cybernet",IF(OR(AND($Y436&lt;&gt;"",LOWER(TRIM($Y436))&lt;&gt;"n/a",COUNTIF($Y$2:$Y$528,$Y436)&gt;1),AND($Z436&lt;&gt;"",LOWER(TRIM($Z436))&lt;&gt;"n/a",COUNTIF($Z$2:$Z$528,$Z436)&gt;1)),"Yes","No"),IF(AND($AL436&lt;&gt;"",LOWER(TRIM($AL436))&lt;&gt;"n/a",COUNTIF($AL$2:$AL$528,$AL436)&gt;1),"Yes","No"))))</f>
        <v/>
      </c>
      <c r="F436" t="str">
        <f>IF($B436&lt;&gt;"Yes","",
IF($A436="Neuron",
IF(OR(
AND($S436&lt;&gt;"",LOWER(TRIM($S436))&lt;&gt;"n/a",COUNTIFS($B$2:$B$528,"Yes",$A$2:$A$528,"Neuron",$S$2:$S$528,$S436)&gt;1),
AND($T436&lt;&gt;"",LOWER(TRIM($T436))&lt;&gt;"n/a",COUNTIFS($B$2:$B$528,"Yes",$A$2:$A$528,"Neuron",$T$2:$T$528,$T436)&gt;1),
AND($W436&lt;&gt;"",LOWER(TRIM($W436))&lt;&gt;"n/a",COUNTIFS($B$2:$B$528,"Yes",$A$2:$A$528,"Neuron",$W$2:$W$528,$W436)&gt;1)
),"Yes","No"),
IF($A436="Cybernet",
IF(OR(
AND($Y436&lt;&gt;"",LOWER(TRIM($Y436))&lt;&gt;"n/a",COUNTIFS($B$2:$B$528,"Yes",$A$2:$A$528,"Cybernet",$Y$2:$Y$528,$Y436)&gt;1),
AND($Z436&lt;&gt;"",LOWER(TRIM($Z436))&lt;&gt;"n/a",COUNTIFS($B$2:$B$528,"Yes",$A$2:$A$528,"Cybernet",$Z$2:$Z$528,$Z436)&gt;1)
),"Yes","No"),
IF(AND($AL436&lt;&gt;"",LOWER(TRIM($AL436))&lt;&gt;"n/a"),
IF(COUNTIFS($B$2:$B$528,"Yes",$A$2:$A$528,$A436,$AL$2:$AL$528,$AL436)&gt;1,"Yes","No"),
"No")
)
)
)</f>
        <v/>
      </c>
      <c r="BL436" s="4" t="str">
        <f t="shared" si="22"/>
        <v/>
      </c>
      <c r="BM436" s="8" t="str">
        <f t="shared" si="23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 ht="15" customHeight="1">
      <c r="D437" s="15" t="str">
        <f t="shared" si="21"/>
        <v/>
      </c>
      <c r="E437" s="15" t="str">
        <f>IF($A437="","",IF($A437="Neuron",IF(OR(AND($S437&lt;&gt;"",LOWER(TRIM($S437))&lt;&gt;"n/a",COUNTIF($S$2:$S$528,$S437)&gt;1),AND($T437&lt;&gt;"",LOWER(TRIM($T437))&lt;&gt;"n/a",COUNTIF($T$2:$T$528,$T437)&gt;1),AND($W437&lt;&gt;"",LOWER(TRIM($W437))&lt;&gt;"n/a",COUNTIF($W$2:$W$528,$W437)&gt;1)),"Yes","No"),IF($A437="Cybernet",IF(OR(AND($Y437&lt;&gt;"",LOWER(TRIM($Y437))&lt;&gt;"n/a",COUNTIF($Y$2:$Y$528,$Y437)&gt;1),AND($Z437&lt;&gt;"",LOWER(TRIM($Z437))&lt;&gt;"n/a",COUNTIF($Z$2:$Z$528,$Z437)&gt;1)),"Yes","No"),IF(AND($AL437&lt;&gt;"",LOWER(TRIM($AL437))&lt;&gt;"n/a",COUNTIF($AL$2:$AL$528,$AL437)&gt;1),"Yes","No"))))</f>
        <v/>
      </c>
      <c r="F437" t="str">
        <f>IF($B437&lt;&gt;"Yes","",
IF($A437="Neuron",
IF(OR(
AND($S437&lt;&gt;"",LOWER(TRIM($S437))&lt;&gt;"n/a",COUNTIFS($B$2:$B$528,"Yes",$A$2:$A$528,"Neuron",$S$2:$S$528,$S437)&gt;1),
AND($T437&lt;&gt;"",LOWER(TRIM($T437))&lt;&gt;"n/a",COUNTIFS($B$2:$B$528,"Yes",$A$2:$A$528,"Neuron",$T$2:$T$528,$T437)&gt;1),
AND($W437&lt;&gt;"",LOWER(TRIM($W437))&lt;&gt;"n/a",COUNTIFS($B$2:$B$528,"Yes",$A$2:$A$528,"Neuron",$W$2:$W$528,$W437)&gt;1)
),"Yes","No"),
IF($A437="Cybernet",
IF(OR(
AND($Y437&lt;&gt;"",LOWER(TRIM($Y437))&lt;&gt;"n/a",COUNTIFS($B$2:$B$528,"Yes",$A$2:$A$528,"Cybernet",$Y$2:$Y$528,$Y437)&gt;1),
AND($Z437&lt;&gt;"",LOWER(TRIM($Z437))&lt;&gt;"n/a",COUNTIFS($B$2:$B$528,"Yes",$A$2:$A$528,"Cybernet",$Z$2:$Z$528,$Z437)&gt;1)
),"Yes","No"),
IF(AND($AL437&lt;&gt;"",LOWER(TRIM($AL437))&lt;&gt;"n/a"),
IF(COUNTIFS($B$2:$B$528,"Yes",$A$2:$A$528,$A437,$AL$2:$AL$528,$AL437)&gt;1,"Yes","No"),
"No")
)
)
)</f>
        <v/>
      </c>
      <c r="BL437" s="4" t="str">
        <f t="shared" si="22"/>
        <v/>
      </c>
      <c r="BM437" s="8" t="str">
        <f t="shared" si="23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 ht="15" customHeight="1">
      <c r="D438" s="15" t="str">
        <f t="shared" si="21"/>
        <v/>
      </c>
      <c r="E438" s="15" t="str">
        <f>IF($A438="","",IF($A438="Neuron",IF(OR(AND($S438&lt;&gt;"",LOWER(TRIM($S438))&lt;&gt;"n/a",COUNTIF($S$2:$S$528,$S438)&gt;1),AND($T438&lt;&gt;"",LOWER(TRIM($T438))&lt;&gt;"n/a",COUNTIF($T$2:$T$528,$T438)&gt;1),AND($W438&lt;&gt;"",LOWER(TRIM($W438))&lt;&gt;"n/a",COUNTIF($W$2:$W$528,$W438)&gt;1)),"Yes","No"),IF($A438="Cybernet",IF(OR(AND($Y438&lt;&gt;"",LOWER(TRIM($Y438))&lt;&gt;"n/a",COUNTIF($Y$2:$Y$528,$Y438)&gt;1),AND($Z438&lt;&gt;"",LOWER(TRIM($Z438))&lt;&gt;"n/a",COUNTIF($Z$2:$Z$528,$Z438)&gt;1)),"Yes","No"),IF(AND($AL438&lt;&gt;"",LOWER(TRIM($AL438))&lt;&gt;"n/a",COUNTIF($AL$2:$AL$528,$AL438)&gt;1),"Yes","No"))))</f>
        <v/>
      </c>
      <c r="F438" t="str">
        <f>IF($B438&lt;&gt;"Yes","",
IF($A438="Neuron",
IF(OR(
AND($S438&lt;&gt;"",LOWER(TRIM($S438))&lt;&gt;"n/a",COUNTIFS($B$2:$B$528,"Yes",$A$2:$A$528,"Neuron",$S$2:$S$528,$S438)&gt;1),
AND($T438&lt;&gt;"",LOWER(TRIM($T438))&lt;&gt;"n/a",COUNTIFS($B$2:$B$528,"Yes",$A$2:$A$528,"Neuron",$T$2:$T$528,$T438)&gt;1),
AND($W438&lt;&gt;"",LOWER(TRIM($W438))&lt;&gt;"n/a",COUNTIFS($B$2:$B$528,"Yes",$A$2:$A$528,"Neuron",$W$2:$W$528,$W438)&gt;1)
),"Yes","No"),
IF($A438="Cybernet",
IF(OR(
AND($Y438&lt;&gt;"",LOWER(TRIM($Y438))&lt;&gt;"n/a",COUNTIFS($B$2:$B$528,"Yes",$A$2:$A$528,"Cybernet",$Y$2:$Y$528,$Y438)&gt;1),
AND($Z438&lt;&gt;"",LOWER(TRIM($Z438))&lt;&gt;"n/a",COUNTIFS($B$2:$B$528,"Yes",$A$2:$A$528,"Cybernet",$Z$2:$Z$528,$Z438)&gt;1)
),"Yes","No"),
IF(AND($AL438&lt;&gt;"",LOWER(TRIM($AL438))&lt;&gt;"n/a"),
IF(COUNTIFS($B$2:$B$528,"Yes",$A$2:$A$528,$A438,$AL$2:$AL$528,$AL438)&gt;1,"Yes","No"),
"No")
)
)
)</f>
        <v/>
      </c>
      <c r="BL438" s="4" t="str">
        <f t="shared" si="22"/>
        <v/>
      </c>
      <c r="BM438" s="8" t="str">
        <f t="shared" si="23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 ht="15" customHeight="1">
      <c r="D439" s="15" t="str">
        <f t="shared" si="21"/>
        <v/>
      </c>
      <c r="E439" s="15" t="str">
        <f>IF($A439="","",IF($A439="Neuron",IF(OR(AND($S439&lt;&gt;"",LOWER(TRIM($S439))&lt;&gt;"n/a",COUNTIF($S$2:$S$528,$S439)&gt;1),AND($T439&lt;&gt;"",LOWER(TRIM($T439))&lt;&gt;"n/a",COUNTIF($T$2:$T$528,$T439)&gt;1),AND($W439&lt;&gt;"",LOWER(TRIM($W439))&lt;&gt;"n/a",COUNTIF($W$2:$W$528,$W439)&gt;1)),"Yes","No"),IF($A439="Cybernet",IF(OR(AND($Y439&lt;&gt;"",LOWER(TRIM($Y439))&lt;&gt;"n/a",COUNTIF($Y$2:$Y$528,$Y439)&gt;1),AND($Z439&lt;&gt;"",LOWER(TRIM($Z439))&lt;&gt;"n/a",COUNTIF($Z$2:$Z$528,$Z439)&gt;1)),"Yes","No"),IF(AND($AL439&lt;&gt;"",LOWER(TRIM($AL439))&lt;&gt;"n/a",COUNTIF($AL$2:$AL$528,$AL439)&gt;1),"Yes","No"))))</f>
        <v/>
      </c>
      <c r="F439" t="str">
        <f>IF($B439&lt;&gt;"Yes","",
IF($A439="Neuron",
IF(OR(
AND($S439&lt;&gt;"",LOWER(TRIM($S439))&lt;&gt;"n/a",COUNTIFS($B$2:$B$528,"Yes",$A$2:$A$528,"Neuron",$S$2:$S$528,$S439)&gt;1),
AND($T439&lt;&gt;"",LOWER(TRIM($T439))&lt;&gt;"n/a",COUNTIFS($B$2:$B$528,"Yes",$A$2:$A$528,"Neuron",$T$2:$T$528,$T439)&gt;1),
AND($W439&lt;&gt;"",LOWER(TRIM($W439))&lt;&gt;"n/a",COUNTIFS($B$2:$B$528,"Yes",$A$2:$A$528,"Neuron",$W$2:$W$528,$W439)&gt;1)
),"Yes","No"),
IF($A439="Cybernet",
IF(OR(
AND($Y439&lt;&gt;"",LOWER(TRIM($Y439))&lt;&gt;"n/a",COUNTIFS($B$2:$B$528,"Yes",$A$2:$A$528,"Cybernet",$Y$2:$Y$528,$Y439)&gt;1),
AND($Z439&lt;&gt;"",LOWER(TRIM($Z439))&lt;&gt;"n/a",COUNTIFS($B$2:$B$528,"Yes",$A$2:$A$528,"Cybernet",$Z$2:$Z$528,$Z439)&gt;1)
),"Yes","No"),
IF(AND($AL439&lt;&gt;"",LOWER(TRIM($AL439))&lt;&gt;"n/a"),
IF(COUNTIFS($B$2:$B$528,"Yes",$A$2:$A$528,$A439,$AL$2:$AL$528,$AL439)&gt;1,"Yes","No"),
"No")
)
)
)</f>
        <v/>
      </c>
      <c r="BL439" s="4" t="str">
        <f t="shared" si="22"/>
        <v/>
      </c>
      <c r="BM439" s="8" t="str">
        <f t="shared" si="23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 ht="15" customHeight="1">
      <c r="D440" s="15" t="str">
        <f t="shared" si="21"/>
        <v/>
      </c>
      <c r="E440" s="15" t="str">
        <f>IF($A440="","",IF($A440="Neuron",IF(OR(AND($S440&lt;&gt;"",LOWER(TRIM($S440))&lt;&gt;"n/a",COUNTIF($S$2:$S$528,$S440)&gt;1),AND($T440&lt;&gt;"",LOWER(TRIM($T440))&lt;&gt;"n/a",COUNTIF($T$2:$T$528,$T440)&gt;1),AND($W440&lt;&gt;"",LOWER(TRIM($W440))&lt;&gt;"n/a",COUNTIF($W$2:$W$528,$W440)&gt;1)),"Yes","No"),IF($A440="Cybernet",IF(OR(AND($Y440&lt;&gt;"",LOWER(TRIM($Y440))&lt;&gt;"n/a",COUNTIF($Y$2:$Y$528,$Y440)&gt;1),AND($Z440&lt;&gt;"",LOWER(TRIM($Z440))&lt;&gt;"n/a",COUNTIF($Z$2:$Z$528,$Z440)&gt;1)),"Yes","No"),IF(AND($AL440&lt;&gt;"",LOWER(TRIM($AL440))&lt;&gt;"n/a",COUNTIF($AL$2:$AL$528,$AL440)&gt;1),"Yes","No"))))</f>
        <v/>
      </c>
      <c r="F440" t="str">
        <f>IF($B440&lt;&gt;"Yes","",
IF($A440="Neuron",
IF(OR(
AND($S440&lt;&gt;"",LOWER(TRIM($S440))&lt;&gt;"n/a",COUNTIFS($B$2:$B$528,"Yes",$A$2:$A$528,"Neuron",$S$2:$S$528,$S440)&gt;1),
AND($T440&lt;&gt;"",LOWER(TRIM($T440))&lt;&gt;"n/a",COUNTIFS($B$2:$B$528,"Yes",$A$2:$A$528,"Neuron",$T$2:$T$528,$T440)&gt;1),
AND($W440&lt;&gt;"",LOWER(TRIM($W440))&lt;&gt;"n/a",COUNTIFS($B$2:$B$528,"Yes",$A$2:$A$528,"Neuron",$W$2:$W$528,$W440)&gt;1)
),"Yes","No"),
IF($A440="Cybernet",
IF(OR(
AND($Y440&lt;&gt;"",LOWER(TRIM($Y440))&lt;&gt;"n/a",COUNTIFS($B$2:$B$528,"Yes",$A$2:$A$528,"Cybernet",$Y$2:$Y$528,$Y440)&gt;1),
AND($Z440&lt;&gt;"",LOWER(TRIM($Z440))&lt;&gt;"n/a",COUNTIFS($B$2:$B$528,"Yes",$A$2:$A$528,"Cybernet",$Z$2:$Z$528,$Z440)&gt;1)
),"Yes","No"),
IF(AND($AL440&lt;&gt;"",LOWER(TRIM($AL440))&lt;&gt;"n/a"),
IF(COUNTIFS($B$2:$B$528,"Yes",$A$2:$A$528,$A440,$AL$2:$AL$528,$AL440)&gt;1,"Yes","No"),
"No")
)
)
)</f>
        <v/>
      </c>
      <c r="BL440" s="4" t="str">
        <f t="shared" si="22"/>
        <v/>
      </c>
      <c r="BM440" s="8" t="str">
        <f t="shared" si="23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 ht="15" customHeight="1">
      <c r="D441" s="15" t="str">
        <f t="shared" si="21"/>
        <v/>
      </c>
      <c r="E441" s="15" t="str">
        <f>IF($A441="","",IF($A441="Neuron",IF(OR(AND($S441&lt;&gt;"",LOWER(TRIM($S441))&lt;&gt;"n/a",COUNTIF($S$2:$S$528,$S441)&gt;1),AND($T441&lt;&gt;"",LOWER(TRIM($T441))&lt;&gt;"n/a",COUNTIF($T$2:$T$528,$T441)&gt;1),AND($W441&lt;&gt;"",LOWER(TRIM($W441))&lt;&gt;"n/a",COUNTIF($W$2:$W$528,$W441)&gt;1)),"Yes","No"),IF($A441="Cybernet",IF(OR(AND($Y441&lt;&gt;"",LOWER(TRIM($Y441))&lt;&gt;"n/a",COUNTIF($Y$2:$Y$528,$Y441)&gt;1),AND($Z441&lt;&gt;"",LOWER(TRIM($Z441))&lt;&gt;"n/a",COUNTIF($Z$2:$Z$528,$Z441)&gt;1)),"Yes","No"),IF(AND($AL441&lt;&gt;"",LOWER(TRIM($AL441))&lt;&gt;"n/a",COUNTIF($AL$2:$AL$528,$AL441)&gt;1),"Yes","No"))))</f>
        <v/>
      </c>
      <c r="F441" t="str">
        <f>IF($B441&lt;&gt;"Yes","",
IF($A441="Neuron",
IF(OR(
AND($S441&lt;&gt;"",LOWER(TRIM($S441))&lt;&gt;"n/a",COUNTIFS($B$2:$B$528,"Yes",$A$2:$A$528,"Neuron",$S$2:$S$528,$S441)&gt;1),
AND($T441&lt;&gt;"",LOWER(TRIM($T441))&lt;&gt;"n/a",COUNTIFS($B$2:$B$528,"Yes",$A$2:$A$528,"Neuron",$T$2:$T$528,$T441)&gt;1),
AND($W441&lt;&gt;"",LOWER(TRIM($W441))&lt;&gt;"n/a",COUNTIFS($B$2:$B$528,"Yes",$A$2:$A$528,"Neuron",$W$2:$W$528,$W441)&gt;1)
),"Yes","No"),
IF($A441="Cybernet",
IF(OR(
AND($Y441&lt;&gt;"",LOWER(TRIM($Y441))&lt;&gt;"n/a",COUNTIFS($B$2:$B$528,"Yes",$A$2:$A$528,"Cybernet",$Y$2:$Y$528,$Y441)&gt;1),
AND($Z441&lt;&gt;"",LOWER(TRIM($Z441))&lt;&gt;"n/a",COUNTIFS($B$2:$B$528,"Yes",$A$2:$A$528,"Cybernet",$Z$2:$Z$528,$Z441)&gt;1)
),"Yes","No"),
IF(AND($AL441&lt;&gt;"",LOWER(TRIM($AL441))&lt;&gt;"n/a"),
IF(COUNTIFS($B$2:$B$528,"Yes",$A$2:$A$528,$A441,$AL$2:$AL$528,$AL441)&gt;1,"Yes","No"),
"No")
)
)
)</f>
        <v/>
      </c>
      <c r="BL441" s="4" t="str">
        <f t="shared" si="22"/>
        <v/>
      </c>
      <c r="BM441" s="8" t="str">
        <f t="shared" si="23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 ht="15" customHeight="1">
      <c r="D442" s="15" t="str">
        <f t="shared" si="21"/>
        <v/>
      </c>
      <c r="E442" s="15" t="str">
        <f>IF($A442="","",IF($A442="Neuron",IF(OR(AND($S442&lt;&gt;"",LOWER(TRIM($S442))&lt;&gt;"n/a",COUNTIF($S$2:$S$528,$S442)&gt;1),AND($T442&lt;&gt;"",LOWER(TRIM($T442))&lt;&gt;"n/a",COUNTIF($T$2:$T$528,$T442)&gt;1),AND($W442&lt;&gt;"",LOWER(TRIM($W442))&lt;&gt;"n/a",COUNTIF($W$2:$W$528,$W442)&gt;1)),"Yes","No"),IF($A442="Cybernet",IF(OR(AND($Y442&lt;&gt;"",LOWER(TRIM($Y442))&lt;&gt;"n/a",COUNTIF($Y$2:$Y$528,$Y442)&gt;1),AND($Z442&lt;&gt;"",LOWER(TRIM($Z442))&lt;&gt;"n/a",COUNTIF($Z$2:$Z$528,$Z442)&gt;1)),"Yes","No"),IF(AND($AL442&lt;&gt;"",LOWER(TRIM($AL442))&lt;&gt;"n/a",COUNTIF($AL$2:$AL$528,$AL442)&gt;1),"Yes","No"))))</f>
        <v/>
      </c>
      <c r="F442" t="str">
        <f>IF($B442&lt;&gt;"Yes","",
IF($A442="Neuron",
IF(OR(
AND($S442&lt;&gt;"",LOWER(TRIM($S442))&lt;&gt;"n/a",COUNTIFS($B$2:$B$528,"Yes",$A$2:$A$528,"Neuron",$S$2:$S$528,$S442)&gt;1),
AND($T442&lt;&gt;"",LOWER(TRIM($T442))&lt;&gt;"n/a",COUNTIFS($B$2:$B$528,"Yes",$A$2:$A$528,"Neuron",$T$2:$T$528,$T442)&gt;1),
AND($W442&lt;&gt;"",LOWER(TRIM($W442))&lt;&gt;"n/a",COUNTIFS($B$2:$B$528,"Yes",$A$2:$A$528,"Neuron",$W$2:$W$528,$W442)&gt;1)
),"Yes","No"),
IF($A442="Cybernet",
IF(OR(
AND($Y442&lt;&gt;"",LOWER(TRIM($Y442))&lt;&gt;"n/a",COUNTIFS($B$2:$B$528,"Yes",$A$2:$A$528,"Cybernet",$Y$2:$Y$528,$Y442)&gt;1),
AND($Z442&lt;&gt;"",LOWER(TRIM($Z442))&lt;&gt;"n/a",COUNTIFS($B$2:$B$528,"Yes",$A$2:$A$528,"Cybernet",$Z$2:$Z$528,$Z442)&gt;1)
),"Yes","No"),
IF(AND($AL442&lt;&gt;"",LOWER(TRIM($AL442))&lt;&gt;"n/a"),
IF(COUNTIFS($B$2:$B$528,"Yes",$A$2:$A$528,$A442,$AL$2:$AL$528,$AL442)&gt;1,"Yes","No"),
"No")
)
)
)</f>
        <v/>
      </c>
      <c r="BL442" s="4" t="str">
        <f t="shared" si="22"/>
        <v/>
      </c>
      <c r="BM442" s="8" t="str">
        <f t="shared" si="23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 ht="15" customHeight="1">
      <c r="D443" s="15" t="str">
        <f t="shared" si="21"/>
        <v/>
      </c>
      <c r="E443" s="15" t="str">
        <f>IF($A443="","",IF($A443="Neuron",IF(OR(AND($S443&lt;&gt;"",LOWER(TRIM($S443))&lt;&gt;"n/a",COUNTIF($S$2:$S$528,$S443)&gt;1),AND($T443&lt;&gt;"",LOWER(TRIM($T443))&lt;&gt;"n/a",COUNTIF($T$2:$T$528,$T443)&gt;1),AND($W443&lt;&gt;"",LOWER(TRIM($W443))&lt;&gt;"n/a",COUNTIF($W$2:$W$528,$W443)&gt;1)),"Yes","No"),IF($A443="Cybernet",IF(OR(AND($Y443&lt;&gt;"",LOWER(TRIM($Y443))&lt;&gt;"n/a",COUNTIF($Y$2:$Y$528,$Y443)&gt;1),AND($Z443&lt;&gt;"",LOWER(TRIM($Z443))&lt;&gt;"n/a",COUNTIF($Z$2:$Z$528,$Z443)&gt;1)),"Yes","No"),IF(AND($AL443&lt;&gt;"",LOWER(TRIM($AL443))&lt;&gt;"n/a",COUNTIF($AL$2:$AL$528,$AL443)&gt;1),"Yes","No"))))</f>
        <v/>
      </c>
      <c r="F443" t="str">
        <f>IF($B443&lt;&gt;"Yes","",
IF($A443="Neuron",
IF(OR(
AND($S443&lt;&gt;"",LOWER(TRIM($S443))&lt;&gt;"n/a",COUNTIFS($B$2:$B$528,"Yes",$A$2:$A$528,"Neuron",$S$2:$S$528,$S443)&gt;1),
AND($T443&lt;&gt;"",LOWER(TRIM($T443))&lt;&gt;"n/a",COUNTIFS($B$2:$B$528,"Yes",$A$2:$A$528,"Neuron",$T$2:$T$528,$T443)&gt;1),
AND($W443&lt;&gt;"",LOWER(TRIM($W443))&lt;&gt;"n/a",COUNTIFS($B$2:$B$528,"Yes",$A$2:$A$528,"Neuron",$W$2:$W$528,$W443)&gt;1)
),"Yes","No"),
IF($A443="Cybernet",
IF(OR(
AND($Y443&lt;&gt;"",LOWER(TRIM($Y443))&lt;&gt;"n/a",COUNTIFS($B$2:$B$528,"Yes",$A$2:$A$528,"Cybernet",$Y$2:$Y$528,$Y443)&gt;1),
AND($Z443&lt;&gt;"",LOWER(TRIM($Z443))&lt;&gt;"n/a",COUNTIFS($B$2:$B$528,"Yes",$A$2:$A$528,"Cybernet",$Z$2:$Z$528,$Z443)&gt;1)
),"Yes","No"),
IF(AND($AL443&lt;&gt;"",LOWER(TRIM($AL443))&lt;&gt;"n/a"),
IF(COUNTIFS($B$2:$B$528,"Yes",$A$2:$A$528,$A443,$AL$2:$AL$528,$AL443)&gt;1,"Yes","No"),
"No")
)
)
)</f>
        <v/>
      </c>
      <c r="BL443" s="4" t="str">
        <f t="shared" si="22"/>
        <v/>
      </c>
      <c r="BM443" s="8" t="str">
        <f t="shared" si="23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 ht="15" customHeight="1">
      <c r="D444" s="15" t="str">
        <f t="shared" si="21"/>
        <v/>
      </c>
      <c r="E444" s="15" t="str">
        <f>IF($A444="","",IF($A444="Neuron",IF(OR(AND($S444&lt;&gt;"",LOWER(TRIM($S444))&lt;&gt;"n/a",COUNTIF($S$2:$S$528,$S444)&gt;1),AND($T444&lt;&gt;"",LOWER(TRIM($T444))&lt;&gt;"n/a",COUNTIF($T$2:$T$528,$T444)&gt;1),AND($W444&lt;&gt;"",LOWER(TRIM($W444))&lt;&gt;"n/a",COUNTIF($W$2:$W$528,$W444)&gt;1)),"Yes","No"),IF($A444="Cybernet",IF(OR(AND($Y444&lt;&gt;"",LOWER(TRIM($Y444))&lt;&gt;"n/a",COUNTIF($Y$2:$Y$528,$Y444)&gt;1),AND($Z444&lt;&gt;"",LOWER(TRIM($Z444))&lt;&gt;"n/a",COUNTIF($Z$2:$Z$528,$Z444)&gt;1)),"Yes","No"),IF(AND($AL444&lt;&gt;"",LOWER(TRIM($AL444))&lt;&gt;"n/a",COUNTIF($AL$2:$AL$528,$AL444)&gt;1),"Yes","No"))))</f>
        <v/>
      </c>
      <c r="F444" t="str">
        <f>IF($B444&lt;&gt;"Yes","",
IF($A444="Neuron",
IF(OR(
AND($S444&lt;&gt;"",LOWER(TRIM($S444))&lt;&gt;"n/a",COUNTIFS($B$2:$B$528,"Yes",$A$2:$A$528,"Neuron",$S$2:$S$528,$S444)&gt;1),
AND($T444&lt;&gt;"",LOWER(TRIM($T444))&lt;&gt;"n/a",COUNTIFS($B$2:$B$528,"Yes",$A$2:$A$528,"Neuron",$T$2:$T$528,$T444)&gt;1),
AND($W444&lt;&gt;"",LOWER(TRIM($W444))&lt;&gt;"n/a",COUNTIFS($B$2:$B$528,"Yes",$A$2:$A$528,"Neuron",$W$2:$W$528,$W444)&gt;1)
),"Yes","No"),
IF($A444="Cybernet",
IF(OR(
AND($Y444&lt;&gt;"",LOWER(TRIM($Y444))&lt;&gt;"n/a",COUNTIFS($B$2:$B$528,"Yes",$A$2:$A$528,"Cybernet",$Y$2:$Y$528,$Y444)&gt;1),
AND($Z444&lt;&gt;"",LOWER(TRIM($Z444))&lt;&gt;"n/a",COUNTIFS($B$2:$B$528,"Yes",$A$2:$A$528,"Cybernet",$Z$2:$Z$528,$Z444)&gt;1)
),"Yes","No"),
IF(AND($AL444&lt;&gt;"",LOWER(TRIM($AL444))&lt;&gt;"n/a"),
IF(COUNTIFS($B$2:$B$528,"Yes",$A$2:$A$528,$A444,$AL$2:$AL$528,$AL444)&gt;1,"Yes","No"),
"No")
)
)
)</f>
        <v/>
      </c>
      <c r="BL444" s="4" t="str">
        <f t="shared" si="22"/>
        <v/>
      </c>
      <c r="BM444" s="8" t="str">
        <f t="shared" si="23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 ht="15" customHeight="1">
      <c r="D445" s="15" t="str">
        <f t="shared" si="21"/>
        <v/>
      </c>
      <c r="E445" s="15" t="str">
        <f>IF($A445="","",IF($A445="Neuron",IF(OR(AND($S445&lt;&gt;"",LOWER(TRIM($S445))&lt;&gt;"n/a",COUNTIF($S$2:$S$528,$S445)&gt;1),AND($T445&lt;&gt;"",LOWER(TRIM($T445))&lt;&gt;"n/a",COUNTIF($T$2:$T$528,$T445)&gt;1),AND($W445&lt;&gt;"",LOWER(TRIM($W445))&lt;&gt;"n/a",COUNTIF($W$2:$W$528,$W445)&gt;1)),"Yes","No"),IF($A445="Cybernet",IF(OR(AND($Y445&lt;&gt;"",LOWER(TRIM($Y445))&lt;&gt;"n/a",COUNTIF($Y$2:$Y$528,$Y445)&gt;1),AND($Z445&lt;&gt;"",LOWER(TRIM($Z445))&lt;&gt;"n/a",COUNTIF($Z$2:$Z$528,$Z445)&gt;1)),"Yes","No"),IF(AND($AL445&lt;&gt;"",LOWER(TRIM($AL445))&lt;&gt;"n/a",COUNTIF($AL$2:$AL$528,$AL445)&gt;1),"Yes","No"))))</f>
        <v/>
      </c>
      <c r="F445" t="str">
        <f>IF($B445&lt;&gt;"Yes","",
IF($A445="Neuron",
IF(OR(
AND($S445&lt;&gt;"",LOWER(TRIM($S445))&lt;&gt;"n/a",COUNTIFS($B$2:$B$528,"Yes",$A$2:$A$528,"Neuron",$S$2:$S$528,$S445)&gt;1),
AND($T445&lt;&gt;"",LOWER(TRIM($T445))&lt;&gt;"n/a",COUNTIFS($B$2:$B$528,"Yes",$A$2:$A$528,"Neuron",$T$2:$T$528,$T445)&gt;1),
AND($W445&lt;&gt;"",LOWER(TRIM($W445))&lt;&gt;"n/a",COUNTIFS($B$2:$B$528,"Yes",$A$2:$A$528,"Neuron",$W$2:$W$528,$W445)&gt;1)
),"Yes","No"),
IF($A445="Cybernet",
IF(OR(
AND($Y445&lt;&gt;"",LOWER(TRIM($Y445))&lt;&gt;"n/a",COUNTIFS($B$2:$B$528,"Yes",$A$2:$A$528,"Cybernet",$Y$2:$Y$528,$Y445)&gt;1),
AND($Z445&lt;&gt;"",LOWER(TRIM($Z445))&lt;&gt;"n/a",COUNTIFS($B$2:$B$528,"Yes",$A$2:$A$528,"Cybernet",$Z$2:$Z$528,$Z445)&gt;1)
),"Yes","No"),
IF(AND($AL445&lt;&gt;"",LOWER(TRIM($AL445))&lt;&gt;"n/a"),
IF(COUNTIFS($B$2:$B$528,"Yes",$A$2:$A$528,$A445,$AL$2:$AL$528,$AL445)&gt;1,"Yes","No"),
"No")
)
)
)</f>
        <v/>
      </c>
      <c r="BL445" s="4" t="str">
        <f t="shared" si="22"/>
        <v/>
      </c>
      <c r="BM445" s="8" t="str">
        <f t="shared" si="23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 ht="15" customHeight="1">
      <c r="D446" s="15" t="str">
        <f t="shared" si="21"/>
        <v/>
      </c>
      <c r="E446" s="15" t="str">
        <f>IF($A446="","",IF($A446="Neuron",IF(OR(AND($S446&lt;&gt;"",LOWER(TRIM($S446))&lt;&gt;"n/a",COUNTIF($S$2:$S$528,$S446)&gt;1),AND($T446&lt;&gt;"",LOWER(TRIM($T446))&lt;&gt;"n/a",COUNTIF($T$2:$T$528,$T446)&gt;1),AND($W446&lt;&gt;"",LOWER(TRIM($W446))&lt;&gt;"n/a",COUNTIF($W$2:$W$528,$W446)&gt;1)),"Yes","No"),IF($A446="Cybernet",IF(OR(AND($Y446&lt;&gt;"",LOWER(TRIM($Y446))&lt;&gt;"n/a",COUNTIF($Y$2:$Y$528,$Y446)&gt;1),AND($Z446&lt;&gt;"",LOWER(TRIM($Z446))&lt;&gt;"n/a",COUNTIF($Z$2:$Z$528,$Z446)&gt;1)),"Yes","No"),IF(AND($AL446&lt;&gt;"",LOWER(TRIM($AL446))&lt;&gt;"n/a",COUNTIF($AL$2:$AL$528,$AL446)&gt;1),"Yes","No"))))</f>
        <v/>
      </c>
      <c r="F446" t="str">
        <f>IF($B446&lt;&gt;"Yes","",
IF($A446="Neuron",
IF(OR(
AND($S446&lt;&gt;"",LOWER(TRIM($S446))&lt;&gt;"n/a",COUNTIFS($B$2:$B$528,"Yes",$A$2:$A$528,"Neuron",$S$2:$S$528,$S446)&gt;1),
AND($T446&lt;&gt;"",LOWER(TRIM($T446))&lt;&gt;"n/a",COUNTIFS($B$2:$B$528,"Yes",$A$2:$A$528,"Neuron",$T$2:$T$528,$T446)&gt;1),
AND($W446&lt;&gt;"",LOWER(TRIM($W446))&lt;&gt;"n/a",COUNTIFS($B$2:$B$528,"Yes",$A$2:$A$528,"Neuron",$W$2:$W$528,$W446)&gt;1)
),"Yes","No"),
IF($A446="Cybernet",
IF(OR(
AND($Y446&lt;&gt;"",LOWER(TRIM($Y446))&lt;&gt;"n/a",COUNTIFS($B$2:$B$528,"Yes",$A$2:$A$528,"Cybernet",$Y$2:$Y$528,$Y446)&gt;1),
AND($Z446&lt;&gt;"",LOWER(TRIM($Z446))&lt;&gt;"n/a",COUNTIFS($B$2:$B$528,"Yes",$A$2:$A$528,"Cybernet",$Z$2:$Z$528,$Z446)&gt;1)
),"Yes","No"),
IF(AND($AL446&lt;&gt;"",LOWER(TRIM($AL446))&lt;&gt;"n/a"),
IF(COUNTIFS($B$2:$B$528,"Yes",$A$2:$A$528,$A446,$AL$2:$AL$528,$AL446)&gt;1,"Yes","No"),
"No")
)
)
)</f>
        <v/>
      </c>
      <c r="BL446" s="4" t="str">
        <f t="shared" si="22"/>
        <v/>
      </c>
      <c r="BM446" s="8" t="str">
        <f t="shared" si="23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 ht="15" customHeight="1">
      <c r="D447" s="15" t="str">
        <f t="shared" si="21"/>
        <v/>
      </c>
      <c r="E447" s="15" t="str">
        <f>IF($A447="","",IF($A447="Neuron",IF(OR(AND($S447&lt;&gt;"",LOWER(TRIM($S447))&lt;&gt;"n/a",COUNTIF($S$2:$S$528,$S447)&gt;1),AND($T447&lt;&gt;"",LOWER(TRIM($T447))&lt;&gt;"n/a",COUNTIF($T$2:$T$528,$T447)&gt;1),AND($W447&lt;&gt;"",LOWER(TRIM($W447))&lt;&gt;"n/a",COUNTIF($W$2:$W$528,$W447)&gt;1)),"Yes","No"),IF($A447="Cybernet",IF(OR(AND($Y447&lt;&gt;"",LOWER(TRIM($Y447))&lt;&gt;"n/a",COUNTIF($Y$2:$Y$528,$Y447)&gt;1),AND($Z447&lt;&gt;"",LOWER(TRIM($Z447))&lt;&gt;"n/a",COUNTIF($Z$2:$Z$528,$Z447)&gt;1)),"Yes","No"),IF(AND($AL447&lt;&gt;"",LOWER(TRIM($AL447))&lt;&gt;"n/a",COUNTIF($AL$2:$AL$528,$AL447)&gt;1),"Yes","No"))))</f>
        <v/>
      </c>
      <c r="F447" t="str">
        <f>IF($B447&lt;&gt;"Yes","",
IF($A447="Neuron",
IF(OR(
AND($S447&lt;&gt;"",LOWER(TRIM($S447))&lt;&gt;"n/a",COUNTIFS($B$2:$B$528,"Yes",$A$2:$A$528,"Neuron",$S$2:$S$528,$S447)&gt;1),
AND($T447&lt;&gt;"",LOWER(TRIM($T447))&lt;&gt;"n/a",COUNTIFS($B$2:$B$528,"Yes",$A$2:$A$528,"Neuron",$T$2:$T$528,$T447)&gt;1),
AND($W447&lt;&gt;"",LOWER(TRIM($W447))&lt;&gt;"n/a",COUNTIFS($B$2:$B$528,"Yes",$A$2:$A$528,"Neuron",$W$2:$W$528,$W447)&gt;1)
),"Yes","No"),
IF($A447="Cybernet",
IF(OR(
AND($Y447&lt;&gt;"",LOWER(TRIM($Y447))&lt;&gt;"n/a",COUNTIFS($B$2:$B$528,"Yes",$A$2:$A$528,"Cybernet",$Y$2:$Y$528,$Y447)&gt;1),
AND($Z447&lt;&gt;"",LOWER(TRIM($Z447))&lt;&gt;"n/a",COUNTIFS($B$2:$B$528,"Yes",$A$2:$A$528,"Cybernet",$Z$2:$Z$528,$Z447)&gt;1)
),"Yes","No"),
IF(AND($AL447&lt;&gt;"",LOWER(TRIM($AL447))&lt;&gt;"n/a"),
IF(COUNTIFS($B$2:$B$528,"Yes",$A$2:$A$528,$A447,$AL$2:$AL$528,$AL447)&gt;1,"Yes","No"),
"No")
)
)
)</f>
        <v/>
      </c>
      <c r="BL447" s="4" t="str">
        <f t="shared" si="22"/>
        <v/>
      </c>
      <c r="BM447" s="8" t="str">
        <f t="shared" si="23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 ht="15" customHeight="1">
      <c r="D448" s="15" t="str">
        <f t="shared" si="21"/>
        <v/>
      </c>
      <c r="E448" s="15" t="str">
        <f>IF($A448="","",IF($A448="Neuron",IF(OR(AND($S448&lt;&gt;"",LOWER(TRIM($S448))&lt;&gt;"n/a",COUNTIF($S$2:$S$528,$S448)&gt;1),AND($T448&lt;&gt;"",LOWER(TRIM($T448))&lt;&gt;"n/a",COUNTIF($T$2:$T$528,$T448)&gt;1),AND($W448&lt;&gt;"",LOWER(TRIM($W448))&lt;&gt;"n/a",COUNTIF($W$2:$W$528,$W448)&gt;1)),"Yes","No"),IF($A448="Cybernet",IF(OR(AND($Y448&lt;&gt;"",LOWER(TRIM($Y448))&lt;&gt;"n/a",COUNTIF($Y$2:$Y$528,$Y448)&gt;1),AND($Z448&lt;&gt;"",LOWER(TRIM($Z448))&lt;&gt;"n/a",COUNTIF($Z$2:$Z$528,$Z448)&gt;1)),"Yes","No"),IF(AND($AL448&lt;&gt;"",LOWER(TRIM($AL448))&lt;&gt;"n/a",COUNTIF($AL$2:$AL$528,$AL448)&gt;1),"Yes","No"))))</f>
        <v/>
      </c>
      <c r="F448" t="str">
        <f>IF($B448&lt;&gt;"Yes","",
IF($A448="Neuron",
IF(OR(
AND($S448&lt;&gt;"",LOWER(TRIM($S448))&lt;&gt;"n/a",COUNTIFS($B$2:$B$528,"Yes",$A$2:$A$528,"Neuron",$S$2:$S$528,$S448)&gt;1),
AND($T448&lt;&gt;"",LOWER(TRIM($T448))&lt;&gt;"n/a",COUNTIFS($B$2:$B$528,"Yes",$A$2:$A$528,"Neuron",$T$2:$T$528,$T448)&gt;1),
AND($W448&lt;&gt;"",LOWER(TRIM($W448))&lt;&gt;"n/a",COUNTIFS($B$2:$B$528,"Yes",$A$2:$A$528,"Neuron",$W$2:$W$528,$W448)&gt;1)
),"Yes","No"),
IF($A448="Cybernet",
IF(OR(
AND($Y448&lt;&gt;"",LOWER(TRIM($Y448))&lt;&gt;"n/a",COUNTIFS($B$2:$B$528,"Yes",$A$2:$A$528,"Cybernet",$Y$2:$Y$528,$Y448)&gt;1),
AND($Z448&lt;&gt;"",LOWER(TRIM($Z448))&lt;&gt;"n/a",COUNTIFS($B$2:$B$528,"Yes",$A$2:$A$528,"Cybernet",$Z$2:$Z$528,$Z448)&gt;1)
),"Yes","No"),
IF(AND($AL448&lt;&gt;"",LOWER(TRIM($AL448))&lt;&gt;"n/a"),
IF(COUNTIFS($B$2:$B$528,"Yes",$A$2:$A$528,$A448,$AL$2:$AL$528,$AL448)&gt;1,"Yes","No"),
"No")
)
)
)</f>
        <v/>
      </c>
      <c r="BL448" s="4" t="str">
        <f t="shared" si="22"/>
        <v/>
      </c>
      <c r="BM448" s="8" t="str">
        <f t="shared" si="23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 ht="15" customHeight="1">
      <c r="D449" s="15" t="str">
        <f t="shared" si="21"/>
        <v/>
      </c>
      <c r="E449" s="15" t="str">
        <f>IF($A449="","",IF($A449="Neuron",IF(OR(AND($S449&lt;&gt;"",LOWER(TRIM($S449))&lt;&gt;"n/a",COUNTIF($S$2:$S$528,$S449)&gt;1),AND($T449&lt;&gt;"",LOWER(TRIM($T449))&lt;&gt;"n/a",COUNTIF($T$2:$T$528,$T449)&gt;1),AND($W449&lt;&gt;"",LOWER(TRIM($W449))&lt;&gt;"n/a",COUNTIF($W$2:$W$528,$W449)&gt;1)),"Yes","No"),IF($A449="Cybernet",IF(OR(AND($Y449&lt;&gt;"",LOWER(TRIM($Y449))&lt;&gt;"n/a",COUNTIF($Y$2:$Y$528,$Y449)&gt;1),AND($Z449&lt;&gt;"",LOWER(TRIM($Z449))&lt;&gt;"n/a",COUNTIF($Z$2:$Z$528,$Z449)&gt;1)),"Yes","No"),IF(AND($AL449&lt;&gt;"",LOWER(TRIM($AL449))&lt;&gt;"n/a",COUNTIF($AL$2:$AL$528,$AL449)&gt;1),"Yes","No"))))</f>
        <v/>
      </c>
      <c r="F449" t="str">
        <f>IF($B449&lt;&gt;"Yes","",
IF($A449="Neuron",
IF(OR(
AND($S449&lt;&gt;"",LOWER(TRIM($S449))&lt;&gt;"n/a",COUNTIFS($B$2:$B$528,"Yes",$A$2:$A$528,"Neuron",$S$2:$S$528,$S449)&gt;1),
AND($T449&lt;&gt;"",LOWER(TRIM($T449))&lt;&gt;"n/a",COUNTIFS($B$2:$B$528,"Yes",$A$2:$A$528,"Neuron",$T$2:$T$528,$T449)&gt;1),
AND($W449&lt;&gt;"",LOWER(TRIM($W449))&lt;&gt;"n/a",COUNTIFS($B$2:$B$528,"Yes",$A$2:$A$528,"Neuron",$W$2:$W$528,$W449)&gt;1)
),"Yes","No"),
IF($A449="Cybernet",
IF(OR(
AND($Y449&lt;&gt;"",LOWER(TRIM($Y449))&lt;&gt;"n/a",COUNTIFS($B$2:$B$528,"Yes",$A$2:$A$528,"Cybernet",$Y$2:$Y$528,$Y449)&gt;1),
AND($Z449&lt;&gt;"",LOWER(TRIM($Z449))&lt;&gt;"n/a",COUNTIFS($B$2:$B$528,"Yes",$A$2:$A$528,"Cybernet",$Z$2:$Z$528,$Z449)&gt;1)
),"Yes","No"),
IF(AND($AL449&lt;&gt;"",LOWER(TRIM($AL449))&lt;&gt;"n/a"),
IF(COUNTIFS($B$2:$B$528,"Yes",$A$2:$A$528,$A449,$AL$2:$AL$528,$AL449)&gt;1,"Yes","No"),
"No")
)
)
)</f>
        <v/>
      </c>
      <c r="BL449" s="4" t="str">
        <f t="shared" si="22"/>
        <v/>
      </c>
      <c r="BM449" s="8" t="str">
        <f t="shared" si="23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 ht="15" customHeight="1">
      <c r="D450" s="15" t="str">
        <f t="shared" si="21"/>
        <v/>
      </c>
      <c r="E450" s="15" t="str">
        <f>IF($A450="","",IF($A450="Neuron",IF(OR(AND($S450&lt;&gt;"",LOWER(TRIM($S450))&lt;&gt;"n/a",COUNTIF($S$2:$S$528,$S450)&gt;1),AND($T450&lt;&gt;"",LOWER(TRIM($T450))&lt;&gt;"n/a",COUNTIF($T$2:$T$528,$T450)&gt;1),AND($W450&lt;&gt;"",LOWER(TRIM($W450))&lt;&gt;"n/a",COUNTIF($W$2:$W$528,$W450)&gt;1)),"Yes","No"),IF($A450="Cybernet",IF(OR(AND($Y450&lt;&gt;"",LOWER(TRIM($Y450))&lt;&gt;"n/a",COUNTIF($Y$2:$Y$528,$Y450)&gt;1),AND($Z450&lt;&gt;"",LOWER(TRIM($Z450))&lt;&gt;"n/a",COUNTIF($Z$2:$Z$528,$Z450)&gt;1)),"Yes","No"),IF(AND($AL450&lt;&gt;"",LOWER(TRIM($AL450))&lt;&gt;"n/a",COUNTIF($AL$2:$AL$528,$AL450)&gt;1),"Yes","No"))))</f>
        <v/>
      </c>
      <c r="F450" t="str">
        <f>IF($B450&lt;&gt;"Yes","",
IF($A450="Neuron",
IF(OR(
AND($S450&lt;&gt;"",LOWER(TRIM($S450))&lt;&gt;"n/a",COUNTIFS($B$2:$B$528,"Yes",$A$2:$A$528,"Neuron",$S$2:$S$528,$S450)&gt;1),
AND($T450&lt;&gt;"",LOWER(TRIM($T450))&lt;&gt;"n/a",COUNTIFS($B$2:$B$528,"Yes",$A$2:$A$528,"Neuron",$T$2:$T$528,$T450)&gt;1),
AND($W450&lt;&gt;"",LOWER(TRIM($W450))&lt;&gt;"n/a",COUNTIFS($B$2:$B$528,"Yes",$A$2:$A$528,"Neuron",$W$2:$W$528,$W450)&gt;1)
),"Yes","No"),
IF($A450="Cybernet",
IF(OR(
AND($Y450&lt;&gt;"",LOWER(TRIM($Y450))&lt;&gt;"n/a",COUNTIFS($B$2:$B$528,"Yes",$A$2:$A$528,"Cybernet",$Y$2:$Y$528,$Y450)&gt;1),
AND($Z450&lt;&gt;"",LOWER(TRIM($Z450))&lt;&gt;"n/a",COUNTIFS($B$2:$B$528,"Yes",$A$2:$A$528,"Cybernet",$Z$2:$Z$528,$Z450)&gt;1)
),"Yes","No"),
IF(AND($AL450&lt;&gt;"",LOWER(TRIM($AL450))&lt;&gt;"n/a"),
IF(COUNTIFS($B$2:$B$528,"Yes",$A$2:$A$528,$A450,$AL$2:$AL$528,$AL450)&gt;1,"Yes","No"),
"No")
)
)
)</f>
        <v/>
      </c>
      <c r="BL450" s="4" t="str">
        <f t="shared" si="22"/>
        <v/>
      </c>
      <c r="BM450" s="8" t="str">
        <f t="shared" si="23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 ht="15" customHeight="1">
      <c r="D451" s="15" t="str">
        <f t="shared" si="21"/>
        <v/>
      </c>
      <c r="E451" s="15" t="str">
        <f>IF($A451="","",IF($A451="Neuron",IF(OR(AND($S451&lt;&gt;"",LOWER(TRIM($S451))&lt;&gt;"n/a",COUNTIF($S$2:$S$528,$S451)&gt;1),AND($T451&lt;&gt;"",LOWER(TRIM($T451))&lt;&gt;"n/a",COUNTIF($T$2:$T$528,$T451)&gt;1),AND($W451&lt;&gt;"",LOWER(TRIM($W451))&lt;&gt;"n/a",COUNTIF($W$2:$W$528,$W451)&gt;1)),"Yes","No"),IF($A451="Cybernet",IF(OR(AND($Y451&lt;&gt;"",LOWER(TRIM($Y451))&lt;&gt;"n/a",COUNTIF($Y$2:$Y$528,$Y451)&gt;1),AND($Z451&lt;&gt;"",LOWER(TRIM($Z451))&lt;&gt;"n/a",COUNTIF($Z$2:$Z$528,$Z451)&gt;1)),"Yes","No"),IF(AND($AL451&lt;&gt;"",LOWER(TRIM($AL451))&lt;&gt;"n/a",COUNTIF($AL$2:$AL$528,$AL451)&gt;1),"Yes","No"))))</f>
        <v/>
      </c>
      <c r="F451" t="str">
        <f>IF($B451&lt;&gt;"Yes","",
IF($A451="Neuron",
IF(OR(
AND($S451&lt;&gt;"",LOWER(TRIM($S451))&lt;&gt;"n/a",COUNTIFS($B$2:$B$528,"Yes",$A$2:$A$528,"Neuron",$S$2:$S$528,$S451)&gt;1),
AND($T451&lt;&gt;"",LOWER(TRIM($T451))&lt;&gt;"n/a",COUNTIFS($B$2:$B$528,"Yes",$A$2:$A$528,"Neuron",$T$2:$T$528,$T451)&gt;1),
AND($W451&lt;&gt;"",LOWER(TRIM($W451))&lt;&gt;"n/a",COUNTIFS($B$2:$B$528,"Yes",$A$2:$A$528,"Neuron",$W$2:$W$528,$W451)&gt;1)
),"Yes","No"),
IF($A451="Cybernet",
IF(OR(
AND($Y451&lt;&gt;"",LOWER(TRIM($Y451))&lt;&gt;"n/a",COUNTIFS($B$2:$B$528,"Yes",$A$2:$A$528,"Cybernet",$Y$2:$Y$528,$Y451)&gt;1),
AND($Z451&lt;&gt;"",LOWER(TRIM($Z451))&lt;&gt;"n/a",COUNTIFS($B$2:$B$528,"Yes",$A$2:$A$528,"Cybernet",$Z$2:$Z$528,$Z451)&gt;1)
),"Yes","No"),
IF(AND($AL451&lt;&gt;"",LOWER(TRIM($AL451))&lt;&gt;"n/a"),
IF(COUNTIFS($B$2:$B$528,"Yes",$A$2:$A$528,$A451,$AL$2:$AL$528,$AL451)&gt;1,"Yes","No"),
"No")
)
)
)</f>
        <v/>
      </c>
      <c r="BL451" s="4" t="str">
        <f t="shared" si="22"/>
        <v/>
      </c>
      <c r="BM451" s="8" t="str">
        <f t="shared" si="23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 ht="15" customHeight="1">
      <c r="D452" s="15" t="str">
        <f t="shared" si="21"/>
        <v/>
      </c>
      <c r="E452" s="15" t="str">
        <f>IF($A452="","",IF($A452="Neuron",IF(OR(AND($S452&lt;&gt;"",LOWER(TRIM($S452))&lt;&gt;"n/a",COUNTIF($S$2:$S$528,$S452)&gt;1),AND($T452&lt;&gt;"",LOWER(TRIM($T452))&lt;&gt;"n/a",COUNTIF($T$2:$T$528,$T452)&gt;1),AND($W452&lt;&gt;"",LOWER(TRIM($W452))&lt;&gt;"n/a",COUNTIF($W$2:$W$528,$W452)&gt;1)),"Yes","No"),IF($A452="Cybernet",IF(OR(AND($Y452&lt;&gt;"",LOWER(TRIM($Y452))&lt;&gt;"n/a",COUNTIF($Y$2:$Y$528,$Y452)&gt;1),AND($Z452&lt;&gt;"",LOWER(TRIM($Z452))&lt;&gt;"n/a",COUNTIF($Z$2:$Z$528,$Z452)&gt;1)),"Yes","No"),IF(AND($AL452&lt;&gt;"",LOWER(TRIM($AL452))&lt;&gt;"n/a",COUNTIF($AL$2:$AL$528,$AL452)&gt;1),"Yes","No"))))</f>
        <v/>
      </c>
      <c r="F452" t="str">
        <f>IF($B452&lt;&gt;"Yes","",
IF($A452="Neuron",
IF(OR(
AND($S452&lt;&gt;"",LOWER(TRIM($S452))&lt;&gt;"n/a",COUNTIFS($B$2:$B$528,"Yes",$A$2:$A$528,"Neuron",$S$2:$S$528,$S452)&gt;1),
AND($T452&lt;&gt;"",LOWER(TRIM($T452))&lt;&gt;"n/a",COUNTIFS($B$2:$B$528,"Yes",$A$2:$A$528,"Neuron",$T$2:$T$528,$T452)&gt;1),
AND($W452&lt;&gt;"",LOWER(TRIM($W452))&lt;&gt;"n/a",COUNTIFS($B$2:$B$528,"Yes",$A$2:$A$528,"Neuron",$W$2:$W$528,$W452)&gt;1)
),"Yes","No"),
IF($A452="Cybernet",
IF(OR(
AND($Y452&lt;&gt;"",LOWER(TRIM($Y452))&lt;&gt;"n/a",COUNTIFS($B$2:$B$528,"Yes",$A$2:$A$528,"Cybernet",$Y$2:$Y$528,$Y452)&gt;1),
AND($Z452&lt;&gt;"",LOWER(TRIM($Z452))&lt;&gt;"n/a",COUNTIFS($B$2:$B$528,"Yes",$A$2:$A$528,"Cybernet",$Z$2:$Z$528,$Z452)&gt;1)
),"Yes","No"),
IF(AND($AL452&lt;&gt;"",LOWER(TRIM($AL452))&lt;&gt;"n/a"),
IF(COUNTIFS($B$2:$B$528,"Yes",$A$2:$A$528,$A452,$AL$2:$AL$528,$AL452)&gt;1,"Yes","No"),
"No")
)
)
)</f>
        <v/>
      </c>
      <c r="BL452" s="4" t="str">
        <f t="shared" si="22"/>
        <v/>
      </c>
      <c r="BM452" s="8" t="str">
        <f t="shared" si="23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 ht="15" customHeight="1">
      <c r="D453" s="15" t="str">
        <f t="shared" si="21"/>
        <v/>
      </c>
      <c r="E453" s="15" t="str">
        <f>IF($A453="","",IF($A453="Neuron",IF(OR(AND($S453&lt;&gt;"",LOWER(TRIM($S453))&lt;&gt;"n/a",COUNTIF($S$2:$S$528,$S453)&gt;1),AND($T453&lt;&gt;"",LOWER(TRIM($T453))&lt;&gt;"n/a",COUNTIF($T$2:$T$528,$T453)&gt;1),AND($W453&lt;&gt;"",LOWER(TRIM($W453))&lt;&gt;"n/a",COUNTIF($W$2:$W$528,$W453)&gt;1)),"Yes","No"),IF($A453="Cybernet",IF(OR(AND($Y453&lt;&gt;"",LOWER(TRIM($Y453))&lt;&gt;"n/a",COUNTIF($Y$2:$Y$528,$Y453)&gt;1),AND($Z453&lt;&gt;"",LOWER(TRIM($Z453))&lt;&gt;"n/a",COUNTIF($Z$2:$Z$528,$Z453)&gt;1)),"Yes","No"),IF(AND($AL453&lt;&gt;"",LOWER(TRIM($AL453))&lt;&gt;"n/a",COUNTIF($AL$2:$AL$528,$AL453)&gt;1),"Yes","No"))))</f>
        <v/>
      </c>
      <c r="F453" t="str">
        <f>IF($B453&lt;&gt;"Yes","",
IF($A453="Neuron",
IF(OR(
AND($S453&lt;&gt;"",LOWER(TRIM($S453))&lt;&gt;"n/a",COUNTIFS($B$2:$B$528,"Yes",$A$2:$A$528,"Neuron",$S$2:$S$528,$S453)&gt;1),
AND($T453&lt;&gt;"",LOWER(TRIM($T453))&lt;&gt;"n/a",COUNTIFS($B$2:$B$528,"Yes",$A$2:$A$528,"Neuron",$T$2:$T$528,$T453)&gt;1),
AND($W453&lt;&gt;"",LOWER(TRIM($W453))&lt;&gt;"n/a",COUNTIFS($B$2:$B$528,"Yes",$A$2:$A$528,"Neuron",$W$2:$W$528,$W453)&gt;1)
),"Yes","No"),
IF($A453="Cybernet",
IF(OR(
AND($Y453&lt;&gt;"",LOWER(TRIM($Y453))&lt;&gt;"n/a",COUNTIFS($B$2:$B$528,"Yes",$A$2:$A$528,"Cybernet",$Y$2:$Y$528,$Y453)&gt;1),
AND($Z453&lt;&gt;"",LOWER(TRIM($Z453))&lt;&gt;"n/a",COUNTIFS($B$2:$B$528,"Yes",$A$2:$A$528,"Cybernet",$Z$2:$Z$528,$Z453)&gt;1)
),"Yes","No"),
IF(AND($AL453&lt;&gt;"",LOWER(TRIM($AL453))&lt;&gt;"n/a"),
IF(COUNTIFS($B$2:$B$528,"Yes",$A$2:$A$528,$A453,$AL$2:$AL$528,$AL453)&gt;1,"Yes","No"),
"No")
)
)
)</f>
        <v/>
      </c>
      <c r="BL453" s="4" t="str">
        <f t="shared" si="22"/>
        <v/>
      </c>
      <c r="BM453" s="8" t="str">
        <f t="shared" si="23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 ht="15" customHeight="1">
      <c r="D454" s="15" t="str">
        <f t="shared" si="21"/>
        <v/>
      </c>
      <c r="E454" s="15" t="str">
        <f>IF($A454="","",IF($A454="Neuron",IF(OR(AND($S454&lt;&gt;"",LOWER(TRIM($S454))&lt;&gt;"n/a",COUNTIF($S$2:$S$528,$S454)&gt;1),AND($T454&lt;&gt;"",LOWER(TRIM($T454))&lt;&gt;"n/a",COUNTIF($T$2:$T$528,$T454)&gt;1),AND($W454&lt;&gt;"",LOWER(TRIM($W454))&lt;&gt;"n/a",COUNTIF($W$2:$W$528,$W454)&gt;1)),"Yes","No"),IF($A454="Cybernet",IF(OR(AND($Y454&lt;&gt;"",LOWER(TRIM($Y454))&lt;&gt;"n/a",COUNTIF($Y$2:$Y$528,$Y454)&gt;1),AND($Z454&lt;&gt;"",LOWER(TRIM($Z454))&lt;&gt;"n/a",COUNTIF($Z$2:$Z$528,$Z454)&gt;1)),"Yes","No"),IF(AND($AL454&lt;&gt;"",LOWER(TRIM($AL454))&lt;&gt;"n/a",COUNTIF($AL$2:$AL$528,$AL454)&gt;1),"Yes","No"))))</f>
        <v/>
      </c>
      <c r="F454" t="str">
        <f>IF($B454&lt;&gt;"Yes","",
IF($A454="Neuron",
IF(OR(
AND($S454&lt;&gt;"",LOWER(TRIM($S454))&lt;&gt;"n/a",COUNTIFS($B$2:$B$528,"Yes",$A$2:$A$528,"Neuron",$S$2:$S$528,$S454)&gt;1),
AND($T454&lt;&gt;"",LOWER(TRIM($T454))&lt;&gt;"n/a",COUNTIFS($B$2:$B$528,"Yes",$A$2:$A$528,"Neuron",$T$2:$T$528,$T454)&gt;1),
AND($W454&lt;&gt;"",LOWER(TRIM($W454))&lt;&gt;"n/a",COUNTIFS($B$2:$B$528,"Yes",$A$2:$A$528,"Neuron",$W$2:$W$528,$W454)&gt;1)
),"Yes","No"),
IF($A454="Cybernet",
IF(OR(
AND($Y454&lt;&gt;"",LOWER(TRIM($Y454))&lt;&gt;"n/a",COUNTIFS($B$2:$B$528,"Yes",$A$2:$A$528,"Cybernet",$Y$2:$Y$528,$Y454)&gt;1),
AND($Z454&lt;&gt;"",LOWER(TRIM($Z454))&lt;&gt;"n/a",COUNTIFS($B$2:$B$528,"Yes",$A$2:$A$528,"Cybernet",$Z$2:$Z$528,$Z454)&gt;1)
),"Yes","No"),
IF(AND($AL454&lt;&gt;"",LOWER(TRIM($AL454))&lt;&gt;"n/a"),
IF(COUNTIFS($B$2:$B$528,"Yes",$A$2:$A$528,$A454,$AL$2:$AL$528,$AL454)&gt;1,"Yes","No"),
"No")
)
)
)</f>
        <v/>
      </c>
      <c r="BL454" s="4" t="str">
        <f t="shared" si="22"/>
        <v/>
      </c>
      <c r="BM454" s="8" t="str">
        <f t="shared" si="23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 ht="15" customHeight="1">
      <c r="D455" s="15" t="str">
        <f t="shared" si="21"/>
        <v/>
      </c>
      <c r="E455" s="15" t="str">
        <f>IF($A455="","",IF($A455="Neuron",IF(OR(AND($S455&lt;&gt;"",LOWER(TRIM($S455))&lt;&gt;"n/a",COUNTIF($S$2:$S$528,$S455)&gt;1),AND($T455&lt;&gt;"",LOWER(TRIM($T455))&lt;&gt;"n/a",COUNTIF($T$2:$T$528,$T455)&gt;1),AND($W455&lt;&gt;"",LOWER(TRIM($W455))&lt;&gt;"n/a",COUNTIF($W$2:$W$528,$W455)&gt;1)),"Yes","No"),IF($A455="Cybernet",IF(OR(AND($Y455&lt;&gt;"",LOWER(TRIM($Y455))&lt;&gt;"n/a",COUNTIF($Y$2:$Y$528,$Y455)&gt;1),AND($Z455&lt;&gt;"",LOWER(TRIM($Z455))&lt;&gt;"n/a",COUNTIF($Z$2:$Z$528,$Z455)&gt;1)),"Yes","No"),IF(AND($AL455&lt;&gt;"",LOWER(TRIM($AL455))&lt;&gt;"n/a",COUNTIF($AL$2:$AL$528,$AL455)&gt;1),"Yes","No"))))</f>
        <v/>
      </c>
      <c r="F455" t="str">
        <f>IF($B455&lt;&gt;"Yes","",
IF($A455="Neuron",
IF(OR(
AND($S455&lt;&gt;"",LOWER(TRIM($S455))&lt;&gt;"n/a",COUNTIFS($B$2:$B$528,"Yes",$A$2:$A$528,"Neuron",$S$2:$S$528,$S455)&gt;1),
AND($T455&lt;&gt;"",LOWER(TRIM($T455))&lt;&gt;"n/a",COUNTIFS($B$2:$B$528,"Yes",$A$2:$A$528,"Neuron",$T$2:$T$528,$T455)&gt;1),
AND($W455&lt;&gt;"",LOWER(TRIM($W455))&lt;&gt;"n/a",COUNTIFS($B$2:$B$528,"Yes",$A$2:$A$528,"Neuron",$W$2:$W$528,$W455)&gt;1)
),"Yes","No"),
IF($A455="Cybernet",
IF(OR(
AND($Y455&lt;&gt;"",LOWER(TRIM($Y455))&lt;&gt;"n/a",COUNTIFS($B$2:$B$528,"Yes",$A$2:$A$528,"Cybernet",$Y$2:$Y$528,$Y455)&gt;1),
AND($Z455&lt;&gt;"",LOWER(TRIM($Z455))&lt;&gt;"n/a",COUNTIFS($B$2:$B$528,"Yes",$A$2:$A$528,"Cybernet",$Z$2:$Z$528,$Z455)&gt;1)
),"Yes","No"),
IF(AND($AL455&lt;&gt;"",LOWER(TRIM($AL455))&lt;&gt;"n/a"),
IF(COUNTIFS($B$2:$B$528,"Yes",$A$2:$A$528,$A455,$AL$2:$AL$528,$AL455)&gt;1,"Yes","No"),
"No")
)
)
)</f>
        <v/>
      </c>
      <c r="BL455" s="4" t="str">
        <f t="shared" si="22"/>
        <v/>
      </c>
      <c r="BM455" s="8" t="str">
        <f t="shared" si="23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 ht="15" customHeight="1">
      <c r="D456" s="15" t="str">
        <f t="shared" si="21"/>
        <v/>
      </c>
      <c r="E456" s="15" t="str">
        <f>IF($A456="","",IF($A456="Neuron",IF(OR(AND($S456&lt;&gt;"",LOWER(TRIM($S456))&lt;&gt;"n/a",COUNTIF($S$2:$S$528,$S456)&gt;1),AND($T456&lt;&gt;"",LOWER(TRIM($T456))&lt;&gt;"n/a",COUNTIF($T$2:$T$528,$T456)&gt;1),AND($W456&lt;&gt;"",LOWER(TRIM($W456))&lt;&gt;"n/a",COUNTIF($W$2:$W$528,$W456)&gt;1)),"Yes","No"),IF($A456="Cybernet",IF(OR(AND($Y456&lt;&gt;"",LOWER(TRIM($Y456))&lt;&gt;"n/a",COUNTIF($Y$2:$Y$528,$Y456)&gt;1),AND($Z456&lt;&gt;"",LOWER(TRIM($Z456))&lt;&gt;"n/a",COUNTIF($Z$2:$Z$528,$Z456)&gt;1)),"Yes","No"),IF(AND($AL456&lt;&gt;"",LOWER(TRIM($AL456))&lt;&gt;"n/a",COUNTIF($AL$2:$AL$528,$AL456)&gt;1),"Yes","No"))))</f>
        <v/>
      </c>
      <c r="F456" t="str">
        <f>IF($B456&lt;&gt;"Yes","",
IF($A456="Neuron",
IF(OR(
AND($S456&lt;&gt;"",LOWER(TRIM($S456))&lt;&gt;"n/a",COUNTIFS($B$2:$B$528,"Yes",$A$2:$A$528,"Neuron",$S$2:$S$528,$S456)&gt;1),
AND($T456&lt;&gt;"",LOWER(TRIM($T456))&lt;&gt;"n/a",COUNTIFS($B$2:$B$528,"Yes",$A$2:$A$528,"Neuron",$T$2:$T$528,$T456)&gt;1),
AND($W456&lt;&gt;"",LOWER(TRIM($W456))&lt;&gt;"n/a",COUNTIFS($B$2:$B$528,"Yes",$A$2:$A$528,"Neuron",$W$2:$W$528,$W456)&gt;1)
),"Yes","No"),
IF($A456="Cybernet",
IF(OR(
AND($Y456&lt;&gt;"",LOWER(TRIM($Y456))&lt;&gt;"n/a",COUNTIFS($B$2:$B$528,"Yes",$A$2:$A$528,"Cybernet",$Y$2:$Y$528,$Y456)&gt;1),
AND($Z456&lt;&gt;"",LOWER(TRIM($Z456))&lt;&gt;"n/a",COUNTIFS($B$2:$B$528,"Yes",$A$2:$A$528,"Cybernet",$Z$2:$Z$528,$Z456)&gt;1)
),"Yes","No"),
IF(AND($AL456&lt;&gt;"",LOWER(TRIM($AL456))&lt;&gt;"n/a"),
IF(COUNTIFS($B$2:$B$528,"Yes",$A$2:$A$528,$A456,$AL$2:$AL$528,$AL456)&gt;1,"Yes","No"),
"No")
)
)
)</f>
        <v/>
      </c>
      <c r="BL456" s="4" t="str">
        <f t="shared" si="22"/>
        <v/>
      </c>
      <c r="BM456" s="8" t="str">
        <f t="shared" si="23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 ht="15" customHeight="1">
      <c r="D457" s="15" t="str">
        <f t="shared" si="21"/>
        <v/>
      </c>
      <c r="E457" s="15" t="str">
        <f>IF($A457="","",IF($A457="Neuron",IF(OR(AND($S457&lt;&gt;"",LOWER(TRIM($S457))&lt;&gt;"n/a",COUNTIF($S$2:$S$528,$S457)&gt;1),AND($T457&lt;&gt;"",LOWER(TRIM($T457))&lt;&gt;"n/a",COUNTIF($T$2:$T$528,$T457)&gt;1),AND($W457&lt;&gt;"",LOWER(TRIM($W457))&lt;&gt;"n/a",COUNTIF($W$2:$W$528,$W457)&gt;1)),"Yes","No"),IF($A457="Cybernet",IF(OR(AND($Y457&lt;&gt;"",LOWER(TRIM($Y457))&lt;&gt;"n/a",COUNTIF($Y$2:$Y$528,$Y457)&gt;1),AND($Z457&lt;&gt;"",LOWER(TRIM($Z457))&lt;&gt;"n/a",COUNTIF($Z$2:$Z$528,$Z457)&gt;1)),"Yes","No"),IF(AND($AL457&lt;&gt;"",LOWER(TRIM($AL457))&lt;&gt;"n/a",COUNTIF($AL$2:$AL$528,$AL457)&gt;1),"Yes","No"))))</f>
        <v/>
      </c>
      <c r="F457" t="str">
        <f>IF($B457&lt;&gt;"Yes","",
IF($A457="Neuron",
IF(OR(
AND($S457&lt;&gt;"",LOWER(TRIM($S457))&lt;&gt;"n/a",COUNTIFS($B$2:$B$528,"Yes",$A$2:$A$528,"Neuron",$S$2:$S$528,$S457)&gt;1),
AND($T457&lt;&gt;"",LOWER(TRIM($T457))&lt;&gt;"n/a",COUNTIFS($B$2:$B$528,"Yes",$A$2:$A$528,"Neuron",$T$2:$T$528,$T457)&gt;1),
AND($W457&lt;&gt;"",LOWER(TRIM($W457))&lt;&gt;"n/a",COUNTIFS($B$2:$B$528,"Yes",$A$2:$A$528,"Neuron",$W$2:$W$528,$W457)&gt;1)
),"Yes","No"),
IF($A457="Cybernet",
IF(OR(
AND($Y457&lt;&gt;"",LOWER(TRIM($Y457))&lt;&gt;"n/a",COUNTIFS($B$2:$B$528,"Yes",$A$2:$A$528,"Cybernet",$Y$2:$Y$528,$Y457)&gt;1),
AND($Z457&lt;&gt;"",LOWER(TRIM($Z457))&lt;&gt;"n/a",COUNTIFS($B$2:$B$528,"Yes",$A$2:$A$528,"Cybernet",$Z$2:$Z$528,$Z457)&gt;1)
),"Yes","No"),
IF(AND($AL457&lt;&gt;"",LOWER(TRIM($AL457))&lt;&gt;"n/a"),
IF(COUNTIFS($B$2:$B$528,"Yes",$A$2:$A$528,$A457,$AL$2:$AL$528,$AL457)&gt;1,"Yes","No"),
"No")
)
)
)</f>
        <v/>
      </c>
      <c r="BL457" s="4" t="str">
        <f t="shared" si="22"/>
        <v/>
      </c>
      <c r="BM457" s="8" t="str">
        <f t="shared" si="23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 ht="15" customHeight="1">
      <c r="D458" s="15" t="str">
        <f t="shared" si="21"/>
        <v/>
      </c>
      <c r="E458" s="15" t="str">
        <f>IF($A458="","",IF($A458="Neuron",IF(OR(AND($S458&lt;&gt;"",LOWER(TRIM($S458))&lt;&gt;"n/a",COUNTIF($S$2:$S$528,$S458)&gt;1),AND($T458&lt;&gt;"",LOWER(TRIM($T458))&lt;&gt;"n/a",COUNTIF($T$2:$T$528,$T458)&gt;1),AND($W458&lt;&gt;"",LOWER(TRIM($W458))&lt;&gt;"n/a",COUNTIF($W$2:$W$528,$W458)&gt;1)),"Yes","No"),IF($A458="Cybernet",IF(OR(AND($Y458&lt;&gt;"",LOWER(TRIM($Y458))&lt;&gt;"n/a",COUNTIF($Y$2:$Y$528,$Y458)&gt;1),AND($Z458&lt;&gt;"",LOWER(TRIM($Z458))&lt;&gt;"n/a",COUNTIF($Z$2:$Z$528,$Z458)&gt;1)),"Yes","No"),IF(AND($AL458&lt;&gt;"",LOWER(TRIM($AL458))&lt;&gt;"n/a",COUNTIF($AL$2:$AL$528,$AL458)&gt;1),"Yes","No"))))</f>
        <v/>
      </c>
      <c r="F458" t="str">
        <f>IF($B458&lt;&gt;"Yes","",
IF($A458="Neuron",
IF(OR(
AND($S458&lt;&gt;"",LOWER(TRIM($S458))&lt;&gt;"n/a",COUNTIFS($B$2:$B$528,"Yes",$A$2:$A$528,"Neuron",$S$2:$S$528,$S458)&gt;1),
AND($T458&lt;&gt;"",LOWER(TRIM($T458))&lt;&gt;"n/a",COUNTIFS($B$2:$B$528,"Yes",$A$2:$A$528,"Neuron",$T$2:$T$528,$T458)&gt;1),
AND($W458&lt;&gt;"",LOWER(TRIM($W458))&lt;&gt;"n/a",COUNTIFS($B$2:$B$528,"Yes",$A$2:$A$528,"Neuron",$W$2:$W$528,$W458)&gt;1)
),"Yes","No"),
IF($A458="Cybernet",
IF(OR(
AND($Y458&lt;&gt;"",LOWER(TRIM($Y458))&lt;&gt;"n/a",COUNTIFS($B$2:$B$528,"Yes",$A$2:$A$528,"Cybernet",$Y$2:$Y$528,$Y458)&gt;1),
AND($Z458&lt;&gt;"",LOWER(TRIM($Z458))&lt;&gt;"n/a",COUNTIFS($B$2:$B$528,"Yes",$A$2:$A$528,"Cybernet",$Z$2:$Z$528,$Z458)&gt;1)
),"Yes","No"),
IF(AND($AL458&lt;&gt;"",LOWER(TRIM($AL458))&lt;&gt;"n/a"),
IF(COUNTIFS($B$2:$B$528,"Yes",$A$2:$A$528,$A458,$AL$2:$AL$528,$AL458)&gt;1,"Yes","No"),
"No")
)
)
)</f>
        <v/>
      </c>
      <c r="BL458" s="4" t="str">
        <f t="shared" si="22"/>
        <v/>
      </c>
      <c r="BM458" s="8" t="str">
        <f t="shared" si="23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 ht="15" customHeight="1">
      <c r="D459" s="15" t="str">
        <f t="shared" ref="D459:D522" si="24">IF($B459&lt;&gt;"Yes","",IF($C459="No","Yes",IF($C459="Yes","No","")))</f>
        <v/>
      </c>
      <c r="E459" s="15" t="str">
        <f>IF($A459="","",IF($A459="Neuron",IF(OR(AND($S459&lt;&gt;"",LOWER(TRIM($S459))&lt;&gt;"n/a",COUNTIF($S$2:$S$528,$S459)&gt;1),AND($T459&lt;&gt;"",LOWER(TRIM($T459))&lt;&gt;"n/a",COUNTIF($T$2:$T$528,$T459)&gt;1),AND($W459&lt;&gt;"",LOWER(TRIM($W459))&lt;&gt;"n/a",COUNTIF($W$2:$W$528,$W459)&gt;1)),"Yes","No"),IF($A459="Cybernet",IF(OR(AND($Y459&lt;&gt;"",LOWER(TRIM($Y459))&lt;&gt;"n/a",COUNTIF($Y$2:$Y$528,$Y459)&gt;1),AND($Z459&lt;&gt;"",LOWER(TRIM($Z459))&lt;&gt;"n/a",COUNTIF($Z$2:$Z$528,$Z459)&gt;1)),"Yes","No"),IF(AND($AL459&lt;&gt;"",LOWER(TRIM($AL459))&lt;&gt;"n/a",COUNTIF($AL$2:$AL$528,$AL459)&gt;1),"Yes","No"))))</f>
        <v/>
      </c>
      <c r="F459" t="str">
        <f>IF($B459&lt;&gt;"Yes","",
IF($A459="Neuron",
IF(OR(
AND($S459&lt;&gt;"",LOWER(TRIM($S459))&lt;&gt;"n/a",COUNTIFS($B$2:$B$528,"Yes",$A$2:$A$528,"Neuron",$S$2:$S$528,$S459)&gt;1),
AND($T459&lt;&gt;"",LOWER(TRIM($T459))&lt;&gt;"n/a",COUNTIFS($B$2:$B$528,"Yes",$A$2:$A$528,"Neuron",$T$2:$T$528,$T459)&gt;1),
AND($W459&lt;&gt;"",LOWER(TRIM($W459))&lt;&gt;"n/a",COUNTIFS($B$2:$B$528,"Yes",$A$2:$A$528,"Neuron",$W$2:$W$528,$W459)&gt;1)
),"Yes","No"),
IF($A459="Cybernet",
IF(OR(
AND($Y459&lt;&gt;"",LOWER(TRIM($Y459))&lt;&gt;"n/a",COUNTIFS($B$2:$B$528,"Yes",$A$2:$A$528,"Cybernet",$Y$2:$Y$528,$Y459)&gt;1),
AND($Z459&lt;&gt;"",LOWER(TRIM($Z459))&lt;&gt;"n/a",COUNTIFS($B$2:$B$528,"Yes",$A$2:$A$528,"Cybernet",$Z$2:$Z$528,$Z459)&gt;1)
),"Yes","No"),
IF(AND($AL459&lt;&gt;"",LOWER(TRIM($AL459))&lt;&gt;"n/a"),
IF(COUNTIFS($B$2:$B$528,"Yes",$A$2:$A$528,$A459,$AL$2:$AL$528,$AL459)&gt;1,"Yes","No"),
"No")
)
)
)</f>
        <v/>
      </c>
      <c r="BL459" s="4" t="str">
        <f t="shared" si="22"/>
        <v/>
      </c>
      <c r="BM459" s="8" t="str">
        <f t="shared" si="23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 ht="15" customHeight="1">
      <c r="D460" s="15" t="str">
        <f t="shared" si="24"/>
        <v/>
      </c>
      <c r="E460" s="15" t="str">
        <f>IF($A460="","",IF($A460="Neuron",IF(OR(AND($S460&lt;&gt;"",LOWER(TRIM($S460))&lt;&gt;"n/a",COUNTIF($S$2:$S$528,$S460)&gt;1),AND($T460&lt;&gt;"",LOWER(TRIM($T460))&lt;&gt;"n/a",COUNTIF($T$2:$T$528,$T460)&gt;1),AND($W460&lt;&gt;"",LOWER(TRIM($W460))&lt;&gt;"n/a",COUNTIF($W$2:$W$528,$W460)&gt;1)),"Yes","No"),IF($A460="Cybernet",IF(OR(AND($Y460&lt;&gt;"",LOWER(TRIM($Y460))&lt;&gt;"n/a",COUNTIF($Y$2:$Y$528,$Y460)&gt;1),AND($Z460&lt;&gt;"",LOWER(TRIM($Z460))&lt;&gt;"n/a",COUNTIF($Z$2:$Z$528,$Z460)&gt;1)),"Yes","No"),IF(AND($AL460&lt;&gt;"",LOWER(TRIM($AL460))&lt;&gt;"n/a",COUNTIF($AL$2:$AL$528,$AL460)&gt;1),"Yes","No"))))</f>
        <v/>
      </c>
      <c r="F460" t="str">
        <f>IF($B460&lt;&gt;"Yes","",
IF($A460="Neuron",
IF(OR(
AND($S460&lt;&gt;"",LOWER(TRIM($S460))&lt;&gt;"n/a",COUNTIFS($B$2:$B$528,"Yes",$A$2:$A$528,"Neuron",$S$2:$S$528,$S460)&gt;1),
AND($T460&lt;&gt;"",LOWER(TRIM($T460))&lt;&gt;"n/a",COUNTIFS($B$2:$B$528,"Yes",$A$2:$A$528,"Neuron",$T$2:$T$528,$T460)&gt;1),
AND($W460&lt;&gt;"",LOWER(TRIM($W460))&lt;&gt;"n/a",COUNTIFS($B$2:$B$528,"Yes",$A$2:$A$528,"Neuron",$W$2:$W$528,$W460)&gt;1)
),"Yes","No"),
IF($A460="Cybernet",
IF(OR(
AND($Y460&lt;&gt;"",LOWER(TRIM($Y460))&lt;&gt;"n/a",COUNTIFS($B$2:$B$528,"Yes",$A$2:$A$528,"Cybernet",$Y$2:$Y$528,$Y460)&gt;1),
AND($Z460&lt;&gt;"",LOWER(TRIM($Z460))&lt;&gt;"n/a",COUNTIFS($B$2:$B$528,"Yes",$A$2:$A$528,"Cybernet",$Z$2:$Z$528,$Z460)&gt;1)
),"Yes","No"),
IF(AND($AL460&lt;&gt;"",LOWER(TRIM($AL460))&lt;&gt;"n/a"),
IF(COUNTIFS($B$2:$B$528,"Yes",$A$2:$A$528,$A460,$AL$2:$AL$528,$AL460)&gt;1,"Yes","No"),
"No")
)
)
)</f>
        <v/>
      </c>
      <c r="BL460" s="4" t="str">
        <f t="shared" si="22"/>
        <v/>
      </c>
      <c r="BM460" s="8" t="str">
        <f t="shared" si="23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 ht="15" customHeight="1">
      <c r="D461" s="15" t="str">
        <f t="shared" si="24"/>
        <v/>
      </c>
      <c r="E461" s="15" t="str">
        <f>IF($A461="","",IF($A461="Neuron",IF(OR(AND($S461&lt;&gt;"",LOWER(TRIM($S461))&lt;&gt;"n/a",COUNTIF($S$2:$S$528,$S461)&gt;1),AND($T461&lt;&gt;"",LOWER(TRIM($T461))&lt;&gt;"n/a",COUNTIF($T$2:$T$528,$T461)&gt;1),AND($W461&lt;&gt;"",LOWER(TRIM($W461))&lt;&gt;"n/a",COUNTIF($W$2:$W$528,$W461)&gt;1)),"Yes","No"),IF($A461="Cybernet",IF(OR(AND($Y461&lt;&gt;"",LOWER(TRIM($Y461))&lt;&gt;"n/a",COUNTIF($Y$2:$Y$528,$Y461)&gt;1),AND($Z461&lt;&gt;"",LOWER(TRIM($Z461))&lt;&gt;"n/a",COUNTIF($Z$2:$Z$528,$Z461)&gt;1)),"Yes","No"),IF(AND($AL461&lt;&gt;"",LOWER(TRIM($AL461))&lt;&gt;"n/a",COUNTIF($AL$2:$AL$528,$AL461)&gt;1),"Yes","No"))))</f>
        <v/>
      </c>
      <c r="F461" t="str">
        <f>IF($B461&lt;&gt;"Yes","",
IF($A461="Neuron",
IF(OR(
AND($S461&lt;&gt;"",LOWER(TRIM($S461))&lt;&gt;"n/a",COUNTIFS($B$2:$B$528,"Yes",$A$2:$A$528,"Neuron",$S$2:$S$528,$S461)&gt;1),
AND($T461&lt;&gt;"",LOWER(TRIM($T461))&lt;&gt;"n/a",COUNTIFS($B$2:$B$528,"Yes",$A$2:$A$528,"Neuron",$T$2:$T$528,$T461)&gt;1),
AND($W461&lt;&gt;"",LOWER(TRIM($W461))&lt;&gt;"n/a",COUNTIFS($B$2:$B$528,"Yes",$A$2:$A$528,"Neuron",$W$2:$W$528,$W461)&gt;1)
),"Yes","No"),
IF($A461="Cybernet",
IF(OR(
AND($Y461&lt;&gt;"",LOWER(TRIM($Y461))&lt;&gt;"n/a",COUNTIFS($B$2:$B$528,"Yes",$A$2:$A$528,"Cybernet",$Y$2:$Y$528,$Y461)&gt;1),
AND($Z461&lt;&gt;"",LOWER(TRIM($Z461))&lt;&gt;"n/a",COUNTIFS($B$2:$B$528,"Yes",$A$2:$A$528,"Cybernet",$Z$2:$Z$528,$Z461)&gt;1)
),"Yes","No"),
IF(AND($AL461&lt;&gt;"",LOWER(TRIM($AL461))&lt;&gt;"n/a"),
IF(COUNTIFS($B$2:$B$528,"Yes",$A$2:$A$528,$A461,$AL$2:$AL$528,$AL461)&gt;1,"Yes","No"),
"No")
)
)
)</f>
        <v/>
      </c>
      <c r="BL461" s="4" t="str">
        <f t="shared" si="22"/>
        <v/>
      </c>
      <c r="BM461" s="8" t="str">
        <f t="shared" si="23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 ht="15" customHeight="1">
      <c r="D462" s="15" t="str">
        <f t="shared" si="24"/>
        <v/>
      </c>
      <c r="E462" s="15" t="str">
        <f>IF($A462="","",IF($A462="Neuron",IF(OR(AND($S462&lt;&gt;"",LOWER(TRIM($S462))&lt;&gt;"n/a",COUNTIF($S$2:$S$528,$S462)&gt;1),AND($T462&lt;&gt;"",LOWER(TRIM($T462))&lt;&gt;"n/a",COUNTIF($T$2:$T$528,$T462)&gt;1),AND($W462&lt;&gt;"",LOWER(TRIM($W462))&lt;&gt;"n/a",COUNTIF($W$2:$W$528,$W462)&gt;1)),"Yes","No"),IF($A462="Cybernet",IF(OR(AND($Y462&lt;&gt;"",LOWER(TRIM($Y462))&lt;&gt;"n/a",COUNTIF($Y$2:$Y$528,$Y462)&gt;1),AND($Z462&lt;&gt;"",LOWER(TRIM($Z462))&lt;&gt;"n/a",COUNTIF($Z$2:$Z$528,$Z462)&gt;1)),"Yes","No"),IF(AND($AL462&lt;&gt;"",LOWER(TRIM($AL462))&lt;&gt;"n/a",COUNTIF($AL$2:$AL$528,$AL462)&gt;1),"Yes","No"))))</f>
        <v/>
      </c>
      <c r="F462" t="str">
        <f>IF($B462&lt;&gt;"Yes","",
IF($A462="Neuron",
IF(OR(
AND($S462&lt;&gt;"",LOWER(TRIM($S462))&lt;&gt;"n/a",COUNTIFS($B$2:$B$528,"Yes",$A$2:$A$528,"Neuron",$S$2:$S$528,$S462)&gt;1),
AND($T462&lt;&gt;"",LOWER(TRIM($T462))&lt;&gt;"n/a",COUNTIFS($B$2:$B$528,"Yes",$A$2:$A$528,"Neuron",$T$2:$T$528,$T462)&gt;1),
AND($W462&lt;&gt;"",LOWER(TRIM($W462))&lt;&gt;"n/a",COUNTIFS($B$2:$B$528,"Yes",$A$2:$A$528,"Neuron",$W$2:$W$528,$W462)&gt;1)
),"Yes","No"),
IF($A462="Cybernet",
IF(OR(
AND($Y462&lt;&gt;"",LOWER(TRIM($Y462))&lt;&gt;"n/a",COUNTIFS($B$2:$B$528,"Yes",$A$2:$A$528,"Cybernet",$Y$2:$Y$528,$Y462)&gt;1),
AND($Z462&lt;&gt;"",LOWER(TRIM($Z462))&lt;&gt;"n/a",COUNTIFS($B$2:$B$528,"Yes",$A$2:$A$528,"Cybernet",$Z$2:$Z$528,$Z462)&gt;1)
),"Yes","No"),
IF(AND($AL462&lt;&gt;"",LOWER(TRIM($AL462))&lt;&gt;"n/a"),
IF(COUNTIFS($B$2:$B$528,"Yes",$A$2:$A$528,$A462,$AL$2:$AL$528,$AL462)&gt;1,"Yes","No"),
"No")
)
)
)</f>
        <v/>
      </c>
      <c r="BL462" s="4" t="str">
        <f t="shared" si="22"/>
        <v/>
      </c>
      <c r="BM462" s="8" t="str">
        <f t="shared" si="23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 ht="15" customHeight="1">
      <c r="D463" s="15" t="str">
        <f t="shared" si="24"/>
        <v/>
      </c>
      <c r="E463" s="15" t="str">
        <f>IF($A463="","",IF($A463="Neuron",IF(OR(AND($S463&lt;&gt;"",LOWER(TRIM($S463))&lt;&gt;"n/a",COUNTIF($S$2:$S$528,$S463)&gt;1),AND($T463&lt;&gt;"",LOWER(TRIM($T463))&lt;&gt;"n/a",COUNTIF($T$2:$T$528,$T463)&gt;1),AND($W463&lt;&gt;"",LOWER(TRIM($W463))&lt;&gt;"n/a",COUNTIF($W$2:$W$528,$W463)&gt;1)),"Yes","No"),IF($A463="Cybernet",IF(OR(AND($Y463&lt;&gt;"",LOWER(TRIM($Y463))&lt;&gt;"n/a",COUNTIF($Y$2:$Y$528,$Y463)&gt;1),AND($Z463&lt;&gt;"",LOWER(TRIM($Z463))&lt;&gt;"n/a",COUNTIF($Z$2:$Z$528,$Z463)&gt;1)),"Yes","No"),IF(AND($AL463&lt;&gt;"",LOWER(TRIM($AL463))&lt;&gt;"n/a",COUNTIF($AL$2:$AL$528,$AL463)&gt;1),"Yes","No"))))</f>
        <v/>
      </c>
      <c r="F463" t="str">
        <f>IF($B463&lt;&gt;"Yes","",
IF($A463="Neuron",
IF(OR(
AND($S463&lt;&gt;"",LOWER(TRIM($S463))&lt;&gt;"n/a",COUNTIFS($B$2:$B$528,"Yes",$A$2:$A$528,"Neuron",$S$2:$S$528,$S463)&gt;1),
AND($T463&lt;&gt;"",LOWER(TRIM($T463))&lt;&gt;"n/a",COUNTIFS($B$2:$B$528,"Yes",$A$2:$A$528,"Neuron",$T$2:$T$528,$T463)&gt;1),
AND($W463&lt;&gt;"",LOWER(TRIM($W463))&lt;&gt;"n/a",COUNTIFS($B$2:$B$528,"Yes",$A$2:$A$528,"Neuron",$W$2:$W$528,$W463)&gt;1)
),"Yes","No"),
IF($A463="Cybernet",
IF(OR(
AND($Y463&lt;&gt;"",LOWER(TRIM($Y463))&lt;&gt;"n/a",COUNTIFS($B$2:$B$528,"Yes",$A$2:$A$528,"Cybernet",$Y$2:$Y$528,$Y463)&gt;1),
AND($Z463&lt;&gt;"",LOWER(TRIM($Z463))&lt;&gt;"n/a",COUNTIFS($B$2:$B$528,"Yes",$A$2:$A$528,"Cybernet",$Z$2:$Z$528,$Z463)&gt;1)
),"Yes","No"),
IF(AND($AL463&lt;&gt;"",LOWER(TRIM($AL463))&lt;&gt;"n/a"),
IF(COUNTIFS($B$2:$B$528,"Yes",$A$2:$A$528,$A463,$AL$2:$AL$528,$AL463)&gt;1,"Yes","No"),
"No")
)
)
)</f>
        <v/>
      </c>
      <c r="BL463" s="4" t="str">
        <f t="shared" si="22"/>
        <v/>
      </c>
      <c r="BM463" s="8" t="str">
        <f t="shared" si="23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 ht="15" customHeight="1">
      <c r="D464" s="15" t="str">
        <f t="shared" si="24"/>
        <v/>
      </c>
      <c r="E464" s="15" t="str">
        <f>IF($A464="","",IF($A464="Neuron",IF(OR(AND($S464&lt;&gt;"",LOWER(TRIM($S464))&lt;&gt;"n/a",COUNTIF($S$2:$S$528,$S464)&gt;1),AND($T464&lt;&gt;"",LOWER(TRIM($T464))&lt;&gt;"n/a",COUNTIF($T$2:$T$528,$T464)&gt;1),AND($W464&lt;&gt;"",LOWER(TRIM($W464))&lt;&gt;"n/a",COUNTIF($W$2:$W$528,$W464)&gt;1)),"Yes","No"),IF($A464="Cybernet",IF(OR(AND($Y464&lt;&gt;"",LOWER(TRIM($Y464))&lt;&gt;"n/a",COUNTIF($Y$2:$Y$528,$Y464)&gt;1),AND($Z464&lt;&gt;"",LOWER(TRIM($Z464))&lt;&gt;"n/a",COUNTIF($Z$2:$Z$528,$Z464)&gt;1)),"Yes","No"),IF(AND($AL464&lt;&gt;"",LOWER(TRIM($AL464))&lt;&gt;"n/a",COUNTIF($AL$2:$AL$528,$AL464)&gt;1),"Yes","No"))))</f>
        <v/>
      </c>
      <c r="F464" t="str">
        <f>IF($B464&lt;&gt;"Yes","",
IF($A464="Neuron",
IF(OR(
AND($S464&lt;&gt;"",LOWER(TRIM($S464))&lt;&gt;"n/a",COUNTIFS($B$2:$B$528,"Yes",$A$2:$A$528,"Neuron",$S$2:$S$528,$S464)&gt;1),
AND($T464&lt;&gt;"",LOWER(TRIM($T464))&lt;&gt;"n/a",COUNTIFS($B$2:$B$528,"Yes",$A$2:$A$528,"Neuron",$T$2:$T$528,$T464)&gt;1),
AND($W464&lt;&gt;"",LOWER(TRIM($W464))&lt;&gt;"n/a",COUNTIFS($B$2:$B$528,"Yes",$A$2:$A$528,"Neuron",$W$2:$W$528,$W464)&gt;1)
),"Yes","No"),
IF($A464="Cybernet",
IF(OR(
AND($Y464&lt;&gt;"",LOWER(TRIM($Y464))&lt;&gt;"n/a",COUNTIFS($B$2:$B$528,"Yes",$A$2:$A$528,"Cybernet",$Y$2:$Y$528,$Y464)&gt;1),
AND($Z464&lt;&gt;"",LOWER(TRIM($Z464))&lt;&gt;"n/a",COUNTIFS($B$2:$B$528,"Yes",$A$2:$A$528,"Cybernet",$Z$2:$Z$528,$Z464)&gt;1)
),"Yes","No"),
IF(AND($AL464&lt;&gt;"",LOWER(TRIM($AL464))&lt;&gt;"n/a"),
IF(COUNTIFS($B$2:$B$528,"Yes",$A$2:$A$528,$A464,$AL$2:$AL$528,$AL464)&gt;1,"Yes","No"),
"No")
)
)
)</f>
        <v/>
      </c>
      <c r="BL464" s="4" t="str">
        <f t="shared" si="22"/>
        <v/>
      </c>
      <c r="BM464" s="8" t="str">
        <f t="shared" si="23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 ht="15" customHeight="1">
      <c r="D465" s="15" t="str">
        <f t="shared" si="24"/>
        <v/>
      </c>
      <c r="E465" s="15" t="str">
        <f>IF($A465="","",IF($A465="Neuron",IF(OR(AND($S465&lt;&gt;"",LOWER(TRIM($S465))&lt;&gt;"n/a",COUNTIF($S$2:$S$528,$S465)&gt;1),AND($T465&lt;&gt;"",LOWER(TRIM($T465))&lt;&gt;"n/a",COUNTIF($T$2:$T$528,$T465)&gt;1),AND($W465&lt;&gt;"",LOWER(TRIM($W465))&lt;&gt;"n/a",COUNTIF($W$2:$W$528,$W465)&gt;1)),"Yes","No"),IF($A465="Cybernet",IF(OR(AND($Y465&lt;&gt;"",LOWER(TRIM($Y465))&lt;&gt;"n/a",COUNTIF($Y$2:$Y$528,$Y465)&gt;1),AND($Z465&lt;&gt;"",LOWER(TRIM($Z465))&lt;&gt;"n/a",COUNTIF($Z$2:$Z$528,$Z465)&gt;1)),"Yes","No"),IF(AND($AL465&lt;&gt;"",LOWER(TRIM($AL465))&lt;&gt;"n/a",COUNTIF($AL$2:$AL$528,$AL465)&gt;1),"Yes","No"))))</f>
        <v/>
      </c>
      <c r="F465" t="str">
        <f>IF($B465&lt;&gt;"Yes","",
IF($A465="Neuron",
IF(OR(
AND($S465&lt;&gt;"",LOWER(TRIM($S465))&lt;&gt;"n/a",COUNTIFS($B$2:$B$528,"Yes",$A$2:$A$528,"Neuron",$S$2:$S$528,$S465)&gt;1),
AND($T465&lt;&gt;"",LOWER(TRIM($T465))&lt;&gt;"n/a",COUNTIFS($B$2:$B$528,"Yes",$A$2:$A$528,"Neuron",$T$2:$T$528,$T465)&gt;1),
AND($W465&lt;&gt;"",LOWER(TRIM($W465))&lt;&gt;"n/a",COUNTIFS($B$2:$B$528,"Yes",$A$2:$A$528,"Neuron",$W$2:$W$528,$W465)&gt;1)
),"Yes","No"),
IF($A465="Cybernet",
IF(OR(
AND($Y465&lt;&gt;"",LOWER(TRIM($Y465))&lt;&gt;"n/a",COUNTIFS($B$2:$B$528,"Yes",$A$2:$A$528,"Cybernet",$Y$2:$Y$528,$Y465)&gt;1),
AND($Z465&lt;&gt;"",LOWER(TRIM($Z465))&lt;&gt;"n/a",COUNTIFS($B$2:$B$528,"Yes",$A$2:$A$528,"Cybernet",$Z$2:$Z$528,$Z465)&gt;1)
),"Yes","No"),
IF(AND($AL465&lt;&gt;"",LOWER(TRIM($AL465))&lt;&gt;"n/a"),
IF(COUNTIFS($B$2:$B$528,"Yes",$A$2:$A$528,$A465,$AL$2:$AL$528,$AL465)&gt;1,"Yes","No"),
"No")
)
)
)</f>
        <v/>
      </c>
      <c r="BL465" s="4" t="str">
        <f t="shared" si="22"/>
        <v/>
      </c>
      <c r="BM465" s="8" t="str">
        <f t="shared" si="23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 ht="15" customHeight="1">
      <c r="D466" s="15" t="str">
        <f t="shared" si="24"/>
        <v/>
      </c>
      <c r="E466" s="15" t="str">
        <f>IF($A466="","",IF($A466="Neuron",IF(OR(AND($S466&lt;&gt;"",LOWER(TRIM($S466))&lt;&gt;"n/a",COUNTIF($S$2:$S$528,$S466)&gt;1),AND($T466&lt;&gt;"",LOWER(TRIM($T466))&lt;&gt;"n/a",COUNTIF($T$2:$T$528,$T466)&gt;1),AND($W466&lt;&gt;"",LOWER(TRIM($W466))&lt;&gt;"n/a",COUNTIF($W$2:$W$528,$W466)&gt;1)),"Yes","No"),IF($A466="Cybernet",IF(OR(AND($Y466&lt;&gt;"",LOWER(TRIM($Y466))&lt;&gt;"n/a",COUNTIF($Y$2:$Y$528,$Y466)&gt;1),AND($Z466&lt;&gt;"",LOWER(TRIM($Z466))&lt;&gt;"n/a",COUNTIF($Z$2:$Z$528,$Z466)&gt;1)),"Yes","No"),IF(AND($AL466&lt;&gt;"",LOWER(TRIM($AL466))&lt;&gt;"n/a",COUNTIF($AL$2:$AL$528,$AL466)&gt;1),"Yes","No"))))</f>
        <v/>
      </c>
      <c r="F466" t="str">
        <f>IF($B466&lt;&gt;"Yes","",
IF($A466="Neuron",
IF(OR(
AND($S466&lt;&gt;"",LOWER(TRIM($S466))&lt;&gt;"n/a",COUNTIFS($B$2:$B$528,"Yes",$A$2:$A$528,"Neuron",$S$2:$S$528,$S466)&gt;1),
AND($T466&lt;&gt;"",LOWER(TRIM($T466))&lt;&gt;"n/a",COUNTIFS($B$2:$B$528,"Yes",$A$2:$A$528,"Neuron",$T$2:$T$528,$T466)&gt;1),
AND($W466&lt;&gt;"",LOWER(TRIM($W466))&lt;&gt;"n/a",COUNTIFS($B$2:$B$528,"Yes",$A$2:$A$528,"Neuron",$W$2:$W$528,$W466)&gt;1)
),"Yes","No"),
IF($A466="Cybernet",
IF(OR(
AND($Y466&lt;&gt;"",LOWER(TRIM($Y466))&lt;&gt;"n/a",COUNTIFS($B$2:$B$528,"Yes",$A$2:$A$528,"Cybernet",$Y$2:$Y$528,$Y466)&gt;1),
AND($Z466&lt;&gt;"",LOWER(TRIM($Z466))&lt;&gt;"n/a",COUNTIFS($B$2:$B$528,"Yes",$A$2:$A$528,"Cybernet",$Z$2:$Z$528,$Z466)&gt;1)
),"Yes","No"),
IF(AND($AL466&lt;&gt;"",LOWER(TRIM($AL466))&lt;&gt;"n/a"),
IF(COUNTIFS($B$2:$B$528,"Yes",$A$2:$A$528,$A466,$AL$2:$AL$528,$AL466)&gt;1,"Yes","No"),
"No")
)
)
)</f>
        <v/>
      </c>
      <c r="BL466" s="4" t="str">
        <f t="shared" si="22"/>
        <v/>
      </c>
      <c r="BM466" s="8" t="str">
        <f t="shared" si="23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 ht="15" customHeight="1">
      <c r="D467" s="15" t="str">
        <f t="shared" si="24"/>
        <v/>
      </c>
      <c r="E467" s="15" t="str">
        <f>IF($A467="","",IF($A467="Neuron",IF(OR(AND($S467&lt;&gt;"",LOWER(TRIM($S467))&lt;&gt;"n/a",COUNTIF($S$2:$S$528,$S467)&gt;1),AND($T467&lt;&gt;"",LOWER(TRIM($T467))&lt;&gt;"n/a",COUNTIF($T$2:$T$528,$T467)&gt;1),AND($W467&lt;&gt;"",LOWER(TRIM($W467))&lt;&gt;"n/a",COUNTIF($W$2:$W$528,$W467)&gt;1)),"Yes","No"),IF($A467="Cybernet",IF(OR(AND($Y467&lt;&gt;"",LOWER(TRIM($Y467))&lt;&gt;"n/a",COUNTIF($Y$2:$Y$528,$Y467)&gt;1),AND($Z467&lt;&gt;"",LOWER(TRIM($Z467))&lt;&gt;"n/a",COUNTIF($Z$2:$Z$528,$Z467)&gt;1)),"Yes","No"),IF(AND($AL467&lt;&gt;"",LOWER(TRIM($AL467))&lt;&gt;"n/a",COUNTIF($AL$2:$AL$528,$AL467)&gt;1),"Yes","No"))))</f>
        <v/>
      </c>
      <c r="F467" t="str">
        <f>IF($B467&lt;&gt;"Yes","",
IF($A467="Neuron",
IF(OR(
AND($S467&lt;&gt;"",LOWER(TRIM($S467))&lt;&gt;"n/a",COUNTIFS($B$2:$B$528,"Yes",$A$2:$A$528,"Neuron",$S$2:$S$528,$S467)&gt;1),
AND($T467&lt;&gt;"",LOWER(TRIM($T467))&lt;&gt;"n/a",COUNTIFS($B$2:$B$528,"Yes",$A$2:$A$528,"Neuron",$T$2:$T$528,$T467)&gt;1),
AND($W467&lt;&gt;"",LOWER(TRIM($W467))&lt;&gt;"n/a",COUNTIFS($B$2:$B$528,"Yes",$A$2:$A$528,"Neuron",$W$2:$W$528,$W467)&gt;1)
),"Yes","No"),
IF($A467="Cybernet",
IF(OR(
AND($Y467&lt;&gt;"",LOWER(TRIM($Y467))&lt;&gt;"n/a",COUNTIFS($B$2:$B$528,"Yes",$A$2:$A$528,"Cybernet",$Y$2:$Y$528,$Y467)&gt;1),
AND($Z467&lt;&gt;"",LOWER(TRIM($Z467))&lt;&gt;"n/a",COUNTIFS($B$2:$B$528,"Yes",$A$2:$A$528,"Cybernet",$Z$2:$Z$528,$Z467)&gt;1)
),"Yes","No"),
IF(AND($AL467&lt;&gt;"",LOWER(TRIM($AL467))&lt;&gt;"n/a"),
IF(COUNTIFS($B$2:$B$528,"Yes",$A$2:$A$528,$A467,$AL$2:$AL$528,$AL467)&gt;1,"Yes","No"),
"No")
)
)
)</f>
        <v/>
      </c>
      <c r="BL467" s="4" t="str">
        <f t="shared" si="22"/>
        <v/>
      </c>
      <c r="BM467" s="8" t="str">
        <f t="shared" si="23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 ht="15" customHeight="1">
      <c r="D468" s="15" t="str">
        <f t="shared" si="24"/>
        <v/>
      </c>
      <c r="E468" s="15" t="str">
        <f>IF($A468="","",IF($A468="Neuron",IF(OR(AND($S468&lt;&gt;"",LOWER(TRIM($S468))&lt;&gt;"n/a",COUNTIF($S$2:$S$528,$S468)&gt;1),AND($T468&lt;&gt;"",LOWER(TRIM($T468))&lt;&gt;"n/a",COUNTIF($T$2:$T$528,$T468)&gt;1),AND($W468&lt;&gt;"",LOWER(TRIM($W468))&lt;&gt;"n/a",COUNTIF($W$2:$W$528,$W468)&gt;1)),"Yes","No"),IF($A468="Cybernet",IF(OR(AND($Y468&lt;&gt;"",LOWER(TRIM($Y468))&lt;&gt;"n/a",COUNTIF($Y$2:$Y$528,$Y468)&gt;1),AND($Z468&lt;&gt;"",LOWER(TRIM($Z468))&lt;&gt;"n/a",COUNTIF($Z$2:$Z$528,$Z468)&gt;1)),"Yes","No"),IF(AND($AL468&lt;&gt;"",LOWER(TRIM($AL468))&lt;&gt;"n/a",COUNTIF($AL$2:$AL$528,$AL468)&gt;1),"Yes","No"))))</f>
        <v/>
      </c>
      <c r="F468" t="str">
        <f>IF($B468&lt;&gt;"Yes","",
IF($A468="Neuron",
IF(OR(
AND($S468&lt;&gt;"",LOWER(TRIM($S468))&lt;&gt;"n/a",COUNTIFS($B$2:$B$528,"Yes",$A$2:$A$528,"Neuron",$S$2:$S$528,$S468)&gt;1),
AND($T468&lt;&gt;"",LOWER(TRIM($T468))&lt;&gt;"n/a",COUNTIFS($B$2:$B$528,"Yes",$A$2:$A$528,"Neuron",$T$2:$T$528,$T468)&gt;1),
AND($W468&lt;&gt;"",LOWER(TRIM($W468))&lt;&gt;"n/a",COUNTIFS($B$2:$B$528,"Yes",$A$2:$A$528,"Neuron",$W$2:$W$528,$W468)&gt;1)
),"Yes","No"),
IF($A468="Cybernet",
IF(OR(
AND($Y468&lt;&gt;"",LOWER(TRIM($Y468))&lt;&gt;"n/a",COUNTIFS($B$2:$B$528,"Yes",$A$2:$A$528,"Cybernet",$Y$2:$Y$528,$Y468)&gt;1),
AND($Z468&lt;&gt;"",LOWER(TRIM($Z468))&lt;&gt;"n/a",COUNTIFS($B$2:$B$528,"Yes",$A$2:$A$528,"Cybernet",$Z$2:$Z$528,$Z468)&gt;1)
),"Yes","No"),
IF(AND($AL468&lt;&gt;"",LOWER(TRIM($AL468))&lt;&gt;"n/a"),
IF(COUNTIFS($B$2:$B$528,"Yes",$A$2:$A$528,$A468,$AL$2:$AL$528,$AL468)&gt;1,"Yes","No"),
"No")
)
)
)</f>
        <v/>
      </c>
      <c r="BL468" s="4" t="str">
        <f t="shared" si="22"/>
        <v/>
      </c>
      <c r="BM468" s="8" t="str">
        <f t="shared" si="23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 ht="15" customHeight="1">
      <c r="D469" s="15" t="str">
        <f t="shared" si="24"/>
        <v/>
      </c>
      <c r="E469" s="15" t="str">
        <f>IF($A469="","",IF($A469="Neuron",IF(OR(AND($S469&lt;&gt;"",LOWER(TRIM($S469))&lt;&gt;"n/a",COUNTIF($S$2:$S$528,$S469)&gt;1),AND($T469&lt;&gt;"",LOWER(TRIM($T469))&lt;&gt;"n/a",COUNTIF($T$2:$T$528,$T469)&gt;1),AND($W469&lt;&gt;"",LOWER(TRIM($W469))&lt;&gt;"n/a",COUNTIF($W$2:$W$528,$W469)&gt;1)),"Yes","No"),IF($A469="Cybernet",IF(OR(AND($Y469&lt;&gt;"",LOWER(TRIM($Y469))&lt;&gt;"n/a",COUNTIF($Y$2:$Y$528,$Y469)&gt;1),AND($Z469&lt;&gt;"",LOWER(TRIM($Z469))&lt;&gt;"n/a",COUNTIF($Z$2:$Z$528,$Z469)&gt;1)),"Yes","No"),IF(AND($AL469&lt;&gt;"",LOWER(TRIM($AL469))&lt;&gt;"n/a",COUNTIF($AL$2:$AL$528,$AL469)&gt;1),"Yes","No"))))</f>
        <v/>
      </c>
      <c r="F469" t="str">
        <f>IF($B469&lt;&gt;"Yes","",
IF($A469="Neuron",
IF(OR(
AND($S469&lt;&gt;"",LOWER(TRIM($S469))&lt;&gt;"n/a",COUNTIFS($B$2:$B$528,"Yes",$A$2:$A$528,"Neuron",$S$2:$S$528,$S469)&gt;1),
AND($T469&lt;&gt;"",LOWER(TRIM($T469))&lt;&gt;"n/a",COUNTIFS($B$2:$B$528,"Yes",$A$2:$A$528,"Neuron",$T$2:$T$528,$T469)&gt;1),
AND($W469&lt;&gt;"",LOWER(TRIM($W469))&lt;&gt;"n/a",COUNTIFS($B$2:$B$528,"Yes",$A$2:$A$528,"Neuron",$W$2:$W$528,$W469)&gt;1)
),"Yes","No"),
IF($A469="Cybernet",
IF(OR(
AND($Y469&lt;&gt;"",LOWER(TRIM($Y469))&lt;&gt;"n/a",COUNTIFS($B$2:$B$528,"Yes",$A$2:$A$528,"Cybernet",$Y$2:$Y$528,$Y469)&gt;1),
AND($Z469&lt;&gt;"",LOWER(TRIM($Z469))&lt;&gt;"n/a",COUNTIFS($B$2:$B$528,"Yes",$A$2:$A$528,"Cybernet",$Z$2:$Z$528,$Z469)&gt;1)
),"Yes","No"),
IF(AND($AL469&lt;&gt;"",LOWER(TRIM($AL469))&lt;&gt;"n/a"),
IF(COUNTIFS($B$2:$B$528,"Yes",$A$2:$A$528,$A469,$AL$2:$AL$528,$AL469)&gt;1,"Yes","No"),
"No")
)
)
)</f>
        <v/>
      </c>
      <c r="BL469" s="4" t="str">
        <f t="shared" si="22"/>
        <v/>
      </c>
      <c r="BM469" s="8" t="str">
        <f t="shared" si="23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 ht="15" customHeight="1">
      <c r="D470" s="15" t="str">
        <f t="shared" si="24"/>
        <v/>
      </c>
      <c r="E470" s="15" t="str">
        <f>IF($A470="","",IF($A470="Neuron",IF(OR(AND($S470&lt;&gt;"",LOWER(TRIM($S470))&lt;&gt;"n/a",COUNTIF($S$2:$S$528,$S470)&gt;1),AND($T470&lt;&gt;"",LOWER(TRIM($T470))&lt;&gt;"n/a",COUNTIF($T$2:$T$528,$T470)&gt;1),AND($W470&lt;&gt;"",LOWER(TRIM($W470))&lt;&gt;"n/a",COUNTIF($W$2:$W$528,$W470)&gt;1)),"Yes","No"),IF($A470="Cybernet",IF(OR(AND($Y470&lt;&gt;"",LOWER(TRIM($Y470))&lt;&gt;"n/a",COUNTIF($Y$2:$Y$528,$Y470)&gt;1),AND($Z470&lt;&gt;"",LOWER(TRIM($Z470))&lt;&gt;"n/a",COUNTIF($Z$2:$Z$528,$Z470)&gt;1)),"Yes","No"),IF(AND($AL470&lt;&gt;"",LOWER(TRIM($AL470))&lt;&gt;"n/a",COUNTIF($AL$2:$AL$528,$AL470)&gt;1),"Yes","No"))))</f>
        <v/>
      </c>
      <c r="F470" t="str">
        <f>IF($B470&lt;&gt;"Yes","",
IF($A470="Neuron",
IF(OR(
AND($S470&lt;&gt;"",LOWER(TRIM($S470))&lt;&gt;"n/a",COUNTIFS($B$2:$B$528,"Yes",$A$2:$A$528,"Neuron",$S$2:$S$528,$S470)&gt;1),
AND($T470&lt;&gt;"",LOWER(TRIM($T470))&lt;&gt;"n/a",COUNTIFS($B$2:$B$528,"Yes",$A$2:$A$528,"Neuron",$T$2:$T$528,$T470)&gt;1),
AND($W470&lt;&gt;"",LOWER(TRIM($W470))&lt;&gt;"n/a",COUNTIFS($B$2:$B$528,"Yes",$A$2:$A$528,"Neuron",$W$2:$W$528,$W470)&gt;1)
),"Yes","No"),
IF($A470="Cybernet",
IF(OR(
AND($Y470&lt;&gt;"",LOWER(TRIM($Y470))&lt;&gt;"n/a",COUNTIFS($B$2:$B$528,"Yes",$A$2:$A$528,"Cybernet",$Y$2:$Y$528,$Y470)&gt;1),
AND($Z470&lt;&gt;"",LOWER(TRIM($Z470))&lt;&gt;"n/a",COUNTIFS($B$2:$B$528,"Yes",$A$2:$A$528,"Cybernet",$Z$2:$Z$528,$Z470)&gt;1)
),"Yes","No"),
IF(AND($AL470&lt;&gt;"",LOWER(TRIM($AL470))&lt;&gt;"n/a"),
IF(COUNTIFS($B$2:$B$528,"Yes",$A$2:$A$528,$A470,$AL$2:$AL$528,$AL470)&gt;1,"Yes","No"),
"No")
)
)
)</f>
        <v/>
      </c>
      <c r="BL470" s="4" t="str">
        <f t="shared" si="22"/>
        <v/>
      </c>
      <c r="BM470" s="8" t="str">
        <f t="shared" si="23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 ht="15" customHeight="1">
      <c r="D471" s="15" t="str">
        <f t="shared" si="24"/>
        <v/>
      </c>
      <c r="E471" s="15" t="str">
        <f>IF($A471="","",IF($A471="Neuron",IF(OR(AND($S471&lt;&gt;"",LOWER(TRIM($S471))&lt;&gt;"n/a",COUNTIF($S$2:$S$528,$S471)&gt;1),AND($T471&lt;&gt;"",LOWER(TRIM($T471))&lt;&gt;"n/a",COUNTIF($T$2:$T$528,$T471)&gt;1),AND($W471&lt;&gt;"",LOWER(TRIM($W471))&lt;&gt;"n/a",COUNTIF($W$2:$W$528,$W471)&gt;1)),"Yes","No"),IF($A471="Cybernet",IF(OR(AND($Y471&lt;&gt;"",LOWER(TRIM($Y471))&lt;&gt;"n/a",COUNTIF($Y$2:$Y$528,$Y471)&gt;1),AND($Z471&lt;&gt;"",LOWER(TRIM($Z471))&lt;&gt;"n/a",COUNTIF($Z$2:$Z$528,$Z471)&gt;1)),"Yes","No"),IF(AND($AL471&lt;&gt;"",LOWER(TRIM($AL471))&lt;&gt;"n/a",COUNTIF($AL$2:$AL$528,$AL471)&gt;1),"Yes","No"))))</f>
        <v/>
      </c>
      <c r="F471" t="str">
        <f>IF($B471&lt;&gt;"Yes","",
IF($A471="Neuron",
IF(OR(
AND($S471&lt;&gt;"",LOWER(TRIM($S471))&lt;&gt;"n/a",COUNTIFS($B$2:$B$528,"Yes",$A$2:$A$528,"Neuron",$S$2:$S$528,$S471)&gt;1),
AND($T471&lt;&gt;"",LOWER(TRIM($T471))&lt;&gt;"n/a",COUNTIFS($B$2:$B$528,"Yes",$A$2:$A$528,"Neuron",$T$2:$T$528,$T471)&gt;1),
AND($W471&lt;&gt;"",LOWER(TRIM($W471))&lt;&gt;"n/a",COUNTIFS($B$2:$B$528,"Yes",$A$2:$A$528,"Neuron",$W$2:$W$528,$W471)&gt;1)
),"Yes","No"),
IF($A471="Cybernet",
IF(OR(
AND($Y471&lt;&gt;"",LOWER(TRIM($Y471))&lt;&gt;"n/a",COUNTIFS($B$2:$B$528,"Yes",$A$2:$A$528,"Cybernet",$Y$2:$Y$528,$Y471)&gt;1),
AND($Z471&lt;&gt;"",LOWER(TRIM($Z471))&lt;&gt;"n/a",COUNTIFS($B$2:$B$528,"Yes",$A$2:$A$528,"Cybernet",$Z$2:$Z$528,$Z471)&gt;1)
),"Yes","No"),
IF(AND($AL471&lt;&gt;"",LOWER(TRIM($AL471))&lt;&gt;"n/a"),
IF(COUNTIFS($B$2:$B$528,"Yes",$A$2:$A$528,$A471,$AL$2:$AL$528,$AL471)&gt;1,"Yes","No"),
"No")
)
)
)</f>
        <v/>
      </c>
      <c r="BL471" s="4" t="str">
        <f t="shared" si="22"/>
        <v/>
      </c>
      <c r="BM471" s="8" t="str">
        <f t="shared" si="23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 ht="15" customHeight="1">
      <c r="D472" s="15" t="str">
        <f t="shared" si="24"/>
        <v/>
      </c>
      <c r="E472" s="15" t="str">
        <f>IF($A472="","",IF($A472="Neuron",IF(OR(AND($S472&lt;&gt;"",LOWER(TRIM($S472))&lt;&gt;"n/a",COUNTIF($S$2:$S$528,$S472)&gt;1),AND($T472&lt;&gt;"",LOWER(TRIM($T472))&lt;&gt;"n/a",COUNTIF($T$2:$T$528,$T472)&gt;1),AND($W472&lt;&gt;"",LOWER(TRIM($W472))&lt;&gt;"n/a",COUNTIF($W$2:$W$528,$W472)&gt;1)),"Yes","No"),IF($A472="Cybernet",IF(OR(AND($Y472&lt;&gt;"",LOWER(TRIM($Y472))&lt;&gt;"n/a",COUNTIF($Y$2:$Y$528,$Y472)&gt;1),AND($Z472&lt;&gt;"",LOWER(TRIM($Z472))&lt;&gt;"n/a",COUNTIF($Z$2:$Z$528,$Z472)&gt;1)),"Yes","No"),IF(AND($AL472&lt;&gt;"",LOWER(TRIM($AL472))&lt;&gt;"n/a",COUNTIF($AL$2:$AL$528,$AL472)&gt;1),"Yes","No"))))</f>
        <v/>
      </c>
      <c r="F472" t="str">
        <f>IF($B472&lt;&gt;"Yes","",
IF($A472="Neuron",
IF(OR(
AND($S472&lt;&gt;"",LOWER(TRIM($S472))&lt;&gt;"n/a",COUNTIFS($B$2:$B$528,"Yes",$A$2:$A$528,"Neuron",$S$2:$S$528,$S472)&gt;1),
AND($T472&lt;&gt;"",LOWER(TRIM($T472))&lt;&gt;"n/a",COUNTIFS($B$2:$B$528,"Yes",$A$2:$A$528,"Neuron",$T$2:$T$528,$T472)&gt;1),
AND($W472&lt;&gt;"",LOWER(TRIM($W472))&lt;&gt;"n/a",COUNTIFS($B$2:$B$528,"Yes",$A$2:$A$528,"Neuron",$W$2:$W$528,$W472)&gt;1)
),"Yes","No"),
IF($A472="Cybernet",
IF(OR(
AND($Y472&lt;&gt;"",LOWER(TRIM($Y472))&lt;&gt;"n/a",COUNTIFS($B$2:$B$528,"Yes",$A$2:$A$528,"Cybernet",$Y$2:$Y$528,$Y472)&gt;1),
AND($Z472&lt;&gt;"",LOWER(TRIM($Z472))&lt;&gt;"n/a",COUNTIFS($B$2:$B$528,"Yes",$A$2:$A$528,"Cybernet",$Z$2:$Z$528,$Z472)&gt;1)
),"Yes","No"),
IF(AND($AL472&lt;&gt;"",LOWER(TRIM($AL472))&lt;&gt;"n/a"),
IF(COUNTIFS($B$2:$B$528,"Yes",$A$2:$A$528,$A472,$AL$2:$AL$528,$AL472)&gt;1,"Yes","No"),
"No")
)
)
)</f>
        <v/>
      </c>
      <c r="BL472" s="4" t="str">
        <f t="shared" si="22"/>
        <v/>
      </c>
      <c r="BM472" s="8" t="str">
        <f t="shared" si="23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 ht="15" customHeight="1">
      <c r="D473" s="15" t="str">
        <f t="shared" si="24"/>
        <v/>
      </c>
      <c r="E473" s="15" t="str">
        <f>IF($A473="","",IF($A473="Neuron",IF(OR(AND($S473&lt;&gt;"",LOWER(TRIM($S473))&lt;&gt;"n/a",COUNTIF($S$2:$S$528,$S473)&gt;1),AND($T473&lt;&gt;"",LOWER(TRIM($T473))&lt;&gt;"n/a",COUNTIF($T$2:$T$528,$T473)&gt;1),AND($W473&lt;&gt;"",LOWER(TRIM($W473))&lt;&gt;"n/a",COUNTIF($W$2:$W$528,$W473)&gt;1)),"Yes","No"),IF($A473="Cybernet",IF(OR(AND($Y473&lt;&gt;"",LOWER(TRIM($Y473))&lt;&gt;"n/a",COUNTIF($Y$2:$Y$528,$Y473)&gt;1),AND($Z473&lt;&gt;"",LOWER(TRIM($Z473))&lt;&gt;"n/a",COUNTIF($Z$2:$Z$528,$Z473)&gt;1)),"Yes","No"),IF(AND($AL473&lt;&gt;"",LOWER(TRIM($AL473))&lt;&gt;"n/a",COUNTIF($AL$2:$AL$528,$AL473)&gt;1),"Yes","No"))))</f>
        <v/>
      </c>
      <c r="F473" t="str">
        <f>IF($B473&lt;&gt;"Yes","",
IF($A473="Neuron",
IF(OR(
AND($S473&lt;&gt;"",LOWER(TRIM($S473))&lt;&gt;"n/a",COUNTIFS($B$2:$B$528,"Yes",$A$2:$A$528,"Neuron",$S$2:$S$528,$S473)&gt;1),
AND($T473&lt;&gt;"",LOWER(TRIM($T473))&lt;&gt;"n/a",COUNTIFS($B$2:$B$528,"Yes",$A$2:$A$528,"Neuron",$T$2:$T$528,$T473)&gt;1),
AND($W473&lt;&gt;"",LOWER(TRIM($W473))&lt;&gt;"n/a",COUNTIFS($B$2:$B$528,"Yes",$A$2:$A$528,"Neuron",$W$2:$W$528,$W473)&gt;1)
),"Yes","No"),
IF($A473="Cybernet",
IF(OR(
AND($Y473&lt;&gt;"",LOWER(TRIM($Y473))&lt;&gt;"n/a",COUNTIFS($B$2:$B$528,"Yes",$A$2:$A$528,"Cybernet",$Y$2:$Y$528,$Y473)&gt;1),
AND($Z473&lt;&gt;"",LOWER(TRIM($Z473))&lt;&gt;"n/a",COUNTIFS($B$2:$B$528,"Yes",$A$2:$A$528,"Cybernet",$Z$2:$Z$528,$Z473)&gt;1)
),"Yes","No"),
IF(AND($AL473&lt;&gt;"",LOWER(TRIM($AL473))&lt;&gt;"n/a"),
IF(COUNTIFS($B$2:$B$528,"Yes",$A$2:$A$528,$A473,$AL$2:$AL$528,$AL473)&gt;1,"Yes","No"),
"No")
)
)
)</f>
        <v/>
      </c>
      <c r="BL473" s="4" t="str">
        <f t="shared" si="22"/>
        <v/>
      </c>
      <c r="BM473" s="8" t="str">
        <f t="shared" si="23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 ht="15" customHeight="1">
      <c r="D474" s="15" t="str">
        <f t="shared" si="24"/>
        <v/>
      </c>
      <c r="E474" s="15" t="str">
        <f>IF($A474="","",IF($A474="Neuron",IF(OR(AND($S474&lt;&gt;"",LOWER(TRIM($S474))&lt;&gt;"n/a",COUNTIF($S$2:$S$528,$S474)&gt;1),AND($T474&lt;&gt;"",LOWER(TRIM($T474))&lt;&gt;"n/a",COUNTIF($T$2:$T$528,$T474)&gt;1),AND($W474&lt;&gt;"",LOWER(TRIM($W474))&lt;&gt;"n/a",COUNTIF($W$2:$W$528,$W474)&gt;1)),"Yes","No"),IF($A474="Cybernet",IF(OR(AND($Y474&lt;&gt;"",LOWER(TRIM($Y474))&lt;&gt;"n/a",COUNTIF($Y$2:$Y$528,$Y474)&gt;1),AND($Z474&lt;&gt;"",LOWER(TRIM($Z474))&lt;&gt;"n/a",COUNTIF($Z$2:$Z$528,$Z474)&gt;1)),"Yes","No"),IF(AND($AL474&lt;&gt;"",LOWER(TRIM($AL474))&lt;&gt;"n/a",COUNTIF($AL$2:$AL$528,$AL474)&gt;1),"Yes","No"))))</f>
        <v/>
      </c>
      <c r="F474" t="str">
        <f>IF($B474&lt;&gt;"Yes","",
IF($A474="Neuron",
IF(OR(
AND($S474&lt;&gt;"",LOWER(TRIM($S474))&lt;&gt;"n/a",COUNTIFS($B$2:$B$528,"Yes",$A$2:$A$528,"Neuron",$S$2:$S$528,$S474)&gt;1),
AND($T474&lt;&gt;"",LOWER(TRIM($T474))&lt;&gt;"n/a",COUNTIFS($B$2:$B$528,"Yes",$A$2:$A$528,"Neuron",$T$2:$T$528,$T474)&gt;1),
AND($W474&lt;&gt;"",LOWER(TRIM($W474))&lt;&gt;"n/a",COUNTIFS($B$2:$B$528,"Yes",$A$2:$A$528,"Neuron",$W$2:$W$528,$W474)&gt;1)
),"Yes","No"),
IF($A474="Cybernet",
IF(OR(
AND($Y474&lt;&gt;"",LOWER(TRIM($Y474))&lt;&gt;"n/a",COUNTIFS($B$2:$B$528,"Yes",$A$2:$A$528,"Cybernet",$Y$2:$Y$528,$Y474)&gt;1),
AND($Z474&lt;&gt;"",LOWER(TRIM($Z474))&lt;&gt;"n/a",COUNTIFS($B$2:$B$528,"Yes",$A$2:$A$528,"Cybernet",$Z$2:$Z$528,$Z474)&gt;1)
),"Yes","No"),
IF(AND($AL474&lt;&gt;"",LOWER(TRIM($AL474))&lt;&gt;"n/a"),
IF(COUNTIFS($B$2:$B$528,"Yes",$A$2:$A$528,$A474,$AL$2:$AL$528,$AL474)&gt;1,"Yes","No"),
"No")
)
)
)</f>
        <v/>
      </c>
      <c r="BL474" s="4" t="str">
        <f t="shared" si="22"/>
        <v/>
      </c>
      <c r="BM474" s="8" t="str">
        <f t="shared" si="23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 ht="15" customHeight="1">
      <c r="D475" s="15" t="str">
        <f t="shared" si="24"/>
        <v/>
      </c>
      <c r="E475" s="15" t="str">
        <f>IF($A475="","",IF($A475="Neuron",IF(OR(AND($S475&lt;&gt;"",LOWER(TRIM($S475))&lt;&gt;"n/a",COUNTIF($S$2:$S$528,$S475)&gt;1),AND($T475&lt;&gt;"",LOWER(TRIM($T475))&lt;&gt;"n/a",COUNTIF($T$2:$T$528,$T475)&gt;1),AND($W475&lt;&gt;"",LOWER(TRIM($W475))&lt;&gt;"n/a",COUNTIF($W$2:$W$528,$W475)&gt;1)),"Yes","No"),IF($A475="Cybernet",IF(OR(AND($Y475&lt;&gt;"",LOWER(TRIM($Y475))&lt;&gt;"n/a",COUNTIF($Y$2:$Y$528,$Y475)&gt;1),AND($Z475&lt;&gt;"",LOWER(TRIM($Z475))&lt;&gt;"n/a",COUNTIF($Z$2:$Z$528,$Z475)&gt;1)),"Yes","No"),IF(AND($AL475&lt;&gt;"",LOWER(TRIM($AL475))&lt;&gt;"n/a",COUNTIF($AL$2:$AL$528,$AL475)&gt;1),"Yes","No"))))</f>
        <v/>
      </c>
      <c r="F475" t="str">
        <f>IF($B475&lt;&gt;"Yes","",
IF($A475="Neuron",
IF(OR(
AND($S475&lt;&gt;"",LOWER(TRIM($S475))&lt;&gt;"n/a",COUNTIFS($B$2:$B$528,"Yes",$A$2:$A$528,"Neuron",$S$2:$S$528,$S475)&gt;1),
AND($T475&lt;&gt;"",LOWER(TRIM($T475))&lt;&gt;"n/a",COUNTIFS($B$2:$B$528,"Yes",$A$2:$A$528,"Neuron",$T$2:$T$528,$T475)&gt;1),
AND($W475&lt;&gt;"",LOWER(TRIM($W475))&lt;&gt;"n/a",COUNTIFS($B$2:$B$528,"Yes",$A$2:$A$528,"Neuron",$W$2:$W$528,$W475)&gt;1)
),"Yes","No"),
IF($A475="Cybernet",
IF(OR(
AND($Y475&lt;&gt;"",LOWER(TRIM($Y475))&lt;&gt;"n/a",COUNTIFS($B$2:$B$528,"Yes",$A$2:$A$528,"Cybernet",$Y$2:$Y$528,$Y475)&gt;1),
AND($Z475&lt;&gt;"",LOWER(TRIM($Z475))&lt;&gt;"n/a",COUNTIFS($B$2:$B$528,"Yes",$A$2:$A$528,"Cybernet",$Z$2:$Z$528,$Z475)&gt;1)
),"Yes","No"),
IF(AND($AL475&lt;&gt;"",LOWER(TRIM($AL475))&lt;&gt;"n/a"),
IF(COUNTIFS($B$2:$B$528,"Yes",$A$2:$A$528,$A475,$AL$2:$AL$528,$AL475)&gt;1,"Yes","No"),
"No")
)
)
)</f>
        <v/>
      </c>
      <c r="BL475" s="4" t="str">
        <f t="shared" si="22"/>
        <v/>
      </c>
      <c r="BM475" s="8" t="str">
        <f t="shared" si="23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 ht="15" customHeight="1">
      <c r="D476" s="15" t="str">
        <f t="shared" si="24"/>
        <v/>
      </c>
      <c r="E476" s="15" t="str">
        <f>IF($A476="","",IF($A476="Neuron",IF(OR(AND($S476&lt;&gt;"",LOWER(TRIM($S476))&lt;&gt;"n/a",COUNTIF($S$2:$S$528,$S476)&gt;1),AND($T476&lt;&gt;"",LOWER(TRIM($T476))&lt;&gt;"n/a",COUNTIF($T$2:$T$528,$T476)&gt;1),AND($W476&lt;&gt;"",LOWER(TRIM($W476))&lt;&gt;"n/a",COUNTIF($W$2:$W$528,$W476)&gt;1)),"Yes","No"),IF($A476="Cybernet",IF(OR(AND($Y476&lt;&gt;"",LOWER(TRIM($Y476))&lt;&gt;"n/a",COUNTIF($Y$2:$Y$528,$Y476)&gt;1),AND($Z476&lt;&gt;"",LOWER(TRIM($Z476))&lt;&gt;"n/a",COUNTIF($Z$2:$Z$528,$Z476)&gt;1)),"Yes","No"),IF(AND($AL476&lt;&gt;"",LOWER(TRIM($AL476))&lt;&gt;"n/a",COUNTIF($AL$2:$AL$528,$AL476)&gt;1),"Yes","No"))))</f>
        <v/>
      </c>
      <c r="F476" t="str">
        <f>IF($B476&lt;&gt;"Yes","",
IF($A476="Neuron",
IF(OR(
AND($S476&lt;&gt;"",LOWER(TRIM($S476))&lt;&gt;"n/a",COUNTIFS($B$2:$B$528,"Yes",$A$2:$A$528,"Neuron",$S$2:$S$528,$S476)&gt;1),
AND($T476&lt;&gt;"",LOWER(TRIM($T476))&lt;&gt;"n/a",COUNTIFS($B$2:$B$528,"Yes",$A$2:$A$528,"Neuron",$T$2:$T$528,$T476)&gt;1),
AND($W476&lt;&gt;"",LOWER(TRIM($W476))&lt;&gt;"n/a",COUNTIFS($B$2:$B$528,"Yes",$A$2:$A$528,"Neuron",$W$2:$W$528,$W476)&gt;1)
),"Yes","No"),
IF($A476="Cybernet",
IF(OR(
AND($Y476&lt;&gt;"",LOWER(TRIM($Y476))&lt;&gt;"n/a",COUNTIFS($B$2:$B$528,"Yes",$A$2:$A$528,"Cybernet",$Y$2:$Y$528,$Y476)&gt;1),
AND($Z476&lt;&gt;"",LOWER(TRIM($Z476))&lt;&gt;"n/a",COUNTIFS($B$2:$B$528,"Yes",$A$2:$A$528,"Cybernet",$Z$2:$Z$528,$Z476)&gt;1)
),"Yes","No"),
IF(AND($AL476&lt;&gt;"",LOWER(TRIM($AL476))&lt;&gt;"n/a"),
IF(COUNTIFS($B$2:$B$528,"Yes",$A$2:$A$528,$A476,$AL$2:$AL$528,$AL476)&gt;1,"Yes","No"),
"No")
)
)
)</f>
        <v/>
      </c>
      <c r="BL476" s="4" t="str">
        <f t="shared" si="22"/>
        <v/>
      </c>
      <c r="BM476" s="8" t="str">
        <f t="shared" si="23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 ht="15" customHeight="1">
      <c r="D477" s="15" t="str">
        <f t="shared" si="24"/>
        <v/>
      </c>
      <c r="E477" s="15" t="str">
        <f>IF($A477="","",IF($A477="Neuron",IF(OR(AND($S477&lt;&gt;"",LOWER(TRIM($S477))&lt;&gt;"n/a",COUNTIF($S$2:$S$528,$S477)&gt;1),AND($T477&lt;&gt;"",LOWER(TRIM($T477))&lt;&gt;"n/a",COUNTIF($T$2:$T$528,$T477)&gt;1),AND($W477&lt;&gt;"",LOWER(TRIM($W477))&lt;&gt;"n/a",COUNTIF($W$2:$W$528,$W477)&gt;1)),"Yes","No"),IF($A477="Cybernet",IF(OR(AND($Y477&lt;&gt;"",LOWER(TRIM($Y477))&lt;&gt;"n/a",COUNTIF($Y$2:$Y$528,$Y477)&gt;1),AND($Z477&lt;&gt;"",LOWER(TRIM($Z477))&lt;&gt;"n/a",COUNTIF($Z$2:$Z$528,$Z477)&gt;1)),"Yes","No"),IF(AND($AL477&lt;&gt;"",LOWER(TRIM($AL477))&lt;&gt;"n/a",COUNTIF($AL$2:$AL$528,$AL477)&gt;1),"Yes","No"))))</f>
        <v/>
      </c>
      <c r="F477" t="str">
        <f>IF($B477&lt;&gt;"Yes","",
IF($A477="Neuron",
IF(OR(
AND($S477&lt;&gt;"",LOWER(TRIM($S477))&lt;&gt;"n/a",COUNTIFS($B$2:$B$528,"Yes",$A$2:$A$528,"Neuron",$S$2:$S$528,$S477)&gt;1),
AND($T477&lt;&gt;"",LOWER(TRIM($T477))&lt;&gt;"n/a",COUNTIFS($B$2:$B$528,"Yes",$A$2:$A$528,"Neuron",$T$2:$T$528,$T477)&gt;1),
AND($W477&lt;&gt;"",LOWER(TRIM($W477))&lt;&gt;"n/a",COUNTIFS($B$2:$B$528,"Yes",$A$2:$A$528,"Neuron",$W$2:$W$528,$W477)&gt;1)
),"Yes","No"),
IF($A477="Cybernet",
IF(OR(
AND($Y477&lt;&gt;"",LOWER(TRIM($Y477))&lt;&gt;"n/a",COUNTIFS($B$2:$B$528,"Yes",$A$2:$A$528,"Cybernet",$Y$2:$Y$528,$Y477)&gt;1),
AND($Z477&lt;&gt;"",LOWER(TRIM($Z477))&lt;&gt;"n/a",COUNTIFS($B$2:$B$528,"Yes",$A$2:$A$528,"Cybernet",$Z$2:$Z$528,$Z477)&gt;1)
),"Yes","No"),
IF(AND($AL477&lt;&gt;"",LOWER(TRIM($AL477))&lt;&gt;"n/a"),
IF(COUNTIFS($B$2:$B$528,"Yes",$A$2:$A$528,$A477,$AL$2:$AL$528,$AL477)&gt;1,"Yes","No"),
"No")
)
)
)</f>
        <v/>
      </c>
      <c r="BL477" s="4" t="str">
        <f t="shared" si="22"/>
        <v/>
      </c>
      <c r="BM477" s="8" t="str">
        <f t="shared" si="23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 ht="15" customHeight="1">
      <c r="D478" s="15" t="str">
        <f t="shared" si="24"/>
        <v/>
      </c>
      <c r="E478" s="15" t="str">
        <f>IF($A478="","",IF($A478="Neuron",IF(OR(AND($S478&lt;&gt;"",LOWER(TRIM($S478))&lt;&gt;"n/a",COUNTIF($S$2:$S$528,$S478)&gt;1),AND($T478&lt;&gt;"",LOWER(TRIM($T478))&lt;&gt;"n/a",COUNTIF($T$2:$T$528,$T478)&gt;1),AND($W478&lt;&gt;"",LOWER(TRIM($W478))&lt;&gt;"n/a",COUNTIF($W$2:$W$528,$W478)&gt;1)),"Yes","No"),IF($A478="Cybernet",IF(OR(AND($Y478&lt;&gt;"",LOWER(TRIM($Y478))&lt;&gt;"n/a",COUNTIF($Y$2:$Y$528,$Y478)&gt;1),AND($Z478&lt;&gt;"",LOWER(TRIM($Z478))&lt;&gt;"n/a",COUNTIF($Z$2:$Z$528,$Z478)&gt;1)),"Yes","No"),IF(AND($AL478&lt;&gt;"",LOWER(TRIM($AL478))&lt;&gt;"n/a",COUNTIF($AL$2:$AL$528,$AL478)&gt;1),"Yes","No"))))</f>
        <v/>
      </c>
      <c r="F478" t="str">
        <f>IF($B478&lt;&gt;"Yes","",
IF($A478="Neuron",
IF(OR(
AND($S478&lt;&gt;"",LOWER(TRIM($S478))&lt;&gt;"n/a",COUNTIFS($B$2:$B$528,"Yes",$A$2:$A$528,"Neuron",$S$2:$S$528,$S478)&gt;1),
AND($T478&lt;&gt;"",LOWER(TRIM($T478))&lt;&gt;"n/a",COUNTIFS($B$2:$B$528,"Yes",$A$2:$A$528,"Neuron",$T$2:$T$528,$T478)&gt;1),
AND($W478&lt;&gt;"",LOWER(TRIM($W478))&lt;&gt;"n/a",COUNTIFS($B$2:$B$528,"Yes",$A$2:$A$528,"Neuron",$W$2:$W$528,$W478)&gt;1)
),"Yes","No"),
IF($A478="Cybernet",
IF(OR(
AND($Y478&lt;&gt;"",LOWER(TRIM($Y478))&lt;&gt;"n/a",COUNTIFS($B$2:$B$528,"Yes",$A$2:$A$528,"Cybernet",$Y$2:$Y$528,$Y478)&gt;1),
AND($Z478&lt;&gt;"",LOWER(TRIM($Z478))&lt;&gt;"n/a",COUNTIFS($B$2:$B$528,"Yes",$A$2:$A$528,"Cybernet",$Z$2:$Z$528,$Z478)&gt;1)
),"Yes","No"),
IF(AND($AL478&lt;&gt;"",LOWER(TRIM($AL478))&lt;&gt;"n/a"),
IF(COUNTIFS($B$2:$B$528,"Yes",$A$2:$A$528,$A478,$AL$2:$AL$528,$AL478)&gt;1,"Yes","No"),
"No")
)
)
)</f>
        <v/>
      </c>
      <c r="BL478" s="4" t="str">
        <f t="shared" si="22"/>
        <v/>
      </c>
      <c r="BM478" s="8" t="str">
        <f t="shared" si="23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 ht="15" customHeight="1">
      <c r="D479" s="15" t="str">
        <f t="shared" si="24"/>
        <v/>
      </c>
      <c r="E479" s="15" t="str">
        <f>IF($A479="","",IF($A479="Neuron",IF(OR(AND($S479&lt;&gt;"",LOWER(TRIM($S479))&lt;&gt;"n/a",COUNTIF($S$2:$S$528,$S479)&gt;1),AND($T479&lt;&gt;"",LOWER(TRIM($T479))&lt;&gt;"n/a",COUNTIF($T$2:$T$528,$T479)&gt;1),AND($W479&lt;&gt;"",LOWER(TRIM($W479))&lt;&gt;"n/a",COUNTIF($W$2:$W$528,$W479)&gt;1)),"Yes","No"),IF($A479="Cybernet",IF(OR(AND($Y479&lt;&gt;"",LOWER(TRIM($Y479))&lt;&gt;"n/a",COUNTIF($Y$2:$Y$528,$Y479)&gt;1),AND($Z479&lt;&gt;"",LOWER(TRIM($Z479))&lt;&gt;"n/a",COUNTIF($Z$2:$Z$528,$Z479)&gt;1)),"Yes","No"),IF(AND($AL479&lt;&gt;"",LOWER(TRIM($AL479))&lt;&gt;"n/a",COUNTIF($AL$2:$AL$528,$AL479)&gt;1),"Yes","No"))))</f>
        <v/>
      </c>
      <c r="F479" t="str">
        <f>IF($B479&lt;&gt;"Yes","",
IF($A479="Neuron",
IF(OR(
AND($S479&lt;&gt;"",LOWER(TRIM($S479))&lt;&gt;"n/a",COUNTIFS($B$2:$B$528,"Yes",$A$2:$A$528,"Neuron",$S$2:$S$528,$S479)&gt;1),
AND($T479&lt;&gt;"",LOWER(TRIM($T479))&lt;&gt;"n/a",COUNTIFS($B$2:$B$528,"Yes",$A$2:$A$528,"Neuron",$T$2:$T$528,$T479)&gt;1),
AND($W479&lt;&gt;"",LOWER(TRIM($W479))&lt;&gt;"n/a",COUNTIFS($B$2:$B$528,"Yes",$A$2:$A$528,"Neuron",$W$2:$W$528,$W479)&gt;1)
),"Yes","No"),
IF($A479="Cybernet",
IF(OR(
AND($Y479&lt;&gt;"",LOWER(TRIM($Y479))&lt;&gt;"n/a",COUNTIFS($B$2:$B$528,"Yes",$A$2:$A$528,"Cybernet",$Y$2:$Y$528,$Y479)&gt;1),
AND($Z479&lt;&gt;"",LOWER(TRIM($Z479))&lt;&gt;"n/a",COUNTIFS($B$2:$B$528,"Yes",$A$2:$A$528,"Cybernet",$Z$2:$Z$528,$Z479)&gt;1)
),"Yes","No"),
IF(AND($AL479&lt;&gt;"",LOWER(TRIM($AL479))&lt;&gt;"n/a"),
IF(COUNTIFS($B$2:$B$528,"Yes",$A$2:$A$528,$A479,$AL$2:$AL$528,$AL479)&gt;1,"Yes","No"),
"No")
)
)
)</f>
        <v/>
      </c>
      <c r="BL479" s="4" t="str">
        <f t="shared" si="22"/>
        <v/>
      </c>
      <c r="BM479" s="8" t="str">
        <f t="shared" si="23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 ht="15" customHeight="1">
      <c r="D480" s="15" t="str">
        <f t="shared" si="24"/>
        <v/>
      </c>
      <c r="E480" s="15" t="str">
        <f>IF($A480="","",IF($A480="Neuron",IF(OR(AND($S480&lt;&gt;"",LOWER(TRIM($S480))&lt;&gt;"n/a",COUNTIF($S$2:$S$528,$S480)&gt;1),AND($T480&lt;&gt;"",LOWER(TRIM($T480))&lt;&gt;"n/a",COUNTIF($T$2:$T$528,$T480)&gt;1),AND($W480&lt;&gt;"",LOWER(TRIM($W480))&lt;&gt;"n/a",COUNTIF($W$2:$W$528,$W480)&gt;1)),"Yes","No"),IF($A480="Cybernet",IF(OR(AND($Y480&lt;&gt;"",LOWER(TRIM($Y480))&lt;&gt;"n/a",COUNTIF($Y$2:$Y$528,$Y480)&gt;1),AND($Z480&lt;&gt;"",LOWER(TRIM($Z480))&lt;&gt;"n/a",COUNTIF($Z$2:$Z$528,$Z480)&gt;1)),"Yes","No"),IF(AND($AL480&lt;&gt;"",LOWER(TRIM($AL480))&lt;&gt;"n/a",COUNTIF($AL$2:$AL$528,$AL480)&gt;1),"Yes","No"))))</f>
        <v/>
      </c>
      <c r="F480" t="str">
        <f>IF($B480&lt;&gt;"Yes","",
IF($A480="Neuron",
IF(OR(
AND($S480&lt;&gt;"",LOWER(TRIM($S480))&lt;&gt;"n/a",COUNTIFS($B$2:$B$528,"Yes",$A$2:$A$528,"Neuron",$S$2:$S$528,$S480)&gt;1),
AND($T480&lt;&gt;"",LOWER(TRIM($T480))&lt;&gt;"n/a",COUNTIFS($B$2:$B$528,"Yes",$A$2:$A$528,"Neuron",$T$2:$T$528,$T480)&gt;1),
AND($W480&lt;&gt;"",LOWER(TRIM($W480))&lt;&gt;"n/a",COUNTIFS($B$2:$B$528,"Yes",$A$2:$A$528,"Neuron",$W$2:$W$528,$W480)&gt;1)
),"Yes","No"),
IF($A480="Cybernet",
IF(OR(
AND($Y480&lt;&gt;"",LOWER(TRIM($Y480))&lt;&gt;"n/a",COUNTIFS($B$2:$B$528,"Yes",$A$2:$A$528,"Cybernet",$Y$2:$Y$528,$Y480)&gt;1),
AND($Z480&lt;&gt;"",LOWER(TRIM($Z480))&lt;&gt;"n/a",COUNTIFS($B$2:$B$528,"Yes",$A$2:$A$528,"Cybernet",$Z$2:$Z$528,$Z480)&gt;1)
),"Yes","No"),
IF(AND($AL480&lt;&gt;"",LOWER(TRIM($AL480))&lt;&gt;"n/a"),
IF(COUNTIFS($B$2:$B$528,"Yes",$A$2:$A$528,$A480,$AL$2:$AL$528,$AL480)&gt;1,"Yes","No"),
"No")
)
)
)</f>
        <v/>
      </c>
      <c r="BL480" s="4" t="str">
        <f t="shared" si="22"/>
        <v/>
      </c>
      <c r="BM480" s="8" t="str">
        <f t="shared" si="23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 ht="15" customHeight="1">
      <c r="D481" s="15" t="str">
        <f t="shared" si="24"/>
        <v/>
      </c>
      <c r="E481" s="15" t="str">
        <f>IF($A481="","",IF($A481="Neuron",IF(OR(AND($S481&lt;&gt;"",LOWER(TRIM($S481))&lt;&gt;"n/a",COUNTIF($S$2:$S$528,$S481)&gt;1),AND($T481&lt;&gt;"",LOWER(TRIM($T481))&lt;&gt;"n/a",COUNTIF($T$2:$T$528,$T481)&gt;1),AND($W481&lt;&gt;"",LOWER(TRIM($W481))&lt;&gt;"n/a",COUNTIF($W$2:$W$528,$W481)&gt;1)),"Yes","No"),IF($A481="Cybernet",IF(OR(AND($Y481&lt;&gt;"",LOWER(TRIM($Y481))&lt;&gt;"n/a",COUNTIF($Y$2:$Y$528,$Y481)&gt;1),AND($Z481&lt;&gt;"",LOWER(TRIM($Z481))&lt;&gt;"n/a",COUNTIF($Z$2:$Z$528,$Z481)&gt;1)),"Yes","No"),IF(AND($AL481&lt;&gt;"",LOWER(TRIM($AL481))&lt;&gt;"n/a",COUNTIF($AL$2:$AL$528,$AL481)&gt;1),"Yes","No"))))</f>
        <v/>
      </c>
      <c r="F481" t="str">
        <f>IF($B481&lt;&gt;"Yes","",
IF($A481="Neuron",
IF(OR(
AND($S481&lt;&gt;"",LOWER(TRIM($S481))&lt;&gt;"n/a",COUNTIFS($B$2:$B$528,"Yes",$A$2:$A$528,"Neuron",$S$2:$S$528,$S481)&gt;1),
AND($T481&lt;&gt;"",LOWER(TRIM($T481))&lt;&gt;"n/a",COUNTIFS($B$2:$B$528,"Yes",$A$2:$A$528,"Neuron",$T$2:$T$528,$T481)&gt;1),
AND($W481&lt;&gt;"",LOWER(TRIM($W481))&lt;&gt;"n/a",COUNTIFS($B$2:$B$528,"Yes",$A$2:$A$528,"Neuron",$W$2:$W$528,$W481)&gt;1)
),"Yes","No"),
IF($A481="Cybernet",
IF(OR(
AND($Y481&lt;&gt;"",LOWER(TRIM($Y481))&lt;&gt;"n/a",COUNTIFS($B$2:$B$528,"Yes",$A$2:$A$528,"Cybernet",$Y$2:$Y$528,$Y481)&gt;1),
AND($Z481&lt;&gt;"",LOWER(TRIM($Z481))&lt;&gt;"n/a",COUNTIFS($B$2:$B$528,"Yes",$A$2:$A$528,"Cybernet",$Z$2:$Z$528,$Z481)&gt;1)
),"Yes","No"),
IF(AND($AL481&lt;&gt;"",LOWER(TRIM($AL481))&lt;&gt;"n/a"),
IF(COUNTIFS($B$2:$B$528,"Yes",$A$2:$A$528,$A481,$AL$2:$AL$528,$AL481)&gt;1,"Yes","No"),
"No")
)
)
)</f>
        <v/>
      </c>
      <c r="BL481" s="4" t="str">
        <f t="shared" si="22"/>
        <v/>
      </c>
      <c r="BM481" s="8" t="str">
        <f t="shared" si="23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 ht="15" customHeight="1">
      <c r="D482" s="15" t="str">
        <f t="shared" si="24"/>
        <v/>
      </c>
      <c r="E482" s="15" t="str">
        <f>IF($A482="","",IF($A482="Neuron",IF(OR(AND($S482&lt;&gt;"",LOWER(TRIM($S482))&lt;&gt;"n/a",COUNTIF($S$2:$S$528,$S482)&gt;1),AND($T482&lt;&gt;"",LOWER(TRIM($T482))&lt;&gt;"n/a",COUNTIF($T$2:$T$528,$T482)&gt;1),AND($W482&lt;&gt;"",LOWER(TRIM($W482))&lt;&gt;"n/a",COUNTIF($W$2:$W$528,$W482)&gt;1)),"Yes","No"),IF($A482="Cybernet",IF(OR(AND($Y482&lt;&gt;"",LOWER(TRIM($Y482))&lt;&gt;"n/a",COUNTIF($Y$2:$Y$528,$Y482)&gt;1),AND($Z482&lt;&gt;"",LOWER(TRIM($Z482))&lt;&gt;"n/a",COUNTIF($Z$2:$Z$528,$Z482)&gt;1)),"Yes","No"),IF(AND($AL482&lt;&gt;"",LOWER(TRIM($AL482))&lt;&gt;"n/a",COUNTIF($AL$2:$AL$528,$AL482)&gt;1),"Yes","No"))))</f>
        <v/>
      </c>
      <c r="F482" t="str">
        <f>IF($B482&lt;&gt;"Yes","",
IF($A482="Neuron",
IF(OR(
AND($S482&lt;&gt;"",LOWER(TRIM($S482))&lt;&gt;"n/a",COUNTIFS($B$2:$B$528,"Yes",$A$2:$A$528,"Neuron",$S$2:$S$528,$S482)&gt;1),
AND($T482&lt;&gt;"",LOWER(TRIM($T482))&lt;&gt;"n/a",COUNTIFS($B$2:$B$528,"Yes",$A$2:$A$528,"Neuron",$T$2:$T$528,$T482)&gt;1),
AND($W482&lt;&gt;"",LOWER(TRIM($W482))&lt;&gt;"n/a",COUNTIFS($B$2:$B$528,"Yes",$A$2:$A$528,"Neuron",$W$2:$W$528,$W482)&gt;1)
),"Yes","No"),
IF($A482="Cybernet",
IF(OR(
AND($Y482&lt;&gt;"",LOWER(TRIM($Y482))&lt;&gt;"n/a",COUNTIFS($B$2:$B$528,"Yes",$A$2:$A$528,"Cybernet",$Y$2:$Y$528,$Y482)&gt;1),
AND($Z482&lt;&gt;"",LOWER(TRIM($Z482))&lt;&gt;"n/a",COUNTIFS($B$2:$B$528,"Yes",$A$2:$A$528,"Cybernet",$Z$2:$Z$528,$Z482)&gt;1)
),"Yes","No"),
IF(AND($AL482&lt;&gt;"",LOWER(TRIM($AL482))&lt;&gt;"n/a"),
IF(COUNTIFS($B$2:$B$528,"Yes",$A$2:$A$528,$A482,$AL$2:$AL$528,$AL482)&gt;1,"Yes","No"),
"No")
)
)
)</f>
        <v/>
      </c>
      <c r="BL482" s="4" t="str">
        <f t="shared" si="22"/>
        <v/>
      </c>
      <c r="BM482" s="8" t="str">
        <f t="shared" si="23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 ht="15" customHeight="1">
      <c r="D483" s="15" t="str">
        <f t="shared" si="24"/>
        <v/>
      </c>
      <c r="E483" s="15" t="str">
        <f>IF($A483="","",IF($A483="Neuron",IF(OR(AND($S483&lt;&gt;"",LOWER(TRIM($S483))&lt;&gt;"n/a",COUNTIF($S$2:$S$528,$S483)&gt;1),AND($T483&lt;&gt;"",LOWER(TRIM($T483))&lt;&gt;"n/a",COUNTIF($T$2:$T$528,$T483)&gt;1),AND($W483&lt;&gt;"",LOWER(TRIM($W483))&lt;&gt;"n/a",COUNTIF($W$2:$W$528,$W483)&gt;1)),"Yes","No"),IF($A483="Cybernet",IF(OR(AND($Y483&lt;&gt;"",LOWER(TRIM($Y483))&lt;&gt;"n/a",COUNTIF($Y$2:$Y$528,$Y483)&gt;1),AND($Z483&lt;&gt;"",LOWER(TRIM($Z483))&lt;&gt;"n/a",COUNTIF($Z$2:$Z$528,$Z483)&gt;1)),"Yes","No"),IF(AND($AL483&lt;&gt;"",LOWER(TRIM($AL483))&lt;&gt;"n/a",COUNTIF($AL$2:$AL$528,$AL483)&gt;1),"Yes","No"))))</f>
        <v/>
      </c>
      <c r="F483" t="str">
        <f>IF($B483&lt;&gt;"Yes","",
IF($A483="Neuron",
IF(OR(
AND($S483&lt;&gt;"",LOWER(TRIM($S483))&lt;&gt;"n/a",COUNTIFS($B$2:$B$528,"Yes",$A$2:$A$528,"Neuron",$S$2:$S$528,$S483)&gt;1),
AND($T483&lt;&gt;"",LOWER(TRIM($T483))&lt;&gt;"n/a",COUNTIFS($B$2:$B$528,"Yes",$A$2:$A$528,"Neuron",$T$2:$T$528,$T483)&gt;1),
AND($W483&lt;&gt;"",LOWER(TRIM($W483))&lt;&gt;"n/a",COUNTIFS($B$2:$B$528,"Yes",$A$2:$A$528,"Neuron",$W$2:$W$528,$W483)&gt;1)
),"Yes","No"),
IF($A483="Cybernet",
IF(OR(
AND($Y483&lt;&gt;"",LOWER(TRIM($Y483))&lt;&gt;"n/a",COUNTIFS($B$2:$B$528,"Yes",$A$2:$A$528,"Cybernet",$Y$2:$Y$528,$Y483)&gt;1),
AND($Z483&lt;&gt;"",LOWER(TRIM($Z483))&lt;&gt;"n/a",COUNTIFS($B$2:$B$528,"Yes",$A$2:$A$528,"Cybernet",$Z$2:$Z$528,$Z483)&gt;1)
),"Yes","No"),
IF(AND($AL483&lt;&gt;"",LOWER(TRIM($AL483))&lt;&gt;"n/a"),
IF(COUNTIFS($B$2:$B$528,"Yes",$A$2:$A$528,$A483,$AL$2:$AL$528,$AL483)&gt;1,"Yes","No"),
"No")
)
)
)</f>
        <v/>
      </c>
      <c r="BL483" s="4" t="str">
        <f t="shared" si="22"/>
        <v/>
      </c>
      <c r="BM483" s="8" t="str">
        <f t="shared" si="23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 ht="15" customHeight="1">
      <c r="D484" s="15" t="str">
        <f t="shared" si="24"/>
        <v/>
      </c>
      <c r="E484" s="15" t="str">
        <f>IF($A484="","",IF($A484="Neuron",IF(OR(AND($S484&lt;&gt;"",LOWER(TRIM($S484))&lt;&gt;"n/a",COUNTIF($S$2:$S$528,$S484)&gt;1),AND($T484&lt;&gt;"",LOWER(TRIM($T484))&lt;&gt;"n/a",COUNTIF($T$2:$T$528,$T484)&gt;1),AND($W484&lt;&gt;"",LOWER(TRIM($W484))&lt;&gt;"n/a",COUNTIF($W$2:$W$528,$W484)&gt;1)),"Yes","No"),IF($A484="Cybernet",IF(OR(AND($Y484&lt;&gt;"",LOWER(TRIM($Y484))&lt;&gt;"n/a",COUNTIF($Y$2:$Y$528,$Y484)&gt;1),AND($Z484&lt;&gt;"",LOWER(TRIM($Z484))&lt;&gt;"n/a",COUNTIF($Z$2:$Z$528,$Z484)&gt;1)),"Yes","No"),IF(AND($AL484&lt;&gt;"",LOWER(TRIM($AL484))&lt;&gt;"n/a",COUNTIF($AL$2:$AL$528,$AL484)&gt;1),"Yes","No"))))</f>
        <v/>
      </c>
      <c r="F484" t="str">
        <f>IF($B484&lt;&gt;"Yes","",
IF($A484="Neuron",
IF(OR(
AND($S484&lt;&gt;"",LOWER(TRIM($S484))&lt;&gt;"n/a",COUNTIFS($B$2:$B$528,"Yes",$A$2:$A$528,"Neuron",$S$2:$S$528,$S484)&gt;1),
AND($T484&lt;&gt;"",LOWER(TRIM($T484))&lt;&gt;"n/a",COUNTIFS($B$2:$B$528,"Yes",$A$2:$A$528,"Neuron",$T$2:$T$528,$T484)&gt;1),
AND($W484&lt;&gt;"",LOWER(TRIM($W484))&lt;&gt;"n/a",COUNTIFS($B$2:$B$528,"Yes",$A$2:$A$528,"Neuron",$W$2:$W$528,$W484)&gt;1)
),"Yes","No"),
IF($A484="Cybernet",
IF(OR(
AND($Y484&lt;&gt;"",LOWER(TRIM($Y484))&lt;&gt;"n/a",COUNTIFS($B$2:$B$528,"Yes",$A$2:$A$528,"Cybernet",$Y$2:$Y$528,$Y484)&gt;1),
AND($Z484&lt;&gt;"",LOWER(TRIM($Z484))&lt;&gt;"n/a",COUNTIFS($B$2:$B$528,"Yes",$A$2:$A$528,"Cybernet",$Z$2:$Z$528,$Z484)&gt;1)
),"Yes","No"),
IF(AND($AL484&lt;&gt;"",LOWER(TRIM($AL484))&lt;&gt;"n/a"),
IF(COUNTIFS($B$2:$B$528,"Yes",$A$2:$A$528,$A484,$AL$2:$AL$528,$AL484)&gt;1,"Yes","No"),
"No")
)
)
)</f>
        <v/>
      </c>
      <c r="BL484" s="4" t="str">
        <f t="shared" si="22"/>
        <v/>
      </c>
      <c r="BM484" s="8" t="str">
        <f t="shared" si="23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 ht="15" customHeight="1">
      <c r="D485" s="15" t="str">
        <f t="shared" si="24"/>
        <v/>
      </c>
      <c r="E485" s="15" t="str">
        <f>IF($A485="","",IF($A485="Neuron",IF(OR(AND($S485&lt;&gt;"",LOWER(TRIM($S485))&lt;&gt;"n/a",COUNTIF($S$2:$S$528,$S485)&gt;1),AND($T485&lt;&gt;"",LOWER(TRIM($T485))&lt;&gt;"n/a",COUNTIF($T$2:$T$528,$T485)&gt;1),AND($W485&lt;&gt;"",LOWER(TRIM($W485))&lt;&gt;"n/a",COUNTIF($W$2:$W$528,$W485)&gt;1)),"Yes","No"),IF($A485="Cybernet",IF(OR(AND($Y485&lt;&gt;"",LOWER(TRIM($Y485))&lt;&gt;"n/a",COUNTIF($Y$2:$Y$528,$Y485)&gt;1),AND($Z485&lt;&gt;"",LOWER(TRIM($Z485))&lt;&gt;"n/a",COUNTIF($Z$2:$Z$528,$Z485)&gt;1)),"Yes","No"),IF(AND($AL485&lt;&gt;"",LOWER(TRIM($AL485))&lt;&gt;"n/a",COUNTIF($AL$2:$AL$528,$AL485)&gt;1),"Yes","No"))))</f>
        <v/>
      </c>
      <c r="F485" t="str">
        <f>IF($B485&lt;&gt;"Yes","",
IF($A485="Neuron",
IF(OR(
AND($S485&lt;&gt;"",LOWER(TRIM($S485))&lt;&gt;"n/a",COUNTIFS($B$2:$B$528,"Yes",$A$2:$A$528,"Neuron",$S$2:$S$528,$S485)&gt;1),
AND($T485&lt;&gt;"",LOWER(TRIM($T485))&lt;&gt;"n/a",COUNTIFS($B$2:$B$528,"Yes",$A$2:$A$528,"Neuron",$T$2:$T$528,$T485)&gt;1),
AND($W485&lt;&gt;"",LOWER(TRIM($W485))&lt;&gt;"n/a",COUNTIFS($B$2:$B$528,"Yes",$A$2:$A$528,"Neuron",$W$2:$W$528,$W485)&gt;1)
),"Yes","No"),
IF($A485="Cybernet",
IF(OR(
AND($Y485&lt;&gt;"",LOWER(TRIM($Y485))&lt;&gt;"n/a",COUNTIFS($B$2:$B$528,"Yes",$A$2:$A$528,"Cybernet",$Y$2:$Y$528,$Y485)&gt;1),
AND($Z485&lt;&gt;"",LOWER(TRIM($Z485))&lt;&gt;"n/a",COUNTIFS($B$2:$B$528,"Yes",$A$2:$A$528,"Cybernet",$Z$2:$Z$528,$Z485)&gt;1)
),"Yes","No"),
IF(AND($AL485&lt;&gt;"",LOWER(TRIM($AL485))&lt;&gt;"n/a"),
IF(COUNTIFS($B$2:$B$528,"Yes",$A$2:$A$528,$A485,$AL$2:$AL$528,$AL485)&gt;1,"Yes","No"),
"No")
)
)
)</f>
        <v/>
      </c>
      <c r="BL485" s="4" t="str">
        <f t="shared" si="22"/>
        <v/>
      </c>
      <c r="BM485" s="8" t="str">
        <f t="shared" si="23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 ht="15" customHeight="1">
      <c r="D486" s="15" t="str">
        <f t="shared" si="24"/>
        <v/>
      </c>
      <c r="E486" s="15" t="str">
        <f>IF($A486="","",IF($A486="Neuron",IF(OR(AND($S486&lt;&gt;"",LOWER(TRIM($S486))&lt;&gt;"n/a",COUNTIF($S$2:$S$528,$S486)&gt;1),AND($T486&lt;&gt;"",LOWER(TRIM($T486))&lt;&gt;"n/a",COUNTIF($T$2:$T$528,$T486)&gt;1),AND($W486&lt;&gt;"",LOWER(TRIM($W486))&lt;&gt;"n/a",COUNTIF($W$2:$W$528,$W486)&gt;1)),"Yes","No"),IF($A486="Cybernet",IF(OR(AND($Y486&lt;&gt;"",LOWER(TRIM($Y486))&lt;&gt;"n/a",COUNTIF($Y$2:$Y$528,$Y486)&gt;1),AND($Z486&lt;&gt;"",LOWER(TRIM($Z486))&lt;&gt;"n/a",COUNTIF($Z$2:$Z$528,$Z486)&gt;1)),"Yes","No"),IF(AND($AL486&lt;&gt;"",LOWER(TRIM($AL486))&lt;&gt;"n/a",COUNTIF($AL$2:$AL$528,$AL486)&gt;1),"Yes","No"))))</f>
        <v/>
      </c>
      <c r="F486" t="str">
        <f>IF($B486&lt;&gt;"Yes","",
IF($A486="Neuron",
IF(OR(
AND($S486&lt;&gt;"",LOWER(TRIM($S486))&lt;&gt;"n/a",COUNTIFS($B$2:$B$528,"Yes",$A$2:$A$528,"Neuron",$S$2:$S$528,$S486)&gt;1),
AND($T486&lt;&gt;"",LOWER(TRIM($T486))&lt;&gt;"n/a",COUNTIFS($B$2:$B$528,"Yes",$A$2:$A$528,"Neuron",$T$2:$T$528,$T486)&gt;1),
AND($W486&lt;&gt;"",LOWER(TRIM($W486))&lt;&gt;"n/a",COUNTIFS($B$2:$B$528,"Yes",$A$2:$A$528,"Neuron",$W$2:$W$528,$W486)&gt;1)
),"Yes","No"),
IF($A486="Cybernet",
IF(OR(
AND($Y486&lt;&gt;"",LOWER(TRIM($Y486))&lt;&gt;"n/a",COUNTIFS($B$2:$B$528,"Yes",$A$2:$A$528,"Cybernet",$Y$2:$Y$528,$Y486)&gt;1),
AND($Z486&lt;&gt;"",LOWER(TRIM($Z486))&lt;&gt;"n/a",COUNTIFS($B$2:$B$528,"Yes",$A$2:$A$528,"Cybernet",$Z$2:$Z$528,$Z486)&gt;1)
),"Yes","No"),
IF(AND($AL486&lt;&gt;"",LOWER(TRIM($AL486))&lt;&gt;"n/a"),
IF(COUNTIFS($B$2:$B$528,"Yes",$A$2:$A$528,$A486,$AL$2:$AL$528,$AL486)&gt;1,"Yes","No"),
"No")
)
)
)</f>
        <v/>
      </c>
      <c r="BL486" s="4" t="str">
        <f t="shared" si="22"/>
        <v/>
      </c>
      <c r="BM486" s="8" t="str">
        <f t="shared" si="23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 ht="15" customHeight="1">
      <c r="D487" s="15" t="str">
        <f t="shared" si="24"/>
        <v/>
      </c>
      <c r="E487" s="15" t="str">
        <f>IF($A487="","",IF($A487="Neuron",IF(OR(AND($S487&lt;&gt;"",LOWER(TRIM($S487))&lt;&gt;"n/a",COUNTIF($S$2:$S$528,$S487)&gt;1),AND($T487&lt;&gt;"",LOWER(TRIM($T487))&lt;&gt;"n/a",COUNTIF($T$2:$T$528,$T487)&gt;1),AND($W487&lt;&gt;"",LOWER(TRIM($W487))&lt;&gt;"n/a",COUNTIF($W$2:$W$528,$W487)&gt;1)),"Yes","No"),IF($A487="Cybernet",IF(OR(AND($Y487&lt;&gt;"",LOWER(TRIM($Y487))&lt;&gt;"n/a",COUNTIF($Y$2:$Y$528,$Y487)&gt;1),AND($Z487&lt;&gt;"",LOWER(TRIM($Z487))&lt;&gt;"n/a",COUNTIF($Z$2:$Z$528,$Z487)&gt;1)),"Yes","No"),IF(AND($AL487&lt;&gt;"",LOWER(TRIM($AL487))&lt;&gt;"n/a",COUNTIF($AL$2:$AL$528,$AL487)&gt;1),"Yes","No"))))</f>
        <v/>
      </c>
      <c r="F487" t="str">
        <f>IF($B487&lt;&gt;"Yes","",
IF($A487="Neuron",
IF(OR(
AND($S487&lt;&gt;"",LOWER(TRIM($S487))&lt;&gt;"n/a",COUNTIFS($B$2:$B$528,"Yes",$A$2:$A$528,"Neuron",$S$2:$S$528,$S487)&gt;1),
AND($T487&lt;&gt;"",LOWER(TRIM($T487))&lt;&gt;"n/a",COUNTIFS($B$2:$B$528,"Yes",$A$2:$A$528,"Neuron",$T$2:$T$528,$T487)&gt;1),
AND($W487&lt;&gt;"",LOWER(TRIM($W487))&lt;&gt;"n/a",COUNTIFS($B$2:$B$528,"Yes",$A$2:$A$528,"Neuron",$W$2:$W$528,$W487)&gt;1)
),"Yes","No"),
IF($A487="Cybernet",
IF(OR(
AND($Y487&lt;&gt;"",LOWER(TRIM($Y487))&lt;&gt;"n/a",COUNTIFS($B$2:$B$528,"Yes",$A$2:$A$528,"Cybernet",$Y$2:$Y$528,$Y487)&gt;1),
AND($Z487&lt;&gt;"",LOWER(TRIM($Z487))&lt;&gt;"n/a",COUNTIFS($B$2:$B$528,"Yes",$A$2:$A$528,"Cybernet",$Z$2:$Z$528,$Z487)&gt;1)
),"Yes","No"),
IF(AND($AL487&lt;&gt;"",LOWER(TRIM($AL487))&lt;&gt;"n/a"),
IF(COUNTIFS($B$2:$B$528,"Yes",$A$2:$A$528,$A487,$AL$2:$AL$528,$AL487)&gt;1,"Yes","No"),
"No")
)
)
)</f>
        <v/>
      </c>
      <c r="BL487" s="4" t="str">
        <f t="shared" si="22"/>
        <v/>
      </c>
      <c r="BM487" s="8" t="str">
        <f t="shared" si="23"/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 ht="15" customHeight="1">
      <c r="D488" s="15" t="str">
        <f t="shared" si="24"/>
        <v/>
      </c>
      <c r="E488" s="15" t="str">
        <f>IF($A488="","",IF($A488="Neuron",IF(OR(AND($S488&lt;&gt;"",LOWER(TRIM($S488))&lt;&gt;"n/a",COUNTIF($S$2:$S$528,$S488)&gt;1),AND($T488&lt;&gt;"",LOWER(TRIM($T488))&lt;&gt;"n/a",COUNTIF($T$2:$T$528,$T488)&gt;1),AND($W488&lt;&gt;"",LOWER(TRIM($W488))&lt;&gt;"n/a",COUNTIF($W$2:$W$528,$W488)&gt;1)),"Yes","No"),IF($A488="Cybernet",IF(OR(AND($Y488&lt;&gt;"",LOWER(TRIM($Y488))&lt;&gt;"n/a",COUNTIF($Y$2:$Y$528,$Y488)&gt;1),AND($Z488&lt;&gt;"",LOWER(TRIM($Z488))&lt;&gt;"n/a",COUNTIF($Z$2:$Z$528,$Z488)&gt;1)),"Yes","No"),IF(AND($AL488&lt;&gt;"",LOWER(TRIM($AL488))&lt;&gt;"n/a",COUNTIF($AL$2:$AL$528,$AL488)&gt;1),"Yes","No"))))</f>
        <v/>
      </c>
      <c r="F488" t="str">
        <f>IF($B488&lt;&gt;"Yes","",
IF($A488="Neuron",
IF(OR(
AND($S488&lt;&gt;"",LOWER(TRIM($S488))&lt;&gt;"n/a",COUNTIFS($B$2:$B$528,"Yes",$A$2:$A$528,"Neuron",$S$2:$S$528,$S488)&gt;1),
AND($T488&lt;&gt;"",LOWER(TRIM($T488))&lt;&gt;"n/a",COUNTIFS($B$2:$B$528,"Yes",$A$2:$A$528,"Neuron",$T$2:$T$528,$T488)&gt;1),
AND($W488&lt;&gt;"",LOWER(TRIM($W488))&lt;&gt;"n/a",COUNTIFS($B$2:$B$528,"Yes",$A$2:$A$528,"Neuron",$W$2:$W$528,$W488)&gt;1)
),"Yes","No"),
IF($A488="Cybernet",
IF(OR(
AND($Y488&lt;&gt;"",LOWER(TRIM($Y488))&lt;&gt;"n/a",COUNTIFS($B$2:$B$528,"Yes",$A$2:$A$528,"Cybernet",$Y$2:$Y$528,$Y488)&gt;1),
AND($Z488&lt;&gt;"",LOWER(TRIM($Z488))&lt;&gt;"n/a",COUNTIFS($B$2:$B$528,"Yes",$A$2:$A$528,"Cybernet",$Z$2:$Z$528,$Z488)&gt;1)
),"Yes","No"),
IF(AND($AL488&lt;&gt;"",LOWER(TRIM($AL488))&lt;&gt;"n/a"),
IF(COUNTIFS($B$2:$B$528,"Yes",$A$2:$A$528,$A488,$AL$2:$AL$528,$AL488)&gt;1,"Yes","No"),
"No")
)
)
)</f>
        <v/>
      </c>
      <c r="BL488" s="4" t="str">
        <f t="shared" si="22"/>
        <v/>
      </c>
      <c r="BM488" s="8" t="str">
        <f t="shared" si="23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 ht="15" customHeight="1">
      <c r="D489" s="15" t="str">
        <f t="shared" si="24"/>
        <v/>
      </c>
      <c r="E489" s="15" t="str">
        <f>IF($A489="","",IF($A489="Neuron",IF(OR(AND($S489&lt;&gt;"",LOWER(TRIM($S489))&lt;&gt;"n/a",COUNTIF($S$2:$S$528,$S489)&gt;1),AND($T489&lt;&gt;"",LOWER(TRIM($T489))&lt;&gt;"n/a",COUNTIF($T$2:$T$528,$T489)&gt;1),AND($W489&lt;&gt;"",LOWER(TRIM($W489))&lt;&gt;"n/a",COUNTIF($W$2:$W$528,$W489)&gt;1)),"Yes","No"),IF($A489="Cybernet",IF(OR(AND($Y489&lt;&gt;"",LOWER(TRIM($Y489))&lt;&gt;"n/a",COUNTIF($Y$2:$Y$528,$Y489)&gt;1),AND($Z489&lt;&gt;"",LOWER(TRIM($Z489))&lt;&gt;"n/a",COUNTIF($Z$2:$Z$528,$Z489)&gt;1)),"Yes","No"),IF(AND($AL489&lt;&gt;"",LOWER(TRIM($AL489))&lt;&gt;"n/a",COUNTIF($AL$2:$AL$528,$AL489)&gt;1),"Yes","No"))))</f>
        <v/>
      </c>
      <c r="F489" t="str">
        <f>IF($B489&lt;&gt;"Yes","",
IF($A489="Neuron",
IF(OR(
AND($S489&lt;&gt;"",LOWER(TRIM($S489))&lt;&gt;"n/a",COUNTIFS($B$2:$B$528,"Yes",$A$2:$A$528,"Neuron",$S$2:$S$528,$S489)&gt;1),
AND($T489&lt;&gt;"",LOWER(TRIM($T489))&lt;&gt;"n/a",COUNTIFS($B$2:$B$528,"Yes",$A$2:$A$528,"Neuron",$T$2:$T$528,$T489)&gt;1),
AND($W489&lt;&gt;"",LOWER(TRIM($W489))&lt;&gt;"n/a",COUNTIFS($B$2:$B$528,"Yes",$A$2:$A$528,"Neuron",$W$2:$W$528,$W489)&gt;1)
),"Yes","No"),
IF($A489="Cybernet",
IF(OR(
AND($Y489&lt;&gt;"",LOWER(TRIM($Y489))&lt;&gt;"n/a",COUNTIFS($B$2:$B$528,"Yes",$A$2:$A$528,"Cybernet",$Y$2:$Y$528,$Y489)&gt;1),
AND($Z489&lt;&gt;"",LOWER(TRIM($Z489))&lt;&gt;"n/a",COUNTIFS($B$2:$B$528,"Yes",$A$2:$A$528,"Cybernet",$Z$2:$Z$528,$Z489)&gt;1)
),"Yes","No"),
IF(AND($AL489&lt;&gt;"",LOWER(TRIM($AL489))&lt;&gt;"n/a"),
IF(COUNTIFS($B$2:$B$528,"Yes",$A$2:$A$528,$A489,$AL$2:$AL$528,$AL489)&gt;1,"Yes","No"),
"No")
)
)
)</f>
        <v/>
      </c>
      <c r="BL489" s="4" t="str">
        <f t="shared" si="22"/>
        <v/>
      </c>
      <c r="BM489" s="8" t="str">
        <f t="shared" si="23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 ht="15" customHeight="1">
      <c r="D490" s="15" t="str">
        <f t="shared" si="24"/>
        <v/>
      </c>
      <c r="E490" s="15" t="str">
        <f>IF($A490="","",IF($A490="Neuron",IF(OR(AND($S490&lt;&gt;"",LOWER(TRIM($S490))&lt;&gt;"n/a",COUNTIF($S$2:$S$528,$S490)&gt;1),AND($T490&lt;&gt;"",LOWER(TRIM($T490))&lt;&gt;"n/a",COUNTIF($T$2:$T$528,$T490)&gt;1),AND($W490&lt;&gt;"",LOWER(TRIM($W490))&lt;&gt;"n/a",COUNTIF($W$2:$W$528,$W490)&gt;1)),"Yes","No"),IF($A490="Cybernet",IF(OR(AND($Y490&lt;&gt;"",LOWER(TRIM($Y490))&lt;&gt;"n/a",COUNTIF($Y$2:$Y$528,$Y490)&gt;1),AND($Z490&lt;&gt;"",LOWER(TRIM($Z490))&lt;&gt;"n/a",COUNTIF($Z$2:$Z$528,$Z490)&gt;1)),"Yes","No"),IF(AND($AL490&lt;&gt;"",LOWER(TRIM($AL490))&lt;&gt;"n/a",COUNTIF($AL$2:$AL$528,$AL490)&gt;1),"Yes","No"))))</f>
        <v/>
      </c>
      <c r="F490" t="str">
        <f>IF($B490&lt;&gt;"Yes","",
IF($A490="Neuron",
IF(OR(
AND($S490&lt;&gt;"",LOWER(TRIM($S490))&lt;&gt;"n/a",COUNTIFS($B$2:$B$528,"Yes",$A$2:$A$528,"Neuron",$S$2:$S$528,$S490)&gt;1),
AND($T490&lt;&gt;"",LOWER(TRIM($T490))&lt;&gt;"n/a",COUNTIFS($B$2:$B$528,"Yes",$A$2:$A$528,"Neuron",$T$2:$T$528,$T490)&gt;1),
AND($W490&lt;&gt;"",LOWER(TRIM($W490))&lt;&gt;"n/a",COUNTIFS($B$2:$B$528,"Yes",$A$2:$A$528,"Neuron",$W$2:$W$528,$W490)&gt;1)
),"Yes","No"),
IF($A490="Cybernet",
IF(OR(
AND($Y490&lt;&gt;"",LOWER(TRIM($Y490))&lt;&gt;"n/a",COUNTIFS($B$2:$B$528,"Yes",$A$2:$A$528,"Cybernet",$Y$2:$Y$528,$Y490)&gt;1),
AND($Z490&lt;&gt;"",LOWER(TRIM($Z490))&lt;&gt;"n/a",COUNTIFS($B$2:$B$528,"Yes",$A$2:$A$528,"Cybernet",$Z$2:$Z$528,$Z490)&gt;1)
),"Yes","No"),
IF(AND($AL490&lt;&gt;"",LOWER(TRIM($AL490))&lt;&gt;"n/a"),
IF(COUNTIFS($B$2:$B$528,"Yes",$A$2:$A$528,$A490,$AL$2:$AL$528,$AL490)&gt;1,"Yes","No"),
"No")
)
)
)</f>
        <v/>
      </c>
      <c r="BL490" s="4" t="str">
        <f t="shared" si="22"/>
        <v/>
      </c>
      <c r="BM490" s="8" t="str">
        <f t="shared" si="23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 ht="15" customHeight="1">
      <c r="D491" s="15" t="str">
        <f t="shared" si="24"/>
        <v/>
      </c>
      <c r="E491" s="15" t="str">
        <f>IF($A491="","",IF($A491="Neuron",IF(OR(AND($S491&lt;&gt;"",LOWER(TRIM($S491))&lt;&gt;"n/a",COUNTIF($S$2:$S$528,$S491)&gt;1),AND($T491&lt;&gt;"",LOWER(TRIM($T491))&lt;&gt;"n/a",COUNTIF($T$2:$T$528,$T491)&gt;1),AND($W491&lt;&gt;"",LOWER(TRIM($W491))&lt;&gt;"n/a",COUNTIF($W$2:$W$528,$W491)&gt;1)),"Yes","No"),IF($A491="Cybernet",IF(OR(AND($Y491&lt;&gt;"",LOWER(TRIM($Y491))&lt;&gt;"n/a",COUNTIF($Y$2:$Y$528,$Y491)&gt;1),AND($Z491&lt;&gt;"",LOWER(TRIM($Z491))&lt;&gt;"n/a",COUNTIF($Z$2:$Z$528,$Z491)&gt;1)),"Yes","No"),IF(AND($AL491&lt;&gt;"",LOWER(TRIM($AL491))&lt;&gt;"n/a",COUNTIF($AL$2:$AL$528,$AL491)&gt;1),"Yes","No"))))</f>
        <v/>
      </c>
      <c r="F491" t="str">
        <f>IF($B491&lt;&gt;"Yes","",
IF($A491="Neuron",
IF(OR(
AND($S491&lt;&gt;"",LOWER(TRIM($S491))&lt;&gt;"n/a",COUNTIFS($B$2:$B$528,"Yes",$A$2:$A$528,"Neuron",$S$2:$S$528,$S491)&gt;1),
AND($T491&lt;&gt;"",LOWER(TRIM($T491))&lt;&gt;"n/a",COUNTIFS($B$2:$B$528,"Yes",$A$2:$A$528,"Neuron",$T$2:$T$528,$T491)&gt;1),
AND($W491&lt;&gt;"",LOWER(TRIM($W491))&lt;&gt;"n/a",COUNTIFS($B$2:$B$528,"Yes",$A$2:$A$528,"Neuron",$W$2:$W$528,$W491)&gt;1)
),"Yes","No"),
IF($A491="Cybernet",
IF(OR(
AND($Y491&lt;&gt;"",LOWER(TRIM($Y491))&lt;&gt;"n/a",COUNTIFS($B$2:$B$528,"Yes",$A$2:$A$528,"Cybernet",$Y$2:$Y$528,$Y491)&gt;1),
AND($Z491&lt;&gt;"",LOWER(TRIM($Z491))&lt;&gt;"n/a",COUNTIFS($B$2:$B$528,"Yes",$A$2:$A$528,"Cybernet",$Z$2:$Z$528,$Z491)&gt;1)
),"Yes","No"),
IF(AND($AL491&lt;&gt;"",LOWER(TRIM($AL491))&lt;&gt;"n/a"),
IF(COUNTIFS($B$2:$B$528,"Yes",$A$2:$A$528,$A491,$AL$2:$AL$528,$AL491)&gt;1,"Yes","No"),
"No")
)
)
)</f>
        <v/>
      </c>
      <c r="BL491" s="4" t="str">
        <f t="shared" si="22"/>
        <v/>
      </c>
      <c r="BM491" s="8" t="str">
        <f t="shared" si="23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 ht="15" customHeight="1">
      <c r="D492" s="15" t="str">
        <f t="shared" si="24"/>
        <v/>
      </c>
      <c r="E492" s="15" t="str">
        <f>IF($A492="","",IF($A492="Neuron",IF(OR(AND($S492&lt;&gt;"",LOWER(TRIM($S492))&lt;&gt;"n/a",COUNTIF($S$2:$S$528,$S492)&gt;1),AND($T492&lt;&gt;"",LOWER(TRIM($T492))&lt;&gt;"n/a",COUNTIF($T$2:$T$528,$T492)&gt;1),AND($W492&lt;&gt;"",LOWER(TRIM($W492))&lt;&gt;"n/a",COUNTIF($W$2:$W$528,$W492)&gt;1)),"Yes","No"),IF($A492="Cybernet",IF(OR(AND($Y492&lt;&gt;"",LOWER(TRIM($Y492))&lt;&gt;"n/a",COUNTIF($Y$2:$Y$528,$Y492)&gt;1),AND($Z492&lt;&gt;"",LOWER(TRIM($Z492))&lt;&gt;"n/a",COUNTIF($Z$2:$Z$528,$Z492)&gt;1)),"Yes","No"),IF(AND($AL492&lt;&gt;"",LOWER(TRIM($AL492))&lt;&gt;"n/a",COUNTIF($AL$2:$AL$528,$AL492)&gt;1),"Yes","No"))))</f>
        <v/>
      </c>
      <c r="F492" t="str">
        <f>IF($B492&lt;&gt;"Yes","",
IF($A492="Neuron",
IF(OR(
AND($S492&lt;&gt;"",LOWER(TRIM($S492))&lt;&gt;"n/a",COUNTIFS($B$2:$B$528,"Yes",$A$2:$A$528,"Neuron",$S$2:$S$528,$S492)&gt;1),
AND($T492&lt;&gt;"",LOWER(TRIM($T492))&lt;&gt;"n/a",COUNTIFS($B$2:$B$528,"Yes",$A$2:$A$528,"Neuron",$T$2:$T$528,$T492)&gt;1),
AND($W492&lt;&gt;"",LOWER(TRIM($W492))&lt;&gt;"n/a",COUNTIFS($B$2:$B$528,"Yes",$A$2:$A$528,"Neuron",$W$2:$W$528,$W492)&gt;1)
),"Yes","No"),
IF($A492="Cybernet",
IF(OR(
AND($Y492&lt;&gt;"",LOWER(TRIM($Y492))&lt;&gt;"n/a",COUNTIFS($B$2:$B$528,"Yes",$A$2:$A$528,"Cybernet",$Y$2:$Y$528,$Y492)&gt;1),
AND($Z492&lt;&gt;"",LOWER(TRIM($Z492))&lt;&gt;"n/a",COUNTIFS($B$2:$B$528,"Yes",$A$2:$A$528,"Cybernet",$Z$2:$Z$528,$Z492)&gt;1)
),"Yes","No"),
IF(AND($AL492&lt;&gt;"",LOWER(TRIM($AL492))&lt;&gt;"n/a"),
IF(COUNTIFS($B$2:$B$528,"Yes",$A$2:$A$528,$A492,$AL$2:$AL$528,$AL492)&gt;1,"Yes","No"),
"No")
)
)
)</f>
        <v/>
      </c>
      <c r="BL492" s="4" t="str">
        <f t="shared" si="22"/>
        <v/>
      </c>
      <c r="BM492" s="8" t="str">
        <f t="shared" si="23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 ht="15" customHeight="1">
      <c r="D493" s="15" t="str">
        <f t="shared" si="24"/>
        <v/>
      </c>
      <c r="E493" s="15" t="str">
        <f>IF($A493="","",IF($A493="Neuron",IF(OR(AND($S493&lt;&gt;"",LOWER(TRIM($S493))&lt;&gt;"n/a",COUNTIF($S$2:$S$528,$S493)&gt;1),AND($T493&lt;&gt;"",LOWER(TRIM($T493))&lt;&gt;"n/a",COUNTIF($T$2:$T$528,$T493)&gt;1),AND($W493&lt;&gt;"",LOWER(TRIM($W493))&lt;&gt;"n/a",COUNTIF($W$2:$W$528,$W493)&gt;1)),"Yes","No"),IF($A493="Cybernet",IF(OR(AND($Y493&lt;&gt;"",LOWER(TRIM($Y493))&lt;&gt;"n/a",COUNTIF($Y$2:$Y$528,$Y493)&gt;1),AND($Z493&lt;&gt;"",LOWER(TRIM($Z493))&lt;&gt;"n/a",COUNTIF($Z$2:$Z$528,$Z493)&gt;1)),"Yes","No"),IF(AND($AL493&lt;&gt;"",LOWER(TRIM($AL493))&lt;&gt;"n/a",COUNTIF($AL$2:$AL$528,$AL493)&gt;1),"Yes","No"))))</f>
        <v/>
      </c>
      <c r="F493" t="str">
        <f>IF($B493&lt;&gt;"Yes","",
IF($A493="Neuron",
IF(OR(
AND($S493&lt;&gt;"",LOWER(TRIM($S493))&lt;&gt;"n/a",COUNTIFS($B$2:$B$528,"Yes",$A$2:$A$528,"Neuron",$S$2:$S$528,$S493)&gt;1),
AND($T493&lt;&gt;"",LOWER(TRIM($T493))&lt;&gt;"n/a",COUNTIFS($B$2:$B$528,"Yes",$A$2:$A$528,"Neuron",$T$2:$T$528,$T493)&gt;1),
AND($W493&lt;&gt;"",LOWER(TRIM($W493))&lt;&gt;"n/a",COUNTIFS($B$2:$B$528,"Yes",$A$2:$A$528,"Neuron",$W$2:$W$528,$W493)&gt;1)
),"Yes","No"),
IF($A493="Cybernet",
IF(OR(
AND($Y493&lt;&gt;"",LOWER(TRIM($Y493))&lt;&gt;"n/a",COUNTIFS($B$2:$B$528,"Yes",$A$2:$A$528,"Cybernet",$Y$2:$Y$528,$Y493)&gt;1),
AND($Z493&lt;&gt;"",LOWER(TRIM($Z493))&lt;&gt;"n/a",COUNTIFS($B$2:$B$528,"Yes",$A$2:$A$528,"Cybernet",$Z$2:$Z$528,$Z493)&gt;1)
),"Yes","No"),
IF(AND($AL493&lt;&gt;"",LOWER(TRIM($AL493))&lt;&gt;"n/a"),
IF(COUNTIFS($B$2:$B$528,"Yes",$A$2:$A$528,$A493,$AL$2:$AL$528,$AL493)&gt;1,"Yes","No"),
"No")
)
)
)</f>
        <v/>
      </c>
      <c r="BL493" s="4" t="str">
        <f t="shared" si="22"/>
        <v/>
      </c>
      <c r="BM493" s="8" t="str">
        <f t="shared" si="23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 ht="15" customHeight="1">
      <c r="D494" s="15" t="str">
        <f t="shared" si="24"/>
        <v/>
      </c>
      <c r="E494" s="15" t="str">
        <f>IF($A494="","",IF($A494="Neuron",IF(OR(AND($S494&lt;&gt;"",LOWER(TRIM($S494))&lt;&gt;"n/a",COUNTIF($S$2:$S$528,$S494)&gt;1),AND($T494&lt;&gt;"",LOWER(TRIM($T494))&lt;&gt;"n/a",COUNTIF($T$2:$T$528,$T494)&gt;1),AND($W494&lt;&gt;"",LOWER(TRIM($W494))&lt;&gt;"n/a",COUNTIF($W$2:$W$528,$W494)&gt;1)),"Yes","No"),IF($A494="Cybernet",IF(OR(AND($Y494&lt;&gt;"",LOWER(TRIM($Y494))&lt;&gt;"n/a",COUNTIF($Y$2:$Y$528,$Y494)&gt;1),AND($Z494&lt;&gt;"",LOWER(TRIM($Z494))&lt;&gt;"n/a",COUNTIF($Z$2:$Z$528,$Z494)&gt;1)),"Yes","No"),IF(AND($AL494&lt;&gt;"",LOWER(TRIM($AL494))&lt;&gt;"n/a",COUNTIF($AL$2:$AL$528,$AL494)&gt;1),"Yes","No"))))</f>
        <v/>
      </c>
      <c r="F494" t="str">
        <f>IF($B494&lt;&gt;"Yes","",
IF($A494="Neuron",
IF(OR(
AND($S494&lt;&gt;"",LOWER(TRIM($S494))&lt;&gt;"n/a",COUNTIFS($B$2:$B$528,"Yes",$A$2:$A$528,"Neuron",$S$2:$S$528,$S494)&gt;1),
AND($T494&lt;&gt;"",LOWER(TRIM($T494))&lt;&gt;"n/a",COUNTIFS($B$2:$B$528,"Yes",$A$2:$A$528,"Neuron",$T$2:$T$528,$T494)&gt;1),
AND($W494&lt;&gt;"",LOWER(TRIM($W494))&lt;&gt;"n/a",COUNTIFS($B$2:$B$528,"Yes",$A$2:$A$528,"Neuron",$W$2:$W$528,$W494)&gt;1)
),"Yes","No"),
IF($A494="Cybernet",
IF(OR(
AND($Y494&lt;&gt;"",LOWER(TRIM($Y494))&lt;&gt;"n/a",COUNTIFS($B$2:$B$528,"Yes",$A$2:$A$528,"Cybernet",$Y$2:$Y$528,$Y494)&gt;1),
AND($Z494&lt;&gt;"",LOWER(TRIM($Z494))&lt;&gt;"n/a",COUNTIFS($B$2:$B$528,"Yes",$A$2:$A$528,"Cybernet",$Z$2:$Z$528,$Z494)&gt;1)
),"Yes","No"),
IF(AND($AL494&lt;&gt;"",LOWER(TRIM($AL494))&lt;&gt;"n/a"),
IF(COUNTIFS($B$2:$B$528,"Yes",$A$2:$A$528,$A494,$AL$2:$AL$528,$AL494)&gt;1,"Yes","No"),
"No")
)
)
)</f>
        <v/>
      </c>
      <c r="BL494" s="4" t="str">
        <f t="shared" si="22"/>
        <v/>
      </c>
      <c r="BM494" s="8" t="str">
        <f t="shared" si="23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 ht="15" customHeight="1">
      <c r="D495" s="15" t="str">
        <f t="shared" si="24"/>
        <v/>
      </c>
      <c r="E495" s="15" t="str">
        <f>IF($A495="","",IF($A495="Neuron",IF(OR(AND($S495&lt;&gt;"",LOWER(TRIM($S495))&lt;&gt;"n/a",COUNTIF($S$2:$S$528,$S495)&gt;1),AND($T495&lt;&gt;"",LOWER(TRIM($T495))&lt;&gt;"n/a",COUNTIF($T$2:$T$528,$T495)&gt;1),AND($W495&lt;&gt;"",LOWER(TRIM($W495))&lt;&gt;"n/a",COUNTIF($W$2:$W$528,$W495)&gt;1)),"Yes","No"),IF($A495="Cybernet",IF(OR(AND($Y495&lt;&gt;"",LOWER(TRIM($Y495))&lt;&gt;"n/a",COUNTIF($Y$2:$Y$528,$Y495)&gt;1),AND($Z495&lt;&gt;"",LOWER(TRIM($Z495))&lt;&gt;"n/a",COUNTIF($Z$2:$Z$528,$Z495)&gt;1)),"Yes","No"),IF(AND($AL495&lt;&gt;"",LOWER(TRIM($AL495))&lt;&gt;"n/a",COUNTIF($AL$2:$AL$528,$AL495)&gt;1),"Yes","No"))))</f>
        <v/>
      </c>
      <c r="F495" t="str">
        <f>IF($B495&lt;&gt;"Yes","",
IF($A495="Neuron",
IF(OR(
AND($S495&lt;&gt;"",LOWER(TRIM($S495))&lt;&gt;"n/a",COUNTIFS($B$2:$B$528,"Yes",$A$2:$A$528,"Neuron",$S$2:$S$528,$S495)&gt;1),
AND($T495&lt;&gt;"",LOWER(TRIM($T495))&lt;&gt;"n/a",COUNTIFS($B$2:$B$528,"Yes",$A$2:$A$528,"Neuron",$T$2:$T$528,$T495)&gt;1),
AND($W495&lt;&gt;"",LOWER(TRIM($W495))&lt;&gt;"n/a",COUNTIFS($B$2:$B$528,"Yes",$A$2:$A$528,"Neuron",$W$2:$W$528,$W495)&gt;1)
),"Yes","No"),
IF($A495="Cybernet",
IF(OR(
AND($Y495&lt;&gt;"",LOWER(TRIM($Y495))&lt;&gt;"n/a",COUNTIFS($B$2:$B$528,"Yes",$A$2:$A$528,"Cybernet",$Y$2:$Y$528,$Y495)&gt;1),
AND($Z495&lt;&gt;"",LOWER(TRIM($Z495))&lt;&gt;"n/a",COUNTIFS($B$2:$B$528,"Yes",$A$2:$A$528,"Cybernet",$Z$2:$Z$528,$Z495)&gt;1)
),"Yes","No"),
IF(AND($AL495&lt;&gt;"",LOWER(TRIM($AL495))&lt;&gt;"n/a"),
IF(COUNTIFS($B$2:$B$528,"Yes",$A$2:$A$528,$A495,$AL$2:$AL$528,$AL495)&gt;1,"Yes","No"),
"No")
)
)
)</f>
        <v/>
      </c>
      <c r="BL495" s="4" t="str">
        <f t="shared" si="22"/>
        <v/>
      </c>
      <c r="BM495" s="8" t="str">
        <f t="shared" si="23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 ht="15" customHeight="1">
      <c r="D496" s="15" t="str">
        <f t="shared" si="24"/>
        <v/>
      </c>
      <c r="E496" s="15" t="str">
        <f>IF($A496="","",IF($A496="Neuron",IF(OR(AND($S496&lt;&gt;"",LOWER(TRIM($S496))&lt;&gt;"n/a",COUNTIF($S$2:$S$528,$S496)&gt;1),AND($T496&lt;&gt;"",LOWER(TRIM($T496))&lt;&gt;"n/a",COUNTIF($T$2:$T$528,$T496)&gt;1),AND($W496&lt;&gt;"",LOWER(TRIM($W496))&lt;&gt;"n/a",COUNTIF($W$2:$W$528,$W496)&gt;1)),"Yes","No"),IF($A496="Cybernet",IF(OR(AND($Y496&lt;&gt;"",LOWER(TRIM($Y496))&lt;&gt;"n/a",COUNTIF($Y$2:$Y$528,$Y496)&gt;1),AND($Z496&lt;&gt;"",LOWER(TRIM($Z496))&lt;&gt;"n/a",COUNTIF($Z$2:$Z$528,$Z496)&gt;1)),"Yes","No"),IF(AND($AL496&lt;&gt;"",LOWER(TRIM($AL496))&lt;&gt;"n/a",COUNTIF($AL$2:$AL$528,$AL496)&gt;1),"Yes","No"))))</f>
        <v/>
      </c>
      <c r="F496" t="str">
        <f>IF($B496&lt;&gt;"Yes","",
IF($A496="Neuron",
IF(OR(
AND($S496&lt;&gt;"",LOWER(TRIM($S496))&lt;&gt;"n/a",COUNTIFS($B$2:$B$528,"Yes",$A$2:$A$528,"Neuron",$S$2:$S$528,$S496)&gt;1),
AND($T496&lt;&gt;"",LOWER(TRIM($T496))&lt;&gt;"n/a",COUNTIFS($B$2:$B$528,"Yes",$A$2:$A$528,"Neuron",$T$2:$T$528,$T496)&gt;1),
AND($W496&lt;&gt;"",LOWER(TRIM($W496))&lt;&gt;"n/a",COUNTIFS($B$2:$B$528,"Yes",$A$2:$A$528,"Neuron",$W$2:$W$528,$W496)&gt;1)
),"Yes","No"),
IF($A496="Cybernet",
IF(OR(
AND($Y496&lt;&gt;"",LOWER(TRIM($Y496))&lt;&gt;"n/a",COUNTIFS($B$2:$B$528,"Yes",$A$2:$A$528,"Cybernet",$Y$2:$Y$528,$Y496)&gt;1),
AND($Z496&lt;&gt;"",LOWER(TRIM($Z496))&lt;&gt;"n/a",COUNTIFS($B$2:$B$528,"Yes",$A$2:$A$528,"Cybernet",$Z$2:$Z$528,$Z496)&gt;1)
),"Yes","No"),
IF(AND($AL496&lt;&gt;"",LOWER(TRIM($AL496))&lt;&gt;"n/a"),
IF(COUNTIFS($B$2:$B$528,"Yes",$A$2:$A$528,$A496,$AL$2:$AL$528,$AL496)&gt;1,"Yes","No"),
"No")
)
)
)</f>
        <v/>
      </c>
      <c r="BL496" s="4" t="str">
        <f t="shared" si="22"/>
        <v/>
      </c>
      <c r="BM496" s="8" t="str">
        <f t="shared" si="23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1:70" ht="15" customHeight="1">
      <c r="D497" s="15" t="str">
        <f t="shared" si="24"/>
        <v/>
      </c>
      <c r="E497" s="15" t="str">
        <f>IF($A497="","",IF($A497="Neuron",IF(OR(AND($S497&lt;&gt;"",LOWER(TRIM($S497))&lt;&gt;"n/a",COUNTIF($S$2:$S$528,$S497)&gt;1),AND($T497&lt;&gt;"",LOWER(TRIM($T497))&lt;&gt;"n/a",COUNTIF($T$2:$T$528,$T497)&gt;1),AND($W497&lt;&gt;"",LOWER(TRIM($W497))&lt;&gt;"n/a",COUNTIF($W$2:$W$528,$W497)&gt;1)),"Yes","No"),IF($A497="Cybernet",IF(OR(AND($Y497&lt;&gt;"",LOWER(TRIM($Y497))&lt;&gt;"n/a",COUNTIF($Y$2:$Y$528,$Y497)&gt;1),AND($Z497&lt;&gt;"",LOWER(TRIM($Z497))&lt;&gt;"n/a",COUNTIF($Z$2:$Z$528,$Z497)&gt;1)),"Yes","No"),IF(AND($AL497&lt;&gt;"",LOWER(TRIM($AL497))&lt;&gt;"n/a",COUNTIF($AL$2:$AL$528,$AL497)&gt;1),"Yes","No"))))</f>
        <v/>
      </c>
      <c r="F497" t="str">
        <f>IF($B497&lt;&gt;"Yes","",
IF($A497="Neuron",
IF(OR(
AND($S497&lt;&gt;"",LOWER(TRIM($S497))&lt;&gt;"n/a",COUNTIFS($B$2:$B$528,"Yes",$A$2:$A$528,"Neuron",$S$2:$S$528,$S497)&gt;1),
AND($T497&lt;&gt;"",LOWER(TRIM($T497))&lt;&gt;"n/a",COUNTIFS($B$2:$B$528,"Yes",$A$2:$A$528,"Neuron",$T$2:$T$528,$T497)&gt;1),
AND($W497&lt;&gt;"",LOWER(TRIM($W497))&lt;&gt;"n/a",COUNTIFS($B$2:$B$528,"Yes",$A$2:$A$528,"Neuron",$W$2:$W$528,$W497)&gt;1)
),"Yes","No"),
IF($A497="Cybernet",
IF(OR(
AND($Y497&lt;&gt;"",LOWER(TRIM($Y497))&lt;&gt;"n/a",COUNTIFS($B$2:$B$528,"Yes",$A$2:$A$528,"Cybernet",$Y$2:$Y$528,$Y497)&gt;1),
AND($Z497&lt;&gt;"",LOWER(TRIM($Z497))&lt;&gt;"n/a",COUNTIFS($B$2:$B$528,"Yes",$A$2:$A$528,"Cybernet",$Z$2:$Z$528,$Z497)&gt;1)
),"Yes","No"),
IF(AND($AL497&lt;&gt;"",LOWER(TRIM($AL497))&lt;&gt;"n/a"),
IF(COUNTIFS($B$2:$B$528,"Yes",$A$2:$A$528,$A497,$AL$2:$AL$528,$AL497)&gt;1,"Yes","No"),
"No")
)
)
)</f>
        <v/>
      </c>
      <c r="BL497" s="4" t="str">
        <f t="shared" si="22"/>
        <v/>
      </c>
      <c r="BM497" s="8" t="str">
        <f t="shared" si="23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1:70" ht="15" customHeight="1">
      <c r="D498" s="15" t="str">
        <f t="shared" si="24"/>
        <v/>
      </c>
      <c r="E498" s="15" t="str">
        <f>IF($A498="","",IF($A498="Neuron",IF(OR(AND($S498&lt;&gt;"",LOWER(TRIM($S498))&lt;&gt;"n/a",COUNTIF($S$2:$S$528,$S498)&gt;1),AND($T498&lt;&gt;"",LOWER(TRIM($T498))&lt;&gt;"n/a",COUNTIF($T$2:$T$528,$T498)&gt;1),AND($W498&lt;&gt;"",LOWER(TRIM($W498))&lt;&gt;"n/a",COUNTIF($W$2:$W$528,$W498)&gt;1)),"Yes","No"),IF($A498="Cybernet",IF(OR(AND($Y498&lt;&gt;"",LOWER(TRIM($Y498))&lt;&gt;"n/a",COUNTIF($Y$2:$Y$528,$Y498)&gt;1),AND($Z498&lt;&gt;"",LOWER(TRIM($Z498))&lt;&gt;"n/a",COUNTIF($Z$2:$Z$528,$Z498)&gt;1)),"Yes","No"),IF(AND($AL498&lt;&gt;"",LOWER(TRIM($AL498))&lt;&gt;"n/a",COUNTIF($AL$2:$AL$528,$AL498)&gt;1),"Yes","No"))))</f>
        <v/>
      </c>
      <c r="F498" t="str">
        <f>IF($B498&lt;&gt;"Yes","",
IF($A498="Neuron",
IF(OR(
AND($S498&lt;&gt;"",LOWER(TRIM($S498))&lt;&gt;"n/a",COUNTIFS($B$2:$B$528,"Yes",$A$2:$A$528,"Neuron",$S$2:$S$528,$S498)&gt;1),
AND($T498&lt;&gt;"",LOWER(TRIM($T498))&lt;&gt;"n/a",COUNTIFS($B$2:$B$528,"Yes",$A$2:$A$528,"Neuron",$T$2:$T$528,$T498)&gt;1),
AND($W498&lt;&gt;"",LOWER(TRIM($W498))&lt;&gt;"n/a",COUNTIFS($B$2:$B$528,"Yes",$A$2:$A$528,"Neuron",$W$2:$W$528,$W498)&gt;1)
),"Yes","No"),
IF($A498="Cybernet",
IF(OR(
AND($Y498&lt;&gt;"",LOWER(TRIM($Y498))&lt;&gt;"n/a",COUNTIFS($B$2:$B$528,"Yes",$A$2:$A$528,"Cybernet",$Y$2:$Y$528,$Y498)&gt;1),
AND($Z498&lt;&gt;"",LOWER(TRIM($Z498))&lt;&gt;"n/a",COUNTIFS($B$2:$B$528,"Yes",$A$2:$A$528,"Cybernet",$Z$2:$Z$528,$Z498)&gt;1)
),"Yes","No"),
IF(AND($AL498&lt;&gt;"",LOWER(TRIM($AL498))&lt;&gt;"n/a"),
IF(COUNTIFS($B$2:$B$528,"Yes",$A$2:$A$528,$A498,$AL$2:$AL$528,$AL498)&gt;1,"Yes","No"),
"No")
)
)
)</f>
        <v/>
      </c>
      <c r="BL498" s="4" t="str">
        <f t="shared" si="22"/>
        <v/>
      </c>
      <c r="BM498" s="8" t="str">
        <f t="shared" si="23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1:70" ht="15" customHeight="1">
      <c r="D499" s="15" t="str">
        <f t="shared" si="24"/>
        <v/>
      </c>
      <c r="E499" s="15" t="str">
        <f>IF($A499="","",IF($A499="Neuron",IF(OR(AND($S499&lt;&gt;"",LOWER(TRIM($S499))&lt;&gt;"n/a",COUNTIF($S$2:$S$528,$S499)&gt;1),AND($T499&lt;&gt;"",LOWER(TRIM($T499))&lt;&gt;"n/a",COUNTIF($T$2:$T$528,$T499)&gt;1),AND($W499&lt;&gt;"",LOWER(TRIM($W499))&lt;&gt;"n/a",COUNTIF($W$2:$W$528,$W499)&gt;1)),"Yes","No"),IF($A499="Cybernet",IF(OR(AND($Y499&lt;&gt;"",LOWER(TRIM($Y499))&lt;&gt;"n/a",COUNTIF($Y$2:$Y$528,$Y499)&gt;1),AND($Z499&lt;&gt;"",LOWER(TRIM($Z499))&lt;&gt;"n/a",COUNTIF($Z$2:$Z$528,$Z499)&gt;1)),"Yes","No"),IF(AND($AL499&lt;&gt;"",LOWER(TRIM($AL499))&lt;&gt;"n/a",COUNTIF($AL$2:$AL$528,$AL499)&gt;1),"Yes","No"))))</f>
        <v/>
      </c>
      <c r="F499" t="str">
        <f>IF($B499&lt;&gt;"Yes","",
IF($A499="Neuron",
IF(OR(
AND($S499&lt;&gt;"",LOWER(TRIM($S499))&lt;&gt;"n/a",COUNTIFS($B$2:$B$528,"Yes",$A$2:$A$528,"Neuron",$S$2:$S$528,$S499)&gt;1),
AND($T499&lt;&gt;"",LOWER(TRIM($T499))&lt;&gt;"n/a",COUNTIFS($B$2:$B$528,"Yes",$A$2:$A$528,"Neuron",$T$2:$T$528,$T499)&gt;1),
AND($W499&lt;&gt;"",LOWER(TRIM($W499))&lt;&gt;"n/a",COUNTIFS($B$2:$B$528,"Yes",$A$2:$A$528,"Neuron",$W$2:$W$528,$W499)&gt;1)
),"Yes","No"),
IF($A499="Cybernet",
IF(OR(
AND($Y499&lt;&gt;"",LOWER(TRIM($Y499))&lt;&gt;"n/a",COUNTIFS($B$2:$B$528,"Yes",$A$2:$A$528,"Cybernet",$Y$2:$Y$528,$Y499)&gt;1),
AND($Z499&lt;&gt;"",LOWER(TRIM($Z499))&lt;&gt;"n/a",COUNTIFS($B$2:$B$528,"Yes",$A$2:$A$528,"Cybernet",$Z$2:$Z$528,$Z499)&gt;1)
),"Yes","No"),
IF(AND($AL499&lt;&gt;"",LOWER(TRIM($AL499))&lt;&gt;"n/a"),
IF(COUNTIFS($B$2:$B$528,"Yes",$A$2:$A$528,$A499,$AL$2:$AL$528,$AL499)&gt;1,"Yes","No"),
"No")
)
)
)</f>
        <v/>
      </c>
      <c r="BL499" s="4" t="str">
        <f t="shared" ref="BL499:BL504" si="25">IF($T499="","",IF((IF(AND($AW499&lt;&gt;"Yes",$AW499&lt;&gt;"N/A"),"Power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",""))="","",LEFT(IF(AND($AW499&lt;&gt;"Yes",$AW499&lt;&gt;"N/A"),"Power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",""),LEN(IF(AND($AW499&lt;&gt;"Yes",$AW499&lt;&gt;"N/A"),"Power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",""))-2)))</f>
        <v/>
      </c>
      <c r="BM499" s="8" t="str">
        <f t="shared" ref="BM499:BM504" si="26">IF($T499="","",IF($BL499="","Yes","Blocked"))</f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1:70" ht="15" customHeight="1">
      <c r="D500" s="15" t="str">
        <f t="shared" si="24"/>
        <v/>
      </c>
      <c r="E500" s="15" t="str">
        <f>IF($A500="","",IF($A500="Neuron",IF(OR(AND($S500&lt;&gt;"",LOWER(TRIM($S500))&lt;&gt;"n/a",COUNTIF($S$2:$S$528,$S500)&gt;1),AND($T500&lt;&gt;"",LOWER(TRIM($T500))&lt;&gt;"n/a",COUNTIF($T$2:$T$528,$T500)&gt;1),AND($W500&lt;&gt;"",LOWER(TRIM($W500))&lt;&gt;"n/a",COUNTIF($W$2:$W$528,$W500)&gt;1)),"Yes","No"),IF($A500="Cybernet",IF(OR(AND($Y500&lt;&gt;"",LOWER(TRIM($Y500))&lt;&gt;"n/a",COUNTIF($Y$2:$Y$528,$Y500)&gt;1),AND($Z500&lt;&gt;"",LOWER(TRIM($Z500))&lt;&gt;"n/a",COUNTIF($Z$2:$Z$528,$Z500)&gt;1)),"Yes","No"),IF(AND($AL500&lt;&gt;"",LOWER(TRIM($AL500))&lt;&gt;"n/a",COUNTIF($AL$2:$AL$528,$AL500)&gt;1),"Yes","No"))))</f>
        <v/>
      </c>
      <c r="F500" t="str">
        <f>IF($B500&lt;&gt;"Yes","",
IF($A500="Neuron",
IF(OR(
AND($S500&lt;&gt;"",LOWER(TRIM($S500))&lt;&gt;"n/a",COUNTIFS($B$2:$B$528,"Yes",$A$2:$A$528,"Neuron",$S$2:$S$528,$S500)&gt;1),
AND($T500&lt;&gt;"",LOWER(TRIM($T500))&lt;&gt;"n/a",COUNTIFS($B$2:$B$528,"Yes",$A$2:$A$528,"Neuron",$T$2:$T$528,$T500)&gt;1),
AND($W500&lt;&gt;"",LOWER(TRIM($W500))&lt;&gt;"n/a",COUNTIFS($B$2:$B$528,"Yes",$A$2:$A$528,"Neuron",$W$2:$W$528,$W500)&gt;1)
),"Yes","No"),
IF($A500="Cybernet",
IF(OR(
AND($Y500&lt;&gt;"",LOWER(TRIM($Y500))&lt;&gt;"n/a",COUNTIFS($B$2:$B$528,"Yes",$A$2:$A$528,"Cybernet",$Y$2:$Y$528,$Y500)&gt;1),
AND($Z500&lt;&gt;"",LOWER(TRIM($Z500))&lt;&gt;"n/a",COUNTIFS($B$2:$B$528,"Yes",$A$2:$A$528,"Cybernet",$Z$2:$Z$528,$Z500)&gt;1)
),"Yes","No"),
IF(AND($AL500&lt;&gt;"",LOWER(TRIM($AL500))&lt;&gt;"n/a"),
IF(COUNTIFS($B$2:$B$528,"Yes",$A$2:$A$528,$A500,$AL$2:$AL$528,$AL500)&gt;1,"Yes","No"),
"No")
)
)
)</f>
        <v/>
      </c>
      <c r="BL500" s="4" t="str">
        <f t="shared" si="25"/>
        <v/>
      </c>
      <c r="BM500" s="8" t="str">
        <f t="shared" si="26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1:70" ht="15" customHeight="1">
      <c r="D501" s="15" t="str">
        <f t="shared" si="24"/>
        <v/>
      </c>
      <c r="E501" s="15" t="str">
        <f>IF($A501="","",IF($A501="Neuron",IF(OR(AND($S501&lt;&gt;"",LOWER(TRIM($S501))&lt;&gt;"n/a",COUNTIF($S$2:$S$528,$S501)&gt;1),AND($T501&lt;&gt;"",LOWER(TRIM($T501))&lt;&gt;"n/a",COUNTIF($T$2:$T$528,$T501)&gt;1),AND($W501&lt;&gt;"",LOWER(TRIM($W501))&lt;&gt;"n/a",COUNTIF($W$2:$W$528,$W501)&gt;1)),"Yes","No"),IF($A501="Cybernet",IF(OR(AND($Y501&lt;&gt;"",LOWER(TRIM($Y501))&lt;&gt;"n/a",COUNTIF($Y$2:$Y$528,$Y501)&gt;1),AND($Z501&lt;&gt;"",LOWER(TRIM($Z501))&lt;&gt;"n/a",COUNTIF($Z$2:$Z$528,$Z501)&gt;1)),"Yes","No"),IF(AND($AL501&lt;&gt;"",LOWER(TRIM($AL501))&lt;&gt;"n/a",COUNTIF($AL$2:$AL$528,$AL501)&gt;1),"Yes","No"))))</f>
        <v/>
      </c>
      <c r="F501" t="str">
        <f>IF($B501&lt;&gt;"Yes","",
IF($A501="Neuron",
IF(OR(
AND($S501&lt;&gt;"",LOWER(TRIM($S501))&lt;&gt;"n/a",COUNTIFS($B$2:$B$528,"Yes",$A$2:$A$528,"Neuron",$S$2:$S$528,$S501)&gt;1),
AND($T501&lt;&gt;"",LOWER(TRIM($T501))&lt;&gt;"n/a",COUNTIFS($B$2:$B$528,"Yes",$A$2:$A$528,"Neuron",$T$2:$T$528,$T501)&gt;1),
AND($W501&lt;&gt;"",LOWER(TRIM($W501))&lt;&gt;"n/a",COUNTIFS($B$2:$B$528,"Yes",$A$2:$A$528,"Neuron",$W$2:$W$528,$W501)&gt;1)
),"Yes","No"),
IF($A501="Cybernet",
IF(OR(
AND($Y501&lt;&gt;"",LOWER(TRIM($Y501))&lt;&gt;"n/a",COUNTIFS($B$2:$B$528,"Yes",$A$2:$A$528,"Cybernet",$Y$2:$Y$528,$Y501)&gt;1),
AND($Z501&lt;&gt;"",LOWER(TRIM($Z501))&lt;&gt;"n/a",COUNTIFS($B$2:$B$528,"Yes",$A$2:$A$528,"Cybernet",$Z$2:$Z$528,$Z501)&gt;1)
),"Yes","No"),
IF(AND($AL501&lt;&gt;"",LOWER(TRIM($AL501))&lt;&gt;"n/a"),
IF(COUNTIFS($B$2:$B$528,"Yes",$A$2:$A$528,$A501,$AL$2:$AL$528,$AL501)&gt;1,"Yes","No"),
"No")
)
)
)</f>
        <v/>
      </c>
      <c r="BL501" s="4" t="str">
        <f t="shared" si="25"/>
        <v/>
      </c>
      <c r="BM501" s="8" t="str">
        <f t="shared" si="26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1:70" ht="15" customHeight="1">
      <c r="D502" s="15" t="str">
        <f t="shared" si="24"/>
        <v/>
      </c>
      <c r="E502" s="15" t="str">
        <f>IF($A502="","",IF($A502="Neuron",IF(OR(AND($S502&lt;&gt;"",LOWER(TRIM($S502))&lt;&gt;"n/a",COUNTIF($S$2:$S$528,$S502)&gt;1),AND($T502&lt;&gt;"",LOWER(TRIM($T502))&lt;&gt;"n/a",COUNTIF($T$2:$T$528,$T502)&gt;1),AND($W502&lt;&gt;"",LOWER(TRIM($W502))&lt;&gt;"n/a",COUNTIF($W$2:$W$528,$W502)&gt;1)),"Yes","No"),IF($A502="Cybernet",IF(OR(AND($Y502&lt;&gt;"",LOWER(TRIM($Y502))&lt;&gt;"n/a",COUNTIF($Y$2:$Y$528,$Y502)&gt;1),AND($Z502&lt;&gt;"",LOWER(TRIM($Z502))&lt;&gt;"n/a",COUNTIF($Z$2:$Z$528,$Z502)&gt;1)),"Yes","No"),IF(AND($AL502&lt;&gt;"",LOWER(TRIM($AL502))&lt;&gt;"n/a",COUNTIF($AL$2:$AL$528,$AL502)&gt;1),"Yes","No"))))</f>
        <v/>
      </c>
      <c r="F502" t="str">
        <f>IF($B502&lt;&gt;"Yes","",
IF($A502="Neuron",
IF(OR(
AND($S502&lt;&gt;"",LOWER(TRIM($S502))&lt;&gt;"n/a",COUNTIFS($B$2:$B$528,"Yes",$A$2:$A$528,"Neuron",$S$2:$S$528,$S502)&gt;1),
AND($T502&lt;&gt;"",LOWER(TRIM($T502))&lt;&gt;"n/a",COUNTIFS($B$2:$B$528,"Yes",$A$2:$A$528,"Neuron",$T$2:$T$528,$T502)&gt;1),
AND($W502&lt;&gt;"",LOWER(TRIM($W502))&lt;&gt;"n/a",COUNTIFS($B$2:$B$528,"Yes",$A$2:$A$528,"Neuron",$W$2:$W$528,$W502)&gt;1)
),"Yes","No"),
IF($A502="Cybernet",
IF(OR(
AND($Y502&lt;&gt;"",LOWER(TRIM($Y502))&lt;&gt;"n/a",COUNTIFS($B$2:$B$528,"Yes",$A$2:$A$528,"Cybernet",$Y$2:$Y$528,$Y502)&gt;1),
AND($Z502&lt;&gt;"",LOWER(TRIM($Z502))&lt;&gt;"n/a",COUNTIFS($B$2:$B$528,"Yes",$A$2:$A$528,"Cybernet",$Z$2:$Z$528,$Z502)&gt;1)
),"Yes","No"),
IF(AND($AL502&lt;&gt;"",LOWER(TRIM($AL502))&lt;&gt;"n/a"),
IF(COUNTIFS($B$2:$B$528,"Yes",$A$2:$A$528,$A502,$AL$2:$AL$528,$AL502)&gt;1,"Yes","No"),
"No")
)
)
)</f>
        <v/>
      </c>
      <c r="BL502" s="4" t="str">
        <f t="shared" si="25"/>
        <v/>
      </c>
      <c r="BM502" s="8" t="str">
        <f t="shared" si="26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1:70" ht="15" customHeight="1">
      <c r="D503" s="15" t="str">
        <f t="shared" si="24"/>
        <v/>
      </c>
      <c r="E503" s="15" t="str">
        <f>IF($A503="","",IF($A503="Neuron",IF(OR(AND($S503&lt;&gt;"",LOWER(TRIM($S503))&lt;&gt;"n/a",COUNTIF($S$2:$S$528,$S503)&gt;1),AND($T503&lt;&gt;"",LOWER(TRIM($T503))&lt;&gt;"n/a",COUNTIF($T$2:$T$528,$T503)&gt;1),AND($W503&lt;&gt;"",LOWER(TRIM($W503))&lt;&gt;"n/a",COUNTIF($W$2:$W$528,$W503)&gt;1)),"Yes","No"),IF($A503="Cybernet",IF(OR(AND($Y503&lt;&gt;"",LOWER(TRIM($Y503))&lt;&gt;"n/a",COUNTIF($Y$2:$Y$528,$Y503)&gt;1),AND($Z503&lt;&gt;"",LOWER(TRIM($Z503))&lt;&gt;"n/a",COUNTIF($Z$2:$Z$528,$Z503)&gt;1)),"Yes","No"),IF(AND($AL503&lt;&gt;"",LOWER(TRIM($AL503))&lt;&gt;"n/a",COUNTIF($AL$2:$AL$528,$AL503)&gt;1),"Yes","No"))))</f>
        <v/>
      </c>
      <c r="F503" t="str">
        <f>IF($B503&lt;&gt;"Yes","",
IF($A503="Neuron",
IF(OR(
AND($S503&lt;&gt;"",LOWER(TRIM($S503))&lt;&gt;"n/a",COUNTIFS($B$2:$B$528,"Yes",$A$2:$A$528,"Neuron",$S$2:$S$528,$S503)&gt;1),
AND($T503&lt;&gt;"",LOWER(TRIM($T503))&lt;&gt;"n/a",COUNTIFS($B$2:$B$528,"Yes",$A$2:$A$528,"Neuron",$T$2:$T$528,$T503)&gt;1),
AND($W503&lt;&gt;"",LOWER(TRIM($W503))&lt;&gt;"n/a",COUNTIFS($B$2:$B$528,"Yes",$A$2:$A$528,"Neuron",$W$2:$W$528,$W503)&gt;1)
),"Yes","No"),
IF($A503="Cybernet",
IF(OR(
AND($Y503&lt;&gt;"",LOWER(TRIM($Y503))&lt;&gt;"n/a",COUNTIFS($B$2:$B$528,"Yes",$A$2:$A$528,"Cybernet",$Y$2:$Y$528,$Y503)&gt;1),
AND($Z503&lt;&gt;"",LOWER(TRIM($Z503))&lt;&gt;"n/a",COUNTIFS($B$2:$B$528,"Yes",$A$2:$A$528,"Cybernet",$Z$2:$Z$528,$Z503)&gt;1)
),"Yes","No"),
IF(AND($AL503&lt;&gt;"",LOWER(TRIM($AL503))&lt;&gt;"n/a"),
IF(COUNTIFS($B$2:$B$528,"Yes",$A$2:$A$528,$A503,$AL$2:$AL$528,$AL503)&gt;1,"Yes","No"),
"No")
)
)
)</f>
        <v/>
      </c>
      <c r="BL503" s="4" t="str">
        <f t="shared" si="25"/>
        <v/>
      </c>
      <c r="BM503" s="8" t="str">
        <f t="shared" si="26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1:70" ht="15" customHeight="1">
      <c r="D504" s="15" t="str">
        <f t="shared" si="24"/>
        <v/>
      </c>
      <c r="E504" s="15" t="str">
        <f>IF($A504="","",IF($A504="Neuron",IF(OR(AND($S504&lt;&gt;"",LOWER(TRIM($S504))&lt;&gt;"n/a",COUNTIF($S$2:$S$528,$S504)&gt;1),AND($T504&lt;&gt;"",LOWER(TRIM($T504))&lt;&gt;"n/a",COUNTIF($T$2:$T$528,$T504)&gt;1),AND($W504&lt;&gt;"",LOWER(TRIM($W504))&lt;&gt;"n/a",COUNTIF($W$2:$W$528,$W504)&gt;1)),"Yes","No"),IF($A504="Cybernet",IF(OR(AND($Y504&lt;&gt;"",LOWER(TRIM($Y504))&lt;&gt;"n/a",COUNTIF($Y$2:$Y$528,$Y504)&gt;1),AND($Z504&lt;&gt;"",LOWER(TRIM($Z504))&lt;&gt;"n/a",COUNTIF($Z$2:$Z$528,$Z504)&gt;1)),"Yes","No"),IF(AND($AL504&lt;&gt;"",LOWER(TRIM($AL504))&lt;&gt;"n/a",COUNTIF($AL$2:$AL$528,$AL504)&gt;1),"Yes","No"))))</f>
        <v/>
      </c>
      <c r="F504" t="str">
        <f>IF($B504&lt;&gt;"Yes","",
IF($A504="Neuron",
IF(OR(
AND($S504&lt;&gt;"",LOWER(TRIM($S504))&lt;&gt;"n/a",COUNTIFS($B$2:$B$528,"Yes",$A$2:$A$528,"Neuron",$S$2:$S$528,$S504)&gt;1),
AND($T504&lt;&gt;"",LOWER(TRIM($T504))&lt;&gt;"n/a",COUNTIFS($B$2:$B$528,"Yes",$A$2:$A$528,"Neuron",$T$2:$T$528,$T504)&gt;1),
AND($W504&lt;&gt;"",LOWER(TRIM($W504))&lt;&gt;"n/a",COUNTIFS($B$2:$B$528,"Yes",$A$2:$A$528,"Neuron",$W$2:$W$528,$W504)&gt;1)
),"Yes","No"),
IF($A504="Cybernet",
IF(OR(
AND($Y504&lt;&gt;"",LOWER(TRIM($Y504))&lt;&gt;"n/a",COUNTIFS($B$2:$B$528,"Yes",$A$2:$A$528,"Cybernet",$Y$2:$Y$528,$Y504)&gt;1),
AND($Z504&lt;&gt;"",LOWER(TRIM($Z504))&lt;&gt;"n/a",COUNTIFS($B$2:$B$528,"Yes",$A$2:$A$528,"Cybernet",$Z$2:$Z$528,$Z504)&gt;1)
),"Yes","No"),
IF(AND($AL504&lt;&gt;"",LOWER(TRIM($AL504))&lt;&gt;"n/a"),
IF(COUNTIFS($B$2:$B$528,"Yes",$A$2:$A$528,$A504,$AL$2:$AL$528,$AL504)&gt;1,"Yes","No"),
"No")
)
)
)</f>
        <v/>
      </c>
      <c r="BL504" s="4" t="str">
        <f t="shared" si="25"/>
        <v/>
      </c>
      <c r="BM504" s="8" t="str">
        <f t="shared" si="26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1:70" ht="15" customHeight="1">
      <c r="A505" s="79"/>
      <c r="D505" s="15" t="str">
        <f t="shared" si="24"/>
        <v/>
      </c>
      <c r="E505" s="15" t="str">
        <f>IF($A505="","",IF($A505="Neuron",IF(OR(AND($S505&lt;&gt;"",LOWER(TRIM($S505))&lt;&gt;"n/a",COUNTIF($S$2:$S$528,$S505)&gt;1),AND($T505&lt;&gt;"",LOWER(TRIM($T505))&lt;&gt;"n/a",COUNTIF($T$2:$T$528,$T505)&gt;1),AND($W505&lt;&gt;"",LOWER(TRIM($W505))&lt;&gt;"n/a",COUNTIF($W$2:$W$528,$W505)&gt;1)),"Yes","No"),IF($A505="Cybernet",IF(OR(AND($Y505&lt;&gt;"",LOWER(TRIM($Y505))&lt;&gt;"n/a",COUNTIF($Y$2:$Y$528,$Y505)&gt;1),AND($Z505&lt;&gt;"",LOWER(TRIM($Z505))&lt;&gt;"n/a",COUNTIF($Z$2:$Z$528,$Z505)&gt;1)),"Yes","No"),IF(AND($AL505&lt;&gt;"",LOWER(TRIM($AL505))&lt;&gt;"n/a",COUNTIF($AL$2:$AL$528,$AL505)&gt;1),"Yes","No"))))</f>
        <v/>
      </c>
      <c r="F505" t="str">
        <f>IF($B505&lt;&gt;"Yes","",IF($A505="Neuron",IF(OR(AND($S505&lt;&gt;"",LOWER(TRIM($S505))&lt;&gt;"n/a",COUNTIFS($B$2:$B$528,"Yes",$A$2:$A$528,"Neuron",$S$2:$S$528,$S505)&gt;1),AND($T505&lt;&gt;"",LOWER(TRIM($T505))&lt;&gt;"n/a",COUNTIFS($B$2:$B$528,"Yes",$A$2:$A$528,"Neuron",$T$2:$T$528,$T505)&gt;1),AND($W505&lt;&gt;"",LOWER(TRIM($W505))&lt;&gt;"n/a",COUNTIFS($B$2:$B$528,"Yes",$A$2:$A$528,"Neuron",$W$2:$W$528,$W505)&gt;1)),"Yes","No"),IF($A505="Cybernet",IF(OR(AND($Y505&lt;&gt;"",LOWER(TRIM($Y505))&lt;&gt;"n/a",COUNTIFS($B$2:$B$528,"Yes",$A$2:$A$528,"Cybernet",$Y$2:$Y$528,$Y505)&gt;1),AND($Z505&lt;&gt;"",LOWER(TRIM($Z505))&lt;&gt;"n/a",COUNTIFS($B$2:$B$528,"Yes",$A$2:$A$528,"Cybernet",$Z$2:$Z$528,$Z505)&gt;1)),"Yes","No"),IF(AND($AL505&lt;&gt;"",LOWER(TRIM($AL505))&lt;&gt;"n/a"),IF(COUNTIFS($B$2:$B$528,"Yes",$A$2:$A$528,$A505,$AL$2:$AL$528,$AL505)&gt;1,"Yes","No"),"No"))))</f>
        <v/>
      </c>
      <c r="BL505" t="str">
        <f t="shared" ref="BL505:BL522" si="27">IF($T505="","",IF((IF(AND($AW505&lt;&gt;"Yes",$AW505&lt;&gt;"N/A"),"Power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",""))="","",LEFT(IF(AND($AW505&lt;&gt;"Yes",$AW505&lt;&gt;"N/A"),"Power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",""),LEN(IF(AND($AW505&lt;&gt;"Yes",$AW505&lt;&gt;"N/A"),"Power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",""))-2)))</f>
        <v/>
      </c>
      <c r="BM505" t="str">
        <f t="shared" ref="BM505:BM527" si="28">IF($T505="","",IF($BL505="","Yes","Blocked"))</f>
        <v/>
      </c>
    </row>
    <row r="506" spans="1:70" ht="15" customHeight="1">
      <c r="A506" s="27"/>
      <c r="B506" s="27"/>
      <c r="C506" s="80"/>
      <c r="D506" s="15" t="str">
        <f t="shared" si="24"/>
        <v/>
      </c>
      <c r="E506" s="15" t="str">
        <f>IF($A506="","",IF($A506="Neuron",IF(OR(AND($S506&lt;&gt;"",LOWER(TRIM($S506))&lt;&gt;"n/a",COUNTIF($S$2:$S$528,$S506)&gt;1),AND($T506&lt;&gt;"",LOWER(TRIM($T506))&lt;&gt;"n/a",COUNTIF($T$2:$T$528,$T506)&gt;1),AND($W506&lt;&gt;"",LOWER(TRIM($W506))&lt;&gt;"n/a",COUNTIF($W$2:$W$528,$W506)&gt;1)),"Yes","No"),IF($A506="Cybernet",IF(OR(AND($Y506&lt;&gt;"",LOWER(TRIM($Y506))&lt;&gt;"n/a",COUNTIF($Y$2:$Y$528,$Y506)&gt;1),AND($Z506&lt;&gt;"",LOWER(TRIM($Z506))&lt;&gt;"n/a",COUNTIF($Z$2:$Z$528,$Z506)&gt;1)),"Yes","No"),IF(AND($AL506&lt;&gt;"",LOWER(TRIM($AL506))&lt;&gt;"n/a",COUNTIF($AL$2:$AL$528,$AL506)&gt;1),"Yes","No"))))</f>
        <v/>
      </c>
      <c r="F506" t="str">
        <f>IF($B506&lt;&gt;"Yes","",IF($A506="Neuron",IF(OR(AND($S506&lt;&gt;"",LOWER(TRIM($S506))&lt;&gt;"n/a",COUNTIFS($B$2:$B$528,"Yes",$A$2:$A$528,"Neuron",$S$2:$S$528,$S506)&gt;1),AND($T506&lt;&gt;"",LOWER(TRIM($T506))&lt;&gt;"n/a",COUNTIFS($B$2:$B$528,"Yes",$A$2:$A$528,"Neuron",$T$2:$T$528,$T506)&gt;1),AND($W506&lt;&gt;"",LOWER(TRIM($W506))&lt;&gt;"n/a",COUNTIFS($B$2:$B$528,"Yes",$A$2:$A$528,"Neuron",$W$2:$W$528,$W506)&gt;1)),"Yes","No"),IF($A506="Cybernet",IF(OR(AND($Y506&lt;&gt;"",LOWER(TRIM($Y506))&lt;&gt;"n/a",COUNTIFS($B$2:$B$528,"Yes",$A$2:$A$528,"Cybernet",$Y$2:$Y$528,$Y506)&gt;1),AND($Z506&lt;&gt;"",LOWER(TRIM($Z506))&lt;&gt;"n/a",COUNTIFS($B$2:$B$528,"Yes",$A$2:$A$528,"Cybernet",$Z$2:$Z$528,$Z506)&gt;1)),"Yes","No"),IF(AND($AL506&lt;&gt;"",LOWER(TRIM($AL506))&lt;&gt;"n/a"),IF(COUNTIFS($B$2:$B$528,"Yes",$A$2:$A$528,$A506,$AL$2:$AL$528,$AL506)&gt;1,"Yes","No"),"No"))))</f>
        <v/>
      </c>
      <c r="BL506" t="str">
        <f t="shared" si="27"/>
        <v/>
      </c>
      <c r="BM506" t="str">
        <f t="shared" si="28"/>
        <v/>
      </c>
    </row>
    <row r="507" spans="1:70" ht="15" customHeight="1">
      <c r="D507" s="15" t="str">
        <f t="shared" si="24"/>
        <v/>
      </c>
      <c r="E507" s="15" t="str">
        <f>IF($A507="","",IF($A507="Neuron",IF(OR(AND($S507&lt;&gt;"",LOWER(TRIM($S507))&lt;&gt;"n/a",COUNTIF($S$2:$S$528,$S507)&gt;1),AND($T507&lt;&gt;"",LOWER(TRIM($T507))&lt;&gt;"n/a",COUNTIF($T$2:$T$528,$T507)&gt;1),AND($W507&lt;&gt;"",LOWER(TRIM($W507))&lt;&gt;"n/a",COUNTIF($W$2:$W$528,$W507)&gt;1)),"Yes","No"),IF($A507="Cybernet",IF(OR(AND($Y507&lt;&gt;"",LOWER(TRIM($Y507))&lt;&gt;"n/a",COUNTIF($Y$2:$Y$528,$Y507)&gt;1),AND($Z507&lt;&gt;"",LOWER(TRIM($Z507))&lt;&gt;"n/a",COUNTIF($Z$2:$Z$528,$Z507)&gt;1)),"Yes","No"),IF(AND($AL507&lt;&gt;"",LOWER(TRIM($AL507))&lt;&gt;"n/a",COUNTIF($AL$2:$AL$528,$AL507)&gt;1),"Yes","No"))))</f>
        <v/>
      </c>
      <c r="F507" t="str">
        <f>IF($B507&lt;&gt;"Yes","",IF($A507="Neuron",IF(OR(AND($S507&lt;&gt;"",LOWER(TRIM($S507))&lt;&gt;"n/a",COUNTIFS($B$2:$B$528,"Yes",$A$2:$A$528,"Neuron",$S$2:$S$528,$S507)&gt;1),AND($T507&lt;&gt;"",LOWER(TRIM($T507))&lt;&gt;"n/a",COUNTIFS($B$2:$B$528,"Yes",$A$2:$A$528,"Neuron",$T$2:$T$528,$T507)&gt;1),AND($W507&lt;&gt;"",LOWER(TRIM($W507))&lt;&gt;"n/a",COUNTIFS($B$2:$B$528,"Yes",$A$2:$A$528,"Neuron",$W$2:$W$528,$W507)&gt;1)),"Yes","No"),IF($A507="Cybernet",IF(OR(AND($Y507&lt;&gt;"",LOWER(TRIM($Y507))&lt;&gt;"n/a",COUNTIFS($B$2:$B$528,"Yes",$A$2:$A$528,"Cybernet",$Y$2:$Y$528,$Y507)&gt;1),AND($Z507&lt;&gt;"",LOWER(TRIM($Z507))&lt;&gt;"n/a",COUNTIFS($B$2:$B$528,"Yes",$A$2:$A$528,"Cybernet",$Z$2:$Z$528,$Z507)&gt;1)),"Yes","No"),IF(AND($AL507&lt;&gt;"",LOWER(TRIM($AL507))&lt;&gt;"n/a"),IF(COUNTIFS($B$2:$B$528,"Yes",$A$2:$A$528,$A507,$AL$2:$AL$528,$AL507)&gt;1,"Yes","No"),"No"))))</f>
        <v/>
      </c>
      <c r="BL507" t="str">
        <f t="shared" si="27"/>
        <v/>
      </c>
      <c r="BM507" t="str">
        <f t="shared" si="28"/>
        <v/>
      </c>
    </row>
    <row r="508" spans="1:70" ht="15" customHeight="1">
      <c r="D508" s="15" t="str">
        <f t="shared" si="24"/>
        <v/>
      </c>
      <c r="E508" s="15" t="str">
        <f>IF($A508="","",IF($A508="Neuron",IF(OR(AND($S508&lt;&gt;"",LOWER(TRIM($S508))&lt;&gt;"n/a",COUNTIF($S$2:$S$528,$S508)&gt;1),AND($T508&lt;&gt;"",LOWER(TRIM($T508))&lt;&gt;"n/a",COUNTIF($T$2:$T$528,$T508)&gt;1),AND($W508&lt;&gt;"",LOWER(TRIM($W508))&lt;&gt;"n/a",COUNTIF($W$2:$W$528,$W508)&gt;1)),"Yes","No"),IF($A508="Cybernet",IF(OR(AND($Y508&lt;&gt;"",LOWER(TRIM($Y508))&lt;&gt;"n/a",COUNTIF($Y$2:$Y$528,$Y508)&gt;1),AND($Z508&lt;&gt;"",LOWER(TRIM($Z508))&lt;&gt;"n/a",COUNTIF($Z$2:$Z$528,$Z508)&gt;1)),"Yes","No"),IF(AND($AL508&lt;&gt;"",LOWER(TRIM($AL508))&lt;&gt;"n/a",COUNTIF($AL$2:$AL$528,$AL508)&gt;1),"Yes","No"))))</f>
        <v/>
      </c>
      <c r="F508" t="str">
        <f>IF($B508&lt;&gt;"Yes","",IF($A508="Neuron",IF(OR(AND($S508&lt;&gt;"",LOWER(TRIM($S508))&lt;&gt;"n/a",COUNTIFS($B$2:$B$528,"Yes",$A$2:$A$528,"Neuron",$S$2:$S$528,$S508)&gt;1),AND($T508&lt;&gt;"",LOWER(TRIM($T508))&lt;&gt;"n/a",COUNTIFS($B$2:$B$528,"Yes",$A$2:$A$528,"Neuron",$T$2:$T$528,$T508)&gt;1),AND($W508&lt;&gt;"",LOWER(TRIM($W508))&lt;&gt;"n/a",COUNTIFS($B$2:$B$528,"Yes",$A$2:$A$528,"Neuron",$W$2:$W$528,$W508)&gt;1)),"Yes","No"),IF($A508="Cybernet",IF(OR(AND($Y508&lt;&gt;"",LOWER(TRIM($Y508))&lt;&gt;"n/a",COUNTIFS($B$2:$B$528,"Yes",$A$2:$A$528,"Cybernet",$Y$2:$Y$528,$Y508)&gt;1),AND($Z508&lt;&gt;"",LOWER(TRIM($Z508))&lt;&gt;"n/a",COUNTIFS($B$2:$B$528,"Yes",$A$2:$A$528,"Cybernet",$Z$2:$Z$528,$Z508)&gt;1)),"Yes","No"),IF(AND($AL508&lt;&gt;"",LOWER(TRIM($AL508))&lt;&gt;"n/a"),IF(COUNTIFS($B$2:$B$528,"Yes",$A$2:$A$528,$A508,$AL$2:$AL$528,$AL508)&gt;1,"Yes","No"),"No"))))</f>
        <v/>
      </c>
      <c r="BL508" t="str">
        <f t="shared" si="27"/>
        <v/>
      </c>
      <c r="BM508" t="str">
        <f t="shared" si="28"/>
        <v/>
      </c>
    </row>
    <row r="509" spans="1:70" ht="15" customHeight="1">
      <c r="D509" s="15" t="str">
        <f t="shared" si="24"/>
        <v/>
      </c>
      <c r="E509" s="15" t="str">
        <f>IF($A509="","",IF($A509="Neuron",IF(OR(AND($S509&lt;&gt;"",LOWER(TRIM($S509))&lt;&gt;"n/a",COUNTIF($S$2:$S$528,$S509)&gt;1),AND($T509&lt;&gt;"",LOWER(TRIM($T509))&lt;&gt;"n/a",COUNTIF($T$2:$T$528,$T509)&gt;1),AND($W509&lt;&gt;"",LOWER(TRIM($W509))&lt;&gt;"n/a",COUNTIF($W$2:$W$528,$W509)&gt;1)),"Yes","No"),IF($A509="Cybernet",IF(OR(AND($Y509&lt;&gt;"",LOWER(TRIM($Y509))&lt;&gt;"n/a",COUNTIF($Y$2:$Y$528,$Y509)&gt;1),AND($Z509&lt;&gt;"",LOWER(TRIM($Z509))&lt;&gt;"n/a",COUNTIF($Z$2:$Z$528,$Z509)&gt;1)),"Yes","No"),IF(AND($AL509&lt;&gt;"",LOWER(TRIM($AL509))&lt;&gt;"n/a",COUNTIF($AL$2:$AL$528,$AL509)&gt;1),"Yes","No"))))</f>
        <v/>
      </c>
      <c r="F509" t="str">
        <f>IF($B509&lt;&gt;"Yes","",IF($A509="Neuron",IF(OR(AND($S509&lt;&gt;"",LOWER(TRIM($S509))&lt;&gt;"n/a",COUNTIFS($B$2:$B$528,"Yes",$A$2:$A$528,"Neuron",$S$2:$S$528,$S509)&gt;1),AND($T509&lt;&gt;"",LOWER(TRIM($T509))&lt;&gt;"n/a",COUNTIFS($B$2:$B$528,"Yes",$A$2:$A$528,"Neuron",$T$2:$T$528,$T509)&gt;1),AND($W509&lt;&gt;"",LOWER(TRIM($W509))&lt;&gt;"n/a",COUNTIFS($B$2:$B$528,"Yes",$A$2:$A$528,"Neuron",$W$2:$W$528,$W509)&gt;1)),"Yes","No"),IF($A509="Cybernet",IF(OR(AND($Y509&lt;&gt;"",LOWER(TRIM($Y509))&lt;&gt;"n/a",COUNTIFS($B$2:$B$528,"Yes",$A$2:$A$528,"Cybernet",$Y$2:$Y$528,$Y509)&gt;1),AND($Z509&lt;&gt;"",LOWER(TRIM($Z509))&lt;&gt;"n/a",COUNTIFS($B$2:$B$528,"Yes",$A$2:$A$528,"Cybernet",$Z$2:$Z$528,$Z509)&gt;1)),"Yes","No"),IF(AND($AL509&lt;&gt;"",LOWER(TRIM($AL509))&lt;&gt;"n/a"),IF(COUNTIFS($B$2:$B$528,"Yes",$A$2:$A$528,$A509,$AL$2:$AL$528,$AL509)&gt;1,"Yes","No"),"No"))))</f>
        <v/>
      </c>
      <c r="BL509" t="str">
        <f t="shared" si="27"/>
        <v/>
      </c>
      <c r="BM509" t="str">
        <f t="shared" si="28"/>
        <v/>
      </c>
    </row>
    <row r="510" spans="1:70" ht="15" customHeight="1">
      <c r="D510" s="15" t="str">
        <f t="shared" si="24"/>
        <v/>
      </c>
      <c r="E510" s="15" t="str">
        <f>IF($A510="","",IF($A510="Neuron",IF(OR(AND($S510&lt;&gt;"",LOWER(TRIM($S510))&lt;&gt;"n/a",COUNTIF($S$2:$S$528,$S510)&gt;1),AND($T510&lt;&gt;"",LOWER(TRIM($T510))&lt;&gt;"n/a",COUNTIF($T$2:$T$528,$T510)&gt;1),AND($W510&lt;&gt;"",LOWER(TRIM($W510))&lt;&gt;"n/a",COUNTIF($W$2:$W$528,$W510)&gt;1)),"Yes","No"),IF($A510="Cybernet",IF(OR(AND($Y510&lt;&gt;"",LOWER(TRIM($Y510))&lt;&gt;"n/a",COUNTIF($Y$2:$Y$528,$Y510)&gt;1),AND($Z510&lt;&gt;"",LOWER(TRIM($Z510))&lt;&gt;"n/a",COUNTIF($Z$2:$Z$528,$Z510)&gt;1)),"Yes","No"),IF(AND($AL510&lt;&gt;"",LOWER(TRIM($AL510))&lt;&gt;"n/a",COUNTIF($AL$2:$AL$528,$AL510)&gt;1),"Yes","No"))))</f>
        <v/>
      </c>
      <c r="F510" t="str">
        <f>IF($B510&lt;&gt;"Yes","",IF($A510="Neuron",IF(OR(AND($S510&lt;&gt;"",LOWER(TRIM($S510))&lt;&gt;"n/a",COUNTIFS($B$2:$B$528,"Yes",$A$2:$A$528,"Neuron",$S$2:$S$528,$S510)&gt;1),AND($T510&lt;&gt;"",LOWER(TRIM($T510))&lt;&gt;"n/a",COUNTIFS($B$2:$B$528,"Yes",$A$2:$A$528,"Neuron",$T$2:$T$528,$T510)&gt;1),AND($W510&lt;&gt;"",LOWER(TRIM($W510))&lt;&gt;"n/a",COUNTIFS($B$2:$B$528,"Yes",$A$2:$A$528,"Neuron",$W$2:$W$528,$W510)&gt;1)),"Yes","No"),IF($A510="Cybernet",IF(OR(AND($Y510&lt;&gt;"",LOWER(TRIM($Y510))&lt;&gt;"n/a",COUNTIFS($B$2:$B$528,"Yes",$A$2:$A$528,"Cybernet",$Y$2:$Y$528,$Y510)&gt;1),AND($Z510&lt;&gt;"",LOWER(TRIM($Z510))&lt;&gt;"n/a",COUNTIFS($B$2:$B$528,"Yes",$A$2:$A$528,"Cybernet",$Z$2:$Z$528,$Z510)&gt;1)),"Yes","No"),IF(AND($AL510&lt;&gt;"",LOWER(TRIM($AL510))&lt;&gt;"n/a"),IF(COUNTIFS($B$2:$B$528,"Yes",$A$2:$A$528,$A510,$AL$2:$AL$528,$AL510)&gt;1,"Yes","No"),"No"))))</f>
        <v/>
      </c>
      <c r="BL510" t="str">
        <f t="shared" si="27"/>
        <v/>
      </c>
      <c r="BM510" t="str">
        <f t="shared" si="28"/>
        <v/>
      </c>
    </row>
    <row r="511" spans="1:70" ht="15" customHeight="1">
      <c r="D511" s="15" t="str">
        <f t="shared" si="24"/>
        <v/>
      </c>
      <c r="E511" s="15" t="str">
        <f>IF($A511="","",IF($A511="Neuron",IF(OR(AND($S511&lt;&gt;"",LOWER(TRIM($S511))&lt;&gt;"n/a",COUNTIF($S$2:$S$528,$S511)&gt;1),AND($T511&lt;&gt;"",LOWER(TRIM($T511))&lt;&gt;"n/a",COUNTIF($T$2:$T$528,$T511)&gt;1),AND($W511&lt;&gt;"",LOWER(TRIM($W511))&lt;&gt;"n/a",COUNTIF($W$2:$W$528,$W511)&gt;1)),"Yes","No"),IF($A511="Cybernet",IF(OR(AND($Y511&lt;&gt;"",LOWER(TRIM($Y511))&lt;&gt;"n/a",COUNTIF($Y$2:$Y$528,$Y511)&gt;1),AND($Z511&lt;&gt;"",LOWER(TRIM($Z511))&lt;&gt;"n/a",COUNTIF($Z$2:$Z$528,$Z511)&gt;1)),"Yes","No"),IF(AND($AL511&lt;&gt;"",LOWER(TRIM($AL511))&lt;&gt;"n/a",COUNTIF($AL$2:$AL$528,$AL511)&gt;1),"Yes","No"))))</f>
        <v/>
      </c>
      <c r="F511" t="str">
        <f>IF($B511&lt;&gt;"Yes","",IF($A511="Neuron",IF(OR(AND($S511&lt;&gt;"",LOWER(TRIM($S511))&lt;&gt;"n/a",COUNTIFS($B$2:$B$528,"Yes",$A$2:$A$528,"Neuron",$S$2:$S$528,$S511)&gt;1),AND($T511&lt;&gt;"",LOWER(TRIM($T511))&lt;&gt;"n/a",COUNTIFS($B$2:$B$528,"Yes",$A$2:$A$528,"Neuron",$T$2:$T$528,$T511)&gt;1),AND($W511&lt;&gt;"",LOWER(TRIM($W511))&lt;&gt;"n/a",COUNTIFS($B$2:$B$528,"Yes",$A$2:$A$528,"Neuron",$W$2:$W$528,$W511)&gt;1)),"Yes","No"),IF($A511="Cybernet",IF(OR(AND($Y511&lt;&gt;"",LOWER(TRIM($Y511))&lt;&gt;"n/a",COUNTIFS($B$2:$B$528,"Yes",$A$2:$A$528,"Cybernet",$Y$2:$Y$528,$Y511)&gt;1),AND($Z511&lt;&gt;"",LOWER(TRIM($Z511))&lt;&gt;"n/a",COUNTIFS($B$2:$B$528,"Yes",$A$2:$A$528,"Cybernet",$Z$2:$Z$528,$Z511)&gt;1)),"Yes","No"),IF(AND($AL511&lt;&gt;"",LOWER(TRIM($AL511))&lt;&gt;"n/a"),IF(COUNTIFS($B$2:$B$528,"Yes",$A$2:$A$528,$A511,$AL$2:$AL$528,$AL511)&gt;1,"Yes","No"),"No"))))</f>
        <v/>
      </c>
      <c r="BL511" t="str">
        <f t="shared" si="27"/>
        <v/>
      </c>
      <c r="BM511" t="str">
        <f t="shared" si="28"/>
        <v/>
      </c>
    </row>
    <row r="512" spans="1:70" ht="15" customHeight="1">
      <c r="C512" s="80"/>
      <c r="D512" s="15" t="str">
        <f t="shared" si="24"/>
        <v/>
      </c>
      <c r="E512" s="15" t="str">
        <f>IF($A512="","",IF($A512="Neuron",IF(OR(AND($S512&lt;&gt;"",LOWER(TRIM($S512))&lt;&gt;"n/a",COUNTIF($S$2:$S$528,$S512)&gt;1),AND($T512&lt;&gt;"",LOWER(TRIM($T512))&lt;&gt;"n/a",COUNTIF($T$2:$T$528,$T512)&gt;1),AND($W512&lt;&gt;"",LOWER(TRIM($W512))&lt;&gt;"n/a",COUNTIF($W$2:$W$528,$W512)&gt;1)),"Yes","No"),IF($A512="Cybernet",IF(OR(AND($Y512&lt;&gt;"",LOWER(TRIM($Y512))&lt;&gt;"n/a",COUNTIF($Y$2:$Y$528,$Y512)&gt;1),AND($Z512&lt;&gt;"",LOWER(TRIM($Z512))&lt;&gt;"n/a",COUNTIF($Z$2:$Z$528,$Z512)&gt;1)),"Yes","No"),IF(AND($AL512&lt;&gt;"",LOWER(TRIM($AL512))&lt;&gt;"n/a",COUNTIF($AL$2:$AL$528,$AL512)&gt;1),"Yes","No"))))</f>
        <v/>
      </c>
      <c r="F512" t="str">
        <f>IF($B512&lt;&gt;"Yes","",IF($A512="Neuron",IF(OR(AND($S512&lt;&gt;"",LOWER(TRIM($S512))&lt;&gt;"n/a",COUNTIFS($B$2:$B$528,"Yes",$A$2:$A$528,"Neuron",$S$2:$S$528,$S512)&gt;1),AND($T512&lt;&gt;"",LOWER(TRIM($T512))&lt;&gt;"n/a",COUNTIFS($B$2:$B$528,"Yes",$A$2:$A$528,"Neuron",$T$2:$T$528,$T512)&gt;1),AND($W512&lt;&gt;"",LOWER(TRIM($W512))&lt;&gt;"n/a",COUNTIFS($B$2:$B$528,"Yes",$A$2:$A$528,"Neuron",$W$2:$W$528,$W512)&gt;1)),"Yes","No"),IF($A512="Cybernet",IF(OR(AND($Y512&lt;&gt;"",LOWER(TRIM($Y512))&lt;&gt;"n/a",COUNTIFS($B$2:$B$528,"Yes",$A$2:$A$528,"Cybernet",$Y$2:$Y$528,$Y512)&gt;1),AND($Z512&lt;&gt;"",LOWER(TRIM($Z512))&lt;&gt;"n/a",COUNTIFS($B$2:$B$528,"Yes",$A$2:$A$528,"Cybernet",$Z$2:$Z$528,$Z512)&gt;1)),"Yes","No"),IF(AND($AL512&lt;&gt;"",LOWER(TRIM($AL512))&lt;&gt;"n/a"),IF(COUNTIFS($B$2:$B$528,"Yes",$A$2:$A$528,$A512,$AL$2:$AL$528,$AL512)&gt;1,"Yes","No"),"No"))))</f>
        <v/>
      </c>
      <c r="BL512" t="str">
        <f t="shared" si="27"/>
        <v/>
      </c>
      <c r="BM512" t="str">
        <f t="shared" si="28"/>
        <v/>
      </c>
    </row>
    <row r="513" spans="1:65" ht="15" customHeight="1">
      <c r="D513" s="15" t="str">
        <f t="shared" si="24"/>
        <v/>
      </c>
      <c r="E513" s="15" t="str">
        <f>IF($A513="","",IF($A513="Neuron",IF(OR(AND($S513&lt;&gt;"",LOWER(TRIM($S513))&lt;&gt;"n/a",COUNTIF($S$2:$S$528,$S513)&gt;1),AND($T513&lt;&gt;"",LOWER(TRIM($T513))&lt;&gt;"n/a",COUNTIF($T$2:$T$528,$T513)&gt;1),AND($W513&lt;&gt;"",LOWER(TRIM($W513))&lt;&gt;"n/a",COUNTIF($W$2:$W$528,$W513)&gt;1)),"Yes","No"),IF($A513="Cybernet",IF(OR(AND($Y513&lt;&gt;"",LOWER(TRIM($Y513))&lt;&gt;"n/a",COUNTIF($Y$2:$Y$528,$Y513)&gt;1),AND($Z513&lt;&gt;"",LOWER(TRIM($Z513))&lt;&gt;"n/a",COUNTIF($Z$2:$Z$528,$Z513)&gt;1)),"Yes","No"),IF(AND($AL513&lt;&gt;"",LOWER(TRIM($AL513))&lt;&gt;"n/a",COUNTIF($AL$2:$AL$528,$AL513)&gt;1),"Yes","No"))))</f>
        <v/>
      </c>
      <c r="F513" t="str">
        <f>IF($B513&lt;&gt;"Yes","",IF($A513="Neuron",IF(OR(AND($S513&lt;&gt;"",LOWER(TRIM($S513))&lt;&gt;"n/a",COUNTIFS($B$2:$B$528,"Yes",$A$2:$A$528,"Neuron",$S$2:$S$528,$S513)&gt;1),AND($T513&lt;&gt;"",LOWER(TRIM($T513))&lt;&gt;"n/a",COUNTIFS($B$2:$B$528,"Yes",$A$2:$A$528,"Neuron",$T$2:$T$528,$T513)&gt;1),AND($W513&lt;&gt;"",LOWER(TRIM($W513))&lt;&gt;"n/a",COUNTIFS($B$2:$B$528,"Yes",$A$2:$A$528,"Neuron",$W$2:$W$528,$W513)&gt;1)),"Yes","No"),IF($A513="Cybernet",IF(OR(AND($Y513&lt;&gt;"",LOWER(TRIM($Y513))&lt;&gt;"n/a",COUNTIFS($B$2:$B$528,"Yes",$A$2:$A$528,"Cybernet",$Y$2:$Y$528,$Y513)&gt;1),AND($Z513&lt;&gt;"",LOWER(TRIM($Z513))&lt;&gt;"n/a",COUNTIFS($B$2:$B$528,"Yes",$A$2:$A$528,"Cybernet",$Z$2:$Z$528,$Z513)&gt;1)),"Yes","No"),IF(AND($AL513&lt;&gt;"",LOWER(TRIM($AL513))&lt;&gt;"n/a"),IF(COUNTIFS($B$2:$B$528,"Yes",$A$2:$A$528,$A513,$AL$2:$AL$528,$AL513)&gt;1,"Yes","No"),"No"))))</f>
        <v/>
      </c>
      <c r="BL513" t="str">
        <f t="shared" si="27"/>
        <v/>
      </c>
      <c r="BM513" t="str">
        <f t="shared" si="28"/>
        <v/>
      </c>
    </row>
    <row r="514" spans="1:65" ht="15" customHeight="1">
      <c r="D514" s="15" t="str">
        <f t="shared" si="24"/>
        <v/>
      </c>
      <c r="E514" s="15" t="str">
        <f>IF($A514="","",IF($A514="Neuron",IF(OR(AND($S514&lt;&gt;"",LOWER(TRIM($S514))&lt;&gt;"n/a",COUNTIF($S$2:$S$528,$S514)&gt;1),AND($T514&lt;&gt;"",LOWER(TRIM($T514))&lt;&gt;"n/a",COUNTIF($T$2:$T$528,$T514)&gt;1),AND($W514&lt;&gt;"",LOWER(TRIM($W514))&lt;&gt;"n/a",COUNTIF($W$2:$W$528,$W514)&gt;1)),"Yes","No"),IF($A514="Cybernet",IF(OR(AND($Y514&lt;&gt;"",LOWER(TRIM($Y514))&lt;&gt;"n/a",COUNTIF($Y$2:$Y$528,$Y514)&gt;1),AND($Z514&lt;&gt;"",LOWER(TRIM($Z514))&lt;&gt;"n/a",COUNTIF($Z$2:$Z$528,$Z514)&gt;1)),"Yes","No"),IF(AND($AL514&lt;&gt;"",LOWER(TRIM($AL514))&lt;&gt;"n/a",COUNTIF($AL$2:$AL$528,$AL514)&gt;1),"Yes","No"))))</f>
        <v/>
      </c>
      <c r="F514" t="str">
        <f>IF($B514&lt;&gt;"Yes","",IF($A514="Neuron",IF(OR(AND($S514&lt;&gt;"",LOWER(TRIM($S514))&lt;&gt;"n/a",COUNTIFS($B$2:$B$528,"Yes",$A$2:$A$528,"Neuron",$S$2:$S$528,$S514)&gt;1),AND($T514&lt;&gt;"",LOWER(TRIM($T514))&lt;&gt;"n/a",COUNTIFS($B$2:$B$528,"Yes",$A$2:$A$528,"Neuron",$T$2:$T$528,$T514)&gt;1),AND($W514&lt;&gt;"",LOWER(TRIM($W514))&lt;&gt;"n/a",COUNTIFS($B$2:$B$528,"Yes",$A$2:$A$528,"Neuron",$W$2:$W$528,$W514)&gt;1)),"Yes","No"),IF($A514="Cybernet",IF(OR(AND($Y514&lt;&gt;"",LOWER(TRIM($Y514))&lt;&gt;"n/a",COUNTIFS($B$2:$B$528,"Yes",$A$2:$A$528,"Cybernet",$Y$2:$Y$528,$Y514)&gt;1),AND($Z514&lt;&gt;"",LOWER(TRIM($Z514))&lt;&gt;"n/a",COUNTIFS($B$2:$B$528,"Yes",$A$2:$A$528,"Cybernet",$Z$2:$Z$528,$Z514)&gt;1)),"Yes","No"),IF(AND($AL514&lt;&gt;"",LOWER(TRIM($AL514))&lt;&gt;"n/a"),IF(COUNTIFS($B$2:$B$528,"Yes",$A$2:$A$528,$A514,$AL$2:$AL$528,$AL514)&gt;1,"Yes","No"),"No"))))</f>
        <v/>
      </c>
      <c r="BL514" t="str">
        <f t="shared" si="27"/>
        <v/>
      </c>
      <c r="BM514" t="str">
        <f t="shared" si="28"/>
        <v/>
      </c>
    </row>
    <row r="515" spans="1:65" ht="15" customHeight="1">
      <c r="D515" s="15" t="str">
        <f t="shared" si="24"/>
        <v/>
      </c>
      <c r="E515" s="15" t="str">
        <f>IF($A515="","",IF($A515="Neuron",IF(OR(AND($S515&lt;&gt;"",LOWER(TRIM($S515))&lt;&gt;"n/a",COUNTIF($S$2:$S$528,$S515)&gt;1),AND($T515&lt;&gt;"",LOWER(TRIM($T515))&lt;&gt;"n/a",COUNTIF($T$2:$T$528,$T515)&gt;1),AND($W515&lt;&gt;"",LOWER(TRIM($W515))&lt;&gt;"n/a",COUNTIF($W$2:$W$528,$W515)&gt;1)),"Yes","No"),IF($A515="Cybernet",IF(OR(AND($Y515&lt;&gt;"",LOWER(TRIM($Y515))&lt;&gt;"n/a",COUNTIF($Y$2:$Y$528,$Y515)&gt;1),AND($Z515&lt;&gt;"",LOWER(TRIM($Z515))&lt;&gt;"n/a",COUNTIF($Z$2:$Z$528,$Z515)&gt;1)),"Yes","No"),IF(AND($AL515&lt;&gt;"",LOWER(TRIM($AL515))&lt;&gt;"n/a",COUNTIF($AL$2:$AL$528,$AL515)&gt;1),"Yes","No"))))</f>
        <v/>
      </c>
      <c r="F515" t="str">
        <f>IF($B515&lt;&gt;"Yes","",IF($A515="Neuron",IF(OR(AND($S515&lt;&gt;"",LOWER(TRIM($S515))&lt;&gt;"n/a",COUNTIFS($B$2:$B$528,"Yes",$A$2:$A$528,"Neuron",$S$2:$S$528,$S515)&gt;1),AND($T515&lt;&gt;"",LOWER(TRIM($T515))&lt;&gt;"n/a",COUNTIFS($B$2:$B$528,"Yes",$A$2:$A$528,"Neuron",$T$2:$T$528,$T515)&gt;1),AND($W515&lt;&gt;"",LOWER(TRIM($W515))&lt;&gt;"n/a",COUNTIFS($B$2:$B$528,"Yes",$A$2:$A$528,"Neuron",$W$2:$W$528,$W515)&gt;1)),"Yes","No"),IF($A515="Cybernet",IF(OR(AND($Y515&lt;&gt;"",LOWER(TRIM($Y515))&lt;&gt;"n/a",COUNTIFS($B$2:$B$528,"Yes",$A$2:$A$528,"Cybernet",$Y$2:$Y$528,$Y515)&gt;1),AND($Z515&lt;&gt;"",LOWER(TRIM($Z515))&lt;&gt;"n/a",COUNTIFS($B$2:$B$528,"Yes",$A$2:$A$528,"Cybernet",$Z$2:$Z$528,$Z515)&gt;1)),"Yes","No"),IF(AND($AL515&lt;&gt;"",LOWER(TRIM($AL515))&lt;&gt;"n/a"),IF(COUNTIFS($B$2:$B$528,"Yes",$A$2:$A$528,$A515,$AL$2:$AL$528,$AL515)&gt;1,"Yes","No"),"No"))))</f>
        <v/>
      </c>
      <c r="BL515" t="str">
        <f t="shared" si="27"/>
        <v/>
      </c>
      <c r="BM515" t="str">
        <f t="shared" si="28"/>
        <v/>
      </c>
    </row>
    <row r="516" spans="1:65" ht="15" customHeight="1">
      <c r="D516" s="15" t="str">
        <f t="shared" si="24"/>
        <v/>
      </c>
      <c r="E516" s="15" t="str">
        <f>IF($A516="","",IF($A516="Neuron",IF(OR(AND($S516&lt;&gt;"",LOWER(TRIM($S516))&lt;&gt;"n/a",COUNTIF($S$2:$S$528,$S516)&gt;1),AND($T516&lt;&gt;"",LOWER(TRIM($T516))&lt;&gt;"n/a",COUNTIF($T$2:$T$528,$T516)&gt;1),AND($W516&lt;&gt;"",LOWER(TRIM($W516))&lt;&gt;"n/a",COUNTIF($W$2:$W$528,$W516)&gt;1)),"Yes","No"),IF($A516="Cybernet",IF(OR(AND($Y516&lt;&gt;"",LOWER(TRIM($Y516))&lt;&gt;"n/a",COUNTIF($Y$2:$Y$528,$Y516)&gt;1),AND($Z516&lt;&gt;"",LOWER(TRIM($Z516))&lt;&gt;"n/a",COUNTIF($Z$2:$Z$528,$Z516)&gt;1)),"Yes","No"),IF(AND($AL516&lt;&gt;"",LOWER(TRIM($AL516))&lt;&gt;"n/a",COUNTIF($AL$2:$AL$528,$AL516)&gt;1),"Yes","No"))))</f>
        <v/>
      </c>
      <c r="F516" t="str">
        <f>IF($B516&lt;&gt;"Yes","",IF($A516="Neuron",IF(OR(AND($S516&lt;&gt;"",LOWER(TRIM($S516))&lt;&gt;"n/a",COUNTIFS($B$2:$B$528,"Yes",$A$2:$A$528,"Neuron",$S$2:$S$528,$S516)&gt;1),AND($T516&lt;&gt;"",LOWER(TRIM($T516))&lt;&gt;"n/a",COUNTIFS($B$2:$B$528,"Yes",$A$2:$A$528,"Neuron",$T$2:$T$528,$T516)&gt;1),AND($W516&lt;&gt;"",LOWER(TRIM($W516))&lt;&gt;"n/a",COUNTIFS($B$2:$B$528,"Yes",$A$2:$A$528,"Neuron",$W$2:$W$528,$W516)&gt;1)),"Yes","No"),IF($A516="Cybernet",IF(OR(AND($Y516&lt;&gt;"",LOWER(TRIM($Y516))&lt;&gt;"n/a",COUNTIFS($B$2:$B$528,"Yes",$A$2:$A$528,"Cybernet",$Y$2:$Y$528,$Y516)&gt;1),AND($Z516&lt;&gt;"",LOWER(TRIM($Z516))&lt;&gt;"n/a",COUNTIFS($B$2:$B$528,"Yes",$A$2:$A$528,"Cybernet",$Z$2:$Z$528,$Z516)&gt;1)),"Yes","No"),IF(AND($AL516&lt;&gt;"",LOWER(TRIM($AL516))&lt;&gt;"n/a"),IF(COUNTIFS($B$2:$B$528,"Yes",$A$2:$A$528,$A516,$AL$2:$AL$528,$AL516)&gt;1,"Yes","No"),"No"))))</f>
        <v/>
      </c>
      <c r="BL516" t="str">
        <f t="shared" si="27"/>
        <v/>
      </c>
      <c r="BM516" t="str">
        <f t="shared" si="28"/>
        <v/>
      </c>
    </row>
    <row r="517" spans="1:65" ht="15" customHeight="1">
      <c r="D517" s="15" t="str">
        <f t="shared" si="24"/>
        <v/>
      </c>
      <c r="E517" s="15" t="str">
        <f>IF($A517="","",IF($A517="Neuron",IF(OR(AND($S517&lt;&gt;"",LOWER(TRIM($S517))&lt;&gt;"n/a",COUNTIF($S$2:$S$528,$S517)&gt;1),AND($T517&lt;&gt;"",LOWER(TRIM($T517))&lt;&gt;"n/a",COUNTIF($T$2:$T$528,$T517)&gt;1),AND($W517&lt;&gt;"",LOWER(TRIM($W517))&lt;&gt;"n/a",COUNTIF($W$2:$W$528,$W517)&gt;1)),"Yes","No"),IF($A517="Cybernet",IF(OR(AND($Y517&lt;&gt;"",LOWER(TRIM($Y517))&lt;&gt;"n/a",COUNTIF($Y$2:$Y$528,$Y517)&gt;1),AND($Z517&lt;&gt;"",LOWER(TRIM($Z517))&lt;&gt;"n/a",COUNTIF($Z$2:$Z$528,$Z517)&gt;1)),"Yes","No"),IF(AND($AL517&lt;&gt;"",LOWER(TRIM($AL517))&lt;&gt;"n/a",COUNTIF($AL$2:$AL$528,$AL517)&gt;1),"Yes","No"))))</f>
        <v/>
      </c>
      <c r="F517" t="str">
        <f>IF($B517&lt;&gt;"Yes","",IF($A517="Neuron",IF(OR(AND($S517&lt;&gt;"",LOWER(TRIM($S517))&lt;&gt;"n/a",COUNTIFS($B$2:$B$528,"Yes",$A$2:$A$528,"Neuron",$S$2:$S$528,$S517)&gt;1),AND($T517&lt;&gt;"",LOWER(TRIM($T517))&lt;&gt;"n/a",COUNTIFS($B$2:$B$528,"Yes",$A$2:$A$528,"Neuron",$T$2:$T$528,$T517)&gt;1),AND($W517&lt;&gt;"",LOWER(TRIM($W517))&lt;&gt;"n/a",COUNTIFS($B$2:$B$528,"Yes",$A$2:$A$528,"Neuron",$W$2:$W$528,$W517)&gt;1)),"Yes","No"),IF($A517="Cybernet",IF(OR(AND($Y517&lt;&gt;"",LOWER(TRIM($Y517))&lt;&gt;"n/a",COUNTIFS($B$2:$B$528,"Yes",$A$2:$A$528,"Cybernet",$Y$2:$Y$528,$Y517)&gt;1),AND($Z517&lt;&gt;"",LOWER(TRIM($Z517))&lt;&gt;"n/a",COUNTIFS($B$2:$B$528,"Yes",$A$2:$A$528,"Cybernet",$Z$2:$Z$528,$Z517)&gt;1)),"Yes","No"),IF(AND($AL517&lt;&gt;"",LOWER(TRIM($AL517))&lt;&gt;"n/a"),IF(COUNTIFS($B$2:$B$528,"Yes",$A$2:$A$528,$A517,$AL$2:$AL$528,$AL517)&gt;1,"Yes","No"),"No"))))</f>
        <v/>
      </c>
      <c r="BL517" t="str">
        <f t="shared" si="27"/>
        <v/>
      </c>
      <c r="BM517" t="str">
        <f t="shared" si="28"/>
        <v/>
      </c>
    </row>
    <row r="518" spans="1:65" ht="15" customHeight="1">
      <c r="D518" s="15" t="str">
        <f t="shared" si="24"/>
        <v/>
      </c>
      <c r="E518" s="15" t="str">
        <f>IF($A518="","",IF($A518="Neuron",IF(OR(AND($S518&lt;&gt;"",LOWER(TRIM($S518))&lt;&gt;"n/a",COUNTIF($S$2:$S$528,$S518)&gt;1),AND($T518&lt;&gt;"",LOWER(TRIM($T518))&lt;&gt;"n/a",COUNTIF($T$2:$T$528,$T518)&gt;1),AND($W518&lt;&gt;"",LOWER(TRIM($W518))&lt;&gt;"n/a",COUNTIF($W$2:$W$528,$W518)&gt;1)),"Yes","No"),IF($A518="Cybernet",IF(OR(AND($Y518&lt;&gt;"",LOWER(TRIM($Y518))&lt;&gt;"n/a",COUNTIF($Y$2:$Y$528,$Y518)&gt;1),AND($Z518&lt;&gt;"",LOWER(TRIM($Z518))&lt;&gt;"n/a",COUNTIF($Z$2:$Z$528,$Z518)&gt;1)),"Yes","No"),IF(AND($AL518&lt;&gt;"",LOWER(TRIM($AL518))&lt;&gt;"n/a",COUNTIF($AL$2:$AL$528,$AL518)&gt;1),"Yes","No"))))</f>
        <v/>
      </c>
      <c r="F518" t="str">
        <f>IF($B518&lt;&gt;"Yes","",IF($A518="Neuron",IF(OR(AND($S518&lt;&gt;"",LOWER(TRIM($S518))&lt;&gt;"n/a",COUNTIFS($B$2:$B$528,"Yes",$A$2:$A$528,"Neuron",$S$2:$S$528,$S518)&gt;1),AND($T518&lt;&gt;"",LOWER(TRIM($T518))&lt;&gt;"n/a",COUNTIFS($B$2:$B$528,"Yes",$A$2:$A$528,"Neuron",$T$2:$T$528,$T518)&gt;1),AND($W518&lt;&gt;"",LOWER(TRIM($W518))&lt;&gt;"n/a",COUNTIFS($B$2:$B$528,"Yes",$A$2:$A$528,"Neuron",$W$2:$W$528,$W518)&gt;1)),"Yes","No"),IF($A518="Cybernet",IF(OR(AND($Y518&lt;&gt;"",LOWER(TRIM($Y518))&lt;&gt;"n/a",COUNTIFS($B$2:$B$528,"Yes",$A$2:$A$528,"Cybernet",$Y$2:$Y$528,$Y518)&gt;1),AND($Z518&lt;&gt;"",LOWER(TRIM($Z518))&lt;&gt;"n/a",COUNTIFS($B$2:$B$528,"Yes",$A$2:$A$528,"Cybernet",$Z$2:$Z$528,$Z518)&gt;1)),"Yes","No"),IF(AND($AL518&lt;&gt;"",LOWER(TRIM($AL518))&lt;&gt;"n/a"),IF(COUNTIFS($B$2:$B$528,"Yes",$A$2:$A$528,$A518,$AL$2:$AL$528,$AL518)&gt;1,"Yes","No"),"No"))))</f>
        <v/>
      </c>
      <c r="BL518" t="str">
        <f t="shared" si="27"/>
        <v/>
      </c>
      <c r="BM518" t="str">
        <f t="shared" si="28"/>
        <v/>
      </c>
    </row>
    <row r="519" spans="1:65" ht="15" customHeight="1">
      <c r="D519" s="15" t="str">
        <f t="shared" si="24"/>
        <v/>
      </c>
      <c r="E519" s="15" t="str">
        <f>IF($A519="","",IF($A519="Neuron",IF(OR(AND($S519&lt;&gt;"",LOWER(TRIM($S519))&lt;&gt;"n/a",COUNTIF($S$2:$S$528,$S519)&gt;1),AND($T519&lt;&gt;"",LOWER(TRIM($T519))&lt;&gt;"n/a",COUNTIF($T$2:$T$528,$T519)&gt;1),AND($W519&lt;&gt;"",LOWER(TRIM($W519))&lt;&gt;"n/a",COUNTIF($W$2:$W$528,$W519)&gt;1)),"Yes","No"),IF($A519="Cybernet",IF(OR(AND($Y519&lt;&gt;"",LOWER(TRIM($Y519))&lt;&gt;"n/a",COUNTIF($Y$2:$Y$528,$Y519)&gt;1),AND($Z519&lt;&gt;"",LOWER(TRIM($Z519))&lt;&gt;"n/a",COUNTIF($Z$2:$Z$528,$Z519)&gt;1)),"Yes","No"),IF(AND($AL519&lt;&gt;"",LOWER(TRIM($AL519))&lt;&gt;"n/a",COUNTIF($AL$2:$AL$528,$AL519)&gt;1),"Yes","No"))))</f>
        <v/>
      </c>
      <c r="F519" t="str">
        <f>IF($B519&lt;&gt;"Yes","",IF($A519="Neuron",IF(OR(AND($S519&lt;&gt;"",LOWER(TRIM($S519))&lt;&gt;"n/a",COUNTIFS($B$2:$B$528,"Yes",$A$2:$A$528,"Neuron",$S$2:$S$528,$S519)&gt;1),AND($T519&lt;&gt;"",LOWER(TRIM($T519))&lt;&gt;"n/a",COUNTIFS($B$2:$B$528,"Yes",$A$2:$A$528,"Neuron",$T$2:$T$528,$T519)&gt;1),AND($W519&lt;&gt;"",LOWER(TRIM($W519))&lt;&gt;"n/a",COUNTIFS($B$2:$B$528,"Yes",$A$2:$A$528,"Neuron",$W$2:$W$528,$W519)&gt;1)),"Yes","No"),IF($A519="Cybernet",IF(OR(AND($Y519&lt;&gt;"",LOWER(TRIM($Y519))&lt;&gt;"n/a",COUNTIFS($B$2:$B$528,"Yes",$A$2:$A$528,"Cybernet",$Y$2:$Y$528,$Y519)&gt;1),AND($Z519&lt;&gt;"",LOWER(TRIM($Z519))&lt;&gt;"n/a",COUNTIFS($B$2:$B$528,"Yes",$A$2:$A$528,"Cybernet",$Z$2:$Z$528,$Z519)&gt;1)),"Yes","No"),IF(AND($AL519&lt;&gt;"",LOWER(TRIM($AL519))&lt;&gt;"n/a"),IF(COUNTIFS($B$2:$B$528,"Yes",$A$2:$A$528,$A519,$AL$2:$AL$528,$AL519)&gt;1,"Yes","No"),"No"))))</f>
        <v/>
      </c>
      <c r="BL519" t="str">
        <f t="shared" si="27"/>
        <v/>
      </c>
      <c r="BM519" t="str">
        <f t="shared" si="28"/>
        <v/>
      </c>
    </row>
    <row r="520" spans="1:65" ht="15" customHeight="1">
      <c r="D520" s="15" t="str">
        <f t="shared" si="24"/>
        <v/>
      </c>
      <c r="E520" s="15" t="str">
        <f>IF($A520="","",IF($A520="Neuron",IF(OR(AND($S520&lt;&gt;"",LOWER(TRIM($S520))&lt;&gt;"n/a",COUNTIF($S$2:$S$528,$S520)&gt;1),AND($T520&lt;&gt;"",LOWER(TRIM($T520))&lt;&gt;"n/a",COUNTIF($T$2:$T$528,$T520)&gt;1),AND($W520&lt;&gt;"",LOWER(TRIM($W520))&lt;&gt;"n/a",COUNTIF($W$2:$W$528,$W520)&gt;1)),"Yes","No"),IF($A520="Cybernet",IF(OR(AND($Y520&lt;&gt;"",LOWER(TRIM($Y520))&lt;&gt;"n/a",COUNTIF($Y$2:$Y$528,$Y520)&gt;1),AND($Z520&lt;&gt;"",LOWER(TRIM($Z520))&lt;&gt;"n/a",COUNTIF($Z$2:$Z$528,$Z520)&gt;1)),"Yes","No"),IF(AND($AL520&lt;&gt;"",LOWER(TRIM($AL520))&lt;&gt;"n/a",COUNTIF($AL$2:$AL$528,$AL520)&gt;1),"Yes","No"))))</f>
        <v/>
      </c>
      <c r="F520" t="str">
        <f>IF($B520&lt;&gt;"Yes","",IF($A520="Neuron",IF(OR(AND($S520&lt;&gt;"",LOWER(TRIM($S520))&lt;&gt;"n/a",COUNTIFS($B$2:$B$528,"Yes",$A$2:$A$528,"Neuron",$S$2:$S$528,$S520)&gt;1),AND($T520&lt;&gt;"",LOWER(TRIM($T520))&lt;&gt;"n/a",COUNTIFS($B$2:$B$528,"Yes",$A$2:$A$528,"Neuron",$T$2:$T$528,$T520)&gt;1),AND($W520&lt;&gt;"",LOWER(TRIM($W520))&lt;&gt;"n/a",COUNTIFS($B$2:$B$528,"Yes",$A$2:$A$528,"Neuron",$W$2:$W$528,$W520)&gt;1)),"Yes","No"),IF($A520="Cybernet",IF(OR(AND($Y520&lt;&gt;"",LOWER(TRIM($Y520))&lt;&gt;"n/a",COUNTIFS($B$2:$B$528,"Yes",$A$2:$A$528,"Cybernet",$Y$2:$Y$528,$Y520)&gt;1),AND($Z520&lt;&gt;"",LOWER(TRIM($Z520))&lt;&gt;"n/a",COUNTIFS($B$2:$B$528,"Yes",$A$2:$A$528,"Cybernet",$Z$2:$Z$528,$Z520)&gt;1)),"Yes","No"),IF(AND($AL520&lt;&gt;"",LOWER(TRIM($AL520))&lt;&gt;"n/a"),IF(COUNTIFS($B$2:$B$528,"Yes",$A$2:$A$528,$A520,$AL$2:$AL$528,$AL520)&gt;1,"Yes","No"),"No"))))</f>
        <v/>
      </c>
      <c r="BL520" t="str">
        <f t="shared" si="27"/>
        <v/>
      </c>
      <c r="BM520" t="str">
        <f t="shared" si="28"/>
        <v/>
      </c>
    </row>
    <row r="521" spans="1:65" ht="15" customHeight="1">
      <c r="D521" s="15" t="str">
        <f t="shared" si="24"/>
        <v/>
      </c>
      <c r="E521" s="15" t="str">
        <f>IF($A521="","",IF($A521="Neuron",IF(OR(AND($S521&lt;&gt;"",LOWER(TRIM($S521))&lt;&gt;"n/a",COUNTIF($S$2:$S$528,$S521)&gt;1),AND($T521&lt;&gt;"",LOWER(TRIM($T521))&lt;&gt;"n/a",COUNTIF($T$2:$T$528,$T521)&gt;1),AND($W521&lt;&gt;"",LOWER(TRIM($W521))&lt;&gt;"n/a",COUNTIF($W$2:$W$528,$W521)&gt;1)),"Yes","No"),IF($A521="Cybernet",IF(OR(AND($Y521&lt;&gt;"",LOWER(TRIM($Y521))&lt;&gt;"n/a",COUNTIF($Y$2:$Y$528,$Y521)&gt;1),AND($Z521&lt;&gt;"",LOWER(TRIM($Z521))&lt;&gt;"n/a",COUNTIF($Z$2:$Z$528,$Z521)&gt;1)),"Yes","No"),IF(AND($AL521&lt;&gt;"",LOWER(TRIM($AL521))&lt;&gt;"n/a",COUNTIF($AL$2:$AL$528,$AL521)&gt;1),"Yes","No"))))</f>
        <v/>
      </c>
      <c r="F521" t="str">
        <f>IF($B521&lt;&gt;"Yes","",IF($A521="Neuron",IF(OR(AND($S521&lt;&gt;"",LOWER(TRIM($S521))&lt;&gt;"n/a",COUNTIFS($B$2:$B$528,"Yes",$A$2:$A$528,"Neuron",$S$2:$S$528,$S521)&gt;1),AND($T521&lt;&gt;"",LOWER(TRIM($T521))&lt;&gt;"n/a",COUNTIFS($B$2:$B$528,"Yes",$A$2:$A$528,"Neuron",$T$2:$T$528,$T521)&gt;1),AND($W521&lt;&gt;"",LOWER(TRIM($W521))&lt;&gt;"n/a",COUNTIFS($B$2:$B$528,"Yes",$A$2:$A$528,"Neuron",$W$2:$W$528,$W521)&gt;1)),"Yes","No"),IF($A521="Cybernet",IF(OR(AND($Y521&lt;&gt;"",LOWER(TRIM($Y521))&lt;&gt;"n/a",COUNTIFS($B$2:$B$528,"Yes",$A$2:$A$528,"Cybernet",$Y$2:$Y$528,$Y521)&gt;1),AND($Z521&lt;&gt;"",LOWER(TRIM($Z521))&lt;&gt;"n/a",COUNTIFS($B$2:$B$528,"Yes",$A$2:$A$528,"Cybernet",$Z$2:$Z$528,$Z521)&gt;1)),"Yes","No"),IF(AND($AL521&lt;&gt;"",LOWER(TRIM($AL521))&lt;&gt;"n/a"),IF(COUNTIFS($B$2:$B$528,"Yes",$A$2:$A$528,$A521,$AL$2:$AL$528,$AL521)&gt;1,"Yes","No"),"No"))))</f>
        <v/>
      </c>
      <c r="BL521" t="str">
        <f t="shared" si="27"/>
        <v/>
      </c>
      <c r="BM521" t="str">
        <f t="shared" si="28"/>
        <v/>
      </c>
    </row>
    <row r="522" spans="1:65" ht="15" customHeight="1">
      <c r="A522" s="79"/>
      <c r="D522" s="15" t="str">
        <f t="shared" si="24"/>
        <v/>
      </c>
      <c r="E522" s="15" t="str">
        <f>IF($A522="","",IF($A522="Neuron",IF(OR(AND($S522&lt;&gt;"",LOWER(TRIM($S522))&lt;&gt;"n/a",COUNTIF($S$2:$S$528,$S522)&gt;1),AND($T522&lt;&gt;"",LOWER(TRIM($T522))&lt;&gt;"n/a",COUNTIF($T$2:$T$528,$T522)&gt;1),AND($W522&lt;&gt;"",LOWER(TRIM($W522))&lt;&gt;"n/a",COUNTIF($W$2:$W$528,$W522)&gt;1)),"Yes","No"),IF($A522="Cybernet",IF(OR(AND($Y522&lt;&gt;"",LOWER(TRIM($Y522))&lt;&gt;"n/a",COUNTIF($Y$2:$Y$528,$Y522)&gt;1),AND($Z522&lt;&gt;"",LOWER(TRIM($Z522))&lt;&gt;"n/a",COUNTIF($Z$2:$Z$528,$Z522)&gt;1)),"Yes","No"),IF(AND($AL522&lt;&gt;"",LOWER(TRIM($AL522))&lt;&gt;"n/a",COUNTIF($AL$2:$AL$528,$AL522)&gt;1),"Yes","No"))))</f>
        <v/>
      </c>
      <c r="F522" t="str">
        <f>IF($B522&lt;&gt;"Yes","",IF($A522="Neuron",IF(OR(AND($S522&lt;&gt;"",LOWER(TRIM($S522))&lt;&gt;"n/a",COUNTIFS($B$2:$B$528,"Yes",$A$2:$A$528,"Neuron",$S$2:$S$528,$S522)&gt;1),AND($T522&lt;&gt;"",LOWER(TRIM($T522))&lt;&gt;"n/a",COUNTIFS($B$2:$B$528,"Yes",$A$2:$A$528,"Neuron",$T$2:$T$528,$T522)&gt;1),AND($W522&lt;&gt;"",LOWER(TRIM($W522))&lt;&gt;"n/a",COUNTIFS($B$2:$B$528,"Yes",$A$2:$A$528,"Neuron",$W$2:$W$528,$W522)&gt;1)),"Yes","No"),IF($A522="Cybernet",IF(OR(AND($Y522&lt;&gt;"",LOWER(TRIM($Y522))&lt;&gt;"n/a",COUNTIFS($B$2:$B$528,"Yes",$A$2:$A$528,"Cybernet",$Y$2:$Y$528,$Y522)&gt;1),AND($Z522&lt;&gt;"",LOWER(TRIM($Z522))&lt;&gt;"n/a",COUNTIFS($B$2:$B$528,"Yes",$A$2:$A$528,"Cybernet",$Z$2:$Z$528,$Z522)&gt;1)),"Yes","No"),IF(AND($AL522&lt;&gt;"",LOWER(TRIM($AL522))&lt;&gt;"n/a"),IF(COUNTIFS($B$2:$B$528,"Yes",$A$2:$A$528,$A522,$AL$2:$AL$528,$AL522)&gt;1,"Yes","No"),"No"))))</f>
        <v/>
      </c>
      <c r="BL522" t="str">
        <f t="shared" si="27"/>
        <v/>
      </c>
      <c r="BM522" t="str">
        <f t="shared" si="28"/>
        <v/>
      </c>
    </row>
    <row r="523" spans="1:65" ht="15" customHeight="1">
      <c r="D523" s="15" t="str">
        <f t="shared" ref="D523:D527" si="29">IF($B523&lt;&gt;"Yes","",IF($C523="No","Yes",IF($C523="Yes","No","")))</f>
        <v/>
      </c>
      <c r="E523" s="15" t="str">
        <f t="shared" ref="E523:E527" si="30">IF($A523="","",IF($A523="Neuron",IF(OR(AND($S523&lt;&gt;"",LOWER(TRIM($S523))&lt;&gt;"n/a",COUNTIF($S$2:$S$528,$S523)&gt;1),AND($T523&lt;&gt;"",LOWER(TRIM($T523))&lt;&gt;"n/a",COUNTIF($T$2:$T$528,$T523)&gt;1),AND($W523&lt;&gt;"",LOWER(TRIM($W523))&lt;&gt;"n/a",COUNTIF($W$2:$W$528,$W523)&gt;1)),"Yes","No"),IF($A523="Cybernet",IF(OR(AND($Y523&lt;&gt;"",LOWER(TRIM($Y523))&lt;&gt;"n/a",COUNTIF($Y$2:$Y$528,$Y523)&gt;1),AND($Z523&lt;&gt;"",LOWER(TRIM($Z523))&lt;&gt;"n/a",COUNTIF($Z$2:$Z$528,$Z523)&gt;1)),"Yes","No"),IF(AND($AL523&lt;&gt;"",LOWER(TRIM($AL523))&lt;&gt;"n/a",COUNTIF($AL$2:$AL$528,$AL523)&gt;1),"Yes","No"))))</f>
        <v/>
      </c>
      <c r="F523" t="str">
        <f t="shared" ref="F523:F527" si="31">IF($B523&lt;&gt;"Yes","",IF($A523="Neuron",IF(OR(AND($S523&lt;&gt;"",LOWER(TRIM($S523))&lt;&gt;"n/a",COUNTIFS($B$2:$B$528,"Yes",$A$2:$A$528,"Neuron",$S$2:$S$528,$S523)&gt;1),AND($T523&lt;&gt;"",LOWER(TRIM($T523))&lt;&gt;"n/a",COUNTIFS($B$2:$B$528,"Yes",$A$2:$A$528,"Neuron",$T$2:$T$528,$T523)&gt;1),AND($W523&lt;&gt;"",LOWER(TRIM($W523))&lt;&gt;"n/a",COUNTIFS($B$2:$B$528,"Yes",$A$2:$A$528,"Neuron",$W$2:$W$528,$W523)&gt;1)),"Yes","No"),IF($A523="Cybernet",IF(OR(AND($Y523&lt;&gt;"",LOWER(TRIM($Y523))&lt;&gt;"n/a",COUNTIFS($B$2:$B$528,"Yes",$A$2:$A$528,"Cybernet",$Y$2:$Y$528,$Y523)&gt;1),AND($Z523&lt;&gt;"",LOWER(TRIM($Z523))&lt;&gt;"n/a",COUNTIFS($B$2:$B$528,"Yes",$A$2:$A$528,"Cybernet",$Z$2:$Z$528,$Z523)&gt;1)),"Yes","No"),IF(AND($AL523&lt;&gt;"",LOWER(TRIM($AL523))&lt;&gt;"n/a"),IF(COUNTIFS($B$2:$B$528,"Yes",$A$2:$A$528,$A523,$AL$2:$AL$528,$AL523)&gt;1,"Yes","No"),"No"))))</f>
        <v/>
      </c>
      <c r="BM523" t="str">
        <f t="shared" si="28"/>
        <v/>
      </c>
    </row>
    <row r="524" spans="1:65" ht="15" customHeight="1">
      <c r="D524" s="15" t="str">
        <f t="shared" si="29"/>
        <v/>
      </c>
      <c r="E524" s="15" t="str">
        <f t="shared" si="30"/>
        <v/>
      </c>
      <c r="F524" t="str">
        <f t="shared" si="31"/>
        <v/>
      </c>
      <c r="BM524" t="str">
        <f t="shared" si="28"/>
        <v/>
      </c>
    </row>
    <row r="525" spans="1:65" ht="15" customHeight="1">
      <c r="D525" s="15" t="str">
        <f t="shared" si="29"/>
        <v/>
      </c>
      <c r="E525" s="15" t="str">
        <f t="shared" si="30"/>
        <v/>
      </c>
      <c r="F525" t="str">
        <f t="shared" si="31"/>
        <v/>
      </c>
      <c r="BM525" t="str">
        <f t="shared" si="28"/>
        <v/>
      </c>
    </row>
    <row r="526" spans="1:65" ht="15" customHeight="1">
      <c r="D526" s="15" t="str">
        <f t="shared" si="29"/>
        <v/>
      </c>
      <c r="E526" s="15" t="str">
        <f t="shared" si="30"/>
        <v/>
      </c>
      <c r="F526" t="str">
        <f t="shared" si="31"/>
        <v/>
      </c>
      <c r="BM526" t="str">
        <f t="shared" si="28"/>
        <v/>
      </c>
    </row>
    <row r="527" spans="1:65" ht="15" customHeight="1">
      <c r="A527" t="s">
        <v>1341</v>
      </c>
      <c r="B527" t="s">
        <v>1441</v>
      </c>
      <c r="C527" s="15" t="s">
        <v>1441</v>
      </c>
      <c r="D527" s="15" t="str">
        <f t="shared" si="29"/>
        <v>No</v>
      </c>
      <c r="E527" s="15" t="str">
        <f t="shared" si="30"/>
        <v>Yes</v>
      </c>
      <c r="F527" t="str">
        <f t="shared" si="31"/>
        <v>Yes</v>
      </c>
      <c r="S527" t="s">
        <v>1618</v>
      </c>
      <c r="BM527" t="str">
        <f t="shared" si="28"/>
        <v/>
      </c>
    </row>
    <row r="528" spans="1:65" ht="15" customHeight="1">
      <c r="A528" t="s">
        <v>1341</v>
      </c>
      <c r="B528" t="s">
        <v>1441</v>
      </c>
      <c r="C528" s="15" t="s">
        <v>1441</v>
      </c>
      <c r="E528" s="15" t="str">
        <f>IF($A528="","",IF($A528="Neuron",IF(OR(AND($S528&lt;&gt;"",LOWER(TRIM($S528))&lt;&gt;"n/a",COUNTIF($S$2:$S$528,$S528)&gt;1),AND($T528&lt;&gt;"",LOWER(TRIM($T528))&lt;&gt;"n/a",COUNTIF($T$2:$T$528,$T528)&gt;1),AND($W528&lt;&gt;"",LOWER(TRIM($W528))&lt;&gt;"n/a",COUNTIF($W$2:$W$528,$W528)&gt;1)),"Yes","No"),IF($A528="Cybernet",IF(OR(AND($Y528&lt;&gt;"",LOWER(TRIM($Y528))&lt;&gt;"n/a",COUNTIF($Y$2:$Y$528,$Y528)&gt;1),AND($Z528&lt;&gt;"",LOWER(TRIM($Z528))&lt;&gt;"n/a",COUNTIF($Z$2:$Z$528,$Z528)&gt;1)),"Yes","No"),IF(AND($AL528&lt;&gt;"",LOWER(TRIM($AL528))&lt;&gt;"n/a",COUNTIF($AL$2:$AL$528,$AL528)&gt;1),"Yes","No"))))</f>
        <v>Yes</v>
      </c>
      <c r="F528" t="str">
        <f>IF($B528&lt;&gt;"Yes","",IF($A528="Neuron",IF(OR(AND($S528&lt;&gt;"",LOWER(TRIM($S528))&lt;&gt;"n/a",COUNTIFS($B$2:$B$528,"Yes",$A$2:$A$528,"Neuron",$S$2:$S$528,$S528)&gt;1),AND($T528&lt;&gt;"",LOWER(TRIM($T528))&lt;&gt;"n/a",COUNTIFS($B$2:$B$528,"Yes",$A$2:$A$528,"Neuron",$T$2:$T$528,$T528)&gt;1),AND($W528&lt;&gt;"",LOWER(TRIM($W528))&lt;&gt;"n/a",COUNTIFS($B$2:$B$528,"Yes",$A$2:$A$528,"Neuron",$W$2:$W$528,$W528)&gt;1)),"Yes","No"),IF($A528="Cybernet",IF(OR(AND($Y528&lt;&gt;"",LOWER(TRIM($Y528))&lt;&gt;"n/a",COUNTIFS($B$2:$B$528,"Yes",$A$2:$A$528,"Cybernet",$Y$2:$Y$528,$Y528)&gt;1),AND($Z528&lt;&gt;"",LOWER(TRIM($Z528))&lt;&gt;"n/a",COUNTIFS($B$2:$B$528,"Yes",$A$2:$A$528,"Cybernet",$Z$2:$Z$528,$Z528)&gt;1)),"Yes","No"),IF(AND($AL528&lt;&gt;"",LOWER(TRIM($AL528))&lt;&gt;"n/a"),IF(COUNTIFS($B$2:$B$528,"Yes",$A$2:$A$528,$A528,$AL$2:$AL$528,$AL528)&gt;1,"Yes","No"),"No"))))</f>
        <v>Yes</v>
      </c>
      <c r="S528" t="s">
        <v>1618</v>
      </c>
      <c r="BL528" t="str">
        <f>IF($T528="","",IF((IF(AND($AW528&lt;&gt;"Yes",$AW528&lt;&gt;"N/A"),"Power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",""))="","",LEFT(IF(AND($AW528&lt;&gt;"Yes",$AW528&lt;&gt;"N/A"),"Power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",""),LEN(IF(AND($AW528&lt;&gt;"Yes",$AW528&lt;&gt;"N/A"),"Power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",""))-2)))</f>
        <v/>
      </c>
      <c r="BM528" t="str">
        <f>IF($T528="","",IF($BL528="","Yes","Blocked"))</f>
        <v/>
      </c>
    </row>
  </sheetData>
  <conditionalFormatting sqref="A2:B528 F2:F528 AE2:AF528 R2:S528">
    <cfRule type="expression" dxfId="50" priority="1">
      <formula>$F2="Yes"</formula>
    </cfRule>
  </conditionalFormatting>
  <conditionalFormatting sqref="R2:R528">
    <cfRule type="expression" dxfId="47" priority="2">
      <formula>AND($A2="Cybernet",$B2="Yes",$C2&lt;&gt;"Yes",LEN(TRIM(R2))=0)</formula>
    </cfRule>
  </conditionalFormatting>
  <conditionalFormatting sqref="S2:S528">
    <cfRule type="expression" dxfId="48" priority="3">
      <formula>AND($A2="Neuron",$B2="Yes",$C2&lt;&gt;"Yes",LEN(TRIM(S2))=0)</formula>
    </cfRule>
  </conditionalFormatting>
  <conditionalFormatting sqref="BH2:BH528">
    <cfRule type="expression" dxfId="49" priority="4">
      <formula>AND($A2="Cybernet",$B2="Yes",$C2&lt;&gt;"Yes",LEN(TRIM(BH2))=0)</formula>
    </cfRule>
  </conditionalFormatting>
  <conditionalFormatting sqref="I2:I528 N2:N528 P2:Q528">
    <cfRule type="expression" dxfId="46" priority="5">
      <formula>AND($C2="Yes",LEN(TRIM(INDEX($1:$1048576,ROW(),COLUMN())))=0)</formula>
    </cfRule>
  </conditionalFormatting>
  <dataValidations count="19">
    <dataValidation type="list" allowBlank="1" showInputMessage="1" showErrorMessage="1" sqref="B2:B504 V2:V48 V50:V1048576" xr:uid="{00000000-0002-0000-0B00-000000000000}">
      <formula1>"Yes,No"</formula1>
    </dataValidation>
    <dataValidation type="list" allowBlank="1" sqref="BF505:BH5004" xr:uid="{00000000-0002-0000-0B00-000001000000}">
      <formula1>"Not Imaged,Imaged,Configured,Validated"</formula1>
    </dataValidation>
    <dataValidation type="list" allowBlank="1" showInputMessage="1" showErrorMessage="1" sqref="BC505:BC1048576 BF505:BH1048576" xr:uid="{00000000-0002-0000-0B00-000002000000}">
      <formula1>"Firmware Installed,Failed Connection,Firmware TBD"</formula1>
    </dataValidation>
    <dataValidation type="list" allowBlank="1" sqref="A2:B504 A528:B5004 H505:R5004" xr:uid="{00000000-0002-0000-0B00-000003000000}">
      <formula1>"Neuron,Cybernet"</formula1>
    </dataValidation>
    <dataValidation allowBlank="1" showInputMessage="1" showErrorMessage="1" sqref="G1:G1048576 H2:P504 N87:R98 Q2:R86 Q99:R1048576 R2:S51 R54:S1048576" xr:uid="{00000000-0002-0000-0B00-000004000000}"/>
    <dataValidation type="list" allowBlank="1" sqref="AD2:AD5004" xr:uid="{00000000-0002-0000-0B00-000005000000}">
      <formula1>"WAVE_1,WAVE_2,PO_CDW,SPARES,ADDONS"</formula1>
    </dataValidation>
    <dataValidation type="list" allowBlank="1" sqref="AV2:AY5004 CF2:CI5004" xr:uid="{00000000-0002-0000-0B00-000006000000}">
      <formula1>"Yes,No,N/A"</formula1>
    </dataValidation>
    <dataValidation type="list" allowBlank="1" sqref="BA2:BA5004" xr:uid="{00000000-0002-0000-0B00-000007000000}">
      <formula1>"No,Blocked,Yes"</formula1>
    </dataValidation>
    <dataValidation type="list" allowBlank="1" showInputMessage="1" showErrorMessage="1" sqref="AA2:AA527" xr:uid="{00000000-0002-0000-0B00-000008000000}">
      <formula1>"Anesthesia Machine,Dialysis Machine"</formula1>
    </dataValidation>
    <dataValidation type="list" allowBlank="1" sqref="BC2:BJ5004 CC2:CE5004 CJ2:CK5004" xr:uid="{00000000-0002-0000-0B00-000009000000}">
      <formula1>"Yes,No"</formula1>
    </dataValidation>
    <dataValidation type="list" allowBlank="1" showInputMessage="1" showErrorMessage="1" sqref="BC2:BC504" xr:uid="{00000000-0002-0000-0B00-00000A000000}">
      <formula1>"Firmware Installed,Failed Connection,Firmware TBD,In Storage"</formula1>
    </dataValidation>
    <dataValidation type="list" allowBlank="1" error="Choose Yes or No" prompt="Installed status" sqref="C2:C527" xr:uid="{00000000-0002-0000-0B00-00000B000000}">
      <formula1>"Yes,No"</formula1>
    </dataValidation>
    <dataValidation type="custom" allowBlank="1" showInputMessage="1" showErrorMessage="1" sqref="BK2:BK527" xr:uid="{00000000-0002-0000-0B00-00000C000000}">
      <formula1>FALSE</formula1>
    </dataValidation>
    <dataValidation type="custom" allowBlank="1" showInputMessage="1" showErrorMessage="1" errorTitle="This is a header row, foo 🤡" error="Skedaddle 💨" sqref="A1:E1" xr:uid="{00000000-0002-0000-0B00-00000D000000}">
      <formula1>FALSE</formula1>
    </dataValidation>
    <dataValidation type="custom" allowBlank="1" showInputMessage="1" showErrorMessage="1" errorTitle="Automated field, foo 🤡" error="Skedaddle 💨. Don't overwrite formulas 😄" sqref="BL2:BL527 BM30:BM33 BO2:BO29 BO34:BO504 BP2:BQ527" xr:uid="{00000000-0002-0000-0B00-00000E000000}">
      <formula1>FALSE</formula1>
    </dataValidation>
    <dataValidation type="list" allowBlank="1" showInputMessage="1" showErrorMessage="1" errorTitle="Automated field, foo 🤡" error="Skedaddle 💨. Don't overwrite formulas 😄" sqref="BR2:BV527" xr:uid="{00000000-0002-0000-0B00-00000F000000}">
      <formula1>"Yes,No"</formula1>
    </dataValidation>
    <dataValidation type="list" allowBlank="1" showInputMessage="1" showErrorMessage="1" errorTitle="Automated field, foo 🤡" error="Skedaddle 💨. Don't overwrite formulas 😄" sqref="BW2:BW1048576 BX528:BY1048576 CB528:CB1048576" xr:uid="{00000000-0002-0000-0B00-000010000000}">
      <formula1>"19200,125200"</formula1>
    </dataValidation>
    <dataValidation type="custom" allowBlank="1" showInputMessage="1" showErrorMessage="1" errorTitle="This is a formula cell, foo 🤡" error="Skedaddle 💨" sqref="D2:F1048576" xr:uid="{00000000-0002-0000-0B00-000011000000}">
      <formula1>FALSE</formula1>
    </dataValidation>
    <dataValidation allowBlank="1" showInputMessage="1" showErrorMessage="1" errorTitle="Automated field, foo 🤡" error="Skedaddle 💨. Don't overwrite formulas 😄" sqref="BX2:BY527 BZ2:CB527" xr:uid="{00000000-0002-0000-0B00-000012000000}"/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27" t="s">
        <v>2020</v>
      </c>
      <c r="B1" s="27" t="s">
        <v>2021</v>
      </c>
      <c r="C1" s="27" t="s">
        <v>2022</v>
      </c>
      <c r="D1" s="27" t="s">
        <v>2023</v>
      </c>
      <c r="E1" s="27" t="s">
        <v>2024</v>
      </c>
      <c r="F1" s="27" t="s">
        <v>2025</v>
      </c>
      <c r="G1" s="27" t="s">
        <v>2026</v>
      </c>
      <c r="H1" s="27" t="s">
        <v>2027</v>
      </c>
      <c r="I1" s="27" t="s">
        <v>1417</v>
      </c>
    </row>
    <row r="2" spans="1:9">
      <c r="A2" t="s">
        <v>1793</v>
      </c>
      <c r="B2">
        <v>7</v>
      </c>
      <c r="C2">
        <v>7</v>
      </c>
      <c r="D2" s="81">
        <f t="shared" ref="D2:D15" si="0">(C2/B2)</f>
        <v>1</v>
      </c>
      <c r="E2" s="28">
        <v>46088</v>
      </c>
      <c r="F2">
        <f t="shared" ref="F2:F14" ca="1" si="1">E2-TODAY()</f>
        <v>19</v>
      </c>
      <c r="G2" t="s">
        <v>2028</v>
      </c>
      <c r="H2" s="20" t="s">
        <v>2029</v>
      </c>
    </row>
    <row r="3" spans="1:9">
      <c r="A3" t="s">
        <v>1674</v>
      </c>
      <c r="B3">
        <v>14</v>
      </c>
      <c r="C3">
        <v>14</v>
      </c>
      <c r="D3" s="81">
        <f t="shared" si="0"/>
        <v>1</v>
      </c>
      <c r="E3" s="28">
        <v>46067</v>
      </c>
      <c r="F3">
        <f t="shared" ca="1" si="1"/>
        <v>-2</v>
      </c>
      <c r="G3" t="s">
        <v>2030</v>
      </c>
      <c r="H3" t="s">
        <v>2031</v>
      </c>
    </row>
    <row r="4" spans="1:9">
      <c r="A4" t="s">
        <v>2032</v>
      </c>
      <c r="B4">
        <v>19</v>
      </c>
      <c r="C4">
        <v>19</v>
      </c>
      <c r="D4" s="81">
        <f t="shared" si="0"/>
        <v>1</v>
      </c>
      <c r="E4" s="28">
        <v>46081</v>
      </c>
      <c r="F4">
        <f t="shared" ca="1" si="1"/>
        <v>12</v>
      </c>
      <c r="G4" t="s">
        <v>2033</v>
      </c>
      <c r="H4" s="20" t="s">
        <v>2034</v>
      </c>
      <c r="I4" t="s">
        <v>2035</v>
      </c>
    </row>
    <row r="5" spans="1:9">
      <c r="A5" t="s">
        <v>2036</v>
      </c>
      <c r="B5">
        <v>29</v>
      </c>
      <c r="C5">
        <v>21</v>
      </c>
      <c r="D5" s="81">
        <f t="shared" si="0"/>
        <v>0.72413793103448276</v>
      </c>
      <c r="E5" s="28">
        <v>46074</v>
      </c>
      <c r="F5">
        <f t="shared" ca="1" si="1"/>
        <v>5</v>
      </c>
      <c r="G5" t="s">
        <v>2037</v>
      </c>
      <c r="H5" s="20" t="s">
        <v>2034</v>
      </c>
      <c r="I5" t="s">
        <v>2038</v>
      </c>
    </row>
    <row r="6" spans="1:9">
      <c r="A6" t="s">
        <v>2039</v>
      </c>
      <c r="B6">
        <v>3</v>
      </c>
      <c r="C6">
        <v>0</v>
      </c>
      <c r="D6" s="81">
        <f t="shared" si="0"/>
        <v>0</v>
      </c>
      <c r="E6" s="28">
        <v>46081</v>
      </c>
      <c r="F6">
        <f t="shared" ca="1" si="1"/>
        <v>12</v>
      </c>
      <c r="G6" t="s">
        <v>2040</v>
      </c>
      <c r="H6" s="20" t="s">
        <v>2034</v>
      </c>
    </row>
    <row r="7" spans="1:9">
      <c r="A7" t="s">
        <v>2041</v>
      </c>
      <c r="B7">
        <v>3</v>
      </c>
      <c r="C7">
        <v>0</v>
      </c>
      <c r="D7" s="81">
        <f t="shared" si="0"/>
        <v>0</v>
      </c>
      <c r="E7" s="28">
        <v>46088</v>
      </c>
      <c r="F7">
        <f t="shared" ca="1" si="1"/>
        <v>19</v>
      </c>
      <c r="G7" t="s">
        <v>2042</v>
      </c>
    </row>
    <row r="8" spans="1:9">
      <c r="A8" t="s">
        <v>2043</v>
      </c>
      <c r="B8">
        <v>3</v>
      </c>
      <c r="C8">
        <v>0</v>
      </c>
      <c r="D8" s="81">
        <f t="shared" si="0"/>
        <v>0</v>
      </c>
      <c r="E8" t="s">
        <v>1450</v>
      </c>
      <c r="F8" t="e">
        <f t="shared" ca="1" si="1"/>
        <v>#VALUE!</v>
      </c>
      <c r="G8" t="s">
        <v>2044</v>
      </c>
    </row>
    <row r="9" spans="1:9">
      <c r="A9" t="s">
        <v>2045</v>
      </c>
      <c r="B9">
        <v>12</v>
      </c>
      <c r="C9">
        <v>12</v>
      </c>
      <c r="D9" s="81">
        <f t="shared" si="0"/>
        <v>1</v>
      </c>
      <c r="E9" s="28">
        <v>46102</v>
      </c>
      <c r="F9">
        <f t="shared" ca="1" si="1"/>
        <v>33</v>
      </c>
      <c r="G9" t="s">
        <v>2046</v>
      </c>
    </row>
    <row r="10" spans="1:9">
      <c r="A10" t="s">
        <v>2047</v>
      </c>
      <c r="B10">
        <v>18</v>
      </c>
      <c r="C10">
        <v>2</v>
      </c>
      <c r="D10" s="81">
        <f t="shared" si="0"/>
        <v>0.1111111111111111</v>
      </c>
      <c r="E10" s="28">
        <v>46103</v>
      </c>
      <c r="F10">
        <f t="shared" ca="1" si="1"/>
        <v>34</v>
      </c>
      <c r="G10" t="s">
        <v>2046</v>
      </c>
    </row>
    <row r="11" spans="1:9">
      <c r="A11" t="s">
        <v>2048</v>
      </c>
      <c r="B11">
        <v>10</v>
      </c>
      <c r="C11">
        <v>0</v>
      </c>
      <c r="D11" s="81">
        <f t="shared" si="0"/>
        <v>0</v>
      </c>
      <c r="E11" s="28">
        <v>46095</v>
      </c>
      <c r="F11">
        <f t="shared" ca="1" si="1"/>
        <v>26</v>
      </c>
      <c r="G11" t="s">
        <v>2046</v>
      </c>
    </row>
    <row r="12" spans="1:9">
      <c r="A12" t="s">
        <v>2049</v>
      </c>
      <c r="B12">
        <v>13</v>
      </c>
      <c r="C12">
        <v>0</v>
      </c>
      <c r="D12" s="81">
        <f t="shared" si="0"/>
        <v>0</v>
      </c>
      <c r="E12" s="28">
        <v>46109</v>
      </c>
      <c r="F12">
        <f t="shared" ca="1" si="1"/>
        <v>40</v>
      </c>
      <c r="G12" t="s">
        <v>2046</v>
      </c>
    </row>
    <row r="13" spans="1:9">
      <c r="A13" t="s">
        <v>2050</v>
      </c>
      <c r="B13">
        <v>22</v>
      </c>
      <c r="C13">
        <v>0</v>
      </c>
      <c r="D13" s="81">
        <f t="shared" si="0"/>
        <v>0</v>
      </c>
      <c r="E13" s="28">
        <v>46116</v>
      </c>
      <c r="F13">
        <f t="shared" ca="1" si="1"/>
        <v>47</v>
      </c>
      <c r="G13" t="s">
        <v>2046</v>
      </c>
    </row>
    <row r="14" spans="1:9">
      <c r="A14" t="s">
        <v>2051</v>
      </c>
      <c r="B14">
        <v>6</v>
      </c>
      <c r="C14">
        <v>0</v>
      </c>
      <c r="D14" s="81">
        <f t="shared" si="0"/>
        <v>0</v>
      </c>
      <c r="E14" t="s">
        <v>1450</v>
      </c>
      <c r="F14" t="e">
        <f t="shared" ca="1" si="1"/>
        <v>#VALUE!</v>
      </c>
      <c r="G14" t="s">
        <v>2046</v>
      </c>
    </row>
    <row r="15" spans="1:9">
      <c r="A15" s="26" t="s">
        <v>2052</v>
      </c>
      <c r="B15" s="26">
        <f>(SUM(B2:B14))</f>
        <v>159</v>
      </c>
      <c r="C15" s="26">
        <f>(SUM(C2:C14))</f>
        <v>75</v>
      </c>
      <c r="D15" s="82">
        <f t="shared" si="0"/>
        <v>0.47169811320754718</v>
      </c>
      <c r="E15" s="28"/>
      <c r="F15" s="28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9" t="s">
        <v>2053</v>
      </c>
      <c r="B1" s="49" t="s">
        <v>2054</v>
      </c>
      <c r="C1" s="49" t="s">
        <v>52</v>
      </c>
      <c r="D1" s="49" t="s">
        <v>1385</v>
      </c>
      <c r="E1" s="49" t="s">
        <v>1386</v>
      </c>
      <c r="F1" s="49" t="s">
        <v>1387</v>
      </c>
      <c r="G1" s="49" t="s">
        <v>1388</v>
      </c>
      <c r="H1" s="49" t="s">
        <v>1</v>
      </c>
      <c r="I1" s="49" t="s">
        <v>1389</v>
      </c>
      <c r="J1" s="49" t="s">
        <v>2055</v>
      </c>
      <c r="K1" s="49" t="s">
        <v>2056</v>
      </c>
      <c r="L1" s="49" t="s">
        <v>55</v>
      </c>
      <c r="M1" s="49" t="s">
        <v>2057</v>
      </c>
      <c r="N1" s="49" t="s">
        <v>1366</v>
      </c>
      <c r="O1" s="49" t="s">
        <v>1367</v>
      </c>
      <c r="P1" s="49" t="s">
        <v>1368</v>
      </c>
      <c r="Q1" s="49" t="s">
        <v>2058</v>
      </c>
      <c r="R1" s="49" t="s">
        <v>1405</v>
      </c>
      <c r="S1" s="49" t="s">
        <v>1404</v>
      </c>
      <c r="T1" s="49" t="s">
        <v>2059</v>
      </c>
      <c r="U1" s="49" t="s">
        <v>1403</v>
      </c>
      <c r="V1" s="49" t="s">
        <v>1407</v>
      </c>
      <c r="W1" s="49" t="s">
        <v>1408</v>
      </c>
      <c r="X1" s="49" t="s">
        <v>1415</v>
      </c>
      <c r="Y1" s="49" t="s">
        <v>21</v>
      </c>
      <c r="Z1" s="49" t="s">
        <v>1372</v>
      </c>
      <c r="AA1" s="49" t="s">
        <v>1373</v>
      </c>
    </row>
    <row r="2" spans="1:29" ht="45.75" customHeight="1">
      <c r="A2" s="30"/>
      <c r="B2" s="30"/>
      <c r="C2" s="29" t="str">
        <f>IF('12 - Device_Configuration'!H2="","",'12 - Device_Configuration'!H2)</f>
        <v>LIJ SDF</v>
      </c>
      <c r="D2" s="29" t="str">
        <f>IF('12 - Device_Configuration'!AE2="","",'12 - Device_Configuration'!AE2)</f>
        <v>Ground Level/Dialysis</v>
      </c>
      <c r="E2" s="29" t="str">
        <f>IF('12 - Device_Configuration'!AF2="","",'12 - Device_Configuration'!AF2)</f>
        <v>Open Patient Area</v>
      </c>
      <c r="F2" s="29">
        <f>IF('12 - Device_Configuration'!AG2="","",'12 - Device_Configuration'!AG2)</f>
        <v>1</v>
      </c>
      <c r="G2" s="29" t="str">
        <f>IF('12 - Device_Configuration'!AH2="","",'12 - Device_Configuration'!AH2)</f>
        <v>BSM 051 A</v>
      </c>
      <c r="H2" s="29" t="str">
        <f>IF('12 - Device_Configuration'!A2="","",'12 - Device_Configuration'!A2)</f>
        <v>Neuron</v>
      </c>
      <c r="I2" s="29" t="str">
        <f>IF('12 - Device_Configuration'!AI2="","",'12 - Device_Configuration'!AI2)</f>
        <v>Fresenius BlueStar</v>
      </c>
      <c r="J2" s="29" t="str">
        <f>IF('12 - Device_Configuration'!AJ2="","",'12 - Device_Configuration'!AJ2)</f>
        <v>2008T</v>
      </c>
      <c r="K2" s="29" t="str">
        <f>IF('12 - Device_Configuration'!AA2="","",'12 - Device_Configuration'!AA2)</f>
        <v>Dialysis Machine</v>
      </c>
      <c r="L2" s="29" t="str">
        <f>IF('12 - Device_Configuration'!I2="","",'12 - Device_Configuration'!I2)</f>
        <v>Describe the environment in which we're deploying:
For ex, input:
"
OR iPro Cybernet Workstation
"</v>
      </c>
      <c r="M2" s="30"/>
      <c r="N2" s="29" t="str">
        <f>IF('12 - Device_Configuration'!J2="","",'12 - Device_Configuration'!J2)</f>
        <v>NA</v>
      </c>
      <c r="O2" s="29" t="str">
        <f>IF('12 - Device_Configuration'!K2="","",'12 - Device_Configuration'!K2)</f>
        <v>NA</v>
      </c>
      <c r="P2" s="29" t="str">
        <f>IF('12 - Device_Configuration'!L2="","",'12 - Device_Configuration'!L2)</f>
        <v>NA</v>
      </c>
      <c r="Q2" s="30"/>
      <c r="R2" s="29" t="str">
        <f>IF('12 - Device_Configuration'!AY2="","",'12 - Device_Configuration'!AY2)</f>
        <v/>
      </c>
      <c r="S2" s="29" t="str">
        <f>IF('12 - Device_Configuration'!AX2="","",'12 - Device_Configuration'!AX2)</f>
        <v/>
      </c>
      <c r="T2" s="29" t="str">
        <f>IF('12 - Device_Configuration'!AV2="","",'12 - Device_Configuration'!AV2)</f>
        <v/>
      </c>
      <c r="U2" s="29" t="str">
        <f>IF('12 - Device_Configuration'!AW2="","",'12 - Device_Configuration'!AW2)</f>
        <v/>
      </c>
      <c r="V2" s="29" t="str">
        <f>IF('12 - Device_Configuration'!BA2="","",'12 - Device_Configuration'!BA2)</f>
        <v>Yes</v>
      </c>
      <c r="W2" s="29" t="str">
        <f>IF('12 - Device_Configuration'!BC2="","",'12 - Device_Configuration'!BC2)</f>
        <v>Firmware Installed</v>
      </c>
      <c r="X2" s="29" t="str">
        <f>IF('12 - Device_Configuration'!BK2="","",'12 - Device_Configuration'!BK2)</f>
        <v>Power Cable, Battery, Epic Beans Relay</v>
      </c>
      <c r="Y2" s="29" t="str">
        <f>IF('12 - Device_Configuration'!BB2="","",'12 - Device_Configuration'!BB2)</f>
        <v/>
      </c>
      <c r="Z2" s="29" t="str">
        <f>IF('12 - Device_Configuration'!P2="","",'12 - Device_Configuration'!P2)</f>
        <v/>
      </c>
      <c r="AA2" s="29" t="str">
        <f>IF('12 - Device_Configuration'!Q2="","",'12 - Device_Configuration'!Q2)</f>
        <v/>
      </c>
      <c r="AC2" t="s">
        <v>1651</v>
      </c>
    </row>
    <row r="3" spans="1:29" ht="45.75" customHeight="1">
      <c r="A3" s="30"/>
      <c r="B3" s="30"/>
      <c r="C3" s="29" t="str">
        <f>IF('12 - Device_Configuration'!H3="","",'12 - Device_Configuration'!H3)</f>
        <v>LIJ SDF</v>
      </c>
      <c r="D3" s="29" t="str">
        <f>IF('12 - Device_Configuration'!AE3="","",'12 - Device_Configuration'!AE3)</f>
        <v>Ground Level/Dialysis</v>
      </c>
      <c r="E3" s="29" t="str">
        <f>IF('12 - Device_Configuration'!AF3="","",'12 - Device_Configuration'!AF3)</f>
        <v>Open Patient Area</v>
      </c>
      <c r="F3" s="29">
        <f>IF('12 - Device_Configuration'!AG3="","",'12 - Device_Configuration'!AG3)</f>
        <v>2</v>
      </c>
      <c r="G3" s="29" t="str">
        <f>IF('12 - Device_Configuration'!AH3="","",'12 - Device_Configuration'!AH3)</f>
        <v xml:space="preserve">BSM 051 B </v>
      </c>
      <c r="H3" s="29" t="str">
        <f>IF('12 - Device_Configuration'!A3="","",'12 - Device_Configuration'!A3)</f>
        <v>Neuron</v>
      </c>
      <c r="I3" s="29" t="str">
        <f>IF('12 - Device_Configuration'!AI3="","",'12 - Device_Configuration'!AI3)</f>
        <v>Fresenius BlueStar</v>
      </c>
      <c r="J3" s="29" t="str">
        <f>IF('12 - Device_Configuration'!AJ3="","",'12 - Device_Configuration'!AJ3)</f>
        <v>2008T</v>
      </c>
      <c r="K3" s="29" t="str">
        <f>IF('12 - Device_Configuration'!AA3="","",'12 - Device_Configuration'!AA3)</f>
        <v>Dialysis Machine</v>
      </c>
      <c r="L3" s="29" t="str">
        <f>IF('12 - Device_Configuration'!I3="","",'12 - Device_Configuration'!I3)</f>
        <v/>
      </c>
      <c r="M3" s="30"/>
      <c r="N3" s="29" t="str">
        <f>IF('12 - Device_Configuration'!J3="","",'12 - Device_Configuration'!J3)</f>
        <v>NA</v>
      </c>
      <c r="O3" s="29" t="str">
        <f>IF('12 - Device_Configuration'!K3="","",'12 - Device_Configuration'!K3)</f>
        <v>NA</v>
      </c>
      <c r="P3" s="29" t="str">
        <f>IF('12 - Device_Configuration'!L3="","",'12 - Device_Configuration'!L3)</f>
        <v>NA</v>
      </c>
      <c r="Q3" s="30"/>
      <c r="R3" s="29" t="str">
        <f>IF('12 - Device_Configuration'!AY3="","",'12 - Device_Configuration'!AY3)</f>
        <v/>
      </c>
      <c r="S3" s="29" t="str">
        <f>IF('12 - Device_Configuration'!AX3="","",'12 - Device_Configuration'!AX3)</f>
        <v/>
      </c>
      <c r="T3" s="29" t="str">
        <f>IF('12 - Device_Configuration'!AV3="","",'12 - Device_Configuration'!AV3)</f>
        <v/>
      </c>
      <c r="U3" s="29" t="str">
        <f>IF('12 - Device_Configuration'!AW3="","",'12 - Device_Configuration'!AW3)</f>
        <v/>
      </c>
      <c r="V3" s="29" t="str">
        <f>IF('12 - Device_Configuration'!BA3="","",'12 - Device_Configuration'!BA3)</f>
        <v>Yes</v>
      </c>
      <c r="W3" s="29" t="str">
        <f>IF('12 - Device_Configuration'!BC3="","",'12 - Device_Configuration'!BC3)</f>
        <v>Firmware Installed</v>
      </c>
      <c r="X3" s="29" t="str">
        <f>IF('12 - Device_Configuration'!BK3="","",'12 - Device_Configuration'!BK3)</f>
        <v>Power Cable, Battery, Epic Beans Relay</v>
      </c>
      <c r="Y3" s="29" t="str">
        <f>IF('12 - Device_Configuration'!BB3="","",'12 - Device_Configuration'!BB3)</f>
        <v/>
      </c>
      <c r="Z3" s="29" t="str">
        <f>IF('12 - Device_Configuration'!P3="","",'12 - Device_Configuration'!P3)</f>
        <v/>
      </c>
      <c r="AA3" s="29" t="str">
        <f>IF('12 - Device_Configuration'!Q3="","",'12 - Device_Configuration'!Q3)</f>
        <v/>
      </c>
      <c r="AC3" t="s">
        <v>1341</v>
      </c>
    </row>
    <row r="4" spans="1:29" ht="45.75" customHeight="1">
      <c r="A4" s="30"/>
      <c r="B4" s="30"/>
      <c r="C4" s="29" t="str">
        <f>IF('12 - Device_Configuration'!H4="","",'12 - Device_Configuration'!H4)</f>
        <v>LIJ SDF</v>
      </c>
      <c r="D4" s="29" t="str">
        <f>IF('12 - Device_Configuration'!AE4="","",'12 - Device_Configuration'!AE4)</f>
        <v>Ground Level/Dialysis</v>
      </c>
      <c r="E4" s="29" t="str">
        <f>IF('12 - Device_Configuration'!AF4="","",'12 - Device_Configuration'!AF4)</f>
        <v>Open Patient Area</v>
      </c>
      <c r="F4" s="29">
        <f>IF('12 - Device_Configuration'!AG4="","",'12 - Device_Configuration'!AG4)</f>
        <v>3</v>
      </c>
      <c r="G4" s="29" t="str">
        <f>IF('12 - Device_Configuration'!AH4="","",'12 - Device_Configuration'!AH4)</f>
        <v>BSM 033 A</v>
      </c>
      <c r="H4" s="29" t="str">
        <f>IF('12 - Device_Configuration'!A4="","",'12 - Device_Configuration'!A4)</f>
        <v>Neuron</v>
      </c>
      <c r="I4" s="29" t="str">
        <f>IF('12 - Device_Configuration'!AI4="","",'12 - Device_Configuration'!AI4)</f>
        <v>Fresenius BlueStar</v>
      </c>
      <c r="J4" s="29" t="str">
        <f>IF('12 - Device_Configuration'!AJ4="","",'12 - Device_Configuration'!AJ4)</f>
        <v>2008T</v>
      </c>
      <c r="K4" s="29" t="str">
        <f>IF('12 - Device_Configuration'!AA4="","",'12 - Device_Configuration'!AA4)</f>
        <v>Dialysis Machine</v>
      </c>
      <c r="L4" s="29" t="str">
        <f>IF('12 - Device_Configuration'!I4="","",'12 - Device_Configuration'!I4)</f>
        <v/>
      </c>
      <c r="M4" s="30"/>
      <c r="N4" s="29" t="str">
        <f>IF('12 - Device_Configuration'!J4="","",'12 - Device_Configuration'!J4)</f>
        <v>NA</v>
      </c>
      <c r="O4" s="29" t="str">
        <f>IF('12 - Device_Configuration'!K4="","",'12 - Device_Configuration'!K4)</f>
        <v>NA</v>
      </c>
      <c r="P4" s="29" t="str">
        <f>IF('12 - Device_Configuration'!L4="","",'12 - Device_Configuration'!L4)</f>
        <v>NA</v>
      </c>
      <c r="Q4" s="30"/>
      <c r="R4" s="29" t="str">
        <f>IF('12 - Device_Configuration'!AY4="","",'12 - Device_Configuration'!AY4)</f>
        <v/>
      </c>
      <c r="S4" s="29" t="str">
        <f>IF('12 - Device_Configuration'!AX4="","",'12 - Device_Configuration'!AX4)</f>
        <v/>
      </c>
      <c r="T4" s="29" t="str">
        <f>IF('12 - Device_Configuration'!AV4="","",'12 - Device_Configuration'!AV4)</f>
        <v/>
      </c>
      <c r="U4" s="29" t="str">
        <f>IF('12 - Device_Configuration'!AW4="","",'12 - Device_Configuration'!AW4)</f>
        <v/>
      </c>
      <c r="V4" s="29" t="str">
        <f>IF('12 - Device_Configuration'!BA4="","",'12 - Device_Configuration'!BA4)</f>
        <v>Yes</v>
      </c>
      <c r="W4" s="29" t="str">
        <f>IF('12 - Device_Configuration'!BC4="","",'12 - Device_Configuration'!BC4)</f>
        <v>Firmware Installed</v>
      </c>
      <c r="X4" s="29" t="str">
        <f>IF('12 - Device_Configuration'!BK4="","",'12 - Device_Configuration'!BK4)</f>
        <v>Power Cable, Battery, Epic Beans Relay</v>
      </c>
      <c r="Y4" s="29" t="str">
        <f>IF('12 - Device_Configuration'!BB4="","",'12 - Device_Configuration'!BB4)</f>
        <v/>
      </c>
      <c r="Z4" s="29" t="str">
        <f>IF('12 - Device_Configuration'!P4="","",'12 - Device_Configuration'!P4)</f>
        <v/>
      </c>
      <c r="AA4" s="29" t="str">
        <f>IF('12 - Device_Configuration'!Q4="","",'12 - Device_Configuration'!Q4)</f>
        <v/>
      </c>
    </row>
    <row r="5" spans="1:29" ht="45.75" customHeight="1">
      <c r="A5" s="30"/>
      <c r="B5" s="30"/>
      <c r="C5" s="29" t="str">
        <f>IF('12 - Device_Configuration'!H5="","",'12 - Device_Configuration'!H5)</f>
        <v>LIJ SDF</v>
      </c>
      <c r="D5" s="29" t="str">
        <f>IF('12 - Device_Configuration'!AE5="","",'12 - Device_Configuration'!AE5)</f>
        <v>Ground Level/Dialysis</v>
      </c>
      <c r="E5" s="29" t="str">
        <f>IF('12 - Device_Configuration'!AF5="","",'12 - Device_Configuration'!AF5)</f>
        <v>Open Patient Area</v>
      </c>
      <c r="F5" s="29">
        <f>IF('12 - Device_Configuration'!AG5="","",'12 - Device_Configuration'!AG5)</f>
        <v>4</v>
      </c>
      <c r="G5" s="29" t="str">
        <f>IF('12 - Device_Configuration'!AH5="","",'12 - Device_Configuration'!AH5)</f>
        <v>BSM 033 B</v>
      </c>
      <c r="H5" s="29" t="str">
        <f>IF('12 - Device_Configuration'!A5="","",'12 - Device_Configuration'!A5)</f>
        <v>Neuron</v>
      </c>
      <c r="I5" s="29" t="str">
        <f>IF('12 - Device_Configuration'!AI5="","",'12 - Device_Configuration'!AI5)</f>
        <v>Fresenius BlueStar</v>
      </c>
      <c r="J5" s="29" t="str">
        <f>IF('12 - Device_Configuration'!AJ5="","",'12 - Device_Configuration'!AJ5)</f>
        <v>2008T</v>
      </c>
      <c r="K5" s="29" t="str">
        <f>IF('12 - Device_Configuration'!AA5="","",'12 - Device_Configuration'!AA5)</f>
        <v>Dialysis Machine</v>
      </c>
      <c r="L5" s="29" t="str">
        <f>IF('12 - Device_Configuration'!I5="","",'12 - Device_Configuration'!I5)</f>
        <v/>
      </c>
      <c r="M5" s="30"/>
      <c r="N5" s="29" t="str">
        <f>IF('12 - Device_Configuration'!J5="","",'12 - Device_Configuration'!J5)</f>
        <v>NA</v>
      </c>
      <c r="O5" s="29" t="str">
        <f>IF('12 - Device_Configuration'!K5="","",'12 - Device_Configuration'!K5)</f>
        <v>NA</v>
      </c>
      <c r="P5" s="29" t="str">
        <f>IF('12 - Device_Configuration'!L5="","",'12 - Device_Configuration'!L5)</f>
        <v>NA</v>
      </c>
      <c r="Q5" s="30"/>
      <c r="R5" s="29" t="str">
        <f>IF('12 - Device_Configuration'!AY5="","",'12 - Device_Configuration'!AY5)</f>
        <v/>
      </c>
      <c r="S5" s="29" t="str">
        <f>IF('12 - Device_Configuration'!AX5="","",'12 - Device_Configuration'!AX5)</f>
        <v/>
      </c>
      <c r="T5" s="29" t="str">
        <f>IF('12 - Device_Configuration'!AV5="","",'12 - Device_Configuration'!AV5)</f>
        <v/>
      </c>
      <c r="U5" s="29" t="str">
        <f>IF('12 - Device_Configuration'!AW5="","",'12 - Device_Configuration'!AW5)</f>
        <v/>
      </c>
      <c r="V5" s="29" t="str">
        <f>IF('12 - Device_Configuration'!BA5="","",'12 - Device_Configuration'!BA5)</f>
        <v>Yes</v>
      </c>
      <c r="W5" s="29" t="str">
        <f>IF('12 - Device_Configuration'!BC5="","",'12 - Device_Configuration'!BC5)</f>
        <v>Firmware Installed</v>
      </c>
      <c r="X5" s="29" t="str">
        <f>IF('12 - Device_Configuration'!BK5="","",'12 - Device_Configuration'!BK5)</f>
        <v>Power Cable, Battery, Epic Beans Relay</v>
      </c>
      <c r="Y5" s="29" t="str">
        <f>IF('12 - Device_Configuration'!BB5="","",'12 - Device_Configuration'!BB5)</f>
        <v/>
      </c>
      <c r="Z5" s="29" t="str">
        <f>IF('12 - Device_Configuration'!P5="","",'12 - Device_Configuration'!P5)</f>
        <v/>
      </c>
      <c r="AA5" s="29" t="str">
        <f>IF('12 - Device_Configuration'!Q5="","",'12 - Device_Configuration'!Q5)</f>
        <v/>
      </c>
    </row>
    <row r="6" spans="1:29" ht="45.75" customHeight="1">
      <c r="A6" s="30"/>
      <c r="B6" s="30"/>
      <c r="C6" s="29" t="str">
        <f>IF('12 - Device_Configuration'!H6="","",'12 - Device_Configuration'!H6)</f>
        <v>LIJ SDF</v>
      </c>
      <c r="D6" s="29" t="str">
        <f>IF('12 - Device_Configuration'!AE6="","",'12 - Device_Configuration'!AE6)</f>
        <v>Ground Level/Dialysis</v>
      </c>
      <c r="E6" s="29" t="str">
        <f>IF('12 - Device_Configuration'!AF6="","",'12 - Device_Configuration'!AF6)</f>
        <v>Open Patient Area</v>
      </c>
      <c r="F6" s="29">
        <f>IF('12 - Device_Configuration'!AG6="","",'12 - Device_Configuration'!AG6)</f>
        <v>5</v>
      </c>
      <c r="G6" s="29" t="str">
        <f>IF('12 - Device_Configuration'!AH6="","",'12 - Device_Configuration'!AH6)</f>
        <v>BSM 034 A</v>
      </c>
      <c r="H6" s="29" t="str">
        <f>IF('12 - Device_Configuration'!A6="","",'12 - Device_Configuration'!A6)</f>
        <v>Neuron</v>
      </c>
      <c r="I6" s="29" t="str">
        <f>IF('12 - Device_Configuration'!AI6="","",'12 - Device_Configuration'!AI6)</f>
        <v>Fresenius BlueStar</v>
      </c>
      <c r="J6" s="29" t="str">
        <f>IF('12 - Device_Configuration'!AJ6="","",'12 - Device_Configuration'!AJ6)</f>
        <v>2008T</v>
      </c>
      <c r="K6" s="29" t="str">
        <f>IF('12 - Device_Configuration'!AA6="","",'12 - Device_Configuration'!AA6)</f>
        <v>Dialysis Machine</v>
      </c>
      <c r="L6" s="29" t="str">
        <f>IF('12 - Device_Configuration'!I6="","",'12 - Device_Configuration'!I6)</f>
        <v/>
      </c>
      <c r="M6" s="30"/>
      <c r="N6" s="29" t="str">
        <f>IF('12 - Device_Configuration'!J6="","",'12 - Device_Configuration'!J6)</f>
        <v>NA</v>
      </c>
      <c r="O6" s="29" t="str">
        <f>IF('12 - Device_Configuration'!K6="","",'12 - Device_Configuration'!K6)</f>
        <v>NA</v>
      </c>
      <c r="P6" s="29" t="str">
        <f>IF('12 - Device_Configuration'!L6="","",'12 - Device_Configuration'!L6)</f>
        <v>NA</v>
      </c>
      <c r="Q6" s="30"/>
      <c r="R6" s="29" t="str">
        <f>IF('12 - Device_Configuration'!AY6="","",'12 - Device_Configuration'!AY6)</f>
        <v/>
      </c>
      <c r="S6" s="29" t="str">
        <f>IF('12 - Device_Configuration'!AX6="","",'12 - Device_Configuration'!AX6)</f>
        <v/>
      </c>
      <c r="T6" s="29" t="str">
        <f>IF('12 - Device_Configuration'!AV6="","",'12 - Device_Configuration'!AV6)</f>
        <v/>
      </c>
      <c r="U6" s="29" t="str">
        <f>IF('12 - Device_Configuration'!AW6="","",'12 - Device_Configuration'!AW6)</f>
        <v/>
      </c>
      <c r="V6" s="29" t="str">
        <f>IF('12 - Device_Configuration'!BA6="","",'12 - Device_Configuration'!BA6)</f>
        <v>Yes</v>
      </c>
      <c r="W6" s="29" t="str">
        <f>IF('12 - Device_Configuration'!BC6="","",'12 - Device_Configuration'!BC6)</f>
        <v>Firmware Installed</v>
      </c>
      <c r="X6" s="29" t="str">
        <f>IF('12 - Device_Configuration'!BK6="","",'12 - Device_Configuration'!BK6)</f>
        <v>Power Cable, Battery, Epic Beans Relay</v>
      </c>
      <c r="Y6" s="29" t="str">
        <f>IF('12 - Device_Configuration'!BB6="","",'12 - Device_Configuration'!BB6)</f>
        <v/>
      </c>
      <c r="Z6" s="29" t="str">
        <f>IF('12 - Device_Configuration'!P6="","",'12 - Device_Configuration'!P6)</f>
        <v/>
      </c>
      <c r="AA6" s="29" t="str">
        <f>IF('12 - Device_Configuration'!Q6="","",'12 - Device_Configuration'!Q6)</f>
        <v/>
      </c>
    </row>
    <row r="7" spans="1:29" ht="45.75" customHeight="1">
      <c r="A7" s="30"/>
      <c r="B7" s="30"/>
      <c r="C7" s="29" t="str">
        <f>IF('12 - Device_Configuration'!H7="","",'12 - Device_Configuration'!H7)</f>
        <v>LIJ SDF</v>
      </c>
      <c r="D7" s="29" t="str">
        <f>IF('12 - Device_Configuration'!AE7="","",'12 - Device_Configuration'!AE7)</f>
        <v>Ground Level/Dialysis</v>
      </c>
      <c r="E7" s="29" t="str">
        <f>IF('12 - Device_Configuration'!AF7="","",'12 - Device_Configuration'!AF7)</f>
        <v>Open Patient Area</v>
      </c>
      <c r="F7" s="29">
        <f>IF('12 - Device_Configuration'!AG7="","",'12 - Device_Configuration'!AG7)</f>
        <v>6</v>
      </c>
      <c r="G7" s="29" t="str">
        <f>IF('12 - Device_Configuration'!AH7="","",'12 - Device_Configuration'!AH7)</f>
        <v>BSM 034 B</v>
      </c>
      <c r="H7" s="29" t="str">
        <f>IF('12 - Device_Configuration'!A7="","",'12 - Device_Configuration'!A7)</f>
        <v>Neuron</v>
      </c>
      <c r="I7" s="29" t="str">
        <f>IF('12 - Device_Configuration'!AI7="","",'12 - Device_Configuration'!AI7)</f>
        <v>Fresenius BlueStar</v>
      </c>
      <c r="J7" s="29" t="str">
        <f>IF('12 - Device_Configuration'!AJ7="","",'12 - Device_Configuration'!AJ7)</f>
        <v>2008T</v>
      </c>
      <c r="K7" s="29" t="str">
        <f>IF('12 - Device_Configuration'!AA7="","",'12 - Device_Configuration'!AA7)</f>
        <v>Dialysis Machine</v>
      </c>
      <c r="L7" s="29" t="str">
        <f>IF('12 - Device_Configuration'!I7="","",'12 - Device_Configuration'!I7)</f>
        <v/>
      </c>
      <c r="M7" s="30"/>
      <c r="N7" s="29" t="str">
        <f>IF('12 - Device_Configuration'!J7="","",'12 - Device_Configuration'!J7)</f>
        <v>NA</v>
      </c>
      <c r="O7" s="29" t="str">
        <f>IF('12 - Device_Configuration'!K7="","",'12 - Device_Configuration'!K7)</f>
        <v>NA</v>
      </c>
      <c r="P7" s="29" t="str">
        <f>IF('12 - Device_Configuration'!L7="","",'12 - Device_Configuration'!L7)</f>
        <v>NA</v>
      </c>
      <c r="Q7" s="30"/>
      <c r="R7" s="29" t="str">
        <f>IF('12 - Device_Configuration'!AY7="","",'12 - Device_Configuration'!AY7)</f>
        <v/>
      </c>
      <c r="S7" s="29" t="str">
        <f>IF('12 - Device_Configuration'!AX7="","",'12 - Device_Configuration'!AX7)</f>
        <v/>
      </c>
      <c r="T7" s="29" t="str">
        <f>IF('12 - Device_Configuration'!AV7="","",'12 - Device_Configuration'!AV7)</f>
        <v/>
      </c>
      <c r="U7" s="29" t="str">
        <f>IF('12 - Device_Configuration'!AW7="","",'12 - Device_Configuration'!AW7)</f>
        <v/>
      </c>
      <c r="V7" s="29" t="str">
        <f>IF('12 - Device_Configuration'!BA7="","",'12 - Device_Configuration'!BA7)</f>
        <v>Yes</v>
      </c>
      <c r="W7" s="29" t="str">
        <f>IF('12 - Device_Configuration'!BC7="","",'12 - Device_Configuration'!BC7)</f>
        <v>Firmware Installed</v>
      </c>
      <c r="X7" s="29" t="str">
        <f>IF('12 - Device_Configuration'!BK7="","",'12 - Device_Configuration'!BK7)</f>
        <v>Power Cable, Battery, Epic Beans Relay</v>
      </c>
      <c r="Y7" s="29" t="str">
        <f>IF('12 - Device_Configuration'!BB7="","",'12 - Device_Configuration'!BB7)</f>
        <v/>
      </c>
      <c r="Z7" s="29" t="str">
        <f>IF('12 - Device_Configuration'!P7="","",'12 - Device_Configuration'!P7)</f>
        <v/>
      </c>
      <c r="AA7" s="29" t="str">
        <f>IF('12 - Device_Configuration'!Q7="","",'12 - Device_Configuration'!Q7)</f>
        <v/>
      </c>
    </row>
    <row r="8" spans="1:29" ht="45.75" customHeight="1">
      <c r="A8" s="30"/>
      <c r="B8" s="30"/>
      <c r="C8" s="29" t="str">
        <f>IF('12 - Device_Configuration'!H8="","",'12 - Device_Configuration'!H8)</f>
        <v>LIJ SDF</v>
      </c>
      <c r="D8" s="29" t="str">
        <f>IF('12 - Device_Configuration'!AE8="","",'12 - Device_Configuration'!AE8)</f>
        <v>Ground Level/Dialysis</v>
      </c>
      <c r="E8" s="29" t="str">
        <f>IF('12 - Device_Configuration'!AF8="","",'12 - Device_Configuration'!AF8)</f>
        <v>Open Patient Area</v>
      </c>
      <c r="F8" s="29">
        <f>IF('12 - Device_Configuration'!AG8="","",'12 - Device_Configuration'!AG8)</f>
        <v>7</v>
      </c>
      <c r="G8" s="29" t="str">
        <f>IF('12 - Device_Configuration'!AH8="","",'12 - Device_Configuration'!AH8)</f>
        <v>BSM 035 A</v>
      </c>
      <c r="H8" s="29" t="str">
        <f>IF('12 - Device_Configuration'!A8="","",'12 - Device_Configuration'!A8)</f>
        <v>Neuron</v>
      </c>
      <c r="I8" s="29" t="str">
        <f>IF('12 - Device_Configuration'!AI8="","",'12 - Device_Configuration'!AI8)</f>
        <v>Fresenius BlueStar</v>
      </c>
      <c r="J8" s="29" t="str">
        <f>IF('12 - Device_Configuration'!AJ8="","",'12 - Device_Configuration'!AJ8)</f>
        <v>2008T</v>
      </c>
      <c r="K8" s="29" t="str">
        <f>IF('12 - Device_Configuration'!AA8="","",'12 - Device_Configuration'!AA8)</f>
        <v>Dialysis Machine</v>
      </c>
      <c r="L8" s="29" t="str">
        <f>IF('12 - Device_Configuration'!I8="","",'12 - Device_Configuration'!I8)</f>
        <v/>
      </c>
      <c r="M8" s="30"/>
      <c r="N8" s="29" t="str">
        <f>IF('12 - Device_Configuration'!J8="","",'12 - Device_Configuration'!J8)</f>
        <v>NA</v>
      </c>
      <c r="O8" s="29" t="str">
        <f>IF('12 - Device_Configuration'!K8="","",'12 - Device_Configuration'!K8)</f>
        <v>NA</v>
      </c>
      <c r="P8" s="29" t="str">
        <f>IF('12 - Device_Configuration'!L8="","",'12 - Device_Configuration'!L8)</f>
        <v>NA</v>
      </c>
      <c r="Q8" s="30"/>
      <c r="R8" s="29" t="str">
        <f>IF('12 - Device_Configuration'!AY8="","",'12 - Device_Configuration'!AY8)</f>
        <v/>
      </c>
      <c r="S8" s="29" t="str">
        <f>IF('12 - Device_Configuration'!AX8="","",'12 - Device_Configuration'!AX8)</f>
        <v/>
      </c>
      <c r="T8" s="29" t="str">
        <f>IF('12 - Device_Configuration'!AV8="","",'12 - Device_Configuration'!AV8)</f>
        <v/>
      </c>
      <c r="U8" s="29" t="str">
        <f>IF('12 - Device_Configuration'!AW8="","",'12 - Device_Configuration'!AW8)</f>
        <v/>
      </c>
      <c r="V8" s="29" t="str">
        <f>IF('12 - Device_Configuration'!BA8="","",'12 - Device_Configuration'!BA8)</f>
        <v>Yes</v>
      </c>
      <c r="W8" s="29" t="str">
        <f>IF('12 - Device_Configuration'!BC8="","",'12 - Device_Configuration'!BC8)</f>
        <v>Firmware Installed</v>
      </c>
      <c r="X8" s="29" t="str">
        <f>IF('12 - Device_Configuration'!BK8="","",'12 - Device_Configuration'!BK8)</f>
        <v>Power Cable, Battery, Epic Beans Relay</v>
      </c>
      <c r="Y8" s="29" t="str">
        <f>IF('12 - Device_Configuration'!BB8="","",'12 - Device_Configuration'!BB8)</f>
        <v/>
      </c>
      <c r="Z8" s="29" t="str">
        <f>IF('12 - Device_Configuration'!P8="","",'12 - Device_Configuration'!P8)</f>
        <v/>
      </c>
      <c r="AA8" s="29" t="str">
        <f>IF('12 - Device_Configuration'!Q8="","",'12 - Device_Configuration'!Q8)</f>
        <v/>
      </c>
    </row>
    <row r="9" spans="1:29" ht="45.75" customHeight="1">
      <c r="A9" s="30"/>
      <c r="B9" s="30"/>
      <c r="C9" s="29" t="str">
        <f>IF('12 - Device_Configuration'!H9="","",'12 - Device_Configuration'!H9)</f>
        <v>LIJ SDF</v>
      </c>
      <c r="D9" s="29" t="str">
        <f>IF('12 - Device_Configuration'!AE9="","",'12 - Device_Configuration'!AE9)</f>
        <v>Ground Level/Dialysis</v>
      </c>
      <c r="E9" s="29" t="str">
        <f>IF('12 - Device_Configuration'!AF9="","",'12 - Device_Configuration'!AF9)</f>
        <v>Open Patient Area</v>
      </c>
      <c r="F9" s="29">
        <f>IF('12 - Device_Configuration'!AG9="","",'12 - Device_Configuration'!AG9)</f>
        <v>8</v>
      </c>
      <c r="G9" s="29" t="str">
        <f>IF('12 - Device_Configuration'!AH9="","",'12 - Device_Configuration'!AH9)</f>
        <v>BSM 035 B</v>
      </c>
      <c r="H9" s="29" t="str">
        <f>IF('12 - Device_Configuration'!A9="","",'12 - Device_Configuration'!A9)</f>
        <v>Neuron</v>
      </c>
      <c r="I9" s="29" t="str">
        <f>IF('12 - Device_Configuration'!AI9="","",'12 - Device_Configuration'!AI9)</f>
        <v>Fresenius BlueStar</v>
      </c>
      <c r="J9" s="29" t="str">
        <f>IF('12 - Device_Configuration'!AJ9="","",'12 - Device_Configuration'!AJ9)</f>
        <v>2008T</v>
      </c>
      <c r="K9" s="29" t="str">
        <f>IF('12 - Device_Configuration'!AA9="","",'12 - Device_Configuration'!AA9)</f>
        <v>Dialysis Machine</v>
      </c>
      <c r="L9" s="29" t="str">
        <f>IF('12 - Device_Configuration'!I9="","",'12 - Device_Configuration'!I9)</f>
        <v/>
      </c>
      <c r="M9" s="30"/>
      <c r="N9" s="29" t="str">
        <f>IF('12 - Device_Configuration'!J9="","",'12 - Device_Configuration'!J9)</f>
        <v>NA</v>
      </c>
      <c r="O9" s="29" t="str">
        <f>IF('12 - Device_Configuration'!K9="","",'12 - Device_Configuration'!K9)</f>
        <v>NA</v>
      </c>
      <c r="P9" s="29" t="str">
        <f>IF('12 - Device_Configuration'!L9="","",'12 - Device_Configuration'!L9)</f>
        <v>NA</v>
      </c>
      <c r="Q9" s="30"/>
      <c r="R9" s="29" t="str">
        <f>IF('12 - Device_Configuration'!AY9="","",'12 - Device_Configuration'!AY9)</f>
        <v/>
      </c>
      <c r="S9" s="29" t="str">
        <f>IF('12 - Device_Configuration'!AX9="","",'12 - Device_Configuration'!AX9)</f>
        <v/>
      </c>
      <c r="T9" s="29" t="str">
        <f>IF('12 - Device_Configuration'!AV9="","",'12 - Device_Configuration'!AV9)</f>
        <v/>
      </c>
      <c r="U9" s="29" t="str">
        <f>IF('12 - Device_Configuration'!AW9="","",'12 - Device_Configuration'!AW9)</f>
        <v/>
      </c>
      <c r="V9" s="29" t="str">
        <f>IF('12 - Device_Configuration'!BA9="","",'12 - Device_Configuration'!BA9)</f>
        <v>Yes</v>
      </c>
      <c r="W9" s="29" t="str">
        <f>IF('12 - Device_Configuration'!BC9="","",'12 - Device_Configuration'!BC9)</f>
        <v>Firmware Installed</v>
      </c>
      <c r="X9" s="29" t="str">
        <f>IF('12 - Device_Configuration'!BK9="","",'12 - Device_Configuration'!BK9)</f>
        <v>Power Cable, Battery, Epic Beans Relay</v>
      </c>
      <c r="Y9" s="29" t="str">
        <f>IF('12 - Device_Configuration'!BB9="","",'12 - Device_Configuration'!BB9)</f>
        <v/>
      </c>
      <c r="Z9" s="29" t="str">
        <f>IF('12 - Device_Configuration'!P9="","",'12 - Device_Configuration'!P9)</f>
        <v/>
      </c>
      <c r="AA9" s="29" t="str">
        <f>IF('12 - Device_Configuration'!Q9="","",'12 - Device_Configuration'!Q9)</f>
        <v/>
      </c>
    </row>
    <row r="10" spans="1:29" ht="45.75" customHeight="1">
      <c r="A10" s="30"/>
      <c r="B10" s="30"/>
      <c r="C10" s="29" t="str">
        <f>IF('12 - Device_Configuration'!H10="","",'12 - Device_Configuration'!H10)</f>
        <v>LIJ SDF</v>
      </c>
      <c r="D10" s="29" t="str">
        <f>IF('12 - Device_Configuration'!AE10="","",'12 - Device_Configuration'!AE10)</f>
        <v>Ground Level/Dialysis</v>
      </c>
      <c r="E10" s="29" t="str">
        <f>IF('12 - Device_Configuration'!AF10="","",'12 - Device_Configuration'!AF10)</f>
        <v>Open Patient Area</v>
      </c>
      <c r="F10" s="29">
        <f>IF('12 - Device_Configuration'!AG10="","",'12 - Device_Configuration'!AG10)</f>
        <v>9</v>
      </c>
      <c r="G10" s="29" t="str">
        <f>IF('12 - Device_Configuration'!AH10="","",'12 - Device_Configuration'!AH10)</f>
        <v>BSM 036 A</v>
      </c>
      <c r="H10" s="29" t="str">
        <f>IF('12 - Device_Configuration'!A10="","",'12 - Device_Configuration'!A10)</f>
        <v>Neuron</v>
      </c>
      <c r="I10" s="29" t="str">
        <f>IF('12 - Device_Configuration'!AI10="","",'12 - Device_Configuration'!AI10)</f>
        <v>Fresenius BlueStar</v>
      </c>
      <c r="J10" s="29" t="str">
        <f>IF('12 - Device_Configuration'!AJ10="","",'12 - Device_Configuration'!AJ10)</f>
        <v>2008T</v>
      </c>
      <c r="K10" s="29" t="str">
        <f>IF('12 - Device_Configuration'!AA10="","",'12 - Device_Configuration'!AA10)</f>
        <v>Dialysis Machine</v>
      </c>
      <c r="L10" s="29" t="str">
        <f>IF('12 - Device_Configuration'!I10="","",'12 - Device_Configuration'!I10)</f>
        <v/>
      </c>
      <c r="M10" s="30"/>
      <c r="N10" s="29" t="str">
        <f>IF('12 - Device_Configuration'!J10="","",'12 - Device_Configuration'!J10)</f>
        <v>NA</v>
      </c>
      <c r="O10" s="29" t="str">
        <f>IF('12 - Device_Configuration'!K10="","",'12 - Device_Configuration'!K10)</f>
        <v>NA</v>
      </c>
      <c r="P10" s="29" t="str">
        <f>IF('12 - Device_Configuration'!L10="","",'12 - Device_Configuration'!L10)</f>
        <v>NA</v>
      </c>
      <c r="Q10" s="30"/>
      <c r="R10" s="29" t="str">
        <f>IF('12 - Device_Configuration'!AY10="","",'12 - Device_Configuration'!AY10)</f>
        <v/>
      </c>
      <c r="S10" s="29" t="str">
        <f>IF('12 - Device_Configuration'!AX10="","",'12 - Device_Configuration'!AX10)</f>
        <v/>
      </c>
      <c r="T10" s="29" t="str">
        <f>IF('12 - Device_Configuration'!AV10="","",'12 - Device_Configuration'!AV10)</f>
        <v/>
      </c>
      <c r="U10" s="29" t="str">
        <f>IF('12 - Device_Configuration'!AW10="","",'12 - Device_Configuration'!AW10)</f>
        <v/>
      </c>
      <c r="V10" s="29" t="str">
        <f>IF('12 - Device_Configuration'!BA10="","",'12 - Device_Configuration'!BA10)</f>
        <v>Yes</v>
      </c>
      <c r="W10" s="29" t="str">
        <f>IF('12 - Device_Configuration'!BC10="","",'12 - Device_Configuration'!BC10)</f>
        <v>Firmware Installed</v>
      </c>
      <c r="X10" s="29" t="str">
        <f>IF('12 - Device_Configuration'!BK10="","",'12 - Device_Configuration'!BK10)</f>
        <v>Power Cable, Battery, Epic Beans Relay</v>
      </c>
      <c r="Y10" s="29" t="str">
        <f>IF('12 - Device_Configuration'!BB10="","",'12 - Device_Configuration'!BB10)</f>
        <v/>
      </c>
      <c r="Z10" s="29" t="str">
        <f>IF('12 - Device_Configuration'!P10="","",'12 - Device_Configuration'!P10)</f>
        <v/>
      </c>
      <c r="AA10" s="29" t="str">
        <f>IF('12 - Device_Configuration'!Q10="","",'12 - Device_Configuration'!Q10)</f>
        <v/>
      </c>
    </row>
    <row r="11" spans="1:29" ht="45.75" customHeight="1">
      <c r="A11" s="30"/>
      <c r="B11" s="30"/>
      <c r="C11" s="29" t="str">
        <f>IF('12 - Device_Configuration'!H11="","",'12 - Device_Configuration'!H11)</f>
        <v>LIJ SDF</v>
      </c>
      <c r="D11" s="29" t="str">
        <f>IF('12 - Device_Configuration'!AE11="","",'12 - Device_Configuration'!AE11)</f>
        <v>Ground Level/Dialysis</v>
      </c>
      <c r="E11" s="29" t="str">
        <f>IF('12 - Device_Configuration'!AF11="","",'12 - Device_Configuration'!AF11)</f>
        <v>Open Patient Area</v>
      </c>
      <c r="F11" s="29">
        <f>IF('12 - Device_Configuration'!AG11="","",'12 - Device_Configuration'!AG11)</f>
        <v>10</v>
      </c>
      <c r="G11" s="29" t="str">
        <f>IF('12 - Device_Configuration'!AH11="","",'12 - Device_Configuration'!AH11)</f>
        <v>BSM 036 B</v>
      </c>
      <c r="H11" s="29" t="str">
        <f>IF('12 - Device_Configuration'!A11="","",'12 - Device_Configuration'!A11)</f>
        <v>Neuron</v>
      </c>
      <c r="I11" s="29" t="str">
        <f>IF('12 - Device_Configuration'!AI11="","",'12 - Device_Configuration'!AI11)</f>
        <v>Fresenius BlueStar</v>
      </c>
      <c r="J11" s="29" t="str">
        <f>IF('12 - Device_Configuration'!AJ11="","",'12 - Device_Configuration'!AJ11)</f>
        <v>2008T</v>
      </c>
      <c r="K11" s="29" t="str">
        <f>IF('12 - Device_Configuration'!AA11="","",'12 - Device_Configuration'!AA11)</f>
        <v>Dialysis Machine</v>
      </c>
      <c r="L11" s="29" t="str">
        <f>IF('12 - Device_Configuration'!I11="","",'12 - Device_Configuration'!I11)</f>
        <v/>
      </c>
      <c r="M11" s="30"/>
      <c r="N11" s="29" t="str">
        <f>IF('12 - Device_Configuration'!J11="","",'12 - Device_Configuration'!J11)</f>
        <v>NA</v>
      </c>
      <c r="O11" s="29" t="str">
        <f>IF('12 - Device_Configuration'!K11="","",'12 - Device_Configuration'!K11)</f>
        <v>NA</v>
      </c>
      <c r="P11" s="29" t="str">
        <f>IF('12 - Device_Configuration'!L11="","",'12 - Device_Configuration'!L11)</f>
        <v>NA</v>
      </c>
      <c r="Q11" s="30"/>
      <c r="R11" s="29" t="str">
        <f>IF('12 - Device_Configuration'!AY11="","",'12 - Device_Configuration'!AY11)</f>
        <v/>
      </c>
      <c r="S11" s="29" t="str">
        <f>IF('12 - Device_Configuration'!AX11="","",'12 - Device_Configuration'!AX11)</f>
        <v/>
      </c>
      <c r="T11" s="29" t="str">
        <f>IF('12 - Device_Configuration'!AV11="","",'12 - Device_Configuration'!AV11)</f>
        <v/>
      </c>
      <c r="U11" s="29" t="str">
        <f>IF('12 - Device_Configuration'!AW11="","",'12 - Device_Configuration'!AW11)</f>
        <v/>
      </c>
      <c r="V11" s="29" t="str">
        <f>IF('12 - Device_Configuration'!BA11="","",'12 - Device_Configuration'!BA11)</f>
        <v>Yes</v>
      </c>
      <c r="W11" s="29" t="str">
        <f>IF('12 - Device_Configuration'!BC11="","",'12 - Device_Configuration'!BC11)</f>
        <v>Firmware Installed</v>
      </c>
      <c r="X11" s="29" t="str">
        <f>IF('12 - Device_Configuration'!BK11="","",'12 - Device_Configuration'!BK11)</f>
        <v>Power Cable, Battery, Epic Beans Relay</v>
      </c>
      <c r="Y11" s="29" t="str">
        <f>IF('12 - Device_Configuration'!BB11="","",'12 - Device_Configuration'!BB11)</f>
        <v/>
      </c>
      <c r="Z11" s="29" t="str">
        <f>IF('12 - Device_Configuration'!P11="","",'12 - Device_Configuration'!P11)</f>
        <v/>
      </c>
      <c r="AA11" s="29" t="str">
        <f>IF('12 - Device_Configuration'!Q11="","",'12 - Device_Configuration'!Q11)</f>
        <v/>
      </c>
    </row>
    <row r="12" spans="1:29" ht="45.75" customHeight="1">
      <c r="A12" s="30"/>
      <c r="B12" s="30"/>
      <c r="C12" s="29" t="str">
        <f>IF('12 - Device_Configuration'!H12="","",'12 - Device_Configuration'!H12)</f>
        <v>LIJ SDF</v>
      </c>
      <c r="D12" s="29" t="str">
        <f>IF('12 - Device_Configuration'!AE12="","",'12 - Device_Configuration'!AE12)</f>
        <v>Ground Level/Dialysis</v>
      </c>
      <c r="E12" s="29" t="str">
        <f>IF('12 - Device_Configuration'!AF12="","",'12 - Device_Configuration'!AF12)</f>
        <v>Open Patient Area</v>
      </c>
      <c r="F12" s="29">
        <f>IF('12 - Device_Configuration'!AG12="","",'12 - Device_Configuration'!AG12)</f>
        <v>11</v>
      </c>
      <c r="G12" s="29" t="str">
        <f>IF('12 - Device_Configuration'!AH12="","",'12 - Device_Configuration'!AH12)</f>
        <v>BSM 047 D</v>
      </c>
      <c r="H12" s="29" t="str">
        <f>IF('12 - Device_Configuration'!A12="","",'12 - Device_Configuration'!A12)</f>
        <v>Neuron</v>
      </c>
      <c r="I12" s="29" t="str">
        <f>IF('12 - Device_Configuration'!AI12="","",'12 - Device_Configuration'!AI12)</f>
        <v>Fresenius BlueStar</v>
      </c>
      <c r="J12" s="29" t="str">
        <f>IF('12 - Device_Configuration'!AJ12="","",'12 - Device_Configuration'!AJ12)</f>
        <v>2008T</v>
      </c>
      <c r="K12" s="29" t="str">
        <f>IF('12 - Device_Configuration'!AA12="","",'12 - Device_Configuration'!AA12)</f>
        <v>Dialysis Machine</v>
      </c>
      <c r="L12" s="29" t="str">
        <f>IF('12 - Device_Configuration'!I12="","",'12 - Device_Configuration'!I12)</f>
        <v/>
      </c>
      <c r="M12" s="30"/>
      <c r="N12" s="29" t="str">
        <f>IF('12 - Device_Configuration'!J12="","",'12 - Device_Configuration'!J12)</f>
        <v>NA</v>
      </c>
      <c r="O12" s="29" t="str">
        <f>IF('12 - Device_Configuration'!K12="","",'12 - Device_Configuration'!K12)</f>
        <v>NA</v>
      </c>
      <c r="P12" s="29" t="str">
        <f>IF('12 - Device_Configuration'!L12="","",'12 - Device_Configuration'!L12)</f>
        <v>NA</v>
      </c>
      <c r="Q12" s="30"/>
      <c r="R12" s="29" t="str">
        <f>IF('12 - Device_Configuration'!AY12="","",'12 - Device_Configuration'!AY12)</f>
        <v/>
      </c>
      <c r="S12" s="29" t="str">
        <f>IF('12 - Device_Configuration'!AX12="","",'12 - Device_Configuration'!AX12)</f>
        <v/>
      </c>
      <c r="T12" s="29" t="str">
        <f>IF('12 - Device_Configuration'!AV12="","",'12 - Device_Configuration'!AV12)</f>
        <v/>
      </c>
      <c r="U12" s="29" t="str">
        <f>IF('12 - Device_Configuration'!AW12="","",'12 - Device_Configuration'!AW12)</f>
        <v/>
      </c>
      <c r="V12" s="29" t="str">
        <f>IF('12 - Device_Configuration'!BA12="","",'12 - Device_Configuration'!BA12)</f>
        <v>Yes</v>
      </c>
      <c r="W12" s="29" t="str">
        <f>IF('12 - Device_Configuration'!BC12="","",'12 - Device_Configuration'!BC12)</f>
        <v>Firmware Installed</v>
      </c>
      <c r="X12" s="29" t="str">
        <f>IF('12 - Device_Configuration'!BK12="","",'12 - Device_Configuration'!BK12)</f>
        <v>Power Cable, Battery, Epic Beans Relay</v>
      </c>
      <c r="Y12" s="29" t="str">
        <f>IF('12 - Device_Configuration'!BB12="","",'12 - Device_Configuration'!BB12)</f>
        <v>SN scratched off slightly;</v>
      </c>
      <c r="Z12" s="29" t="str">
        <f>IF('12 - Device_Configuration'!P12="","",'12 - Device_Configuration'!P12)</f>
        <v/>
      </c>
      <c r="AA12" s="29" t="str">
        <f>IF('12 - Device_Configuration'!Q12="","",'12 - Device_Configuration'!Q12)</f>
        <v/>
      </c>
    </row>
    <row r="13" spans="1:29" ht="45.75" customHeight="1">
      <c r="A13" s="30"/>
      <c r="B13" s="30"/>
      <c r="C13" s="29" t="str">
        <f>IF('12 - Device_Configuration'!H13="","",'12 - Device_Configuration'!H13)</f>
        <v>LIJ SDF</v>
      </c>
      <c r="D13" s="29" t="str">
        <f>IF('12 - Device_Configuration'!AE13="","",'12 - Device_Configuration'!AE13)</f>
        <v>Ground Level/Dialysis</v>
      </c>
      <c r="E13" s="29" t="str">
        <f>IF('12 - Device_Configuration'!AF13="","",'12 - Device_Configuration'!AF13)</f>
        <v>Open Patient Area</v>
      </c>
      <c r="F13" s="29">
        <f>IF('12 - Device_Configuration'!AG13="","",'12 - Device_Configuration'!AG13)</f>
        <v>12</v>
      </c>
      <c r="G13" s="29" t="str">
        <f>IF('12 - Device_Configuration'!AH13="","",'12 - Device_Configuration'!AH13)</f>
        <v>BSM 050 D</v>
      </c>
      <c r="H13" s="29" t="str">
        <f>IF('12 - Device_Configuration'!A13="","",'12 - Device_Configuration'!A13)</f>
        <v>Neuron</v>
      </c>
      <c r="I13" s="29" t="str">
        <f>IF('12 - Device_Configuration'!AI13="","",'12 - Device_Configuration'!AI13)</f>
        <v>Fresenius BlueStar</v>
      </c>
      <c r="J13" s="29" t="str">
        <f>IF('12 - Device_Configuration'!AJ13="","",'12 - Device_Configuration'!AJ13)</f>
        <v>2008T</v>
      </c>
      <c r="K13" s="29" t="str">
        <f>IF('12 - Device_Configuration'!AA13="","",'12 - Device_Configuration'!AA13)</f>
        <v>Dialysis Machine</v>
      </c>
      <c r="L13" s="29" t="str">
        <f>IF('12 - Device_Configuration'!I13="","",'12 - Device_Configuration'!I13)</f>
        <v/>
      </c>
      <c r="M13" s="30"/>
      <c r="N13" s="29" t="str">
        <f>IF('12 - Device_Configuration'!J13="","",'12 - Device_Configuration'!J13)</f>
        <v>NA</v>
      </c>
      <c r="O13" s="29" t="str">
        <f>IF('12 - Device_Configuration'!K13="","",'12 - Device_Configuration'!K13)</f>
        <v>NA</v>
      </c>
      <c r="P13" s="29" t="str">
        <f>IF('12 - Device_Configuration'!L13="","",'12 - Device_Configuration'!L13)</f>
        <v>NA</v>
      </c>
      <c r="Q13" s="30"/>
      <c r="R13" s="29" t="str">
        <f>IF('12 - Device_Configuration'!AY13="","",'12 - Device_Configuration'!AY13)</f>
        <v/>
      </c>
      <c r="S13" s="29" t="str">
        <f>IF('12 - Device_Configuration'!AX13="","",'12 - Device_Configuration'!AX13)</f>
        <v/>
      </c>
      <c r="T13" s="29" t="str">
        <f>IF('12 - Device_Configuration'!AV13="","",'12 - Device_Configuration'!AV13)</f>
        <v/>
      </c>
      <c r="U13" s="29" t="str">
        <f>IF('12 - Device_Configuration'!AW13="","",'12 - Device_Configuration'!AW13)</f>
        <v/>
      </c>
      <c r="V13" s="29" t="str">
        <f>IF('12 - Device_Configuration'!BA13="","",'12 - Device_Configuration'!BA13)</f>
        <v>Yes</v>
      </c>
      <c r="W13" s="29" t="str">
        <f>IF('12 - Device_Configuration'!BC13="","",'12 - Device_Configuration'!BC13)</f>
        <v>Firmware Installed</v>
      </c>
      <c r="X13" s="29" t="str">
        <f>IF('12 - Device_Configuration'!BK13="","",'12 - Device_Configuration'!BK13)</f>
        <v>Power Cable, Battery, Epic Beans Relay</v>
      </c>
      <c r="Y13" s="29" t="str">
        <f>IF('12 - Device_Configuration'!BB13="","",'12 - Device_Configuration'!BB13)</f>
        <v/>
      </c>
      <c r="Z13" s="29" t="str">
        <f>IF('12 - Device_Configuration'!P13="","",'12 - Device_Configuration'!P13)</f>
        <v/>
      </c>
      <c r="AA13" s="29" t="str">
        <f>IF('12 - Device_Configuration'!Q13="","",'12 - Device_Configuration'!Q13)</f>
        <v/>
      </c>
    </row>
    <row r="14" spans="1:29" ht="45.75" customHeight="1">
      <c r="A14" s="30"/>
      <c r="B14" s="30"/>
      <c r="C14" s="29" t="str">
        <f>IF('12 - Device_Configuration'!H14="","",'12 - Device_Configuration'!H14)</f>
        <v>LIJ SDF</v>
      </c>
      <c r="D14" s="29" t="str">
        <f>IF('12 - Device_Configuration'!AE14="","",'12 - Device_Configuration'!AE14)</f>
        <v>Ground Level/Dialysis</v>
      </c>
      <c r="E14" s="29" t="str">
        <f>IF('12 - Device_Configuration'!AF14="","",'12 - Device_Configuration'!AF14)</f>
        <v>Open Patient Area</v>
      </c>
      <c r="F14" s="29">
        <f>IF('12 - Device_Configuration'!AG14="","",'12 - Device_Configuration'!AG14)</f>
        <v>13</v>
      </c>
      <c r="G14" s="29" t="str">
        <f>IF('12 - Device_Configuration'!AH14="","",'12 - Device_Configuration'!AH14)</f>
        <v>BSM 038 A</v>
      </c>
      <c r="H14" s="29" t="str">
        <f>IF('12 - Device_Configuration'!A14="","",'12 - Device_Configuration'!A14)</f>
        <v>Neuron</v>
      </c>
      <c r="I14" s="29" t="str">
        <f>IF('12 - Device_Configuration'!AI14="","",'12 - Device_Configuration'!AI14)</f>
        <v>Fresenius BlueStar</v>
      </c>
      <c r="J14" s="29" t="str">
        <f>IF('12 - Device_Configuration'!AJ14="","",'12 - Device_Configuration'!AJ14)</f>
        <v>2008T</v>
      </c>
      <c r="K14" s="29" t="str">
        <f>IF('12 - Device_Configuration'!AA14="","",'12 - Device_Configuration'!AA14)</f>
        <v>Dialysis Machine</v>
      </c>
      <c r="L14" s="29" t="str">
        <f>IF('12 - Device_Configuration'!I14="","",'12 - Device_Configuration'!I14)</f>
        <v/>
      </c>
      <c r="M14" s="30"/>
      <c r="N14" s="29" t="str">
        <f>IF('12 - Device_Configuration'!J14="","",'12 - Device_Configuration'!J14)</f>
        <v>NA</v>
      </c>
      <c r="O14" s="29" t="str">
        <f>IF('12 - Device_Configuration'!K14="","",'12 - Device_Configuration'!K14)</f>
        <v>NA</v>
      </c>
      <c r="P14" s="29" t="str">
        <f>IF('12 - Device_Configuration'!L14="","",'12 - Device_Configuration'!L14)</f>
        <v>NA</v>
      </c>
      <c r="Q14" s="30"/>
      <c r="R14" s="29" t="str">
        <f>IF('12 - Device_Configuration'!AY14="","",'12 - Device_Configuration'!AY14)</f>
        <v/>
      </c>
      <c r="S14" s="29" t="str">
        <f>IF('12 - Device_Configuration'!AX14="","",'12 - Device_Configuration'!AX14)</f>
        <v/>
      </c>
      <c r="T14" s="29" t="str">
        <f>IF('12 - Device_Configuration'!AV14="","",'12 - Device_Configuration'!AV14)</f>
        <v/>
      </c>
      <c r="U14" s="29" t="str">
        <f>IF('12 - Device_Configuration'!AW14="","",'12 - Device_Configuration'!AW14)</f>
        <v/>
      </c>
      <c r="V14" s="29" t="str">
        <f>IF('12 - Device_Configuration'!BA14="","",'12 - Device_Configuration'!BA14)</f>
        <v>Yes</v>
      </c>
      <c r="W14" s="29" t="str">
        <f>IF('12 - Device_Configuration'!BC14="","",'12 - Device_Configuration'!BC14)</f>
        <v>Firmware Installed</v>
      </c>
      <c r="X14" s="29" t="str">
        <f>IF('12 - Device_Configuration'!BK14="","",'12 - Device_Configuration'!BK14)</f>
        <v>Power Cable, Battery, Epic Beans Relay</v>
      </c>
      <c r="Y14" s="29" t="str">
        <f>IF('12 - Device_Configuration'!BB14="","",'12 - Device_Configuration'!BB14)</f>
        <v/>
      </c>
      <c r="Z14" s="29" t="str">
        <f>IF('12 - Device_Configuration'!P14="","",'12 - Device_Configuration'!P14)</f>
        <v/>
      </c>
      <c r="AA14" s="29" t="str">
        <f>IF('12 - Device_Configuration'!Q14="","",'12 - Device_Configuration'!Q14)</f>
        <v/>
      </c>
    </row>
    <row r="15" spans="1:29" ht="45.75" customHeight="1">
      <c r="A15" s="30"/>
      <c r="B15" s="30"/>
      <c r="C15" s="29" t="str">
        <f>IF('12 - Device_Configuration'!H15="","",'12 - Device_Configuration'!H15)</f>
        <v>LIJ SDF</v>
      </c>
      <c r="D15" s="29" t="str">
        <f>IF('12 - Device_Configuration'!AE15="","",'12 - Device_Configuration'!AE15)</f>
        <v>Ground Level/Dialysis</v>
      </c>
      <c r="E15" s="29" t="str">
        <f>IF('12 - Device_Configuration'!AF15="","",'12 - Device_Configuration'!AF15)</f>
        <v>Open Patient Area</v>
      </c>
      <c r="F15" s="29">
        <f>IF('12 - Device_Configuration'!AG15="","",'12 - Device_Configuration'!AG15)</f>
        <v>14</v>
      </c>
      <c r="G15" s="29" t="str">
        <f>IF('12 - Device_Configuration'!AH15="","",'12 - Device_Configuration'!AH15)</f>
        <v>BSM 038 B</v>
      </c>
      <c r="H15" s="29" t="str">
        <f>IF('12 - Device_Configuration'!A15="","",'12 - Device_Configuration'!A15)</f>
        <v>Neuron</v>
      </c>
      <c r="I15" s="29" t="str">
        <f>IF('12 - Device_Configuration'!AI15="","",'12 - Device_Configuration'!AI15)</f>
        <v>Fresenius BlueStar</v>
      </c>
      <c r="J15" s="29" t="str">
        <f>IF('12 - Device_Configuration'!AJ15="","",'12 - Device_Configuration'!AJ15)</f>
        <v>2008T</v>
      </c>
      <c r="K15" s="29" t="str">
        <f>IF('12 - Device_Configuration'!AA15="","",'12 - Device_Configuration'!AA15)</f>
        <v>Dialysis Machine</v>
      </c>
      <c r="L15" s="29" t="str">
        <f>IF('12 - Device_Configuration'!I15="","",'12 - Device_Configuration'!I15)</f>
        <v/>
      </c>
      <c r="M15" s="30"/>
      <c r="N15" s="29" t="str">
        <f>IF('12 - Device_Configuration'!J15="","",'12 - Device_Configuration'!J15)</f>
        <v>NA</v>
      </c>
      <c r="O15" s="29" t="str">
        <f>IF('12 - Device_Configuration'!K15="","",'12 - Device_Configuration'!K15)</f>
        <v>NA</v>
      </c>
      <c r="P15" s="29" t="str">
        <f>IF('12 - Device_Configuration'!L15="","",'12 - Device_Configuration'!L15)</f>
        <v>NA</v>
      </c>
      <c r="Q15" s="30"/>
      <c r="R15" s="29" t="str">
        <f>IF('12 - Device_Configuration'!AY15="","",'12 - Device_Configuration'!AY15)</f>
        <v/>
      </c>
      <c r="S15" s="29" t="str">
        <f>IF('12 - Device_Configuration'!AX15="","",'12 - Device_Configuration'!AX15)</f>
        <v/>
      </c>
      <c r="T15" s="29" t="str">
        <f>IF('12 - Device_Configuration'!AV15="","",'12 - Device_Configuration'!AV15)</f>
        <v/>
      </c>
      <c r="U15" s="29" t="str">
        <f>IF('12 - Device_Configuration'!AW15="","",'12 - Device_Configuration'!AW15)</f>
        <v/>
      </c>
      <c r="V15" s="29" t="str">
        <f>IF('12 - Device_Configuration'!BA15="","",'12 - Device_Configuration'!BA15)</f>
        <v>Yes</v>
      </c>
      <c r="W15" s="29" t="str">
        <f>IF('12 - Device_Configuration'!BC15="","",'12 - Device_Configuration'!BC15)</f>
        <v>Firmware Installed</v>
      </c>
      <c r="X15" s="29" t="str">
        <f>IF('12 - Device_Configuration'!BK15="","",'12 - Device_Configuration'!BK15)</f>
        <v>Power Cable, Battery, Epic Beans Relay</v>
      </c>
      <c r="Y15" s="29" t="str">
        <f>IF('12 - Device_Configuration'!BB15="","",'12 - Device_Configuration'!BB15)</f>
        <v/>
      </c>
      <c r="Z15" s="29" t="str">
        <f>IF('12 - Device_Configuration'!P15="","",'12 - Device_Configuration'!P15)</f>
        <v/>
      </c>
      <c r="AA15" s="29" t="str">
        <f>IF('12 - Device_Configuration'!Q15="","",'12 - Device_Configuration'!Q15)</f>
        <v/>
      </c>
    </row>
    <row r="16" spans="1:29" ht="45.75" customHeight="1">
      <c r="A16" s="30"/>
      <c r="B16" s="30"/>
      <c r="C16" s="29" t="str">
        <f>IF('12 - Device_Configuration'!H16="","",'12 - Device_Configuration'!H16)</f>
        <v>LIJ SDF</v>
      </c>
      <c r="D16" s="29" t="str">
        <f>IF('12 - Device_Configuration'!AE16="","",'12 - Device_Configuration'!AE16)</f>
        <v>Ground Level/Dialysis</v>
      </c>
      <c r="E16" s="29" t="str">
        <f>IF('12 - Device_Configuration'!AF16="","",'12 - Device_Configuration'!AF16)</f>
        <v>Open Patient Area</v>
      </c>
      <c r="F16" s="29">
        <f>IF('12 - Device_Configuration'!AG16="","",'12 - Device_Configuration'!AG16)</f>
        <v>15</v>
      </c>
      <c r="G16" s="29" t="str">
        <f>IF('12 - Device_Configuration'!AH16="","",'12 - Device_Configuration'!AH16)</f>
        <v>BSM 039 A</v>
      </c>
      <c r="H16" s="29" t="str">
        <f>IF('12 - Device_Configuration'!A16="","",'12 - Device_Configuration'!A16)</f>
        <v>Neuron</v>
      </c>
      <c r="I16" s="29" t="str">
        <f>IF('12 - Device_Configuration'!AI16="","",'12 - Device_Configuration'!AI16)</f>
        <v>Fresenius BlueStar</v>
      </c>
      <c r="J16" s="29" t="str">
        <f>IF('12 - Device_Configuration'!AJ16="","",'12 - Device_Configuration'!AJ16)</f>
        <v>2008T</v>
      </c>
      <c r="K16" s="29" t="str">
        <f>IF('12 - Device_Configuration'!AA16="","",'12 - Device_Configuration'!AA16)</f>
        <v>Dialysis Machine</v>
      </c>
      <c r="L16" s="29" t="str">
        <f>IF('12 - Device_Configuration'!I16="","",'12 - Device_Configuration'!I16)</f>
        <v/>
      </c>
      <c r="M16" s="30"/>
      <c r="N16" s="29" t="str">
        <f>IF('12 - Device_Configuration'!J16="","",'12 - Device_Configuration'!J16)</f>
        <v>NA</v>
      </c>
      <c r="O16" s="29" t="str">
        <f>IF('12 - Device_Configuration'!K16="","",'12 - Device_Configuration'!K16)</f>
        <v>NA</v>
      </c>
      <c r="P16" s="29" t="str">
        <f>IF('12 - Device_Configuration'!L16="","",'12 - Device_Configuration'!L16)</f>
        <v>NA</v>
      </c>
      <c r="Q16" s="30"/>
      <c r="R16" s="29" t="str">
        <f>IF('12 - Device_Configuration'!AY16="","",'12 - Device_Configuration'!AY16)</f>
        <v/>
      </c>
      <c r="S16" s="29" t="str">
        <f>IF('12 - Device_Configuration'!AX16="","",'12 - Device_Configuration'!AX16)</f>
        <v/>
      </c>
      <c r="T16" s="29" t="str">
        <f>IF('12 - Device_Configuration'!AV16="","",'12 - Device_Configuration'!AV16)</f>
        <v/>
      </c>
      <c r="U16" s="29" t="str">
        <f>IF('12 - Device_Configuration'!AW16="","",'12 - Device_Configuration'!AW16)</f>
        <v/>
      </c>
      <c r="V16" s="29" t="str">
        <f>IF('12 - Device_Configuration'!BA16="","",'12 - Device_Configuration'!BA16)</f>
        <v>Yes</v>
      </c>
      <c r="W16" s="29" t="str">
        <f>IF('12 - Device_Configuration'!BC16="","",'12 - Device_Configuration'!BC16)</f>
        <v>Firmware Installed</v>
      </c>
      <c r="X16" s="29" t="str">
        <f>IF('12 - Device_Configuration'!BK16="","",'12 - Device_Configuration'!BK16)</f>
        <v>Power Cable, Battery, Epic Beans Relay</v>
      </c>
      <c r="Y16" s="29" t="str">
        <f>IF('12 - Device_Configuration'!BB16="","",'12 - Device_Configuration'!BB16)</f>
        <v/>
      </c>
      <c r="Z16" s="29" t="str">
        <f>IF('12 - Device_Configuration'!P16="","",'12 - Device_Configuration'!P16)</f>
        <v/>
      </c>
      <c r="AA16" s="29" t="str">
        <f>IF('12 - Device_Configuration'!Q16="","",'12 - Device_Configuration'!Q16)</f>
        <v/>
      </c>
    </row>
    <row r="17" spans="1:27" ht="45.75" customHeight="1">
      <c r="A17" s="30"/>
      <c r="B17" s="30"/>
      <c r="C17" s="29" t="str">
        <f>IF('12 - Device_Configuration'!H17="","",'12 - Device_Configuration'!H17)</f>
        <v>LIJ SDF</v>
      </c>
      <c r="D17" s="29" t="str">
        <f>IF('12 - Device_Configuration'!AE17="","",'12 - Device_Configuration'!AE17)</f>
        <v>Ground Level/Dialysis</v>
      </c>
      <c r="E17" s="29" t="str">
        <f>IF('12 - Device_Configuration'!AF17="","",'12 - Device_Configuration'!AF17)</f>
        <v>Open Patient Area</v>
      </c>
      <c r="F17" s="29">
        <f>IF('12 - Device_Configuration'!AG17="","",'12 - Device_Configuration'!AG17)</f>
        <v>16</v>
      </c>
      <c r="G17" s="29" t="str">
        <f>IF('12 - Device_Configuration'!AH17="","",'12 - Device_Configuration'!AH17)</f>
        <v>BSM 039 B</v>
      </c>
      <c r="H17" s="29" t="str">
        <f>IF('12 - Device_Configuration'!A17="","",'12 - Device_Configuration'!A17)</f>
        <v>Neuron</v>
      </c>
      <c r="I17" s="29" t="str">
        <f>IF('12 - Device_Configuration'!AI17="","",'12 - Device_Configuration'!AI17)</f>
        <v>Fresenius BlueStar</v>
      </c>
      <c r="J17" s="29" t="str">
        <f>IF('12 - Device_Configuration'!AJ17="","",'12 - Device_Configuration'!AJ17)</f>
        <v>2008T</v>
      </c>
      <c r="K17" s="29" t="str">
        <f>IF('12 - Device_Configuration'!AA17="","",'12 - Device_Configuration'!AA17)</f>
        <v>Dialysis Machine</v>
      </c>
      <c r="L17" s="29" t="str">
        <f>IF('12 - Device_Configuration'!I17="","",'12 - Device_Configuration'!I17)</f>
        <v/>
      </c>
      <c r="M17" s="30"/>
      <c r="N17" s="29" t="str">
        <f>IF('12 - Device_Configuration'!J17="","",'12 - Device_Configuration'!J17)</f>
        <v>NA</v>
      </c>
      <c r="O17" s="29" t="str">
        <f>IF('12 - Device_Configuration'!K17="","",'12 - Device_Configuration'!K17)</f>
        <v>NA</v>
      </c>
      <c r="P17" s="29" t="str">
        <f>IF('12 - Device_Configuration'!L17="","",'12 - Device_Configuration'!L17)</f>
        <v>NA</v>
      </c>
      <c r="Q17" s="30"/>
      <c r="R17" s="29" t="str">
        <f>IF('12 - Device_Configuration'!AY17="","",'12 - Device_Configuration'!AY17)</f>
        <v/>
      </c>
      <c r="S17" s="29" t="str">
        <f>IF('12 - Device_Configuration'!AX17="","",'12 - Device_Configuration'!AX17)</f>
        <v/>
      </c>
      <c r="T17" s="29" t="str">
        <f>IF('12 - Device_Configuration'!AV17="","",'12 - Device_Configuration'!AV17)</f>
        <v/>
      </c>
      <c r="U17" s="29" t="str">
        <f>IF('12 - Device_Configuration'!AW17="","",'12 - Device_Configuration'!AW17)</f>
        <v/>
      </c>
      <c r="V17" s="29" t="str">
        <f>IF('12 - Device_Configuration'!BA17="","",'12 - Device_Configuration'!BA17)</f>
        <v>Yes</v>
      </c>
      <c r="W17" s="29" t="str">
        <f>IF('12 - Device_Configuration'!BC17="","",'12 - Device_Configuration'!BC17)</f>
        <v>Firmware Installed</v>
      </c>
      <c r="X17" s="29" t="str">
        <f>IF('12 - Device_Configuration'!BK17="","",'12 - Device_Configuration'!BK17)</f>
        <v>Power Cable, Battery, Epic Beans Relay</v>
      </c>
      <c r="Y17" s="29" t="str">
        <f>IF('12 - Device_Configuration'!BB17="","",'12 - Device_Configuration'!BB17)</f>
        <v/>
      </c>
      <c r="Z17" s="29" t="str">
        <f>IF('12 - Device_Configuration'!P17="","",'12 - Device_Configuration'!P17)</f>
        <v/>
      </c>
      <c r="AA17" s="29" t="str">
        <f>IF('12 - Device_Configuration'!Q17="","",'12 - Device_Configuration'!Q17)</f>
        <v/>
      </c>
    </row>
    <row r="18" spans="1:27" ht="45.75" customHeight="1">
      <c r="A18" s="30"/>
      <c r="B18" s="30"/>
      <c r="C18" s="29" t="str">
        <f>IF('12 - Device_Configuration'!H18="","",'12 - Device_Configuration'!H18)</f>
        <v>LIJ SDF</v>
      </c>
      <c r="D18" s="29" t="str">
        <f>IF('12 - Device_Configuration'!AE18="","",'12 - Device_Configuration'!AE18)</f>
        <v>Ground Level/Dialysis</v>
      </c>
      <c r="E18" s="29" t="str">
        <f>IF('12 - Device_Configuration'!AF18="","",'12 - Device_Configuration'!AF18)</f>
        <v>Open Patient Area</v>
      </c>
      <c r="F18" s="29">
        <f>IF('12 - Device_Configuration'!AG18="","",'12 - Device_Configuration'!AG18)</f>
        <v>17</v>
      </c>
      <c r="G18" s="29" t="str">
        <f>IF('12 - Device_Configuration'!AH18="","",'12 - Device_Configuration'!AH18)</f>
        <v>BSM 040 A</v>
      </c>
      <c r="H18" s="29" t="str">
        <f>IF('12 - Device_Configuration'!A18="","",'12 - Device_Configuration'!A18)</f>
        <v>Neuron</v>
      </c>
      <c r="I18" s="29" t="str">
        <f>IF('12 - Device_Configuration'!AI18="","",'12 - Device_Configuration'!AI18)</f>
        <v>Fresenius BlueStar</v>
      </c>
      <c r="J18" s="29" t="str">
        <f>IF('12 - Device_Configuration'!AJ18="","",'12 - Device_Configuration'!AJ18)</f>
        <v>2008T</v>
      </c>
      <c r="K18" s="29" t="str">
        <f>IF('12 - Device_Configuration'!AA18="","",'12 - Device_Configuration'!AA18)</f>
        <v>Dialysis Machine</v>
      </c>
      <c r="L18" s="29" t="str">
        <f>IF('12 - Device_Configuration'!I18="","",'12 - Device_Configuration'!I18)</f>
        <v/>
      </c>
      <c r="M18" s="30"/>
      <c r="N18" s="29" t="str">
        <f>IF('12 - Device_Configuration'!J18="","",'12 - Device_Configuration'!J18)</f>
        <v>NA</v>
      </c>
      <c r="O18" s="29" t="str">
        <f>IF('12 - Device_Configuration'!K18="","",'12 - Device_Configuration'!K18)</f>
        <v>NA</v>
      </c>
      <c r="P18" s="29" t="str">
        <f>IF('12 - Device_Configuration'!L18="","",'12 - Device_Configuration'!L18)</f>
        <v>NA</v>
      </c>
      <c r="Q18" s="30"/>
      <c r="R18" s="29" t="str">
        <f>IF('12 - Device_Configuration'!AY18="","",'12 - Device_Configuration'!AY18)</f>
        <v/>
      </c>
      <c r="S18" s="29" t="str">
        <f>IF('12 - Device_Configuration'!AX18="","",'12 - Device_Configuration'!AX18)</f>
        <v/>
      </c>
      <c r="T18" s="29" t="str">
        <f>IF('12 - Device_Configuration'!AV18="","",'12 - Device_Configuration'!AV18)</f>
        <v/>
      </c>
      <c r="U18" s="29" t="str">
        <f>IF('12 - Device_Configuration'!AW18="","",'12 - Device_Configuration'!AW18)</f>
        <v/>
      </c>
      <c r="V18" s="29" t="str">
        <f>IF('12 - Device_Configuration'!BA18="","",'12 - Device_Configuration'!BA18)</f>
        <v>Yes</v>
      </c>
      <c r="W18" s="29" t="str">
        <f>IF('12 - Device_Configuration'!BC18="","",'12 - Device_Configuration'!BC18)</f>
        <v>Firmware Installed</v>
      </c>
      <c r="X18" s="29" t="str">
        <f>IF('12 - Device_Configuration'!BK18="","",'12 - Device_Configuration'!BK18)</f>
        <v>Power Cable, Battery, Epic Beans Relay</v>
      </c>
      <c r="Y18" s="29" t="str">
        <f>IF('12 - Device_Configuration'!BB18="","",'12 - Device_Configuration'!BB18)</f>
        <v/>
      </c>
      <c r="Z18" s="29" t="str">
        <f>IF('12 - Device_Configuration'!P18="","",'12 - Device_Configuration'!P18)</f>
        <v/>
      </c>
      <c r="AA18" s="29" t="str">
        <f>IF('12 - Device_Configuration'!Q18="","",'12 - Device_Configuration'!Q18)</f>
        <v/>
      </c>
    </row>
    <row r="19" spans="1:27" ht="45.75" customHeight="1">
      <c r="A19" s="30"/>
      <c r="B19" s="30"/>
      <c r="C19" s="29" t="str">
        <f>IF('12 - Device_Configuration'!H19="","",'12 - Device_Configuration'!H19)</f>
        <v>LIJ SDF</v>
      </c>
      <c r="D19" s="29" t="str">
        <f>IF('12 - Device_Configuration'!AE19="","",'12 - Device_Configuration'!AE19)</f>
        <v>Ground Level/Dialysis</v>
      </c>
      <c r="E19" s="29" t="str">
        <f>IF('12 - Device_Configuration'!AF19="","",'12 - Device_Configuration'!AF19)</f>
        <v>Open Patient Area</v>
      </c>
      <c r="F19" s="29">
        <f>IF('12 - Device_Configuration'!AG19="","",'12 - Device_Configuration'!AG19)</f>
        <v>18</v>
      </c>
      <c r="G19" s="29" t="str">
        <f>IF('12 - Device_Configuration'!AH19="","",'12 - Device_Configuration'!AH19)</f>
        <v>BSM 040 B</v>
      </c>
      <c r="H19" s="29" t="str">
        <f>IF('12 - Device_Configuration'!A19="","",'12 - Device_Configuration'!A19)</f>
        <v>Neuron</v>
      </c>
      <c r="I19" s="29" t="str">
        <f>IF('12 - Device_Configuration'!AI19="","",'12 - Device_Configuration'!AI19)</f>
        <v>Fresenius BlueStar</v>
      </c>
      <c r="J19" s="29" t="str">
        <f>IF('12 - Device_Configuration'!AJ19="","",'12 - Device_Configuration'!AJ19)</f>
        <v>2008T</v>
      </c>
      <c r="K19" s="29" t="str">
        <f>IF('12 - Device_Configuration'!AA19="","",'12 - Device_Configuration'!AA19)</f>
        <v>Dialysis Machine</v>
      </c>
      <c r="L19" s="29" t="str">
        <f>IF('12 - Device_Configuration'!I19="","",'12 - Device_Configuration'!I19)</f>
        <v/>
      </c>
      <c r="M19" s="30"/>
      <c r="N19" s="29" t="str">
        <f>IF('12 - Device_Configuration'!J19="","",'12 - Device_Configuration'!J19)</f>
        <v>NA</v>
      </c>
      <c r="O19" s="29" t="str">
        <f>IF('12 - Device_Configuration'!K19="","",'12 - Device_Configuration'!K19)</f>
        <v>NA</v>
      </c>
      <c r="P19" s="29" t="str">
        <f>IF('12 - Device_Configuration'!L19="","",'12 - Device_Configuration'!L19)</f>
        <v>NA</v>
      </c>
      <c r="Q19" s="30"/>
      <c r="R19" s="29" t="str">
        <f>IF('12 - Device_Configuration'!AY19="","",'12 - Device_Configuration'!AY19)</f>
        <v/>
      </c>
      <c r="S19" s="29" t="str">
        <f>IF('12 - Device_Configuration'!AX19="","",'12 - Device_Configuration'!AX19)</f>
        <v/>
      </c>
      <c r="T19" s="29" t="str">
        <f>IF('12 - Device_Configuration'!AV19="","",'12 - Device_Configuration'!AV19)</f>
        <v/>
      </c>
      <c r="U19" s="29" t="str">
        <f>IF('12 - Device_Configuration'!AW19="","",'12 - Device_Configuration'!AW19)</f>
        <v/>
      </c>
      <c r="V19" s="29" t="str">
        <f>IF('12 - Device_Configuration'!BA19="","",'12 - Device_Configuration'!BA19)</f>
        <v>Yes</v>
      </c>
      <c r="W19" s="29" t="str">
        <f>IF('12 - Device_Configuration'!BC19="","",'12 - Device_Configuration'!BC19)</f>
        <v>Firmware Installed</v>
      </c>
      <c r="X19" s="29" t="str">
        <f>IF('12 - Device_Configuration'!BK19="","",'12 - Device_Configuration'!BK19)</f>
        <v>Power Cable, Battery, Epic Beans Relay</v>
      </c>
      <c r="Y19" s="29" t="str">
        <f>IF('12 - Device_Configuration'!BB19="","",'12 - Device_Configuration'!BB19)</f>
        <v/>
      </c>
      <c r="Z19" s="29" t="str">
        <f>IF('12 - Device_Configuration'!P19="","",'12 - Device_Configuration'!P19)</f>
        <v/>
      </c>
      <c r="AA19" s="29" t="str">
        <f>IF('12 - Device_Configuration'!Q19="","",'12 - Device_Configuration'!Q19)</f>
        <v/>
      </c>
    </row>
    <row r="20" spans="1:27" ht="45.75" customHeight="1">
      <c r="A20" s="30"/>
      <c r="B20" s="30"/>
      <c r="C20" s="29" t="str">
        <f>IF('12 - Device_Configuration'!H20="","",'12 - Device_Configuration'!H20)</f>
        <v>LIJ SDF</v>
      </c>
      <c r="D20" s="29" t="str">
        <f>IF('12 - Device_Configuration'!AE20="","",'12 - Device_Configuration'!AE20)</f>
        <v>Ground Level/Dialysis</v>
      </c>
      <c r="E20" s="29" t="str">
        <f>IF('12 - Device_Configuration'!AF20="","",'12 - Device_Configuration'!AF20)</f>
        <v>Open Patient Area</v>
      </c>
      <c r="F20" s="29">
        <f>IF('12 - Device_Configuration'!AG20="","",'12 - Device_Configuration'!AG20)</f>
        <v>19</v>
      </c>
      <c r="G20" s="29" t="str">
        <f>IF('12 - Device_Configuration'!AH20="","",'12 - Device_Configuration'!AH20)</f>
        <v>BSM 041 A</v>
      </c>
      <c r="H20" s="29" t="str">
        <f>IF('12 - Device_Configuration'!A20="","",'12 - Device_Configuration'!A20)</f>
        <v>Neuron</v>
      </c>
      <c r="I20" s="29" t="str">
        <f>IF('12 - Device_Configuration'!AI20="","",'12 - Device_Configuration'!AI20)</f>
        <v>Fresenius BlueStar</v>
      </c>
      <c r="J20" s="29" t="str">
        <f>IF('12 - Device_Configuration'!AJ20="","",'12 - Device_Configuration'!AJ20)</f>
        <v>2008T</v>
      </c>
      <c r="K20" s="29" t="str">
        <f>IF('12 - Device_Configuration'!AA20="","",'12 - Device_Configuration'!AA20)</f>
        <v>Dialysis Machine</v>
      </c>
      <c r="L20" s="29" t="str">
        <f>IF('12 - Device_Configuration'!I20="","",'12 - Device_Configuration'!I20)</f>
        <v/>
      </c>
      <c r="M20" s="30"/>
      <c r="N20" s="29" t="str">
        <f>IF('12 - Device_Configuration'!J20="","",'12 - Device_Configuration'!J20)</f>
        <v>NA</v>
      </c>
      <c r="O20" s="29" t="str">
        <f>IF('12 - Device_Configuration'!K20="","",'12 - Device_Configuration'!K20)</f>
        <v>NA</v>
      </c>
      <c r="P20" s="29" t="str">
        <f>IF('12 - Device_Configuration'!L20="","",'12 - Device_Configuration'!L20)</f>
        <v>NA</v>
      </c>
      <c r="Q20" s="30"/>
      <c r="R20" s="29" t="str">
        <f>IF('12 - Device_Configuration'!AY20="","",'12 - Device_Configuration'!AY20)</f>
        <v/>
      </c>
      <c r="S20" s="29" t="str">
        <f>IF('12 - Device_Configuration'!AX20="","",'12 - Device_Configuration'!AX20)</f>
        <v/>
      </c>
      <c r="T20" s="29" t="str">
        <f>IF('12 - Device_Configuration'!AV20="","",'12 - Device_Configuration'!AV20)</f>
        <v/>
      </c>
      <c r="U20" s="29" t="str">
        <f>IF('12 - Device_Configuration'!AW20="","",'12 - Device_Configuration'!AW20)</f>
        <v/>
      </c>
      <c r="V20" s="29" t="str">
        <f>IF('12 - Device_Configuration'!BA20="","",'12 - Device_Configuration'!BA20)</f>
        <v>Yes</v>
      </c>
      <c r="W20" s="29" t="str">
        <f>IF('12 - Device_Configuration'!BC20="","",'12 - Device_Configuration'!BC20)</f>
        <v>Firmware Installed</v>
      </c>
      <c r="X20" s="29" t="str">
        <f>IF('12 - Device_Configuration'!BK20="","",'12 - Device_Configuration'!BK20)</f>
        <v>Power Cable, Battery, Epic Beans Relay</v>
      </c>
      <c r="Y20" s="29" t="str">
        <f>IF('12 - Device_Configuration'!BB20="","",'12 - Device_Configuration'!BB20)</f>
        <v/>
      </c>
      <c r="Z20" s="29" t="str">
        <f>IF('12 - Device_Configuration'!P20="","",'12 - Device_Configuration'!P20)</f>
        <v/>
      </c>
      <c r="AA20" s="29" t="str">
        <f>IF('12 - Device_Configuration'!Q20="","",'12 - Device_Configuration'!Q20)</f>
        <v/>
      </c>
    </row>
    <row r="21" spans="1:27" ht="45.75" customHeight="1">
      <c r="A21" s="30"/>
      <c r="B21" s="30"/>
      <c r="C21" s="29" t="str">
        <f>IF('12 - Device_Configuration'!H21="","",'12 - Device_Configuration'!H21)</f>
        <v>LIJ SDF</v>
      </c>
      <c r="D21" s="29" t="str">
        <f>IF('12 - Device_Configuration'!AE21="","",'12 - Device_Configuration'!AE21)</f>
        <v>Ground Level/Dialysis</v>
      </c>
      <c r="E21" s="29" t="str">
        <f>IF('12 - Device_Configuration'!AF21="","",'12 - Device_Configuration'!AF21)</f>
        <v>Open Patient Area</v>
      </c>
      <c r="F21" s="29">
        <f>IF('12 - Device_Configuration'!AG21="","",'12 - Device_Configuration'!AG21)</f>
        <v>20</v>
      </c>
      <c r="G21" s="29" t="str">
        <f>IF('12 - Device_Configuration'!AH21="","",'12 - Device_Configuration'!AH21)</f>
        <v>BSM 041 B</v>
      </c>
      <c r="H21" s="29" t="str">
        <f>IF('12 - Device_Configuration'!A21="","",'12 - Device_Configuration'!A21)</f>
        <v>Neuron</v>
      </c>
      <c r="I21" s="29" t="str">
        <f>IF('12 - Device_Configuration'!AI21="","",'12 - Device_Configuration'!AI21)</f>
        <v>Fresenius BlueStar</v>
      </c>
      <c r="J21" s="29" t="str">
        <f>IF('12 - Device_Configuration'!AJ21="","",'12 - Device_Configuration'!AJ21)</f>
        <v>2008T</v>
      </c>
      <c r="K21" s="29" t="str">
        <f>IF('12 - Device_Configuration'!AA21="","",'12 - Device_Configuration'!AA21)</f>
        <v>Dialysis Machine</v>
      </c>
      <c r="L21" s="29" t="str">
        <f>IF('12 - Device_Configuration'!I21="","",'12 - Device_Configuration'!I21)</f>
        <v/>
      </c>
      <c r="M21" s="30"/>
      <c r="N21" s="29" t="str">
        <f>IF('12 - Device_Configuration'!J21="","",'12 - Device_Configuration'!J21)</f>
        <v>NA</v>
      </c>
      <c r="O21" s="29" t="str">
        <f>IF('12 - Device_Configuration'!K21="","",'12 - Device_Configuration'!K21)</f>
        <v>NA</v>
      </c>
      <c r="P21" s="29" t="str">
        <f>IF('12 - Device_Configuration'!L21="","",'12 - Device_Configuration'!L21)</f>
        <v>NA</v>
      </c>
      <c r="Q21" s="30"/>
      <c r="R21" s="29" t="str">
        <f>IF('12 - Device_Configuration'!AY21="","",'12 - Device_Configuration'!AY21)</f>
        <v/>
      </c>
      <c r="S21" s="29" t="str">
        <f>IF('12 - Device_Configuration'!AX21="","",'12 - Device_Configuration'!AX21)</f>
        <v/>
      </c>
      <c r="T21" s="29" t="str">
        <f>IF('12 - Device_Configuration'!AV21="","",'12 - Device_Configuration'!AV21)</f>
        <v/>
      </c>
      <c r="U21" s="29" t="str">
        <f>IF('12 - Device_Configuration'!AW21="","",'12 - Device_Configuration'!AW21)</f>
        <v/>
      </c>
      <c r="V21" s="29" t="str">
        <f>IF('12 - Device_Configuration'!BA21="","",'12 - Device_Configuration'!BA21)</f>
        <v>Yes</v>
      </c>
      <c r="W21" s="29" t="str">
        <f>IF('12 - Device_Configuration'!BC21="","",'12 - Device_Configuration'!BC21)</f>
        <v>Firmware Installed</v>
      </c>
      <c r="X21" s="29" t="str">
        <f>IF('12 - Device_Configuration'!BK21="","",'12 - Device_Configuration'!BK21)</f>
        <v>Power Cable, Battery, Epic Beans Relay</v>
      </c>
      <c r="Y21" s="29" t="str">
        <f>IF('12 - Device_Configuration'!BB21="","",'12 - Device_Configuration'!BB21)</f>
        <v/>
      </c>
      <c r="Z21" s="29" t="str">
        <f>IF('12 - Device_Configuration'!P21="","",'12 - Device_Configuration'!P21)</f>
        <v/>
      </c>
      <c r="AA21" s="29" t="str">
        <f>IF('12 - Device_Configuration'!Q21="","",'12 - Device_Configuration'!Q21)</f>
        <v/>
      </c>
    </row>
    <row r="22" spans="1:27" ht="45.75" customHeight="1">
      <c r="A22" s="30"/>
      <c r="B22" s="30"/>
      <c r="C22" s="29" t="str">
        <f>IF('12 - Device_Configuration'!H22="","",'12 - Device_Configuration'!H22)</f>
        <v>LIJ SDF</v>
      </c>
      <c r="D22" s="29" t="str">
        <f>IF('12 - Device_Configuration'!AE22="","",'12 - Device_Configuration'!AE22)</f>
        <v>Ground Level/Dialysis</v>
      </c>
      <c r="E22" s="29" t="str">
        <f>IF('12 - Device_Configuration'!AF22="","",'12 - Device_Configuration'!AF22)</f>
        <v>Open Patient Area</v>
      </c>
      <c r="F22" s="29">
        <f>IF('12 - Device_Configuration'!AG22="","",'12 - Device_Configuration'!AG22)</f>
        <v>21</v>
      </c>
      <c r="G22" s="29" t="str">
        <f>IF('12 - Device_Configuration'!AH22="","",'12 - Device_Configuration'!AH22)</f>
        <v>042V1</v>
      </c>
      <c r="H22" s="29" t="str">
        <f>IF('12 - Device_Configuration'!A22="","",'12 - Device_Configuration'!A22)</f>
        <v>Neuron</v>
      </c>
      <c r="I22" s="29" t="str">
        <f>IF('12 - Device_Configuration'!AI22="","",'12 - Device_Configuration'!AI22)</f>
        <v>Fresenius BlueStar</v>
      </c>
      <c r="J22" s="29" t="str">
        <f>IF('12 - Device_Configuration'!AJ22="","",'12 - Device_Configuration'!AJ22)</f>
        <v>2008T</v>
      </c>
      <c r="K22" s="29" t="str">
        <f>IF('12 - Device_Configuration'!AA22="","",'12 - Device_Configuration'!AA22)</f>
        <v>Dialysis Machine</v>
      </c>
      <c r="L22" s="29" t="str">
        <f>IF('12 - Device_Configuration'!I22="","",'12 - Device_Configuration'!I22)</f>
        <v/>
      </c>
      <c r="M22" s="30"/>
      <c r="N22" s="29" t="str">
        <f>IF('12 - Device_Configuration'!J22="","",'12 - Device_Configuration'!J22)</f>
        <v>NA</v>
      </c>
      <c r="O22" s="29" t="str">
        <f>IF('12 - Device_Configuration'!K22="","",'12 - Device_Configuration'!K22)</f>
        <v>NA</v>
      </c>
      <c r="P22" s="29" t="str">
        <f>IF('12 - Device_Configuration'!L22="","",'12 - Device_Configuration'!L22)</f>
        <v>NA</v>
      </c>
      <c r="Q22" s="30"/>
      <c r="R22" s="29" t="str">
        <f>IF('12 - Device_Configuration'!AY22="","",'12 - Device_Configuration'!AY22)</f>
        <v/>
      </c>
      <c r="S22" s="29" t="str">
        <f>IF('12 - Device_Configuration'!AX22="","",'12 - Device_Configuration'!AX22)</f>
        <v/>
      </c>
      <c r="T22" s="29" t="str">
        <f>IF('12 - Device_Configuration'!AV22="","",'12 - Device_Configuration'!AV22)</f>
        <v/>
      </c>
      <c r="U22" s="29" t="str">
        <f>IF('12 - Device_Configuration'!AW22="","",'12 - Device_Configuration'!AW22)</f>
        <v/>
      </c>
      <c r="V22" s="29" t="str">
        <f>IF('12 - Device_Configuration'!BA22="","",'12 - Device_Configuration'!BA22)</f>
        <v>Yes</v>
      </c>
      <c r="W22" s="29" t="str">
        <f>IF('12 - Device_Configuration'!BC22="","",'12 - Device_Configuration'!BC22)</f>
        <v>Firmware Installed</v>
      </c>
      <c r="X22" s="29" t="str">
        <f>IF('12 - Device_Configuration'!BK22="","",'12 - Device_Configuration'!BK22)</f>
        <v>Power Cable, Battery, Epic Beans Relay</v>
      </c>
      <c r="Y22" s="29" t="str">
        <f>IF('12 - Device_Configuration'!BB22="","",'12 - Device_Configuration'!BB22)</f>
        <v/>
      </c>
      <c r="Z22" s="29" t="str">
        <f>IF('12 - Device_Configuration'!P22="","",'12 - Device_Configuration'!P22)</f>
        <v/>
      </c>
      <c r="AA22" s="29" t="str">
        <f>IF('12 - Device_Configuration'!Q22="","",'12 - Device_Configuration'!Q22)</f>
        <v/>
      </c>
    </row>
    <row r="23" spans="1:27" ht="45.75" customHeight="1">
      <c r="A23" s="30"/>
      <c r="B23" s="30"/>
      <c r="C23" s="29" t="str">
        <f>IF('12 - Device_Configuration'!H23="","",'12 - Device_Configuration'!H23)</f>
        <v>LIJ SDF</v>
      </c>
      <c r="D23" s="29" t="str">
        <f>IF('12 - Device_Configuration'!AE23="","",'12 - Device_Configuration'!AE23)</f>
        <v>Ground Level/Dialysis</v>
      </c>
      <c r="E23" s="29" t="str">
        <f>IF('12 - Device_Configuration'!AF23="","",'12 - Device_Configuration'!AF23)</f>
        <v>Open Patient Area</v>
      </c>
      <c r="F23" s="29">
        <f>IF('12 - Device_Configuration'!AG23="","",'12 - Device_Configuration'!AG23)</f>
        <v>22</v>
      </c>
      <c r="G23" s="29" t="str">
        <f>IF('12 - Device_Configuration'!AH23="","",'12 - Device_Configuration'!AH23)</f>
        <v>042V2</v>
      </c>
      <c r="H23" s="29" t="str">
        <f>IF('12 - Device_Configuration'!A23="","",'12 - Device_Configuration'!A23)</f>
        <v>Neuron</v>
      </c>
      <c r="I23" s="29" t="str">
        <f>IF('12 - Device_Configuration'!AI23="","",'12 - Device_Configuration'!AI23)</f>
        <v>Fresenius BlueStar</v>
      </c>
      <c r="J23" s="29" t="str">
        <f>IF('12 - Device_Configuration'!AJ23="","",'12 - Device_Configuration'!AJ23)</f>
        <v>2008T</v>
      </c>
      <c r="K23" s="29" t="str">
        <f>IF('12 - Device_Configuration'!AA23="","",'12 - Device_Configuration'!AA23)</f>
        <v>Dialysis Machine</v>
      </c>
      <c r="L23" s="29" t="str">
        <f>IF('12 - Device_Configuration'!I23="","",'12 - Device_Configuration'!I23)</f>
        <v/>
      </c>
      <c r="M23" s="30"/>
      <c r="N23" s="29" t="str">
        <f>IF('12 - Device_Configuration'!J23="","",'12 - Device_Configuration'!J23)</f>
        <v>NA</v>
      </c>
      <c r="O23" s="29" t="str">
        <f>IF('12 - Device_Configuration'!K23="","",'12 - Device_Configuration'!K23)</f>
        <v>NA</v>
      </c>
      <c r="P23" s="29" t="str">
        <f>IF('12 - Device_Configuration'!L23="","",'12 - Device_Configuration'!L23)</f>
        <v>NA</v>
      </c>
      <c r="Q23" s="30"/>
      <c r="R23" s="29" t="str">
        <f>IF('12 - Device_Configuration'!AY23="","",'12 - Device_Configuration'!AY23)</f>
        <v/>
      </c>
      <c r="S23" s="29" t="str">
        <f>IF('12 - Device_Configuration'!AX23="","",'12 - Device_Configuration'!AX23)</f>
        <v/>
      </c>
      <c r="T23" s="29" t="str">
        <f>IF('12 - Device_Configuration'!AV23="","",'12 - Device_Configuration'!AV23)</f>
        <v/>
      </c>
      <c r="U23" s="29" t="str">
        <f>IF('12 - Device_Configuration'!AW23="","",'12 - Device_Configuration'!AW23)</f>
        <v/>
      </c>
      <c r="V23" s="29" t="str">
        <f>IF('12 - Device_Configuration'!BA23="","",'12 - Device_Configuration'!BA23)</f>
        <v>Yes</v>
      </c>
      <c r="W23" s="29" t="str">
        <f>IF('12 - Device_Configuration'!BC23="","",'12 - Device_Configuration'!BC23)</f>
        <v>Firmware Installed</v>
      </c>
      <c r="X23" s="29" t="str">
        <f>IF('12 - Device_Configuration'!BK23="","",'12 - Device_Configuration'!BK23)</f>
        <v>Power Cable, Battery, Epic Beans Relay</v>
      </c>
      <c r="Y23" s="29" t="str">
        <f>IF('12 - Device_Configuration'!BB23="","",'12 - Device_Configuration'!BB23)</f>
        <v/>
      </c>
      <c r="Z23" s="29" t="str">
        <f>IF('12 - Device_Configuration'!P23="","",'12 - Device_Configuration'!P23)</f>
        <v/>
      </c>
      <c r="AA23" s="29" t="str">
        <f>IF('12 - Device_Configuration'!Q23="","",'12 - Device_Configuration'!Q23)</f>
        <v/>
      </c>
    </row>
    <row r="24" spans="1:27" ht="45.75" customHeight="1">
      <c r="A24" s="30"/>
      <c r="B24" s="30"/>
      <c r="C24" s="29" t="str">
        <f>IF('12 - Device_Configuration'!H24="","",'12 - Device_Configuration'!H24)</f>
        <v>LIJ SDF</v>
      </c>
      <c r="D24" s="29" t="str">
        <f>IF('12 - Device_Configuration'!AE24="","",'12 - Device_Configuration'!AE24)</f>
        <v>Ground Level/Dialysis</v>
      </c>
      <c r="E24" s="29" t="str">
        <f>IF('12 - Device_Configuration'!AF24="","",'12 - Device_Configuration'!AF24)</f>
        <v>Open Patient Area</v>
      </c>
      <c r="F24" s="29">
        <f>IF('12 - Device_Configuration'!AG24="","",'12 - Device_Configuration'!AG24)</f>
        <v>23</v>
      </c>
      <c r="G24" s="29" t="str">
        <f>IF('12 - Device_Configuration'!AH24="","",'12 - Device_Configuration'!AH24)</f>
        <v>BSM 045D</v>
      </c>
      <c r="H24" s="29" t="str">
        <f>IF('12 - Device_Configuration'!A24="","",'12 - Device_Configuration'!A24)</f>
        <v>Neuron</v>
      </c>
      <c r="I24" s="29" t="str">
        <f>IF('12 - Device_Configuration'!AI24="","",'12 - Device_Configuration'!AI24)</f>
        <v>Fresenius BlueStar</v>
      </c>
      <c r="J24" s="29" t="str">
        <f>IF('12 - Device_Configuration'!AJ24="","",'12 - Device_Configuration'!AJ24)</f>
        <v>2008T</v>
      </c>
      <c r="K24" s="29" t="str">
        <f>IF('12 - Device_Configuration'!AA24="","",'12 - Device_Configuration'!AA24)</f>
        <v>Dialysis Machine</v>
      </c>
      <c r="L24" s="29" t="str">
        <f>IF('12 - Device_Configuration'!I24="","",'12 - Device_Configuration'!I24)</f>
        <v/>
      </c>
      <c r="M24" s="30"/>
      <c r="N24" s="29" t="str">
        <f>IF('12 - Device_Configuration'!J24="","",'12 - Device_Configuration'!J24)</f>
        <v>NA</v>
      </c>
      <c r="O24" s="29" t="str">
        <f>IF('12 - Device_Configuration'!K24="","",'12 - Device_Configuration'!K24)</f>
        <v>NA</v>
      </c>
      <c r="P24" s="29" t="str">
        <f>IF('12 - Device_Configuration'!L24="","",'12 - Device_Configuration'!L24)</f>
        <v>NA</v>
      </c>
      <c r="Q24" s="30"/>
      <c r="R24" s="29" t="str">
        <f>IF('12 - Device_Configuration'!AY24="","",'12 - Device_Configuration'!AY24)</f>
        <v/>
      </c>
      <c r="S24" s="29" t="str">
        <f>IF('12 - Device_Configuration'!AX24="","",'12 - Device_Configuration'!AX24)</f>
        <v/>
      </c>
      <c r="T24" s="29" t="str">
        <f>IF('12 - Device_Configuration'!AV24="","",'12 - Device_Configuration'!AV24)</f>
        <v/>
      </c>
      <c r="U24" s="29" t="str">
        <f>IF('12 - Device_Configuration'!AW24="","",'12 - Device_Configuration'!AW24)</f>
        <v/>
      </c>
      <c r="V24" s="29" t="str">
        <f>IF('12 - Device_Configuration'!BA24="","",'12 - Device_Configuration'!BA24)</f>
        <v>Yes</v>
      </c>
      <c r="W24" s="29" t="str">
        <f>IF('12 - Device_Configuration'!BC24="","",'12 - Device_Configuration'!BC24)</f>
        <v>Firmware Installed</v>
      </c>
      <c r="X24" s="29" t="str">
        <f>IF('12 - Device_Configuration'!BK24="","",'12 - Device_Configuration'!BK24)</f>
        <v>Power Cable, Battery, Epic Beans Relay</v>
      </c>
      <c r="Y24" s="29" t="str">
        <f>IF('12 - Device_Configuration'!BB24="","",'12 - Device_Configuration'!BB24)</f>
        <v/>
      </c>
      <c r="Z24" s="29" t="str">
        <f>IF('12 - Device_Configuration'!P24="","",'12 - Device_Configuration'!P24)</f>
        <v/>
      </c>
      <c r="AA24" s="29" t="str">
        <f>IF('12 - Device_Configuration'!Q24="","",'12 - Device_Configuration'!Q24)</f>
        <v/>
      </c>
    </row>
    <row r="25" spans="1:27" ht="45.75" customHeight="1">
      <c r="A25" s="30"/>
      <c r="B25" s="30"/>
      <c r="C25" s="29" t="str">
        <f>IF('12 - Device_Configuration'!H25="","",'12 - Device_Configuration'!H25)</f>
        <v>LIJ SDF</v>
      </c>
      <c r="D25" s="29" t="str">
        <f>IF('12 - Device_Configuration'!AE25="","",'12 - Device_Configuration'!AE25)</f>
        <v>Ground Level/Dialysis</v>
      </c>
      <c r="E25" s="29" t="str">
        <f>IF('12 - Device_Configuration'!AF25="","",'12 - Device_Configuration'!AF25)</f>
        <v>Open Patient Area</v>
      </c>
      <c r="F25" s="29">
        <f>IF('12 - Device_Configuration'!AG25="","",'12 - Device_Configuration'!AG25)</f>
        <v>24</v>
      </c>
      <c r="G25" s="29" t="str">
        <f>IF('12 - Device_Configuration'!AH25="","",'12 - Device_Configuration'!AH25)</f>
        <v>BSM 046 C</v>
      </c>
      <c r="H25" s="29" t="str">
        <f>IF('12 - Device_Configuration'!A25="","",'12 - Device_Configuration'!A25)</f>
        <v>Neuron</v>
      </c>
      <c r="I25" s="29" t="str">
        <f>IF('12 - Device_Configuration'!AI25="","",'12 - Device_Configuration'!AI25)</f>
        <v>Fresenius BlueStar</v>
      </c>
      <c r="J25" s="29" t="str">
        <f>IF('12 - Device_Configuration'!AJ25="","",'12 - Device_Configuration'!AJ25)</f>
        <v>2008T</v>
      </c>
      <c r="K25" s="29" t="str">
        <f>IF('12 - Device_Configuration'!AA25="","",'12 - Device_Configuration'!AA25)</f>
        <v>Dialysis Machine</v>
      </c>
      <c r="L25" s="29" t="str">
        <f>IF('12 - Device_Configuration'!I25="","",'12 - Device_Configuration'!I25)</f>
        <v/>
      </c>
      <c r="M25" s="30"/>
      <c r="N25" s="29" t="str">
        <f>IF('12 - Device_Configuration'!J25="","",'12 - Device_Configuration'!J25)</f>
        <v>NA</v>
      </c>
      <c r="O25" s="29" t="str">
        <f>IF('12 - Device_Configuration'!K25="","",'12 - Device_Configuration'!K25)</f>
        <v>NA</v>
      </c>
      <c r="P25" s="29" t="str">
        <f>IF('12 - Device_Configuration'!L25="","",'12 - Device_Configuration'!L25)</f>
        <v>NA</v>
      </c>
      <c r="Q25" s="30"/>
      <c r="R25" s="29" t="str">
        <f>IF('12 - Device_Configuration'!AY25="","",'12 - Device_Configuration'!AY25)</f>
        <v/>
      </c>
      <c r="S25" s="29" t="str">
        <f>IF('12 - Device_Configuration'!AX25="","",'12 - Device_Configuration'!AX25)</f>
        <v/>
      </c>
      <c r="T25" s="29" t="str">
        <f>IF('12 - Device_Configuration'!AV25="","",'12 - Device_Configuration'!AV25)</f>
        <v/>
      </c>
      <c r="U25" s="29" t="str">
        <f>IF('12 - Device_Configuration'!AW25="","",'12 - Device_Configuration'!AW25)</f>
        <v/>
      </c>
      <c r="V25" s="29" t="str">
        <f>IF('12 - Device_Configuration'!BA25="","",'12 - Device_Configuration'!BA25)</f>
        <v>Yes</v>
      </c>
      <c r="W25" s="29" t="str">
        <f>IF('12 - Device_Configuration'!BC25="","",'12 - Device_Configuration'!BC25)</f>
        <v>Firmware Installed</v>
      </c>
      <c r="X25" s="29" t="str">
        <f>IF('12 - Device_Configuration'!BK25="","",'12 - Device_Configuration'!BK25)</f>
        <v>Power Cable, Battery, Epic Beans Relay</v>
      </c>
      <c r="Y25" s="29" t="str">
        <f>IF('12 - Device_Configuration'!BB25="","",'12 - Device_Configuration'!BB25)</f>
        <v/>
      </c>
      <c r="Z25" s="29" t="str">
        <f>IF('12 - Device_Configuration'!P25="","",'12 - Device_Configuration'!P25)</f>
        <v/>
      </c>
      <c r="AA25" s="29" t="str">
        <f>IF('12 - Device_Configuration'!Q25="","",'12 - Device_Configuration'!Q25)</f>
        <v/>
      </c>
    </row>
    <row r="26" spans="1:27" ht="45.75" customHeight="1">
      <c r="A26" s="30"/>
      <c r="B26" s="30"/>
      <c r="C26" s="29" t="str">
        <f>IF('12 - Device_Configuration'!H26="","",'12 - Device_Configuration'!H26)</f>
        <v>LIJ SDF</v>
      </c>
      <c r="D26" s="29" t="str">
        <f>IF('12 - Device_Configuration'!AE26="","",'12 - Device_Configuration'!AE26)</f>
        <v>Ground Level/Dialysis</v>
      </c>
      <c r="E26" s="29" t="str">
        <f>IF('12 - Device_Configuration'!AF26="","",'12 - Device_Configuration'!AF26)</f>
        <v>Open Patient Area</v>
      </c>
      <c r="F26" s="29">
        <f>IF('12 - Device_Configuration'!AG26="","",'12 - Device_Configuration'!AG26)</f>
        <v>25</v>
      </c>
      <c r="G26" s="29" t="str">
        <f>IF('12 - Device_Configuration'!AH26="","",'12 - Device_Configuration'!AH26)</f>
        <v>BSM 046D</v>
      </c>
      <c r="H26" s="29" t="str">
        <f>IF('12 - Device_Configuration'!A26="","",'12 - Device_Configuration'!A26)</f>
        <v>Neuron</v>
      </c>
      <c r="I26" s="29" t="str">
        <f>IF('12 - Device_Configuration'!AI26="","",'12 - Device_Configuration'!AI26)</f>
        <v>Fresenius BlueStar</v>
      </c>
      <c r="J26" s="29" t="str">
        <f>IF('12 - Device_Configuration'!AJ26="","",'12 - Device_Configuration'!AJ26)</f>
        <v>2008T</v>
      </c>
      <c r="K26" s="29" t="str">
        <f>IF('12 - Device_Configuration'!AA26="","",'12 - Device_Configuration'!AA26)</f>
        <v>Dialysis Machine</v>
      </c>
      <c r="L26" s="29" t="str">
        <f>IF('12 - Device_Configuration'!I26="","",'12 - Device_Configuration'!I26)</f>
        <v/>
      </c>
      <c r="M26" s="30"/>
      <c r="N26" s="29" t="str">
        <f>IF('12 - Device_Configuration'!J26="","",'12 - Device_Configuration'!J26)</f>
        <v>NA</v>
      </c>
      <c r="O26" s="29" t="str">
        <f>IF('12 - Device_Configuration'!K26="","",'12 - Device_Configuration'!K26)</f>
        <v>NA</v>
      </c>
      <c r="P26" s="29" t="str">
        <f>IF('12 - Device_Configuration'!L26="","",'12 - Device_Configuration'!L26)</f>
        <v>NA</v>
      </c>
      <c r="Q26" s="30"/>
      <c r="R26" s="29" t="str">
        <f>IF('12 - Device_Configuration'!AY26="","",'12 - Device_Configuration'!AY26)</f>
        <v/>
      </c>
      <c r="S26" s="29" t="str">
        <f>IF('12 - Device_Configuration'!AX26="","",'12 - Device_Configuration'!AX26)</f>
        <v/>
      </c>
      <c r="T26" s="29" t="str">
        <f>IF('12 - Device_Configuration'!AV26="","",'12 - Device_Configuration'!AV26)</f>
        <v/>
      </c>
      <c r="U26" s="29" t="str">
        <f>IF('12 - Device_Configuration'!AW26="","",'12 - Device_Configuration'!AW26)</f>
        <v/>
      </c>
      <c r="V26" s="29" t="str">
        <f>IF('12 - Device_Configuration'!BA26="","",'12 - Device_Configuration'!BA26)</f>
        <v>Yes</v>
      </c>
      <c r="W26" s="29" t="str">
        <f>IF('12 - Device_Configuration'!BC26="","",'12 - Device_Configuration'!BC26)</f>
        <v>Firmware Installed</v>
      </c>
      <c r="X26" s="29" t="str">
        <f>IF('12 - Device_Configuration'!BK26="","",'12 - Device_Configuration'!BK26)</f>
        <v>Power Cable, Battery, Epic Beans Relay</v>
      </c>
      <c r="Y26" s="29" t="str">
        <f>IF('12 - Device_Configuration'!BB26="","",'12 - Device_Configuration'!BB26)</f>
        <v/>
      </c>
      <c r="Z26" s="29" t="str">
        <f>IF('12 - Device_Configuration'!P26="","",'12 - Device_Configuration'!P26)</f>
        <v/>
      </c>
      <c r="AA26" s="29" t="str">
        <f>IF('12 - Device_Configuration'!Q26="","",'12 - Device_Configuration'!Q26)</f>
        <v/>
      </c>
    </row>
    <row r="27" spans="1:27">
      <c r="A27" s="30"/>
      <c r="B27" s="30"/>
      <c r="C27" s="29" t="str">
        <f>IF('12 - Device_Configuration'!H27="","",'12 - Device_Configuration'!H27)</f>
        <v>LIJ SDF</v>
      </c>
      <c r="D27" s="29" t="str">
        <f>IF('12 - Device_Configuration'!AE27="","",'12 - Device_Configuration'!AE27)</f>
        <v/>
      </c>
      <c r="E27" s="29" t="str">
        <f>IF('12 - Device_Configuration'!AF27="","",'12 - Device_Configuration'!AF27)</f>
        <v/>
      </c>
      <c r="F27" s="29" t="str">
        <f>IF('12 - Device_Configuration'!AG27="","",'12 - Device_Configuration'!AG27)</f>
        <v/>
      </c>
      <c r="G27" s="29" t="str">
        <f>IF('12 - Device_Configuration'!AH27="","",'12 - Device_Configuration'!AH27)</f>
        <v/>
      </c>
      <c r="H27" s="29" t="str">
        <f>IF('12 - Device_Configuration'!A27="","",'12 - Device_Configuration'!A27)</f>
        <v>Neuron</v>
      </c>
      <c r="I27" s="29" t="str">
        <f>IF('12 - Device_Configuration'!AI27="","",'12 - Device_Configuration'!AI27)</f>
        <v/>
      </c>
      <c r="J27" s="29" t="str">
        <f>IF('12 - Device_Configuration'!AJ27="","",'12 - Device_Configuration'!AJ27)</f>
        <v/>
      </c>
      <c r="K27" s="29" t="str">
        <f>IF('12 - Device_Configuration'!AA27="","",'12 - Device_Configuration'!AA27)</f>
        <v>Dialysis Machine</v>
      </c>
      <c r="L27" s="29" t="str">
        <f>IF('12 - Device_Configuration'!I27="","",'12 - Device_Configuration'!I27)</f>
        <v/>
      </c>
      <c r="M27" s="30"/>
      <c r="N27" s="29" t="str">
        <f>IF('12 - Device_Configuration'!J27="","",'12 - Device_Configuration'!J27)</f>
        <v>NA</v>
      </c>
      <c r="O27" s="29" t="str">
        <f>IF('12 - Device_Configuration'!K27="","",'12 - Device_Configuration'!K27)</f>
        <v>NA</v>
      </c>
      <c r="P27" s="29" t="str">
        <f>IF('12 - Device_Configuration'!L27="","",'12 - Device_Configuration'!L27)</f>
        <v>NA</v>
      </c>
      <c r="Q27" s="30"/>
      <c r="R27" s="29" t="str">
        <f>IF('12 - Device_Configuration'!AY27="","",'12 - Device_Configuration'!AY27)</f>
        <v/>
      </c>
      <c r="S27" s="29" t="str">
        <f>IF('12 - Device_Configuration'!AX27="","",'12 - Device_Configuration'!AX27)</f>
        <v/>
      </c>
      <c r="T27" s="29" t="str">
        <f>IF('12 - Device_Configuration'!AV27="","",'12 - Device_Configuration'!AV27)</f>
        <v/>
      </c>
      <c r="U27" s="29" t="str">
        <f>IF('12 - Device_Configuration'!AW27="","",'12 - Device_Configuration'!AW27)</f>
        <v/>
      </c>
      <c r="V27" s="29" t="str">
        <f>IF('12 - Device_Configuration'!BA27="","",'12 - Device_Configuration'!BA27)</f>
        <v>Yes</v>
      </c>
      <c r="W27" s="29" t="str">
        <f>IF('12 - Device_Configuration'!BC27="","",'12 - Device_Configuration'!BC27)</f>
        <v>Firmware Installed</v>
      </c>
      <c r="X27" s="29" t="str">
        <f>IF('12 - Device_Configuration'!BK27="","",'12 - Device_Configuration'!BK27)</f>
        <v>Power Cable, Battery, Epic Beans Relay</v>
      </c>
      <c r="Y27" s="29" t="str">
        <f>IF('12 - Device_Configuration'!BB27="","",'12 - Device_Configuration'!BB27)</f>
        <v/>
      </c>
      <c r="Z27" s="29" t="str">
        <f>IF('12 - Device_Configuration'!P27="","",'12 - Device_Configuration'!P27)</f>
        <v/>
      </c>
      <c r="AA27" s="29" t="str">
        <f>IF('12 - Device_Configuration'!Q27="","",'12 - Device_Configuration'!Q27)</f>
        <v/>
      </c>
    </row>
    <row r="28" spans="1:27">
      <c r="A28" s="30"/>
      <c r="B28" s="30"/>
      <c r="C28" s="29" t="str">
        <f>IF('12 - Device_Configuration'!H28="","",'12 - Device_Configuration'!H28)</f>
        <v>LIJ SDF</v>
      </c>
      <c r="D28" s="29" t="str">
        <f>IF('12 - Device_Configuration'!AE28="","",'12 - Device_Configuration'!AE28)</f>
        <v/>
      </c>
      <c r="E28" s="29" t="str">
        <f>IF('12 - Device_Configuration'!AF28="","",'12 - Device_Configuration'!AF28)</f>
        <v/>
      </c>
      <c r="F28" s="29" t="str">
        <f>IF('12 - Device_Configuration'!AG28="","",'12 - Device_Configuration'!AG28)</f>
        <v/>
      </c>
      <c r="G28" s="29" t="str">
        <f>IF('12 - Device_Configuration'!AH28="","",'12 - Device_Configuration'!AH28)</f>
        <v/>
      </c>
      <c r="H28" s="29" t="str">
        <f>IF('12 - Device_Configuration'!A28="","",'12 - Device_Configuration'!A28)</f>
        <v>Neuron</v>
      </c>
      <c r="I28" s="29" t="str">
        <f>IF('12 - Device_Configuration'!AI28="","",'12 - Device_Configuration'!AI28)</f>
        <v/>
      </c>
      <c r="J28" s="29" t="str">
        <f>IF('12 - Device_Configuration'!AJ28="","",'12 - Device_Configuration'!AJ28)</f>
        <v/>
      </c>
      <c r="K28" s="29" t="str">
        <f>IF('12 - Device_Configuration'!AA28="","",'12 - Device_Configuration'!AA28)</f>
        <v>Dialysis Machine</v>
      </c>
      <c r="L28" s="29" t="str">
        <f>IF('12 - Device_Configuration'!I28="","",'12 - Device_Configuration'!I28)</f>
        <v/>
      </c>
      <c r="M28" s="30"/>
      <c r="N28" s="29" t="str">
        <f>IF('12 - Device_Configuration'!J28="","",'12 - Device_Configuration'!J28)</f>
        <v>NA</v>
      </c>
      <c r="O28" s="29" t="str">
        <f>IF('12 - Device_Configuration'!K28="","",'12 - Device_Configuration'!K28)</f>
        <v>NA</v>
      </c>
      <c r="P28" s="29" t="str">
        <f>IF('12 - Device_Configuration'!L28="","",'12 - Device_Configuration'!L28)</f>
        <v>NA</v>
      </c>
      <c r="Q28" s="30"/>
      <c r="R28" s="29" t="str">
        <f>IF('12 - Device_Configuration'!AY28="","",'12 - Device_Configuration'!AY28)</f>
        <v/>
      </c>
      <c r="S28" s="29" t="str">
        <f>IF('12 - Device_Configuration'!AX28="","",'12 - Device_Configuration'!AX28)</f>
        <v/>
      </c>
      <c r="T28" s="29" t="str">
        <f>IF('12 - Device_Configuration'!AV28="","",'12 - Device_Configuration'!AV28)</f>
        <v/>
      </c>
      <c r="U28" s="29" t="str">
        <f>IF('12 - Device_Configuration'!AW28="","",'12 - Device_Configuration'!AW28)</f>
        <v/>
      </c>
      <c r="V28" s="29" t="str">
        <f>IF('12 - Device_Configuration'!BA28="","",'12 - Device_Configuration'!BA28)</f>
        <v>Yes</v>
      </c>
      <c r="W28" s="29" t="str">
        <f>IF('12 - Device_Configuration'!BC28="","",'12 - Device_Configuration'!BC28)</f>
        <v>Firmware Installed</v>
      </c>
      <c r="X28" s="29" t="str">
        <f>IF('12 - Device_Configuration'!BK28="","",'12 - Device_Configuration'!BK28)</f>
        <v>Power Cable, Battery, Epic Beans Relay</v>
      </c>
      <c r="Y28" s="29" t="str">
        <f>IF('12 - Device_Configuration'!BB28="","",'12 - Device_Configuration'!BB28)</f>
        <v/>
      </c>
      <c r="Z28" s="29" t="str">
        <f>IF('12 - Device_Configuration'!P28="","",'12 - Device_Configuration'!P28)</f>
        <v/>
      </c>
      <c r="AA28" s="29" t="str">
        <f>IF('12 - Device_Configuration'!Q28="","",'12 - Device_Configuration'!Q28)</f>
        <v/>
      </c>
    </row>
    <row r="29" spans="1:27">
      <c r="A29" s="30"/>
      <c r="B29" s="30"/>
      <c r="C29" s="29" t="str">
        <f>IF('12 - Device_Configuration'!H29="","",'12 - Device_Configuration'!H29)</f>
        <v>LIJ SDF</v>
      </c>
      <c r="D29" s="29" t="str">
        <f>IF('12 - Device_Configuration'!AE29="","",'12 - Device_Configuration'!AE29)</f>
        <v/>
      </c>
      <c r="E29" s="29" t="str">
        <f>IF('12 - Device_Configuration'!AF29="","",'12 - Device_Configuration'!AF29)</f>
        <v/>
      </c>
      <c r="F29" s="29" t="str">
        <f>IF('12 - Device_Configuration'!AG29="","",'12 - Device_Configuration'!AG29)</f>
        <v/>
      </c>
      <c r="G29" s="29" t="str">
        <f>IF('12 - Device_Configuration'!AH29="","",'12 - Device_Configuration'!AH29)</f>
        <v/>
      </c>
      <c r="H29" s="29" t="str">
        <f>IF('12 - Device_Configuration'!A29="","",'12 - Device_Configuration'!A29)</f>
        <v>Neuron</v>
      </c>
      <c r="I29" s="29" t="str">
        <f>IF('12 - Device_Configuration'!AI29="","",'12 - Device_Configuration'!AI29)</f>
        <v/>
      </c>
      <c r="J29" s="29" t="str">
        <f>IF('12 - Device_Configuration'!AJ29="","",'12 - Device_Configuration'!AJ29)</f>
        <v/>
      </c>
      <c r="K29" s="29" t="str">
        <f>IF('12 - Device_Configuration'!AA29="","",'12 - Device_Configuration'!AA29)</f>
        <v>Dialysis Machine</v>
      </c>
      <c r="L29" s="29" t="str">
        <f>IF('12 - Device_Configuration'!I29="","",'12 - Device_Configuration'!I29)</f>
        <v/>
      </c>
      <c r="M29" s="30"/>
      <c r="N29" s="29" t="str">
        <f>IF('12 - Device_Configuration'!J29="","",'12 - Device_Configuration'!J29)</f>
        <v>NA</v>
      </c>
      <c r="O29" s="29" t="str">
        <f>IF('12 - Device_Configuration'!K29="","",'12 - Device_Configuration'!K29)</f>
        <v>NA</v>
      </c>
      <c r="P29" s="29" t="str">
        <f>IF('12 - Device_Configuration'!L29="","",'12 - Device_Configuration'!L29)</f>
        <v>NA</v>
      </c>
      <c r="Q29" s="30"/>
      <c r="R29" s="29" t="str">
        <f>IF('12 - Device_Configuration'!AY29="","",'12 - Device_Configuration'!AY29)</f>
        <v/>
      </c>
      <c r="S29" s="29" t="str">
        <f>IF('12 - Device_Configuration'!AX29="","",'12 - Device_Configuration'!AX29)</f>
        <v/>
      </c>
      <c r="T29" s="29" t="str">
        <f>IF('12 - Device_Configuration'!AV29="","",'12 - Device_Configuration'!AV29)</f>
        <v/>
      </c>
      <c r="U29" s="29" t="str">
        <f>IF('12 - Device_Configuration'!AW29="","",'12 - Device_Configuration'!AW29)</f>
        <v/>
      </c>
      <c r="V29" s="29" t="str">
        <f>IF('12 - Device_Configuration'!BA29="","",'12 - Device_Configuration'!BA29)</f>
        <v>Yes</v>
      </c>
      <c r="W29" s="29" t="str">
        <f>IF('12 - Device_Configuration'!BC29="","",'12 - Device_Configuration'!BC29)</f>
        <v>Firmware Installed</v>
      </c>
      <c r="X29" s="29" t="str">
        <f>IF('12 - Device_Configuration'!BK29="","",'12 - Device_Configuration'!BK29)</f>
        <v>Power Cable, Battery, Epic Beans Relay</v>
      </c>
      <c r="Y29" s="29" t="str">
        <f>IF('12 - Device_Configuration'!BB29="","",'12 - Device_Configuration'!BB29)</f>
        <v/>
      </c>
      <c r="Z29" s="29" t="str">
        <f>IF('12 - Device_Configuration'!P29="","",'12 - Device_Configuration'!P29)</f>
        <v/>
      </c>
      <c r="AA29" s="29" t="str">
        <f>IF('12 - Device_Configuration'!Q29="","",'12 - Device_Configuration'!Q29)</f>
        <v/>
      </c>
    </row>
    <row r="30" spans="1:27">
      <c r="A30" s="30"/>
      <c r="B30" s="30"/>
      <c r="C30" s="29" t="str">
        <f>IF('12 - Device_Configuration'!H30="","",'12 - Device_Configuration'!H30)</f>
        <v>LIJ SDF</v>
      </c>
      <c r="D30" s="29" t="str">
        <f>IF('12 - Device_Configuration'!AE30="","",'12 - Device_Configuration'!AE30)</f>
        <v/>
      </c>
      <c r="E30" s="29" t="str">
        <f>IF('12 - Device_Configuration'!AF30="","",'12 - Device_Configuration'!AF30)</f>
        <v/>
      </c>
      <c r="F30" s="29" t="str">
        <f>IF('12 - Device_Configuration'!AG30="","",'12 - Device_Configuration'!AG30)</f>
        <v/>
      </c>
      <c r="G30" s="29" t="str">
        <f>IF('12 - Device_Configuration'!AH30="","",'12 - Device_Configuration'!AH30)</f>
        <v/>
      </c>
      <c r="H30" s="29" t="str">
        <f>IF('12 - Device_Configuration'!A30="","",'12 - Device_Configuration'!A30)</f>
        <v>Neuron</v>
      </c>
      <c r="I30" s="29" t="str">
        <f>IF('12 - Device_Configuration'!AI30="","",'12 - Device_Configuration'!AI30)</f>
        <v/>
      </c>
      <c r="J30" s="29" t="str">
        <f>IF('12 - Device_Configuration'!AJ30="","",'12 - Device_Configuration'!AJ30)</f>
        <v/>
      </c>
      <c r="K30" s="29" t="str">
        <f>IF('12 - Device_Configuration'!AA30="","",'12 - Device_Configuration'!AA30)</f>
        <v/>
      </c>
      <c r="L30" s="29" t="str">
        <f>IF('12 - Device_Configuration'!I30="","",'12 - Device_Configuration'!I30)</f>
        <v/>
      </c>
      <c r="M30" s="30"/>
      <c r="N30" s="29" t="str">
        <f>IF('12 - Device_Configuration'!J30="","",'12 - Device_Configuration'!J30)</f>
        <v/>
      </c>
      <c r="O30" s="29" t="str">
        <f>IF('12 - Device_Configuration'!K30="","",'12 - Device_Configuration'!K30)</f>
        <v/>
      </c>
      <c r="P30" s="29" t="str">
        <f>IF('12 - Device_Configuration'!L30="","",'12 - Device_Configuration'!L30)</f>
        <v/>
      </c>
      <c r="Q30" s="30"/>
      <c r="R30" s="29" t="str">
        <f>IF('12 - Device_Configuration'!AY30="","",'12 - Device_Configuration'!AY30)</f>
        <v/>
      </c>
      <c r="S30" s="29" t="str">
        <f>IF('12 - Device_Configuration'!AX30="","",'12 - Device_Configuration'!AX30)</f>
        <v/>
      </c>
      <c r="T30" s="29" t="str">
        <f>IF('12 - Device_Configuration'!AV30="","",'12 - Device_Configuration'!AV30)</f>
        <v/>
      </c>
      <c r="U30" s="29" t="str">
        <f>IF('12 - Device_Configuration'!AW30="","",'12 - Device_Configuration'!AW30)</f>
        <v/>
      </c>
      <c r="V30" s="29" t="str">
        <f>IF('12 - Device_Configuration'!BA30="","",'12 - Device_Configuration'!BA30)</f>
        <v>Yes</v>
      </c>
      <c r="W30" s="29" t="str">
        <f>IF('12 - Device_Configuration'!BC30="","",'12 - Device_Configuration'!BC30)</f>
        <v>Firmware Installed</v>
      </c>
      <c r="X30" s="29" t="str">
        <f>IF('12 - Device_Configuration'!BK30="","",'12 - Device_Configuration'!BK30)</f>
        <v>Power Cable, Battery, Epic Beans Relay</v>
      </c>
      <c r="Y30" s="29" t="str">
        <f>IF('12 - Device_Configuration'!BB30="","",'12 - Device_Configuration'!BB30)</f>
        <v>Spare Unit</v>
      </c>
      <c r="Z30" s="29" t="str">
        <f>IF('12 - Device_Configuration'!P30="","",'12 - Device_Configuration'!P30)</f>
        <v/>
      </c>
      <c r="AA30" s="29" t="str">
        <f>IF('12 - Device_Configuration'!Q30="","",'12 - Device_Configuration'!Q30)</f>
        <v/>
      </c>
    </row>
    <row r="31" spans="1:27">
      <c r="A31" s="30"/>
      <c r="B31" s="30"/>
      <c r="C31" s="29" t="str">
        <f>IF('12 - Device_Configuration'!H31="","",'12 - Device_Configuration'!H31)</f>
        <v>LIJ SDF</v>
      </c>
      <c r="D31" s="29" t="str">
        <f>IF('12 - Device_Configuration'!AE31="","",'12 - Device_Configuration'!AE31)</f>
        <v/>
      </c>
      <c r="E31" s="29" t="str">
        <f>IF('12 - Device_Configuration'!AF31="","",'12 - Device_Configuration'!AF31)</f>
        <v/>
      </c>
      <c r="F31" s="29" t="str">
        <f>IF('12 - Device_Configuration'!AG31="","",'12 - Device_Configuration'!AG31)</f>
        <v/>
      </c>
      <c r="G31" s="29" t="str">
        <f>IF('12 - Device_Configuration'!AH31="","",'12 - Device_Configuration'!AH31)</f>
        <v/>
      </c>
      <c r="H31" s="29" t="str">
        <f>IF('12 - Device_Configuration'!A31="","",'12 - Device_Configuration'!A31)</f>
        <v>Neuron</v>
      </c>
      <c r="I31" s="29" t="str">
        <f>IF('12 - Device_Configuration'!AI31="","",'12 - Device_Configuration'!AI31)</f>
        <v/>
      </c>
      <c r="J31" s="29" t="str">
        <f>IF('12 - Device_Configuration'!AJ31="","",'12 - Device_Configuration'!AJ31)</f>
        <v/>
      </c>
      <c r="K31" s="29" t="str">
        <f>IF('12 - Device_Configuration'!AA31="","",'12 - Device_Configuration'!AA31)</f>
        <v/>
      </c>
      <c r="L31" s="29" t="str">
        <f>IF('12 - Device_Configuration'!I31="","",'12 - Device_Configuration'!I31)</f>
        <v/>
      </c>
      <c r="M31" s="30"/>
      <c r="N31" s="29" t="str">
        <f>IF('12 - Device_Configuration'!J31="","",'12 - Device_Configuration'!J31)</f>
        <v/>
      </c>
      <c r="O31" s="29" t="str">
        <f>IF('12 - Device_Configuration'!K31="","",'12 - Device_Configuration'!K31)</f>
        <v/>
      </c>
      <c r="P31" s="29" t="str">
        <f>IF('12 - Device_Configuration'!L31="","",'12 - Device_Configuration'!L31)</f>
        <v/>
      </c>
      <c r="Q31" s="30"/>
      <c r="R31" s="29" t="str">
        <f>IF('12 - Device_Configuration'!AY31="","",'12 - Device_Configuration'!AY31)</f>
        <v/>
      </c>
      <c r="S31" s="29" t="str">
        <f>IF('12 - Device_Configuration'!AX31="","",'12 - Device_Configuration'!AX31)</f>
        <v/>
      </c>
      <c r="T31" s="29" t="str">
        <f>IF('12 - Device_Configuration'!AV31="","",'12 - Device_Configuration'!AV31)</f>
        <v/>
      </c>
      <c r="U31" s="29" t="str">
        <f>IF('12 - Device_Configuration'!AW31="","",'12 - Device_Configuration'!AW31)</f>
        <v/>
      </c>
      <c r="V31" s="29" t="str">
        <f>IF('12 - Device_Configuration'!BA31="","",'12 - Device_Configuration'!BA31)</f>
        <v>Yes</v>
      </c>
      <c r="W31" s="29" t="str">
        <f>IF('12 - Device_Configuration'!BC31="","",'12 - Device_Configuration'!BC31)</f>
        <v>Firmware Installed</v>
      </c>
      <c r="X31" s="29" t="str">
        <f>IF('12 - Device_Configuration'!BK31="","",'12 - Device_Configuration'!BK31)</f>
        <v>Power Cable, Battery, Epic Beans Relay</v>
      </c>
      <c r="Y31" s="29" t="str">
        <f>IF('12 - Device_Configuration'!BB31="","",'12 - Device_Configuration'!BB31)</f>
        <v>Spare Unit</v>
      </c>
      <c r="Z31" s="29" t="str">
        <f>IF('12 - Device_Configuration'!P31="","",'12 - Device_Configuration'!P31)</f>
        <v/>
      </c>
      <c r="AA31" s="29" t="str">
        <f>IF('12 - Device_Configuration'!Q31="","",'12 - Device_Configuration'!Q31)</f>
        <v/>
      </c>
    </row>
    <row r="32" spans="1:27">
      <c r="A32" s="30"/>
      <c r="B32" s="30"/>
      <c r="C32" s="29" t="str">
        <f>IF('12 - Device_Configuration'!H32="","",'12 - Device_Configuration'!H32)</f>
        <v>LIJ SDF</v>
      </c>
      <c r="D32" s="29" t="str">
        <f>IF('12 - Device_Configuration'!AE32="","",'12 - Device_Configuration'!AE32)</f>
        <v/>
      </c>
      <c r="E32" s="29" t="str">
        <f>IF('12 - Device_Configuration'!AF32="","",'12 - Device_Configuration'!AF32)</f>
        <v/>
      </c>
      <c r="F32" s="29" t="str">
        <f>IF('12 - Device_Configuration'!AG32="","",'12 - Device_Configuration'!AG32)</f>
        <v/>
      </c>
      <c r="G32" s="29" t="str">
        <f>IF('12 - Device_Configuration'!AH32="","",'12 - Device_Configuration'!AH32)</f>
        <v/>
      </c>
      <c r="H32" s="29" t="str">
        <f>IF('12 - Device_Configuration'!A32="","",'12 - Device_Configuration'!A32)</f>
        <v>Neuron</v>
      </c>
      <c r="I32" s="29" t="str">
        <f>IF('12 - Device_Configuration'!AI32="","",'12 - Device_Configuration'!AI32)</f>
        <v/>
      </c>
      <c r="J32" s="29" t="str">
        <f>IF('12 - Device_Configuration'!AJ32="","",'12 - Device_Configuration'!AJ32)</f>
        <v/>
      </c>
      <c r="K32" s="29" t="str">
        <f>IF('12 - Device_Configuration'!AA32="","",'12 - Device_Configuration'!AA32)</f>
        <v/>
      </c>
      <c r="L32" s="29" t="str">
        <f>IF('12 - Device_Configuration'!I32="","",'12 - Device_Configuration'!I32)</f>
        <v/>
      </c>
      <c r="M32" s="30"/>
      <c r="N32" s="29" t="str">
        <f>IF('12 - Device_Configuration'!J32="","",'12 - Device_Configuration'!J32)</f>
        <v/>
      </c>
      <c r="O32" s="29" t="str">
        <f>IF('12 - Device_Configuration'!K32="","",'12 - Device_Configuration'!K32)</f>
        <v/>
      </c>
      <c r="P32" s="29" t="str">
        <f>IF('12 - Device_Configuration'!L32="","",'12 - Device_Configuration'!L32)</f>
        <v/>
      </c>
      <c r="Q32" s="30"/>
      <c r="R32" s="29" t="str">
        <f>IF('12 - Device_Configuration'!AY32="","",'12 - Device_Configuration'!AY32)</f>
        <v/>
      </c>
      <c r="S32" s="29" t="str">
        <f>IF('12 - Device_Configuration'!AX32="","",'12 - Device_Configuration'!AX32)</f>
        <v/>
      </c>
      <c r="T32" s="29" t="str">
        <f>IF('12 - Device_Configuration'!AV32="","",'12 - Device_Configuration'!AV32)</f>
        <v/>
      </c>
      <c r="U32" s="29" t="str">
        <f>IF('12 - Device_Configuration'!AW32="","",'12 - Device_Configuration'!AW32)</f>
        <v/>
      </c>
      <c r="V32" s="29" t="str">
        <f>IF('12 - Device_Configuration'!BA32="","",'12 - Device_Configuration'!BA32)</f>
        <v>Yes</v>
      </c>
      <c r="W32" s="29" t="str">
        <f>IF('12 - Device_Configuration'!BC32="","",'12 - Device_Configuration'!BC32)</f>
        <v>Firmware Installed</v>
      </c>
      <c r="X32" s="29" t="str">
        <f>IF('12 - Device_Configuration'!BK32="","",'12 - Device_Configuration'!BK32)</f>
        <v>Power Cable, Battery, Epic Beans Relay</v>
      </c>
      <c r="Y32" s="29" t="str">
        <f>IF('12 - Device_Configuration'!BB32="","",'12 - Device_Configuration'!BB32)</f>
        <v>Spare Unit</v>
      </c>
      <c r="Z32" s="29" t="str">
        <f>IF('12 - Device_Configuration'!P32="","",'12 - Device_Configuration'!P32)</f>
        <v/>
      </c>
      <c r="AA32" s="29" t="str">
        <f>IF('12 - Device_Configuration'!Q32="","",'12 - Device_Configuration'!Q32)</f>
        <v/>
      </c>
    </row>
    <row r="33" spans="1:27">
      <c r="A33" s="30"/>
      <c r="B33" s="30"/>
      <c r="C33" s="29" t="str">
        <f>IF('12 - Device_Configuration'!H33="","",'12 - Device_Configuration'!H33)</f>
        <v>LIJ SDF</v>
      </c>
      <c r="D33" s="29" t="str">
        <f>IF('12 - Device_Configuration'!AE33="","",'12 - Device_Configuration'!AE33)</f>
        <v/>
      </c>
      <c r="E33" s="29" t="str">
        <f>IF('12 - Device_Configuration'!AF33="","",'12 - Device_Configuration'!AF33)</f>
        <v/>
      </c>
      <c r="F33" s="29" t="str">
        <f>IF('12 - Device_Configuration'!AG33="","",'12 - Device_Configuration'!AG33)</f>
        <v/>
      </c>
      <c r="G33" s="29" t="str">
        <f>IF('12 - Device_Configuration'!AH33="","",'12 - Device_Configuration'!AH33)</f>
        <v/>
      </c>
      <c r="H33" s="29" t="str">
        <f>IF('12 - Device_Configuration'!A33="","",'12 - Device_Configuration'!A33)</f>
        <v>Neuron</v>
      </c>
      <c r="I33" s="29" t="str">
        <f>IF('12 - Device_Configuration'!AI33="","",'12 - Device_Configuration'!AI33)</f>
        <v/>
      </c>
      <c r="J33" s="29" t="str">
        <f>IF('12 - Device_Configuration'!AJ33="","",'12 - Device_Configuration'!AJ33)</f>
        <v/>
      </c>
      <c r="K33" s="29" t="str">
        <f>IF('12 - Device_Configuration'!AA33="","",'12 - Device_Configuration'!AA33)</f>
        <v/>
      </c>
      <c r="L33" s="29" t="str">
        <f>IF('12 - Device_Configuration'!I33="","",'12 - Device_Configuration'!I33)</f>
        <v/>
      </c>
      <c r="M33" s="30"/>
      <c r="N33" s="29" t="str">
        <f>IF('12 - Device_Configuration'!J33="","",'12 - Device_Configuration'!J33)</f>
        <v/>
      </c>
      <c r="O33" s="29" t="str">
        <f>IF('12 - Device_Configuration'!K33="","",'12 - Device_Configuration'!K33)</f>
        <v/>
      </c>
      <c r="P33" s="29" t="str">
        <f>IF('12 - Device_Configuration'!L33="","",'12 - Device_Configuration'!L33)</f>
        <v/>
      </c>
      <c r="Q33" s="30"/>
      <c r="R33" s="29" t="str">
        <f>IF('12 - Device_Configuration'!AY33="","",'12 - Device_Configuration'!AY33)</f>
        <v/>
      </c>
      <c r="S33" s="29" t="str">
        <f>IF('12 - Device_Configuration'!AX33="","",'12 - Device_Configuration'!AX33)</f>
        <v/>
      </c>
      <c r="T33" s="29" t="str">
        <f>IF('12 - Device_Configuration'!AV33="","",'12 - Device_Configuration'!AV33)</f>
        <v/>
      </c>
      <c r="U33" s="29" t="str">
        <f>IF('12 - Device_Configuration'!AW33="","",'12 - Device_Configuration'!AW33)</f>
        <v/>
      </c>
      <c r="V33" s="29" t="str">
        <f>IF('12 - Device_Configuration'!BA33="","",'12 - Device_Configuration'!BA33)</f>
        <v>Yes</v>
      </c>
      <c r="W33" s="29" t="str">
        <f>IF('12 - Device_Configuration'!BC33="","",'12 - Device_Configuration'!BC33)</f>
        <v>Firmware Installed</v>
      </c>
      <c r="X33" s="29" t="str">
        <f>IF('12 - Device_Configuration'!BK33="","",'12 - Device_Configuration'!BK33)</f>
        <v>Power Cable, Battery, Epic Beans Relay</v>
      </c>
      <c r="Y33" s="29" t="str">
        <f>IF('12 - Device_Configuration'!BB33="","",'12 - Device_Configuration'!BB33)</f>
        <v>Spare Unit</v>
      </c>
      <c r="Z33" s="29" t="str">
        <f>IF('12 - Device_Configuration'!P33="","",'12 - Device_Configuration'!P33)</f>
        <v/>
      </c>
      <c r="AA33" s="29" t="str">
        <f>IF('12 - Device_Configuration'!Q33="","",'12 - Device_Configuration'!Q33)</f>
        <v/>
      </c>
    </row>
    <row r="34" spans="1:27" ht="45.75" customHeight="1">
      <c r="A34" s="30"/>
      <c r="B34" s="30"/>
      <c r="C34" s="29" t="str">
        <f>IF('12 - Device_Configuration'!H34="","",'12 - Device_Configuration'!H34)</f>
        <v>PBMC</v>
      </c>
      <c r="D34" s="29" t="str">
        <f>IF('12 - Device_Configuration'!AE34="","",'12 - Device_Configuration'!AE34)</f>
        <v>Third Floor/Cath Lab</v>
      </c>
      <c r="E34" s="29" t="str">
        <f>IF('12 - Device_Configuration'!AF34="","",'12 - Device_Configuration'!AF34)</f>
        <v>Lab 3/ Neuro BiPlane</v>
      </c>
      <c r="F34" s="29" t="str">
        <f>IF('12 - Device_Configuration'!AG34="","",'12 - Device_Configuration'!AG34)</f>
        <v>N/A</v>
      </c>
      <c r="G34" s="29" t="str">
        <f>IF('12 - Device_Configuration'!AH34="","",'12 - Device_Configuration'!AH34)</f>
        <v/>
      </c>
      <c r="H34" s="29" t="str">
        <f>IF('12 - Device_Configuration'!A34="","",'12 - Device_Configuration'!A34)</f>
        <v>Neuron</v>
      </c>
      <c r="I34" s="29" t="str">
        <f>IF('12 - Device_Configuration'!AI34="","",'12 - Device_Configuration'!AI34)</f>
        <v>Drager</v>
      </c>
      <c r="J34" s="29" t="str">
        <f>IF('12 - Device_Configuration'!AJ34="","",'12 - Device_Configuration'!AJ34)</f>
        <v>Atlan A350</v>
      </c>
      <c r="K34" s="29" t="str">
        <f>IF('12 - Device_Configuration'!AA34="","",'12 - Device_Configuration'!AA34)</f>
        <v>Anesthesia Machine</v>
      </c>
      <c r="L34" s="29" t="str">
        <f>IF('12 - Device_Configuration'!I34="","",'12 - Device_Configuration'!I34)</f>
        <v/>
      </c>
      <c r="M34" s="30"/>
      <c r="N34" s="29" t="str">
        <f>IF('12 - Device_Configuration'!J34="","",'12 - Device_Configuration'!J34)</f>
        <v>NA</v>
      </c>
      <c r="O34" s="29" t="str">
        <f>IF('12 - Device_Configuration'!K34="","",'12 - Device_Configuration'!K34)</f>
        <v>NA</v>
      </c>
      <c r="P34" s="29" t="str">
        <f>IF('12 - Device_Configuration'!L34="","",'12 - Device_Configuration'!L34)</f>
        <v>NA</v>
      </c>
      <c r="Q34" s="30"/>
      <c r="R34" s="29" t="str">
        <f>IF('12 - Device_Configuration'!AY34="","",'12 - Device_Configuration'!AY34)</f>
        <v/>
      </c>
      <c r="S34" s="29" t="str">
        <f>IF('12 - Device_Configuration'!AX34="","",'12 - Device_Configuration'!AX34)</f>
        <v/>
      </c>
      <c r="T34" s="29" t="str">
        <f>IF('12 - Device_Configuration'!AV34="","",'12 - Device_Configuration'!AV34)</f>
        <v/>
      </c>
      <c r="U34" s="29" t="str">
        <f>IF('12 - Device_Configuration'!AW34="","",'12 - Device_Configuration'!AW34)</f>
        <v/>
      </c>
      <c r="V34" s="29" t="str">
        <f>IF('12 - Device_Configuration'!BA34="","",'12 - Device_Configuration'!BA34)</f>
        <v>Yes</v>
      </c>
      <c r="W34" s="29" t="str">
        <f>IF('12 - Device_Configuration'!BC34="","",'12 - Device_Configuration'!BC34)</f>
        <v>Firmware Installed</v>
      </c>
      <c r="X34" s="29" t="str">
        <f>IF('12 - Device_Configuration'!BK34="","",'12 - Device_Configuration'!BK34)</f>
        <v>Power Cable, Battery, Epic Beans Relay</v>
      </c>
      <c r="Y34" s="29" t="str">
        <f>IF('12 - Device_Configuration'!BB34="","",'12 - Device_Configuration'!BB34)</f>
        <v>PBMC</v>
      </c>
      <c r="Z34" s="29" t="str">
        <f>IF('12 - Device_Configuration'!P34="","",'12 - Device_Configuration'!P34)</f>
        <v/>
      </c>
      <c r="AA34" s="29" t="str">
        <f>IF('12 - Device_Configuration'!Q34="","",'12 - Device_Configuration'!Q34)</f>
        <v/>
      </c>
    </row>
    <row r="35" spans="1:27" ht="45.75" customHeight="1">
      <c r="A35" s="30"/>
      <c r="B35" s="30"/>
      <c r="C35" s="29" t="str">
        <f>IF('12 - Device_Configuration'!H35="","",'12 - Device_Configuration'!H35)</f>
        <v>PBMC</v>
      </c>
      <c r="D35" s="29" t="str">
        <f>IF('12 - Device_Configuration'!AE35="","",'12 - Device_Configuration'!AE35)</f>
        <v>Third Floor/Cath Lab</v>
      </c>
      <c r="E35" s="29" t="str">
        <f>IF('12 - Device_Configuration'!AF35="","",'12 - Device_Configuration'!AF35)</f>
        <v>Lab 3/ Neuro BiPlane</v>
      </c>
      <c r="F35" s="29" t="str">
        <f>IF('12 - Device_Configuration'!AG35="","",'12 - Device_Configuration'!AG35)</f>
        <v>N/A</v>
      </c>
      <c r="G35" s="29" t="str">
        <f>IF('12 - Device_Configuration'!AH35="","",'12 - Device_Configuration'!AH35)</f>
        <v/>
      </c>
      <c r="H35" s="29" t="str">
        <f>IF('12 - Device_Configuration'!A35="","",'12 - Device_Configuration'!A35)</f>
        <v>Cybernet</v>
      </c>
      <c r="I35" s="29" t="str">
        <f>IF('12 - Device_Configuration'!AI35="","",'12 - Device_Configuration'!AI35)</f>
        <v>Drager</v>
      </c>
      <c r="J35" s="29" t="str">
        <f>IF('12 - Device_Configuration'!AJ35="","",'12 - Device_Configuration'!AJ35)</f>
        <v>Atlan A350</v>
      </c>
      <c r="K35" s="29" t="str">
        <f>IF('12 - Device_Configuration'!AA35="","",'12 - Device_Configuration'!AA35)</f>
        <v>Anesthesia Machine</v>
      </c>
      <c r="L35" s="29" t="str">
        <f>IF('12 - Device_Configuration'!I35="","",'12 - Device_Configuration'!I35)</f>
        <v/>
      </c>
      <c r="M35" s="30"/>
      <c r="N35" s="29" t="str">
        <f>IF('12 - Device_Configuration'!J35="","",'12 - Device_Configuration'!J35)</f>
        <v/>
      </c>
      <c r="O35" s="29" t="str">
        <f>IF('12 - Device_Configuration'!K35="","",'12 - Device_Configuration'!K35)</f>
        <v/>
      </c>
      <c r="P35" s="29" t="str">
        <f>IF('12 - Device_Configuration'!L35="","",'12 - Device_Configuration'!L35)</f>
        <v/>
      </c>
      <c r="Q35" s="30"/>
      <c r="R35" s="29" t="str">
        <f>IF('12 - Device_Configuration'!AY35="","",'12 - Device_Configuration'!AY35)</f>
        <v/>
      </c>
      <c r="S35" s="29" t="str">
        <f>IF('12 - Device_Configuration'!AX35="","",'12 - Device_Configuration'!AX35)</f>
        <v/>
      </c>
      <c r="T35" s="29" t="str">
        <f>IF('12 - Device_Configuration'!AV35="","",'12 - Device_Configuration'!AV35)</f>
        <v/>
      </c>
      <c r="U35" s="29" t="str">
        <f>IF('12 - Device_Configuration'!AW35="","",'12 - Device_Configuration'!AW35)</f>
        <v/>
      </c>
      <c r="V35" s="29" t="str">
        <f>IF('12 - Device_Configuration'!BA35="","",'12 - Device_Configuration'!BA35)</f>
        <v>Yes</v>
      </c>
      <c r="W35" s="29" t="str">
        <f>IF('12 - Device_Configuration'!BC35="","",'12 - Device_Configuration'!BC35)</f>
        <v>Firmware Installed</v>
      </c>
      <c r="X35" s="29" t="str">
        <f>IF('12 - Device_Configuration'!BK35="","",'12 - Device_Configuration'!BK35)</f>
        <v>Power Cable, Battery, Epic Beans Relay</v>
      </c>
      <c r="Y35" s="29" t="str">
        <f>IF('12 - Device_Configuration'!BB35="","",'12 - Device_Configuration'!BB35)</f>
        <v>PBMC</v>
      </c>
      <c r="Z35" s="29" t="str">
        <f>IF('12 - Device_Configuration'!P35="","",'12 - Device_Configuration'!P35)</f>
        <v/>
      </c>
      <c r="AA35" s="29" t="str">
        <f>IF('12 - Device_Configuration'!Q35="","",'12 - Device_Configuration'!Q35)</f>
        <v/>
      </c>
    </row>
    <row r="36" spans="1:27" ht="45.75" customHeight="1">
      <c r="A36" s="30"/>
      <c r="B36" s="30"/>
      <c r="C36" s="29" t="str">
        <f>IF('12 - Device_Configuration'!H36="","",'12 - Device_Configuration'!H36)</f>
        <v>MEETH</v>
      </c>
      <c r="D36" s="29" t="str">
        <f>IF('12 - Device_Configuration'!AE36="","",'12 - Device_Configuration'!AE36)</f>
        <v/>
      </c>
      <c r="E36" s="29" t="str">
        <f>IF('12 - Device_Configuration'!AF36="","",'12 - Device_Configuration'!AF36)</f>
        <v/>
      </c>
      <c r="F36" s="29" t="str">
        <f>IF('12 - Device_Configuration'!AG36="","",'12 - Device_Configuration'!AG36)</f>
        <v/>
      </c>
      <c r="G36" s="29" t="str">
        <f>IF('12 - Device_Configuration'!AH36="","",'12 - Device_Configuration'!AH36)</f>
        <v/>
      </c>
      <c r="H36" s="29" t="str">
        <f>IF('12 - Device_Configuration'!A36="","",'12 - Device_Configuration'!A36)</f>
        <v>Neuron</v>
      </c>
      <c r="I36" s="29" t="str">
        <f>IF('12 - Device_Configuration'!AI36="","",'12 - Device_Configuration'!AI36)</f>
        <v/>
      </c>
      <c r="J36" s="29" t="str">
        <f>IF('12 - Device_Configuration'!AJ36="","",'12 - Device_Configuration'!AJ36)</f>
        <v/>
      </c>
      <c r="K36" s="29" t="str">
        <f>IF('12 - Device_Configuration'!AA36="","",'12 - Device_Configuration'!AA36)</f>
        <v/>
      </c>
      <c r="L36" s="29" t="str">
        <f>IF('12 - Device_Configuration'!I36="","",'12 - Device_Configuration'!I36)</f>
        <v/>
      </c>
      <c r="M36" s="30"/>
      <c r="N36" s="29" t="str">
        <f>IF('12 - Device_Configuration'!J36="","",'12 - Device_Configuration'!J36)</f>
        <v>NA</v>
      </c>
      <c r="O36" s="29" t="str">
        <f>IF('12 - Device_Configuration'!K36="","",'12 - Device_Configuration'!K36)</f>
        <v>NA</v>
      </c>
      <c r="P36" s="29" t="str">
        <f>IF('12 - Device_Configuration'!L36="","",'12 - Device_Configuration'!L36)</f>
        <v>NA</v>
      </c>
      <c r="Q36" s="30"/>
      <c r="R36" s="29" t="str">
        <f>IF('12 - Device_Configuration'!AY36="","",'12 - Device_Configuration'!AY36)</f>
        <v/>
      </c>
      <c r="S36" s="29" t="str">
        <f>IF('12 - Device_Configuration'!AX36="","",'12 - Device_Configuration'!AX36)</f>
        <v/>
      </c>
      <c r="T36" s="29" t="str">
        <f>IF('12 - Device_Configuration'!AV36="","",'12 - Device_Configuration'!AV36)</f>
        <v/>
      </c>
      <c r="U36" s="29" t="str">
        <f>IF('12 - Device_Configuration'!AW36="","",'12 - Device_Configuration'!AW36)</f>
        <v/>
      </c>
      <c r="V36" s="29" t="str">
        <f>IF('12 - Device_Configuration'!BA36="","",'12 - Device_Configuration'!BA36)</f>
        <v/>
      </c>
      <c r="W36" s="29" t="str">
        <f>IF('12 - Device_Configuration'!BC36="","",'12 - Device_Configuration'!BC36)</f>
        <v>In Storage</v>
      </c>
      <c r="X36" s="29" t="str">
        <f>IF('12 - Device_Configuration'!BK36="","",'12 - Device_Configuration'!BK36)</f>
        <v>Power Cable, Battery, Firmware Download, Device ID, Epic Beans Relay</v>
      </c>
      <c r="Y36" s="29" t="str">
        <f>IF('12 - Device_Configuration'!BB36="","",'12 - Device_Configuration'!BB36)</f>
        <v/>
      </c>
      <c r="Z36" s="29" t="str">
        <f>IF('12 - Device_Configuration'!P36="","",'12 - Device_Configuration'!P36)</f>
        <v/>
      </c>
      <c r="AA36" s="29" t="str">
        <f>IF('12 - Device_Configuration'!Q36="","",'12 - Device_Configuration'!Q36)</f>
        <v/>
      </c>
    </row>
    <row r="37" spans="1:27" ht="45.75" customHeight="1">
      <c r="A37" s="30"/>
      <c r="B37" s="30"/>
      <c r="C37" s="29" t="str">
        <f>IF('12 - Device_Configuration'!H37="","",'12 - Device_Configuration'!H37)</f>
        <v>MEETH</v>
      </c>
      <c r="D37" s="29" t="str">
        <f>IF('12 - Device_Configuration'!AE37="","",'12 - Device_Configuration'!AE37)</f>
        <v/>
      </c>
      <c r="E37" s="29" t="str">
        <f>IF('12 - Device_Configuration'!AF37="","",'12 - Device_Configuration'!AF37)</f>
        <v/>
      </c>
      <c r="F37" s="29" t="str">
        <f>IF('12 - Device_Configuration'!AG37="","",'12 - Device_Configuration'!AG37)</f>
        <v/>
      </c>
      <c r="G37" s="29" t="str">
        <f>IF('12 - Device_Configuration'!AH37="","",'12 - Device_Configuration'!AH37)</f>
        <v/>
      </c>
      <c r="H37" s="29" t="str">
        <f>IF('12 - Device_Configuration'!A37="","",'12 - Device_Configuration'!A37)</f>
        <v>Neuron</v>
      </c>
      <c r="I37" s="29" t="str">
        <f>IF('12 - Device_Configuration'!AI37="","",'12 - Device_Configuration'!AI37)</f>
        <v/>
      </c>
      <c r="J37" s="29" t="str">
        <f>IF('12 - Device_Configuration'!AJ37="","",'12 - Device_Configuration'!AJ37)</f>
        <v/>
      </c>
      <c r="K37" s="29" t="str">
        <f>IF('12 - Device_Configuration'!AA37="","",'12 - Device_Configuration'!AA37)</f>
        <v/>
      </c>
      <c r="L37" s="29" t="str">
        <f>IF('12 - Device_Configuration'!I37="","",'12 - Device_Configuration'!I37)</f>
        <v/>
      </c>
      <c r="M37" s="30"/>
      <c r="N37" s="29" t="str">
        <f>IF('12 - Device_Configuration'!J37="","",'12 - Device_Configuration'!J37)</f>
        <v>NA</v>
      </c>
      <c r="O37" s="29" t="str">
        <f>IF('12 - Device_Configuration'!K37="","",'12 - Device_Configuration'!K37)</f>
        <v>NA</v>
      </c>
      <c r="P37" s="29" t="str">
        <f>IF('12 - Device_Configuration'!L37="","",'12 - Device_Configuration'!L37)</f>
        <v>NA</v>
      </c>
      <c r="Q37" s="30"/>
      <c r="R37" s="29" t="str">
        <f>IF('12 - Device_Configuration'!AY37="","",'12 - Device_Configuration'!AY37)</f>
        <v/>
      </c>
      <c r="S37" s="29" t="str">
        <f>IF('12 - Device_Configuration'!AX37="","",'12 - Device_Configuration'!AX37)</f>
        <v/>
      </c>
      <c r="T37" s="29" t="str">
        <f>IF('12 - Device_Configuration'!AV37="","",'12 - Device_Configuration'!AV37)</f>
        <v/>
      </c>
      <c r="U37" s="29" t="str">
        <f>IF('12 - Device_Configuration'!AW37="","",'12 - Device_Configuration'!AW37)</f>
        <v/>
      </c>
      <c r="V37" s="29" t="str">
        <f>IF('12 - Device_Configuration'!BA37="","",'12 - Device_Configuration'!BA37)</f>
        <v/>
      </c>
      <c r="W37" s="29" t="str">
        <f>IF('12 - Device_Configuration'!BC37="","",'12 - Device_Configuration'!BC37)</f>
        <v>In Storage</v>
      </c>
      <c r="X37" s="29" t="str">
        <f>IF('12 - Device_Configuration'!BK37="","",'12 - Device_Configuration'!BK37)</f>
        <v>Power Cable, Battery, Firmware Download, Device ID, Epic Beans Relay</v>
      </c>
      <c r="Y37" s="29" t="str">
        <f>IF('12 - Device_Configuration'!BB37="","",'12 - Device_Configuration'!BB37)</f>
        <v/>
      </c>
      <c r="Z37" s="29" t="str">
        <f>IF('12 - Device_Configuration'!P37="","",'12 - Device_Configuration'!P37)</f>
        <v/>
      </c>
      <c r="AA37" s="29" t="str">
        <f>IF('12 - Device_Configuration'!Q37="","",'12 - Device_Configuration'!Q37)</f>
        <v/>
      </c>
    </row>
    <row r="38" spans="1:27" ht="45.75" customHeight="1">
      <c r="A38" s="30"/>
      <c r="B38" s="30"/>
      <c r="C38" s="29" t="str">
        <f>IF('12 - Device_Configuration'!H38="","",'12 - Device_Configuration'!H38)</f>
        <v>MEETH</v>
      </c>
      <c r="D38" s="29" t="str">
        <f>IF('12 - Device_Configuration'!AE38="","",'12 - Device_Configuration'!AE38)</f>
        <v/>
      </c>
      <c r="E38" s="29" t="str">
        <f>IF('12 - Device_Configuration'!AF38="","",'12 - Device_Configuration'!AF38)</f>
        <v/>
      </c>
      <c r="F38" s="29" t="str">
        <f>IF('12 - Device_Configuration'!AG38="","",'12 - Device_Configuration'!AG38)</f>
        <v/>
      </c>
      <c r="G38" s="29" t="str">
        <f>IF('12 - Device_Configuration'!AH38="","",'12 - Device_Configuration'!AH38)</f>
        <v/>
      </c>
      <c r="H38" s="29" t="str">
        <f>IF('12 - Device_Configuration'!A38="","",'12 - Device_Configuration'!A38)</f>
        <v>Neuron</v>
      </c>
      <c r="I38" s="29" t="str">
        <f>IF('12 - Device_Configuration'!AI38="","",'12 - Device_Configuration'!AI38)</f>
        <v/>
      </c>
      <c r="J38" s="29" t="str">
        <f>IF('12 - Device_Configuration'!AJ38="","",'12 - Device_Configuration'!AJ38)</f>
        <v/>
      </c>
      <c r="K38" s="29" t="str">
        <f>IF('12 - Device_Configuration'!AA38="","",'12 - Device_Configuration'!AA38)</f>
        <v/>
      </c>
      <c r="L38" s="29" t="str">
        <f>IF('12 - Device_Configuration'!I38="","",'12 - Device_Configuration'!I38)</f>
        <v/>
      </c>
      <c r="M38" s="30"/>
      <c r="N38" s="29" t="str">
        <f>IF('12 - Device_Configuration'!J38="","",'12 - Device_Configuration'!J38)</f>
        <v>NA</v>
      </c>
      <c r="O38" s="29" t="str">
        <f>IF('12 - Device_Configuration'!K38="","",'12 - Device_Configuration'!K38)</f>
        <v>NA</v>
      </c>
      <c r="P38" s="29" t="str">
        <f>IF('12 - Device_Configuration'!L38="","",'12 - Device_Configuration'!L38)</f>
        <v>NA</v>
      </c>
      <c r="Q38" s="30"/>
      <c r="R38" s="29" t="str">
        <f>IF('12 - Device_Configuration'!AY38="","",'12 - Device_Configuration'!AY38)</f>
        <v/>
      </c>
      <c r="S38" s="29" t="str">
        <f>IF('12 - Device_Configuration'!AX38="","",'12 - Device_Configuration'!AX38)</f>
        <v/>
      </c>
      <c r="T38" s="29" t="str">
        <f>IF('12 - Device_Configuration'!AV38="","",'12 - Device_Configuration'!AV38)</f>
        <v/>
      </c>
      <c r="U38" s="29" t="str">
        <f>IF('12 - Device_Configuration'!AW38="","",'12 - Device_Configuration'!AW38)</f>
        <v/>
      </c>
      <c r="V38" s="29" t="str">
        <f>IF('12 - Device_Configuration'!BA38="","",'12 - Device_Configuration'!BA38)</f>
        <v/>
      </c>
      <c r="W38" s="29" t="str">
        <f>IF('12 - Device_Configuration'!BC38="","",'12 - Device_Configuration'!BC38)</f>
        <v>In Storage</v>
      </c>
      <c r="X38" s="29" t="str">
        <f>IF('12 - Device_Configuration'!BK38="","",'12 - Device_Configuration'!BK38)</f>
        <v>Power Cable, Battery, Firmware Download, Device ID, Epic Beans Relay</v>
      </c>
      <c r="Y38" s="29" t="str">
        <f>IF('12 - Device_Configuration'!BB38="","",'12 - Device_Configuration'!BB38)</f>
        <v/>
      </c>
      <c r="Z38" s="29" t="str">
        <f>IF('12 - Device_Configuration'!P38="","",'12 - Device_Configuration'!P38)</f>
        <v/>
      </c>
      <c r="AA38" s="29" t="str">
        <f>IF('12 - Device_Configuration'!Q38="","",'12 - Device_Configuration'!Q38)</f>
        <v/>
      </c>
    </row>
    <row r="39" spans="1:27" ht="45.75" customHeight="1">
      <c r="A39" s="30"/>
      <c r="B39" s="30"/>
      <c r="C39" s="29" t="str">
        <f>IF('12 - Device_Configuration'!H39="","",'12 - Device_Configuration'!H39)</f>
        <v>ZUCKER HOSPITAL</v>
      </c>
      <c r="D39" s="29" t="str">
        <f>IF('12 - Device_Configuration'!AE39="","",'12 - Device_Configuration'!AE39)</f>
        <v/>
      </c>
      <c r="E39" s="29" t="str">
        <f>IF('12 - Device_Configuration'!AF39="","",'12 - Device_Configuration'!AF39)</f>
        <v/>
      </c>
      <c r="F39" s="29" t="str">
        <f>IF('12 - Device_Configuration'!AG39="","",'12 - Device_Configuration'!AG39)</f>
        <v/>
      </c>
      <c r="G39" s="29" t="str">
        <f>IF('12 - Device_Configuration'!AH39="","",'12 - Device_Configuration'!AH39)</f>
        <v/>
      </c>
      <c r="H39" s="29" t="str">
        <f>IF('12 - Device_Configuration'!A39="","",'12 - Device_Configuration'!A39)</f>
        <v>Neuron</v>
      </c>
      <c r="I39" s="29" t="str">
        <f>IF('12 - Device_Configuration'!AI39="","",'12 - Device_Configuration'!AI39)</f>
        <v/>
      </c>
      <c r="J39" s="29" t="str">
        <f>IF('12 - Device_Configuration'!AJ39="","",'12 - Device_Configuration'!AJ39)</f>
        <v/>
      </c>
      <c r="K39" s="29" t="str">
        <f>IF('12 - Device_Configuration'!AA39="","",'12 - Device_Configuration'!AA39)</f>
        <v/>
      </c>
      <c r="L39" s="29" t="str">
        <f>IF('12 - Device_Configuration'!I39="","",'12 - Device_Configuration'!I39)</f>
        <v/>
      </c>
      <c r="M39" s="30"/>
      <c r="N39" s="29" t="str">
        <f>IF('12 - Device_Configuration'!J39="","",'12 - Device_Configuration'!J39)</f>
        <v>NA</v>
      </c>
      <c r="O39" s="29" t="str">
        <f>IF('12 - Device_Configuration'!K39="","",'12 - Device_Configuration'!K39)</f>
        <v>NA</v>
      </c>
      <c r="P39" s="29" t="str">
        <f>IF('12 - Device_Configuration'!L39="","",'12 - Device_Configuration'!L39)</f>
        <v>NA</v>
      </c>
      <c r="Q39" s="30"/>
      <c r="R39" s="29" t="str">
        <f>IF('12 - Device_Configuration'!AY39="","",'12 - Device_Configuration'!AY39)</f>
        <v/>
      </c>
      <c r="S39" s="29" t="str">
        <f>IF('12 - Device_Configuration'!AX39="","",'12 - Device_Configuration'!AX39)</f>
        <v/>
      </c>
      <c r="T39" s="29" t="str">
        <f>IF('12 - Device_Configuration'!AV39="","",'12 - Device_Configuration'!AV39)</f>
        <v/>
      </c>
      <c r="U39" s="29" t="str">
        <f>IF('12 - Device_Configuration'!AW39="","",'12 - Device_Configuration'!AW39)</f>
        <v/>
      </c>
      <c r="V39" s="29" t="str">
        <f>IF('12 - Device_Configuration'!BA39="","",'12 - Device_Configuration'!BA39)</f>
        <v/>
      </c>
      <c r="W39" s="29" t="str">
        <f>IF('12 - Device_Configuration'!BC39="","",'12 - Device_Configuration'!BC39)</f>
        <v>In Storage</v>
      </c>
      <c r="X39" s="29" t="str">
        <f>IF('12 - Device_Configuration'!BK39="","",'12 - Device_Configuration'!BK39)</f>
        <v>Power Cable, Battery, Firmware Download, Device ID, Epic Beans Relay</v>
      </c>
      <c r="Y39" s="29" t="str">
        <f>IF('12 - Device_Configuration'!BB39="","",'12 - Device_Configuration'!BB39)</f>
        <v/>
      </c>
      <c r="Z39" s="29" t="str">
        <f>IF('12 - Device_Configuration'!P39="","",'12 - Device_Configuration'!P39)</f>
        <v/>
      </c>
      <c r="AA39" s="29" t="str">
        <f>IF('12 - Device_Configuration'!Q39="","",'12 - Device_Configuration'!Q39)</f>
        <v/>
      </c>
    </row>
    <row r="40" spans="1:27" ht="45.75" customHeight="1">
      <c r="A40" s="30"/>
      <c r="B40" s="30"/>
      <c r="C40" s="29" t="str">
        <f>IF('12 - Device_Configuration'!H40="","",'12 - Device_Configuration'!H40)</f>
        <v>ZUCKER HOSPITAL</v>
      </c>
      <c r="D40" s="29" t="str">
        <f>IF('12 - Device_Configuration'!AE40="","",'12 - Device_Configuration'!AE40)</f>
        <v/>
      </c>
      <c r="E40" s="29" t="str">
        <f>IF('12 - Device_Configuration'!AF40="","",'12 - Device_Configuration'!AF40)</f>
        <v/>
      </c>
      <c r="F40" s="29" t="str">
        <f>IF('12 - Device_Configuration'!AG40="","",'12 - Device_Configuration'!AG40)</f>
        <v/>
      </c>
      <c r="G40" s="29" t="str">
        <f>IF('12 - Device_Configuration'!AH40="","",'12 - Device_Configuration'!AH40)</f>
        <v/>
      </c>
      <c r="H40" s="29" t="str">
        <f>IF('12 - Device_Configuration'!A40="","",'12 - Device_Configuration'!A40)</f>
        <v>Neuron</v>
      </c>
      <c r="I40" s="29" t="str">
        <f>IF('12 - Device_Configuration'!AI40="","",'12 - Device_Configuration'!AI40)</f>
        <v/>
      </c>
      <c r="J40" s="29" t="str">
        <f>IF('12 - Device_Configuration'!AJ40="","",'12 - Device_Configuration'!AJ40)</f>
        <v/>
      </c>
      <c r="K40" s="29" t="str">
        <f>IF('12 - Device_Configuration'!AA40="","",'12 - Device_Configuration'!AA40)</f>
        <v/>
      </c>
      <c r="L40" s="29" t="str">
        <f>IF('12 - Device_Configuration'!I40="","",'12 - Device_Configuration'!I40)</f>
        <v/>
      </c>
      <c r="M40" s="30"/>
      <c r="N40" s="29" t="str">
        <f>IF('12 - Device_Configuration'!J40="","",'12 - Device_Configuration'!J40)</f>
        <v>NA</v>
      </c>
      <c r="O40" s="29" t="str">
        <f>IF('12 - Device_Configuration'!K40="","",'12 - Device_Configuration'!K40)</f>
        <v>NA</v>
      </c>
      <c r="P40" s="29" t="str">
        <f>IF('12 - Device_Configuration'!L40="","",'12 - Device_Configuration'!L40)</f>
        <v>NA</v>
      </c>
      <c r="Q40" s="30"/>
      <c r="R40" s="29" t="str">
        <f>IF('12 - Device_Configuration'!AY40="","",'12 - Device_Configuration'!AY40)</f>
        <v/>
      </c>
      <c r="S40" s="29" t="str">
        <f>IF('12 - Device_Configuration'!AX40="","",'12 - Device_Configuration'!AX40)</f>
        <v/>
      </c>
      <c r="T40" s="29" t="str">
        <f>IF('12 - Device_Configuration'!AV40="","",'12 - Device_Configuration'!AV40)</f>
        <v/>
      </c>
      <c r="U40" s="29" t="str">
        <f>IF('12 - Device_Configuration'!AW40="","",'12 - Device_Configuration'!AW40)</f>
        <v/>
      </c>
      <c r="V40" s="29" t="str">
        <f>IF('12 - Device_Configuration'!BA40="","",'12 - Device_Configuration'!BA40)</f>
        <v/>
      </c>
      <c r="W40" s="29" t="str">
        <f>IF('12 - Device_Configuration'!BC40="","",'12 - Device_Configuration'!BC40)</f>
        <v>In Storage</v>
      </c>
      <c r="X40" s="29" t="str">
        <f>IF('12 - Device_Configuration'!BK40="","",'12 - Device_Configuration'!BK40)</f>
        <v>Power Cable, Battery, Firmware Download, Device ID, Epic Beans Relay</v>
      </c>
      <c r="Y40" s="29" t="str">
        <f>IF('12 - Device_Configuration'!BB40="","",'12 - Device_Configuration'!BB40)</f>
        <v/>
      </c>
      <c r="Z40" s="29" t="str">
        <f>IF('12 - Device_Configuration'!P40="","",'12 - Device_Configuration'!P40)</f>
        <v/>
      </c>
      <c r="AA40" s="29" t="str">
        <f>IF('12 - Device_Configuration'!Q40="","",'12 - Device_Configuration'!Q40)</f>
        <v/>
      </c>
    </row>
    <row r="41" spans="1:27" ht="45.75" customHeight="1">
      <c r="A41" s="30"/>
      <c r="B41" s="30"/>
      <c r="C41" s="29" t="str">
        <f>IF('12 - Device_Configuration'!H41="","",'12 - Device_Configuration'!H41)</f>
        <v>ZUCKER HOSPITAL</v>
      </c>
      <c r="D41" s="29" t="str">
        <f>IF('12 - Device_Configuration'!AE41="","",'12 - Device_Configuration'!AE41)</f>
        <v/>
      </c>
      <c r="E41" s="29" t="str">
        <f>IF('12 - Device_Configuration'!AF41="","",'12 - Device_Configuration'!AF41)</f>
        <v/>
      </c>
      <c r="F41" s="29" t="str">
        <f>IF('12 - Device_Configuration'!AG41="","",'12 - Device_Configuration'!AG41)</f>
        <v/>
      </c>
      <c r="G41" s="29" t="str">
        <f>IF('12 - Device_Configuration'!AH41="","",'12 - Device_Configuration'!AH41)</f>
        <v/>
      </c>
      <c r="H41" s="29" t="str">
        <f>IF('12 - Device_Configuration'!A41="","",'12 - Device_Configuration'!A41)</f>
        <v>Neuron</v>
      </c>
      <c r="I41" s="29" t="str">
        <f>IF('12 - Device_Configuration'!AI41="","",'12 - Device_Configuration'!AI41)</f>
        <v/>
      </c>
      <c r="J41" s="29" t="str">
        <f>IF('12 - Device_Configuration'!AJ41="","",'12 - Device_Configuration'!AJ41)</f>
        <v/>
      </c>
      <c r="K41" s="29" t="str">
        <f>IF('12 - Device_Configuration'!AA41="","",'12 - Device_Configuration'!AA41)</f>
        <v/>
      </c>
      <c r="L41" s="29" t="str">
        <f>IF('12 - Device_Configuration'!I41="","",'12 - Device_Configuration'!I41)</f>
        <v/>
      </c>
      <c r="M41" s="30"/>
      <c r="N41" s="29" t="str">
        <f>IF('12 - Device_Configuration'!J41="","",'12 - Device_Configuration'!J41)</f>
        <v>NA</v>
      </c>
      <c r="O41" s="29" t="str">
        <f>IF('12 - Device_Configuration'!K41="","",'12 - Device_Configuration'!K41)</f>
        <v>NA</v>
      </c>
      <c r="P41" s="29" t="str">
        <f>IF('12 - Device_Configuration'!L41="","",'12 - Device_Configuration'!L41)</f>
        <v>NA</v>
      </c>
      <c r="Q41" s="30"/>
      <c r="R41" s="29" t="str">
        <f>IF('12 - Device_Configuration'!AY41="","",'12 - Device_Configuration'!AY41)</f>
        <v/>
      </c>
      <c r="S41" s="29" t="str">
        <f>IF('12 - Device_Configuration'!AX41="","",'12 - Device_Configuration'!AX41)</f>
        <v/>
      </c>
      <c r="T41" s="29" t="str">
        <f>IF('12 - Device_Configuration'!AV41="","",'12 - Device_Configuration'!AV41)</f>
        <v/>
      </c>
      <c r="U41" s="29" t="str">
        <f>IF('12 - Device_Configuration'!AW41="","",'12 - Device_Configuration'!AW41)</f>
        <v/>
      </c>
      <c r="V41" s="29" t="str">
        <f>IF('12 - Device_Configuration'!BA41="","",'12 - Device_Configuration'!BA41)</f>
        <v/>
      </c>
      <c r="W41" s="29" t="str">
        <f>IF('12 - Device_Configuration'!BC41="","",'12 - Device_Configuration'!BC41)</f>
        <v>In Storage</v>
      </c>
      <c r="X41" s="29" t="str">
        <f>IF('12 - Device_Configuration'!BK41="","",'12 - Device_Configuration'!BK41)</f>
        <v>Power Cable, Battery, Firmware Download, Device ID, Epic Beans Relay</v>
      </c>
      <c r="Y41" s="29" t="str">
        <f>IF('12 - Device_Configuration'!BB41="","",'12 - Device_Configuration'!BB41)</f>
        <v/>
      </c>
      <c r="Z41" s="29" t="str">
        <f>IF('12 - Device_Configuration'!P41="","",'12 - Device_Configuration'!P41)</f>
        <v/>
      </c>
      <c r="AA41" s="29" t="str">
        <f>IF('12 - Device_Configuration'!Q41="","",'12 - Device_Configuration'!Q41)</f>
        <v/>
      </c>
    </row>
    <row r="42" spans="1:27" ht="45.75" customHeight="1">
      <c r="A42" s="30"/>
      <c r="B42" s="30"/>
      <c r="C42" s="29" t="str">
        <f>IF('12 - Device_Configuration'!H42="","",'12 - Device_Configuration'!H42)</f>
        <v>CCMC</v>
      </c>
      <c r="D42" s="29" t="str">
        <f>IF('12 - Device_Configuration'!AE42="","",'12 - Device_Configuration'!AE42)</f>
        <v/>
      </c>
      <c r="E42" s="29" t="str">
        <f>IF('12 - Device_Configuration'!AF42="","",'12 - Device_Configuration'!AF42)</f>
        <v/>
      </c>
      <c r="F42" s="29" t="str">
        <f>IF('12 - Device_Configuration'!AG42="","",'12 - Device_Configuration'!AG42)</f>
        <v/>
      </c>
      <c r="G42" s="29" t="str">
        <f>IF('12 - Device_Configuration'!AH42="","",'12 - Device_Configuration'!AH42)</f>
        <v/>
      </c>
      <c r="H42" s="29" t="str">
        <f>IF('12 - Device_Configuration'!A42="","",'12 - Device_Configuration'!A42)</f>
        <v>Neuron</v>
      </c>
      <c r="I42" s="29" t="str">
        <f>IF('12 - Device_Configuration'!AI42="","",'12 - Device_Configuration'!AI42)</f>
        <v/>
      </c>
      <c r="J42" s="29" t="str">
        <f>IF('12 - Device_Configuration'!AJ42="","",'12 - Device_Configuration'!AJ42)</f>
        <v/>
      </c>
      <c r="K42" s="29" t="str">
        <f>IF('12 - Device_Configuration'!AA42="","",'12 - Device_Configuration'!AA42)</f>
        <v/>
      </c>
      <c r="L42" s="29" t="str">
        <f>IF('12 - Device_Configuration'!I42="","",'12 - Device_Configuration'!I42)</f>
        <v/>
      </c>
      <c r="M42" s="30"/>
      <c r="N42" s="29" t="str">
        <f>IF('12 - Device_Configuration'!J42="","",'12 - Device_Configuration'!J42)</f>
        <v>NA</v>
      </c>
      <c r="O42" s="29" t="str">
        <f>IF('12 - Device_Configuration'!K42="","",'12 - Device_Configuration'!K42)</f>
        <v>NA</v>
      </c>
      <c r="P42" s="29" t="str">
        <f>IF('12 - Device_Configuration'!L42="","",'12 - Device_Configuration'!L42)</f>
        <v>NA</v>
      </c>
      <c r="Q42" s="30"/>
      <c r="R42" s="29" t="str">
        <f>IF('12 - Device_Configuration'!AY42="","",'12 - Device_Configuration'!AY42)</f>
        <v/>
      </c>
      <c r="S42" s="29" t="str">
        <f>IF('12 - Device_Configuration'!AX42="","",'12 - Device_Configuration'!AX42)</f>
        <v/>
      </c>
      <c r="T42" s="29" t="str">
        <f>IF('12 - Device_Configuration'!AV42="","",'12 - Device_Configuration'!AV42)</f>
        <v/>
      </c>
      <c r="U42" s="29" t="str">
        <f>IF('12 - Device_Configuration'!AW42="","",'12 - Device_Configuration'!AW42)</f>
        <v/>
      </c>
      <c r="V42" s="29" t="str">
        <f>IF('12 - Device_Configuration'!BA42="","",'12 - Device_Configuration'!BA42)</f>
        <v/>
      </c>
      <c r="W42" s="29" t="str">
        <f>IF('12 - Device_Configuration'!BC42="","",'12 - Device_Configuration'!BC42)</f>
        <v>In Storage</v>
      </c>
      <c r="X42" s="29" t="str">
        <f>IF('12 - Device_Configuration'!BK42="","",'12 - Device_Configuration'!BK42)</f>
        <v>Power Cable, Battery, Firmware Download, Device ID, Epic Beans Relay</v>
      </c>
      <c r="Y42" s="29" t="str">
        <f>IF('12 - Device_Configuration'!BB42="","",'12 - Device_Configuration'!BB42)</f>
        <v/>
      </c>
      <c r="Z42" s="29" t="str">
        <f>IF('12 - Device_Configuration'!P42="","",'12 - Device_Configuration'!P42)</f>
        <v/>
      </c>
      <c r="AA42" s="29" t="str">
        <f>IF('12 - Device_Configuration'!Q42="","",'12 - Device_Configuration'!Q42)</f>
        <v/>
      </c>
    </row>
    <row r="43" spans="1:27" ht="45.75" customHeight="1">
      <c r="A43" s="30"/>
      <c r="B43" s="30"/>
      <c r="C43" s="29" t="str">
        <f>IF('12 - Device_Configuration'!H43="","",'12 - Device_Configuration'!H43)</f>
        <v>Glen Cove</v>
      </c>
      <c r="D43" s="29" t="str">
        <f>IF('12 - Device_Configuration'!AE43="","",'12 - Device_Configuration'!AE43)</f>
        <v/>
      </c>
      <c r="E43" s="29" t="str">
        <f>IF('12 - Device_Configuration'!AF43="","",'12 - Device_Configuration'!AF43)</f>
        <v/>
      </c>
      <c r="F43" s="29" t="str">
        <f>IF('12 - Device_Configuration'!AG43="","",'12 - Device_Configuration'!AG43)</f>
        <v/>
      </c>
      <c r="G43" s="29" t="str">
        <f>IF('12 - Device_Configuration'!AH43="","",'12 - Device_Configuration'!AH43)</f>
        <v/>
      </c>
      <c r="H43" s="29" t="str">
        <f>IF('12 - Device_Configuration'!A43="","",'12 - Device_Configuration'!A43)</f>
        <v>Neuron</v>
      </c>
      <c r="I43" s="29" t="str">
        <f>IF('12 - Device_Configuration'!AI43="","",'12 - Device_Configuration'!AI43)</f>
        <v/>
      </c>
      <c r="J43" s="29" t="str">
        <f>IF('12 - Device_Configuration'!AJ43="","",'12 - Device_Configuration'!AJ43)</f>
        <v/>
      </c>
      <c r="K43" s="29" t="str">
        <f>IF('12 - Device_Configuration'!AA43="","",'12 - Device_Configuration'!AA43)</f>
        <v/>
      </c>
      <c r="L43" s="29" t="str">
        <f>IF('12 - Device_Configuration'!I43="","",'12 - Device_Configuration'!I43)</f>
        <v/>
      </c>
      <c r="M43" s="30"/>
      <c r="N43" s="29" t="str">
        <f>IF('12 - Device_Configuration'!J43="","",'12 - Device_Configuration'!J43)</f>
        <v>NA</v>
      </c>
      <c r="O43" s="29" t="str">
        <f>IF('12 - Device_Configuration'!K43="","",'12 - Device_Configuration'!K43)</f>
        <v>NA</v>
      </c>
      <c r="P43" s="29" t="str">
        <f>IF('12 - Device_Configuration'!L43="","",'12 - Device_Configuration'!L43)</f>
        <v>NA</v>
      </c>
      <c r="Q43" s="30"/>
      <c r="R43" s="29" t="str">
        <f>IF('12 - Device_Configuration'!AY43="","",'12 - Device_Configuration'!AY43)</f>
        <v/>
      </c>
      <c r="S43" s="29" t="str">
        <f>IF('12 - Device_Configuration'!AX43="","",'12 - Device_Configuration'!AX43)</f>
        <v/>
      </c>
      <c r="T43" s="29" t="str">
        <f>IF('12 - Device_Configuration'!AV43="","",'12 - Device_Configuration'!AV43)</f>
        <v/>
      </c>
      <c r="U43" s="29" t="str">
        <f>IF('12 - Device_Configuration'!AW43="","",'12 - Device_Configuration'!AW43)</f>
        <v/>
      </c>
      <c r="V43" s="29" t="str">
        <f>IF('12 - Device_Configuration'!BA43="","",'12 - Device_Configuration'!BA43)</f>
        <v/>
      </c>
      <c r="W43" s="29" t="str">
        <f>IF('12 - Device_Configuration'!BC43="","",'12 - Device_Configuration'!BC43)</f>
        <v>In Storage</v>
      </c>
      <c r="X43" s="29" t="str">
        <f>IF('12 - Device_Configuration'!BK43="","",'12 - Device_Configuration'!BK43)</f>
        <v>Power Cable, Battery, Firmware Download, Device ID, Epic Beans Relay</v>
      </c>
      <c r="Y43" s="29" t="str">
        <f>IF('12 - Device_Configuration'!BB43="","",'12 - Device_Configuration'!BB43)</f>
        <v/>
      </c>
      <c r="Z43" s="29" t="str">
        <f>IF('12 - Device_Configuration'!P43="","",'12 - Device_Configuration'!P43)</f>
        <v/>
      </c>
      <c r="AA43" s="29" t="str">
        <f>IF('12 - Device_Configuration'!Q43="","",'12 - Device_Configuration'!Q43)</f>
        <v/>
      </c>
    </row>
    <row r="44" spans="1:27" ht="45.75" customHeight="1">
      <c r="A44" s="30"/>
      <c r="B44" s="30"/>
      <c r="C44" s="29" t="str">
        <f>IF('12 - Device_Configuration'!H44="","",'12 - Device_Configuration'!H44)</f>
        <v>Glen Cove</v>
      </c>
      <c r="D44" s="29" t="str">
        <f>IF('12 - Device_Configuration'!AE44="","",'12 - Device_Configuration'!AE44)</f>
        <v/>
      </c>
      <c r="E44" s="29" t="str">
        <f>IF('12 - Device_Configuration'!AF44="","",'12 - Device_Configuration'!AF44)</f>
        <v/>
      </c>
      <c r="F44" s="29" t="str">
        <f>IF('12 - Device_Configuration'!AG44="","",'12 - Device_Configuration'!AG44)</f>
        <v/>
      </c>
      <c r="G44" s="29" t="str">
        <f>IF('12 - Device_Configuration'!AH44="","",'12 - Device_Configuration'!AH44)</f>
        <v/>
      </c>
      <c r="H44" s="29" t="str">
        <f>IF('12 - Device_Configuration'!A44="","",'12 - Device_Configuration'!A44)</f>
        <v>Neuron</v>
      </c>
      <c r="I44" s="29" t="str">
        <f>IF('12 - Device_Configuration'!AI44="","",'12 - Device_Configuration'!AI44)</f>
        <v/>
      </c>
      <c r="J44" s="29" t="str">
        <f>IF('12 - Device_Configuration'!AJ44="","",'12 - Device_Configuration'!AJ44)</f>
        <v/>
      </c>
      <c r="K44" s="29" t="str">
        <f>IF('12 - Device_Configuration'!AA44="","",'12 - Device_Configuration'!AA44)</f>
        <v/>
      </c>
      <c r="L44" s="29" t="str">
        <f>IF('12 - Device_Configuration'!I44="","",'12 - Device_Configuration'!I44)</f>
        <v/>
      </c>
      <c r="M44" s="30"/>
      <c r="N44" s="29" t="str">
        <f>IF('12 - Device_Configuration'!J44="","",'12 - Device_Configuration'!J44)</f>
        <v>NA</v>
      </c>
      <c r="O44" s="29" t="str">
        <f>IF('12 - Device_Configuration'!K44="","",'12 - Device_Configuration'!K44)</f>
        <v>NA</v>
      </c>
      <c r="P44" s="29" t="str">
        <f>IF('12 - Device_Configuration'!L44="","",'12 - Device_Configuration'!L44)</f>
        <v>NA</v>
      </c>
      <c r="Q44" s="30"/>
      <c r="R44" s="29" t="str">
        <f>IF('12 - Device_Configuration'!AY44="","",'12 - Device_Configuration'!AY44)</f>
        <v/>
      </c>
      <c r="S44" s="29" t="str">
        <f>IF('12 - Device_Configuration'!AX44="","",'12 - Device_Configuration'!AX44)</f>
        <v/>
      </c>
      <c r="T44" s="29" t="str">
        <f>IF('12 - Device_Configuration'!AV44="","",'12 - Device_Configuration'!AV44)</f>
        <v/>
      </c>
      <c r="U44" s="29" t="str">
        <f>IF('12 - Device_Configuration'!AW44="","",'12 - Device_Configuration'!AW44)</f>
        <v/>
      </c>
      <c r="V44" s="29" t="str">
        <f>IF('12 - Device_Configuration'!BA44="","",'12 - Device_Configuration'!BA44)</f>
        <v/>
      </c>
      <c r="W44" s="29" t="str">
        <f>IF('12 - Device_Configuration'!BC44="","",'12 - Device_Configuration'!BC44)</f>
        <v>In Storage</v>
      </c>
      <c r="X44" s="29" t="str">
        <f>IF('12 - Device_Configuration'!BK44="","",'12 - Device_Configuration'!BK44)</f>
        <v>Power Cable, Battery, Firmware Download, Device ID, Epic Beans Relay</v>
      </c>
      <c r="Y44" s="29" t="str">
        <f>IF('12 - Device_Configuration'!BB44="","",'12 - Device_Configuration'!BB44)</f>
        <v/>
      </c>
      <c r="Z44" s="29" t="str">
        <f>IF('12 - Device_Configuration'!P44="","",'12 - Device_Configuration'!P44)</f>
        <v/>
      </c>
      <c r="AA44" s="29" t="str">
        <f>IF('12 - Device_Configuration'!Q44="","",'12 - Device_Configuration'!Q44)</f>
        <v/>
      </c>
    </row>
    <row r="45" spans="1:27" ht="45.75" customHeight="1">
      <c r="A45" s="30"/>
      <c r="B45" s="30"/>
      <c r="C45" s="29" t="str">
        <f>IF('12 - Device_Configuration'!H45="","",'12 - Device_Configuration'!H45)</f>
        <v>Glen Cove</v>
      </c>
      <c r="D45" s="29" t="str">
        <f>IF('12 - Device_Configuration'!AE45="","",'12 - Device_Configuration'!AE45)</f>
        <v/>
      </c>
      <c r="E45" s="29" t="str">
        <f>IF('12 - Device_Configuration'!AF45="","",'12 - Device_Configuration'!AF45)</f>
        <v/>
      </c>
      <c r="F45" s="29" t="str">
        <f>IF('12 - Device_Configuration'!AG45="","",'12 - Device_Configuration'!AG45)</f>
        <v/>
      </c>
      <c r="G45" s="29" t="str">
        <f>IF('12 - Device_Configuration'!AH45="","",'12 - Device_Configuration'!AH45)</f>
        <v/>
      </c>
      <c r="H45" s="29" t="str">
        <f>IF('12 - Device_Configuration'!A45="","",'12 - Device_Configuration'!A45)</f>
        <v>Neuron</v>
      </c>
      <c r="I45" s="29" t="str">
        <f>IF('12 - Device_Configuration'!AI45="","",'12 - Device_Configuration'!AI45)</f>
        <v/>
      </c>
      <c r="J45" s="29" t="str">
        <f>IF('12 - Device_Configuration'!AJ45="","",'12 - Device_Configuration'!AJ45)</f>
        <v/>
      </c>
      <c r="K45" s="29" t="str">
        <f>IF('12 - Device_Configuration'!AA45="","",'12 - Device_Configuration'!AA45)</f>
        <v/>
      </c>
      <c r="L45" s="29" t="str">
        <f>IF('12 - Device_Configuration'!I45="","",'12 - Device_Configuration'!I45)</f>
        <v/>
      </c>
      <c r="M45" s="30"/>
      <c r="N45" s="29" t="str">
        <f>IF('12 - Device_Configuration'!J45="","",'12 - Device_Configuration'!J45)</f>
        <v>NA</v>
      </c>
      <c r="O45" s="29" t="str">
        <f>IF('12 - Device_Configuration'!K45="","",'12 - Device_Configuration'!K45)</f>
        <v>NA</v>
      </c>
      <c r="P45" s="29" t="str">
        <f>IF('12 - Device_Configuration'!L45="","",'12 - Device_Configuration'!L45)</f>
        <v>NA</v>
      </c>
      <c r="Q45" s="30"/>
      <c r="R45" s="29" t="str">
        <f>IF('12 - Device_Configuration'!AY45="","",'12 - Device_Configuration'!AY45)</f>
        <v/>
      </c>
      <c r="S45" s="29" t="str">
        <f>IF('12 - Device_Configuration'!AX45="","",'12 - Device_Configuration'!AX45)</f>
        <v/>
      </c>
      <c r="T45" s="29" t="str">
        <f>IF('12 - Device_Configuration'!AV45="","",'12 - Device_Configuration'!AV45)</f>
        <v/>
      </c>
      <c r="U45" s="29" t="str">
        <f>IF('12 - Device_Configuration'!AW45="","",'12 - Device_Configuration'!AW45)</f>
        <v/>
      </c>
      <c r="V45" s="29" t="str">
        <f>IF('12 - Device_Configuration'!BA45="","",'12 - Device_Configuration'!BA45)</f>
        <v/>
      </c>
      <c r="W45" s="29" t="str">
        <f>IF('12 - Device_Configuration'!BC45="","",'12 - Device_Configuration'!BC45)</f>
        <v>In Storage</v>
      </c>
      <c r="X45" s="29" t="str">
        <f>IF('12 - Device_Configuration'!BK45="","",'12 - Device_Configuration'!BK45)</f>
        <v>Power Cable, Battery, Firmware Download, Device ID, Epic Beans Relay</v>
      </c>
      <c r="Y45" s="29" t="str">
        <f>IF('12 - Device_Configuration'!BB45="","",'12 - Device_Configuration'!BB45)</f>
        <v/>
      </c>
      <c r="Z45" s="29" t="str">
        <f>IF('12 - Device_Configuration'!P45="","",'12 - Device_Configuration'!P45)</f>
        <v/>
      </c>
      <c r="AA45" s="29" t="str">
        <f>IF('12 - Device_Configuration'!Q45="","",'12 - Device_Configuration'!Q45)</f>
        <v/>
      </c>
    </row>
    <row r="46" spans="1:27" ht="41.25" customHeight="1">
      <c r="A46" s="30"/>
      <c r="B46" s="30"/>
      <c r="C46" s="29" t="str">
        <f>IF('12 - Device_Configuration'!H46="","",'12 - Device_Configuration'!H46)</f>
        <v>Glen Cove</v>
      </c>
      <c r="D46" s="29" t="str">
        <f>IF('12 - Device_Configuration'!AE46="","",'12 - Device_Configuration'!AE46)</f>
        <v/>
      </c>
      <c r="E46" s="29" t="str">
        <f>IF('12 - Device_Configuration'!AF46="","",'12 - Device_Configuration'!AF46)</f>
        <v/>
      </c>
      <c r="F46" s="29" t="str">
        <f>IF('12 - Device_Configuration'!AG46="","",'12 - Device_Configuration'!AG46)</f>
        <v/>
      </c>
      <c r="G46" s="29" t="str">
        <f>IF('12 - Device_Configuration'!AH46="","",'12 - Device_Configuration'!AH46)</f>
        <v/>
      </c>
      <c r="H46" s="29" t="str">
        <f>IF('12 - Device_Configuration'!A46="","",'12 - Device_Configuration'!A46)</f>
        <v>Neuron</v>
      </c>
      <c r="I46" s="29" t="str">
        <f>IF('12 - Device_Configuration'!AI46="","",'12 - Device_Configuration'!AI46)</f>
        <v/>
      </c>
      <c r="J46" s="29" t="str">
        <f>IF('12 - Device_Configuration'!AJ46="","",'12 - Device_Configuration'!AJ46)</f>
        <v/>
      </c>
      <c r="K46" s="29" t="str">
        <f>IF('12 - Device_Configuration'!AA46="","",'12 - Device_Configuration'!AA46)</f>
        <v/>
      </c>
      <c r="L46" s="29" t="str">
        <f>IF('12 - Device_Configuration'!I46="","",'12 - Device_Configuration'!I46)</f>
        <v/>
      </c>
      <c r="M46" s="30"/>
      <c r="N46" s="29" t="str">
        <f>IF('12 - Device_Configuration'!J46="","",'12 - Device_Configuration'!J46)</f>
        <v/>
      </c>
      <c r="O46" s="29" t="str">
        <f>IF('12 - Device_Configuration'!K46="","",'12 - Device_Configuration'!K46)</f>
        <v/>
      </c>
      <c r="P46" s="29" t="str">
        <f>IF('12 - Device_Configuration'!L46="","",'12 - Device_Configuration'!L46)</f>
        <v/>
      </c>
      <c r="Q46" s="30"/>
      <c r="R46" s="29" t="str">
        <f>IF('12 - Device_Configuration'!AY46="","",'12 - Device_Configuration'!AY46)</f>
        <v/>
      </c>
      <c r="S46" s="29" t="str">
        <f>IF('12 - Device_Configuration'!AX46="","",'12 - Device_Configuration'!AX46)</f>
        <v/>
      </c>
      <c r="T46" s="29" t="str">
        <f>IF('12 - Device_Configuration'!AV46="","",'12 - Device_Configuration'!AV46)</f>
        <v/>
      </c>
      <c r="U46" s="29" t="str">
        <f>IF('12 - Device_Configuration'!AW46="","",'12 - Device_Configuration'!AW46)</f>
        <v/>
      </c>
      <c r="V46" s="29" t="str">
        <f>IF('12 - Device_Configuration'!BA46="","",'12 - Device_Configuration'!BA46)</f>
        <v/>
      </c>
      <c r="W46" s="29" t="str">
        <f>IF('12 - Device_Configuration'!BC46="","",'12 - Device_Configuration'!BC46)</f>
        <v/>
      </c>
      <c r="X46" s="29" t="str">
        <f>IF('12 - Device_Configuration'!BK46="","",'12 - Device_Configuration'!BK46)</f>
        <v>Power Cable, Battery, Firmware Download, Device ID, Epic Beans Relay</v>
      </c>
      <c r="Y46" s="29" t="str">
        <f>IF('12 - Device_Configuration'!BB46="","",'12 - Device_Configuration'!BB46)</f>
        <v/>
      </c>
      <c r="Z46" s="29" t="str">
        <f>IF('12 - Device_Configuration'!P46="","",'12 - Device_Configuration'!P46)</f>
        <v/>
      </c>
      <c r="AA46" s="29" t="str">
        <f>IF('12 - Device_Configuration'!Q46="","",'12 - Device_Configuration'!Q46)</f>
        <v/>
      </c>
    </row>
    <row r="47" spans="1:27" ht="45.75" customHeight="1">
      <c r="A47" s="30"/>
      <c r="B47" s="30"/>
      <c r="C47" s="29" t="str">
        <f>IF('12 - Device_Configuration'!H47="","",'12 - Device_Configuration'!H47)</f>
        <v>Glen Cove</v>
      </c>
      <c r="D47" s="29" t="str">
        <f>IF('12 - Device_Configuration'!AE47="","",'12 - Device_Configuration'!AE47)</f>
        <v/>
      </c>
      <c r="E47" s="29" t="str">
        <f>IF('12 - Device_Configuration'!AF47="","",'12 - Device_Configuration'!AF47)</f>
        <v/>
      </c>
      <c r="F47" s="29" t="str">
        <f>IF('12 - Device_Configuration'!AG47="","",'12 - Device_Configuration'!AG47)</f>
        <v/>
      </c>
      <c r="G47" s="29" t="str">
        <f>IF('12 - Device_Configuration'!AH47="","",'12 - Device_Configuration'!AH47)</f>
        <v/>
      </c>
      <c r="H47" s="29" t="str">
        <f>IF('12 - Device_Configuration'!A47="","",'12 - Device_Configuration'!A47)</f>
        <v>Neuron</v>
      </c>
      <c r="I47" s="29" t="str">
        <f>IF('12 - Device_Configuration'!AI47="","",'12 - Device_Configuration'!AI47)</f>
        <v/>
      </c>
      <c r="J47" s="29" t="str">
        <f>IF('12 - Device_Configuration'!AJ47="","",'12 - Device_Configuration'!AJ47)</f>
        <v/>
      </c>
      <c r="K47" s="29" t="str">
        <f>IF('12 - Device_Configuration'!AA47="","",'12 - Device_Configuration'!AA47)</f>
        <v/>
      </c>
      <c r="L47" s="29" t="str">
        <f>IF('12 - Device_Configuration'!I47="","",'12 - Device_Configuration'!I47)</f>
        <v/>
      </c>
      <c r="M47" s="30"/>
      <c r="N47" s="29" t="str">
        <f>IF('12 - Device_Configuration'!J47="","",'12 - Device_Configuration'!J47)</f>
        <v>NA</v>
      </c>
      <c r="O47" s="29" t="str">
        <f>IF('12 - Device_Configuration'!K47="","",'12 - Device_Configuration'!K47)</f>
        <v>NA</v>
      </c>
      <c r="P47" s="29" t="str">
        <f>IF('12 - Device_Configuration'!L47="","",'12 - Device_Configuration'!L47)</f>
        <v>NA</v>
      </c>
      <c r="Q47" s="30"/>
      <c r="R47" s="29" t="str">
        <f>IF('12 - Device_Configuration'!AY47="","",'12 - Device_Configuration'!AY47)</f>
        <v/>
      </c>
      <c r="S47" s="29" t="str">
        <f>IF('12 - Device_Configuration'!AX47="","",'12 - Device_Configuration'!AX47)</f>
        <v/>
      </c>
      <c r="T47" s="29" t="str">
        <f>IF('12 - Device_Configuration'!AV47="","",'12 - Device_Configuration'!AV47)</f>
        <v/>
      </c>
      <c r="U47" s="29" t="str">
        <f>IF('12 - Device_Configuration'!AW47="","",'12 - Device_Configuration'!AW47)</f>
        <v/>
      </c>
      <c r="V47" s="29" t="str">
        <f>IF('12 - Device_Configuration'!BA47="","",'12 - Device_Configuration'!BA47)</f>
        <v/>
      </c>
      <c r="W47" s="29" t="str">
        <f>IF('12 - Device_Configuration'!BC47="","",'12 - Device_Configuration'!BC47)</f>
        <v>In Storage</v>
      </c>
      <c r="X47" s="29" t="str">
        <f>IF('12 - Device_Configuration'!BK47="","",'12 - Device_Configuration'!BK47)</f>
        <v>Power Cable, Battery, Firmware Download, Device ID, Epic Beans Relay</v>
      </c>
      <c r="Y47" s="29" t="str">
        <f>IF('12 - Device_Configuration'!BB47="","",'12 - Device_Configuration'!BB47)</f>
        <v/>
      </c>
      <c r="Z47" s="29" t="str">
        <f>IF('12 - Device_Configuration'!P47="","",'12 - Device_Configuration'!P47)</f>
        <v/>
      </c>
      <c r="AA47" s="29" t="str">
        <f>IF('12 - Device_Configuration'!Q47="","",'12 - Device_Configuration'!Q47)</f>
        <v/>
      </c>
    </row>
    <row r="48" spans="1:27" ht="45.75" customHeight="1">
      <c r="A48" s="30"/>
      <c r="B48" s="30"/>
      <c r="C48" s="29" t="str">
        <f>IF('12 - Device_Configuration'!H48="","",'12 - Device_Configuration'!H48)</f>
        <v>Glen Cove</v>
      </c>
      <c r="D48" s="29" t="str">
        <f>IF('12 - Device_Configuration'!AE48="","",'12 - Device_Configuration'!AE48)</f>
        <v/>
      </c>
      <c r="E48" s="29" t="str">
        <f>IF('12 - Device_Configuration'!AF48="","",'12 - Device_Configuration'!AF48)</f>
        <v/>
      </c>
      <c r="F48" s="29" t="str">
        <f>IF('12 - Device_Configuration'!AG48="","",'12 - Device_Configuration'!AG48)</f>
        <v/>
      </c>
      <c r="G48" s="29" t="str">
        <f>IF('12 - Device_Configuration'!AH48="","",'12 - Device_Configuration'!AH48)</f>
        <v/>
      </c>
      <c r="H48" s="29" t="str">
        <f>IF('12 - Device_Configuration'!A48="","",'12 - Device_Configuration'!A48)</f>
        <v>Neuron</v>
      </c>
      <c r="I48" s="29" t="str">
        <f>IF('12 - Device_Configuration'!AI48="","",'12 - Device_Configuration'!AI48)</f>
        <v/>
      </c>
      <c r="J48" s="29" t="str">
        <f>IF('12 - Device_Configuration'!AJ48="","",'12 - Device_Configuration'!AJ48)</f>
        <v/>
      </c>
      <c r="K48" s="29" t="str">
        <f>IF('12 - Device_Configuration'!AA48="","",'12 - Device_Configuration'!AA48)</f>
        <v/>
      </c>
      <c r="L48" s="29" t="str">
        <f>IF('12 - Device_Configuration'!I48="","",'12 - Device_Configuration'!I48)</f>
        <v/>
      </c>
      <c r="M48" s="30"/>
      <c r="N48" s="29" t="str">
        <f>IF('12 - Device_Configuration'!J48="","",'12 - Device_Configuration'!J48)</f>
        <v>NA</v>
      </c>
      <c r="O48" s="29" t="str">
        <f>IF('12 - Device_Configuration'!K48="","",'12 - Device_Configuration'!K48)</f>
        <v>NA</v>
      </c>
      <c r="P48" s="29" t="str">
        <f>IF('12 - Device_Configuration'!L48="","",'12 - Device_Configuration'!L48)</f>
        <v>NA</v>
      </c>
      <c r="Q48" s="30"/>
      <c r="R48" s="29" t="str">
        <f>IF('12 - Device_Configuration'!AY48="","",'12 - Device_Configuration'!AY48)</f>
        <v/>
      </c>
      <c r="S48" s="29" t="str">
        <f>IF('12 - Device_Configuration'!AX48="","",'12 - Device_Configuration'!AX48)</f>
        <v/>
      </c>
      <c r="T48" s="29" t="str">
        <f>IF('12 - Device_Configuration'!AV48="","",'12 - Device_Configuration'!AV48)</f>
        <v/>
      </c>
      <c r="U48" s="29" t="str">
        <f>IF('12 - Device_Configuration'!AW48="","",'12 - Device_Configuration'!AW48)</f>
        <v/>
      </c>
      <c r="V48" s="29" t="str">
        <f>IF('12 - Device_Configuration'!BA48="","",'12 - Device_Configuration'!BA48)</f>
        <v/>
      </c>
      <c r="W48" s="29" t="str">
        <f>IF('12 - Device_Configuration'!BC48="","",'12 - Device_Configuration'!BC48)</f>
        <v>In Storage</v>
      </c>
      <c r="X48" s="29" t="str">
        <f>IF('12 - Device_Configuration'!BK48="","",'12 - Device_Configuration'!BK48)</f>
        <v>Power Cable, Battery, Firmware Download, Device ID, Epic Beans Relay</v>
      </c>
      <c r="Y48" s="29" t="str">
        <f>IF('12 - Device_Configuration'!BB48="","",'12 - Device_Configuration'!BB48)</f>
        <v/>
      </c>
      <c r="Z48" s="29" t="str">
        <f>IF('12 - Device_Configuration'!P48="","",'12 - Device_Configuration'!P48)</f>
        <v/>
      </c>
      <c r="AA48" s="29" t="str">
        <f>IF('12 - Device_Configuration'!Q48="","",'12 - Device_Configuration'!Q48)</f>
        <v/>
      </c>
    </row>
    <row r="49" spans="1:27" ht="45.75" customHeight="1">
      <c r="A49" s="30"/>
      <c r="B49" s="30"/>
      <c r="C49" s="29" t="str">
        <f>IF('12 - Device_Configuration'!H49="","",'12 - Device_Configuration'!H49)</f>
        <v>Glen Cove</v>
      </c>
      <c r="D49" s="29" t="str">
        <f>IF('12 - Device_Configuration'!AE49="","",'12 - Device_Configuration'!AE49)</f>
        <v/>
      </c>
      <c r="E49" s="29" t="str">
        <f>IF('12 - Device_Configuration'!AF49="","",'12 - Device_Configuration'!AF49)</f>
        <v/>
      </c>
      <c r="F49" s="29" t="str">
        <f>IF('12 - Device_Configuration'!AG49="","",'12 - Device_Configuration'!AG49)</f>
        <v/>
      </c>
      <c r="G49" s="29" t="str">
        <f>IF('12 - Device_Configuration'!AH49="","",'12 - Device_Configuration'!AH49)</f>
        <v/>
      </c>
      <c r="H49" s="29" t="str">
        <f>IF('12 - Device_Configuration'!A49="","",'12 - Device_Configuration'!A49)</f>
        <v>Neuron</v>
      </c>
      <c r="I49" s="29" t="str">
        <f>IF('12 - Device_Configuration'!AI49="","",'12 - Device_Configuration'!AI49)</f>
        <v/>
      </c>
      <c r="J49" s="29" t="str">
        <f>IF('12 - Device_Configuration'!AJ49="","",'12 - Device_Configuration'!AJ49)</f>
        <v/>
      </c>
      <c r="K49" s="29" t="str">
        <f>IF('12 - Device_Configuration'!AA49="","",'12 - Device_Configuration'!AA49)</f>
        <v/>
      </c>
      <c r="L49" s="29" t="str">
        <f>IF('12 - Device_Configuration'!I49="","",'12 - Device_Configuration'!I49)</f>
        <v/>
      </c>
      <c r="M49" s="30"/>
      <c r="N49" s="29" t="str">
        <f>IF('12 - Device_Configuration'!J49="","",'12 - Device_Configuration'!J49)</f>
        <v>NA</v>
      </c>
      <c r="O49" s="29" t="str">
        <f>IF('12 - Device_Configuration'!K49="","",'12 - Device_Configuration'!K49)</f>
        <v>NA</v>
      </c>
      <c r="P49" s="29" t="str">
        <f>IF('12 - Device_Configuration'!L49="","",'12 - Device_Configuration'!L49)</f>
        <v>NA</v>
      </c>
      <c r="Q49" s="30"/>
      <c r="R49" s="29" t="str">
        <f>IF('12 - Device_Configuration'!AY49="","",'12 - Device_Configuration'!AY49)</f>
        <v/>
      </c>
      <c r="S49" s="29" t="str">
        <f>IF('12 - Device_Configuration'!AX49="","",'12 - Device_Configuration'!AX49)</f>
        <v/>
      </c>
      <c r="T49" s="29" t="str">
        <f>IF('12 - Device_Configuration'!AV49="","",'12 - Device_Configuration'!AV49)</f>
        <v/>
      </c>
      <c r="U49" s="29" t="str">
        <f>IF('12 - Device_Configuration'!AW49="","",'12 - Device_Configuration'!AW49)</f>
        <v/>
      </c>
      <c r="V49" s="29" t="str">
        <f>IF('12 - Device_Configuration'!BA49="","",'12 - Device_Configuration'!BA49)</f>
        <v/>
      </c>
      <c r="W49" s="29" t="str">
        <f>IF('12 - Device_Configuration'!BC49="","",'12 - Device_Configuration'!BC49)</f>
        <v>In Storage</v>
      </c>
      <c r="X49" s="29" t="str">
        <f>IF('12 - Device_Configuration'!BK49="","",'12 - Device_Configuration'!BK49)</f>
        <v>Power Cable, Battery, Firmware Download, Device ID, Epic Beans Relay</v>
      </c>
      <c r="Y49" s="29" t="str">
        <f>IF('12 - Device_Configuration'!BB49="","",'12 - Device_Configuration'!BB49)</f>
        <v/>
      </c>
      <c r="Z49" s="29" t="str">
        <f>IF('12 - Device_Configuration'!P49="","",'12 - Device_Configuration'!P49)</f>
        <v/>
      </c>
      <c r="AA49" s="29" t="str">
        <f>IF('12 - Device_Configuration'!Q49="","",'12 - Device_Configuration'!Q49)</f>
        <v/>
      </c>
    </row>
    <row r="50" spans="1:27" ht="30.75" customHeight="1">
      <c r="A50" s="30"/>
      <c r="B50" s="30"/>
      <c r="C50" s="29" t="str">
        <f>IF('12 - Device_Configuration'!H50="","",'12 - Device_Configuration'!H50)</f>
        <v>LIJ-IR</v>
      </c>
      <c r="D50" s="29" t="str">
        <f>IF('12 - Device_Configuration'!AE50="","",'12 - Device_Configuration'!AE50)</f>
        <v/>
      </c>
      <c r="E50" s="29" t="str">
        <f>IF('12 - Device_Configuration'!AF50="","",'12 - Device_Configuration'!AF50)</f>
        <v/>
      </c>
      <c r="F50" s="29" t="str">
        <f>IF('12 - Device_Configuration'!AG50="","",'12 - Device_Configuration'!AG50)</f>
        <v/>
      </c>
      <c r="G50" s="29" t="str">
        <f>IF('12 - Device_Configuration'!AH50="","",'12 - Device_Configuration'!AH50)</f>
        <v/>
      </c>
      <c r="H50" s="29" t="str">
        <f>IF('12 - Device_Configuration'!A50="","",'12 - Device_Configuration'!A50)</f>
        <v>Cybernet</v>
      </c>
      <c r="I50" s="29" t="str">
        <f>IF('12 - Device_Configuration'!AI50="","",'12 - Device_Configuration'!AI50)</f>
        <v>Cybernet Manufacturing Inc</v>
      </c>
      <c r="J50" s="29" t="str">
        <f>IF('12 - Device_Configuration'!AJ50="","",'12 - Device_Configuration'!AJ50)</f>
        <v>CyberMed-S24 TGL</v>
      </c>
      <c r="K50" s="29" t="str">
        <f>IF('12 - Device_Configuration'!AA50="","",'12 - Device_Configuration'!AA50)</f>
        <v/>
      </c>
      <c r="L50" s="29" t="str">
        <f>IF('12 - Device_Configuration'!I50="","",'12 - Device_Configuration'!I50)</f>
        <v/>
      </c>
      <c r="M50" s="30"/>
      <c r="N50" s="29" t="str">
        <f>IF('12 - Device_Configuration'!J50="","",'12 - Device_Configuration'!J50)</f>
        <v>Yes</v>
      </c>
      <c r="O50" s="29" t="str">
        <f>IF('12 - Device_Configuration'!K50="","",'12 - Device_Configuration'!K50)</f>
        <v>No</v>
      </c>
      <c r="P50" s="29" t="str">
        <f>IF('12 - Device_Configuration'!L50="","",'12 - Device_Configuration'!L50)</f>
        <v>No</v>
      </c>
      <c r="Q50" s="30"/>
      <c r="R50" s="29" t="str">
        <f>IF('12 - Device_Configuration'!AY50="","",'12 - Device_Configuration'!AY50)</f>
        <v/>
      </c>
      <c r="S50" s="29" t="str">
        <f>IF('12 - Device_Configuration'!AX50="","",'12 - Device_Configuration'!AX50)</f>
        <v/>
      </c>
      <c r="T50" s="29" t="str">
        <f>IF('12 - Device_Configuration'!AV50="","",'12 - Device_Configuration'!AV50)</f>
        <v/>
      </c>
      <c r="U50" s="29" t="str">
        <f>IF('12 - Device_Configuration'!AW50="","",'12 - Device_Configuration'!AW50)</f>
        <v/>
      </c>
      <c r="V50" s="29" t="str">
        <f>IF('12 - Device_Configuration'!BA50="","",'12 - Device_Configuration'!BA50)</f>
        <v/>
      </c>
      <c r="W50" s="29" t="str">
        <f>IF('12 - Device_Configuration'!BC50="","",'12 - Device_Configuration'!BC50)</f>
        <v>In Storage</v>
      </c>
      <c r="X50" s="29" t="str">
        <f>IF('12 - Device_Configuration'!BK50="","",'12 - Device_Configuration'!BK50)</f>
        <v/>
      </c>
      <c r="Y50" s="29" t="str">
        <f>IF('12 - Device_Configuration'!BB50="","",'12 - Device_Configuration'!BB50)</f>
        <v>Ran POSTINSTALL, boxed</v>
      </c>
      <c r="Z50" s="29" t="str">
        <f>IF('12 - Device_Configuration'!P50="","",'12 - Device_Configuration'!P50)</f>
        <v/>
      </c>
      <c r="AA50" s="29" t="str">
        <f>IF('12 - Device_Configuration'!Q50="","",'12 - Device_Configuration'!Q50)</f>
        <v/>
      </c>
    </row>
    <row r="51" spans="1:27" ht="30.75" customHeight="1">
      <c r="A51" s="30"/>
      <c r="B51" s="30"/>
      <c r="C51" s="29" t="str">
        <f>IF('12 - Device_Configuration'!H51="","",'12 - Device_Configuration'!H51)</f>
        <v>LIJ-IR</v>
      </c>
      <c r="D51" s="29" t="str">
        <f>IF('12 - Device_Configuration'!AE51="","",'12 - Device_Configuration'!AE51)</f>
        <v/>
      </c>
      <c r="E51" s="29" t="str">
        <f>IF('12 - Device_Configuration'!AF51="","",'12 - Device_Configuration'!AF51)</f>
        <v/>
      </c>
      <c r="F51" s="29" t="str">
        <f>IF('12 - Device_Configuration'!AG51="","",'12 - Device_Configuration'!AG51)</f>
        <v/>
      </c>
      <c r="G51" s="29" t="str">
        <f>IF('12 - Device_Configuration'!AH51="","",'12 - Device_Configuration'!AH51)</f>
        <v/>
      </c>
      <c r="H51" s="29" t="str">
        <f>IF('12 - Device_Configuration'!A51="","",'12 - Device_Configuration'!A51)</f>
        <v>Cybernet</v>
      </c>
      <c r="I51" s="29" t="str">
        <f>IF('12 - Device_Configuration'!AI51="","",'12 - Device_Configuration'!AI51)</f>
        <v>Cybernet Manufacturing Inc</v>
      </c>
      <c r="J51" s="29" t="str">
        <f>IF('12 - Device_Configuration'!AJ51="","",'12 - Device_Configuration'!AJ51)</f>
        <v>CyberMed-S24 TGL</v>
      </c>
      <c r="K51" s="29" t="str">
        <f>IF('12 - Device_Configuration'!AA51="","",'12 - Device_Configuration'!AA51)</f>
        <v/>
      </c>
      <c r="L51" s="29" t="str">
        <f>IF('12 - Device_Configuration'!I51="","",'12 - Device_Configuration'!I51)</f>
        <v/>
      </c>
      <c r="M51" s="30"/>
      <c r="N51" s="29" t="str">
        <f>IF('12 - Device_Configuration'!J51="","",'12 - Device_Configuration'!J51)</f>
        <v>Yes</v>
      </c>
      <c r="O51" s="29" t="str">
        <f>IF('12 - Device_Configuration'!K51="","",'12 - Device_Configuration'!K51)</f>
        <v>No</v>
      </c>
      <c r="P51" s="29" t="str">
        <f>IF('12 - Device_Configuration'!L51="","",'12 - Device_Configuration'!L51)</f>
        <v>No</v>
      </c>
      <c r="Q51" s="30"/>
      <c r="R51" s="29" t="str">
        <f>IF('12 - Device_Configuration'!AY51="","",'12 - Device_Configuration'!AY51)</f>
        <v/>
      </c>
      <c r="S51" s="29" t="str">
        <f>IF('12 - Device_Configuration'!AX51="","",'12 - Device_Configuration'!AX51)</f>
        <v/>
      </c>
      <c r="T51" s="29" t="str">
        <f>IF('12 - Device_Configuration'!AV51="","",'12 - Device_Configuration'!AV51)</f>
        <v/>
      </c>
      <c r="U51" s="29" t="str">
        <f>IF('12 - Device_Configuration'!AW51="","",'12 - Device_Configuration'!AW51)</f>
        <v/>
      </c>
      <c r="V51" s="29" t="str">
        <f>IF('12 - Device_Configuration'!BA51="","",'12 - Device_Configuration'!BA51)</f>
        <v/>
      </c>
      <c r="W51" s="29" t="str">
        <f>IF('12 - Device_Configuration'!BC51="","",'12 - Device_Configuration'!BC51)</f>
        <v>In Storage</v>
      </c>
      <c r="X51" s="29" t="str">
        <f>IF('12 - Device_Configuration'!BK51="","",'12 - Device_Configuration'!BK51)</f>
        <v/>
      </c>
      <c r="Y51" s="29" t="str">
        <f>IF('12 - Device_Configuration'!BB51="","",'12 - Device_Configuration'!BB51)</f>
        <v>Ran POSTINSTALL, boxed</v>
      </c>
      <c r="Z51" s="29" t="str">
        <f>IF('12 - Device_Configuration'!P51="","",'12 - Device_Configuration'!P51)</f>
        <v/>
      </c>
      <c r="AA51" s="29" t="str">
        <f>IF('12 - Device_Configuration'!Q51="","",'12 - Device_Configuration'!Q51)</f>
        <v/>
      </c>
    </row>
    <row r="52" spans="1:27">
      <c r="A52" s="30"/>
      <c r="B52" s="30"/>
      <c r="C52" s="29" t="str">
        <f>IF('12 - Device_Configuration'!H52="","",'12 - Device_Configuration'!H52)</f>
        <v>MEETH</v>
      </c>
      <c r="D52" s="29" t="str">
        <f>IF('12 - Device_Configuration'!AE52="","",'12 - Device_Configuration'!AE52)</f>
        <v/>
      </c>
      <c r="E52" s="29" t="str">
        <f>IF('12 - Device_Configuration'!AF52="","",'12 - Device_Configuration'!AF52)</f>
        <v/>
      </c>
      <c r="F52" s="29" t="str">
        <f>IF('12 - Device_Configuration'!AG52="","",'12 - Device_Configuration'!AG52)</f>
        <v/>
      </c>
      <c r="G52" s="29" t="str">
        <f>IF('12 - Device_Configuration'!AH52="","",'12 - Device_Configuration'!AH52)</f>
        <v/>
      </c>
      <c r="H52" s="29" t="str">
        <f>IF('12 - Device_Configuration'!A52="","",'12 - Device_Configuration'!A52)</f>
        <v>Cybernet</v>
      </c>
      <c r="I52" s="29" t="str">
        <f>IF('12 - Device_Configuration'!AI52="","",'12 - Device_Configuration'!AI52)</f>
        <v/>
      </c>
      <c r="J52" s="29" t="str">
        <f>IF('12 - Device_Configuration'!AJ52="","",'12 - Device_Configuration'!AJ52)</f>
        <v/>
      </c>
      <c r="K52" s="29" t="str">
        <f>IF('12 - Device_Configuration'!AA52="","",'12 - Device_Configuration'!AA52)</f>
        <v/>
      </c>
      <c r="L52" s="29" t="str">
        <f>IF('12 - Device_Configuration'!I52="","",'12 - Device_Configuration'!I52)</f>
        <v/>
      </c>
      <c r="M52" s="30"/>
      <c r="N52" s="29" t="str">
        <f>IF('12 - Device_Configuration'!J52="","",'12 - Device_Configuration'!J52)</f>
        <v>Yes</v>
      </c>
      <c r="O52" s="29" t="str">
        <f>IF('12 - Device_Configuration'!K52="","",'12 - Device_Configuration'!K52)</f>
        <v>No</v>
      </c>
      <c r="P52" s="29" t="str">
        <f>IF('12 - Device_Configuration'!L52="","",'12 - Device_Configuration'!L52)</f>
        <v>No</v>
      </c>
      <c r="Q52" s="30"/>
      <c r="R52" s="29" t="str">
        <f>IF('12 - Device_Configuration'!AY52="","",'12 - Device_Configuration'!AY52)</f>
        <v/>
      </c>
      <c r="S52" s="29" t="str">
        <f>IF('12 - Device_Configuration'!AX52="","",'12 - Device_Configuration'!AX52)</f>
        <v/>
      </c>
      <c r="T52" s="29" t="str">
        <f>IF('12 - Device_Configuration'!AV52="","",'12 - Device_Configuration'!AV52)</f>
        <v/>
      </c>
      <c r="U52" s="29" t="str">
        <f>IF('12 - Device_Configuration'!AW52="","",'12 - Device_Configuration'!AW52)</f>
        <v/>
      </c>
      <c r="V52" s="29" t="str">
        <f>IF('12 - Device_Configuration'!BA52="","",'12 - Device_Configuration'!BA52)</f>
        <v/>
      </c>
      <c r="W52" s="29" t="str">
        <f>IF('12 - Device_Configuration'!BC52="","",'12 - Device_Configuration'!BC52)</f>
        <v/>
      </c>
      <c r="X52" s="29" t="str">
        <f>IF('12 - Device_Configuration'!BK52="","",'12 - Device_Configuration'!BK52)</f>
        <v/>
      </c>
      <c r="Y52" s="29" t="str">
        <f>IF('12 - Device_Configuration'!BB52="","",'12 - Device_Configuration'!BB52)</f>
        <v xml:space="preserve">Ran POSTINSTALL </v>
      </c>
      <c r="Z52" s="29" t="str">
        <f>IF('12 - Device_Configuration'!P52="","",'12 - Device_Configuration'!P52)</f>
        <v/>
      </c>
      <c r="AA52" s="29" t="str">
        <f>IF('12 - Device_Configuration'!Q52="","",'12 - Device_Configuration'!Q52)</f>
        <v/>
      </c>
    </row>
    <row r="53" spans="1:27">
      <c r="A53" s="30"/>
      <c r="B53" s="30"/>
      <c r="C53" s="29" t="str">
        <f>IF('12 - Device_Configuration'!H53="","",'12 - Device_Configuration'!H53)</f>
        <v>MEETH</v>
      </c>
      <c r="D53" s="29" t="str">
        <f>IF('12 - Device_Configuration'!AE53="","",'12 - Device_Configuration'!AE53)</f>
        <v/>
      </c>
      <c r="E53" s="29" t="str">
        <f>IF('12 - Device_Configuration'!AF53="","",'12 - Device_Configuration'!AF53)</f>
        <v/>
      </c>
      <c r="F53" s="29" t="str">
        <f>IF('12 - Device_Configuration'!AG53="","",'12 - Device_Configuration'!AG53)</f>
        <v/>
      </c>
      <c r="G53" s="29" t="str">
        <f>IF('12 - Device_Configuration'!AH53="","",'12 - Device_Configuration'!AH53)</f>
        <v/>
      </c>
      <c r="H53" s="29" t="str">
        <f>IF('12 - Device_Configuration'!A53="","",'12 - Device_Configuration'!A53)</f>
        <v>Cybernet</v>
      </c>
      <c r="I53" s="29" t="str">
        <f>IF('12 - Device_Configuration'!AI53="","",'12 - Device_Configuration'!AI53)</f>
        <v/>
      </c>
      <c r="J53" s="29" t="str">
        <f>IF('12 - Device_Configuration'!AJ53="","",'12 - Device_Configuration'!AJ53)</f>
        <v/>
      </c>
      <c r="K53" s="29" t="str">
        <f>IF('12 - Device_Configuration'!AA53="","",'12 - Device_Configuration'!AA53)</f>
        <v/>
      </c>
      <c r="L53" s="29" t="str">
        <f>IF('12 - Device_Configuration'!I53="","",'12 - Device_Configuration'!I53)</f>
        <v/>
      </c>
      <c r="M53" s="30"/>
      <c r="N53" s="29" t="str">
        <f>IF('12 - Device_Configuration'!J53="","",'12 - Device_Configuration'!J53)</f>
        <v>Yes</v>
      </c>
      <c r="O53" s="29" t="str">
        <f>IF('12 - Device_Configuration'!K53="","",'12 - Device_Configuration'!K53)</f>
        <v>No</v>
      </c>
      <c r="P53" s="29" t="str">
        <f>IF('12 - Device_Configuration'!L53="","",'12 - Device_Configuration'!L53)</f>
        <v>No</v>
      </c>
      <c r="Q53" s="30"/>
      <c r="R53" s="29" t="str">
        <f>IF('12 - Device_Configuration'!AY53="","",'12 - Device_Configuration'!AY53)</f>
        <v/>
      </c>
      <c r="S53" s="29" t="str">
        <f>IF('12 - Device_Configuration'!AX53="","",'12 - Device_Configuration'!AX53)</f>
        <v/>
      </c>
      <c r="T53" s="29" t="str">
        <f>IF('12 - Device_Configuration'!AV53="","",'12 - Device_Configuration'!AV53)</f>
        <v/>
      </c>
      <c r="U53" s="29" t="str">
        <f>IF('12 - Device_Configuration'!AW53="","",'12 - Device_Configuration'!AW53)</f>
        <v/>
      </c>
      <c r="V53" s="29" t="str">
        <f>IF('12 - Device_Configuration'!BA53="","",'12 - Device_Configuration'!BA53)</f>
        <v/>
      </c>
      <c r="W53" s="29" t="str">
        <f>IF('12 - Device_Configuration'!BC53="","",'12 - Device_Configuration'!BC53)</f>
        <v/>
      </c>
      <c r="X53" s="29" t="str">
        <f>IF('12 - Device_Configuration'!BK53="","",'12 - Device_Configuration'!BK53)</f>
        <v/>
      </c>
      <c r="Y53" s="29" t="str">
        <f>IF('12 - Device_Configuration'!BB53="","",'12 - Device_Configuration'!BB53)</f>
        <v>Ran POSTINSTALL</v>
      </c>
      <c r="Z53" s="29" t="str">
        <f>IF('12 - Device_Configuration'!P53="","",'12 - Device_Configuration'!P53)</f>
        <v/>
      </c>
      <c r="AA53" s="29" t="str">
        <f>IF('12 - Device_Configuration'!Q53="","",'12 - Device_Configuration'!Q53)</f>
        <v/>
      </c>
    </row>
    <row r="54" spans="1:27" ht="30.75" customHeight="1">
      <c r="A54" s="30"/>
      <c r="B54" s="30"/>
      <c r="C54" s="29" t="str">
        <f>IF('12 - Device_Configuration'!H54="","",'12 - Device_Configuration'!H54)</f>
        <v>NSUH</v>
      </c>
      <c r="D54" s="29" t="str">
        <f>IF('12 - Device_Configuration'!AE54="","",'12 - Device_Configuration'!AE54)</f>
        <v/>
      </c>
      <c r="E54" s="29" t="str">
        <f>IF('12 - Device_Configuration'!AF54="","",'12 - Device_Configuration'!AF54)</f>
        <v/>
      </c>
      <c r="F54" s="29" t="str">
        <f>IF('12 - Device_Configuration'!AG54="","",'12 - Device_Configuration'!AG54)</f>
        <v/>
      </c>
      <c r="G54" s="29" t="str">
        <f>IF('12 - Device_Configuration'!AH54="","",'12 - Device_Configuration'!AH54)</f>
        <v/>
      </c>
      <c r="H54" s="29" t="str">
        <f>IF('12 - Device_Configuration'!A54="","",'12 - Device_Configuration'!A54)</f>
        <v>Cybernet</v>
      </c>
      <c r="I54" s="29" t="str">
        <f>IF('12 - Device_Configuration'!AI54="","",'12 - Device_Configuration'!AI54)</f>
        <v>Cybernet Manufacturing Inc</v>
      </c>
      <c r="J54" s="29" t="str">
        <f>IF('12 - Device_Configuration'!AJ54="","",'12 - Device_Configuration'!AJ54)</f>
        <v>CyberMed-S24 TGL</v>
      </c>
      <c r="K54" s="29" t="str">
        <f>IF('12 - Device_Configuration'!AA54="","",'12 - Device_Configuration'!AA54)</f>
        <v/>
      </c>
      <c r="L54" s="29" t="str">
        <f>IF('12 - Device_Configuration'!I54="","",'12 - Device_Configuration'!I54)</f>
        <v/>
      </c>
      <c r="M54" s="30"/>
      <c r="N54" s="29" t="str">
        <f>IF('12 - Device_Configuration'!J54="","",'12 - Device_Configuration'!J54)</f>
        <v>Yes</v>
      </c>
      <c r="O54" s="29" t="str">
        <f>IF('12 - Device_Configuration'!K54="","",'12 - Device_Configuration'!K54)</f>
        <v>No</v>
      </c>
      <c r="P54" s="29" t="str">
        <f>IF('12 - Device_Configuration'!L54="","",'12 - Device_Configuration'!L54)</f>
        <v>No</v>
      </c>
      <c r="Q54" s="30"/>
      <c r="R54" s="29" t="str">
        <f>IF('12 - Device_Configuration'!AY54="","",'12 - Device_Configuration'!AY54)</f>
        <v/>
      </c>
      <c r="S54" s="29" t="str">
        <f>IF('12 - Device_Configuration'!AX54="","",'12 - Device_Configuration'!AX54)</f>
        <v/>
      </c>
      <c r="T54" s="29" t="str">
        <f>IF('12 - Device_Configuration'!AV54="","",'12 - Device_Configuration'!AV54)</f>
        <v/>
      </c>
      <c r="U54" s="29" t="str">
        <f>IF('12 - Device_Configuration'!AW54="","",'12 - Device_Configuration'!AW54)</f>
        <v/>
      </c>
      <c r="V54" s="29" t="str">
        <f>IF('12 - Device_Configuration'!BA54="","",'12 - Device_Configuration'!BA54)</f>
        <v/>
      </c>
      <c r="W54" s="29" t="str">
        <f>IF('12 - Device_Configuration'!BC54="","",'12 - Device_Configuration'!BC54)</f>
        <v>In Storage</v>
      </c>
      <c r="X54" s="29" t="str">
        <f>IF('12 - Device_Configuration'!BK54="","",'12 - Device_Configuration'!BK54)</f>
        <v/>
      </c>
      <c r="Y54" s="29" t="str">
        <f>IF('12 - Device_Configuration'!BB54="","",'12 - Device_Configuration'!BB54)</f>
        <v>Ran POSTINSTALL, boxe</v>
      </c>
      <c r="Z54" s="29" t="str">
        <f>IF('12 - Device_Configuration'!P54="","",'12 - Device_Configuration'!P54)</f>
        <v/>
      </c>
      <c r="AA54" s="29" t="str">
        <f>IF('12 - Device_Configuration'!Q54="","",'12 - Device_Configuration'!Q54)</f>
        <v/>
      </c>
    </row>
    <row r="55" spans="1:27" ht="30.75" customHeight="1">
      <c r="A55" s="30"/>
      <c r="B55" s="30"/>
      <c r="C55" s="29" t="str">
        <f>IF('12 - Device_Configuration'!H55="","",'12 - Device_Configuration'!H55)</f>
        <v>NSUH</v>
      </c>
      <c r="D55" s="29" t="str">
        <f>IF('12 - Device_Configuration'!AE55="","",'12 - Device_Configuration'!AE55)</f>
        <v/>
      </c>
      <c r="E55" s="29" t="str">
        <f>IF('12 - Device_Configuration'!AF55="","",'12 - Device_Configuration'!AF55)</f>
        <v/>
      </c>
      <c r="F55" s="29" t="str">
        <f>IF('12 - Device_Configuration'!AG55="","",'12 - Device_Configuration'!AG55)</f>
        <v/>
      </c>
      <c r="G55" s="29" t="str">
        <f>IF('12 - Device_Configuration'!AH55="","",'12 - Device_Configuration'!AH55)</f>
        <v/>
      </c>
      <c r="H55" s="29" t="str">
        <f>IF('12 - Device_Configuration'!A55="","",'12 - Device_Configuration'!A55)</f>
        <v>Cybernet</v>
      </c>
      <c r="I55" s="29" t="str">
        <f>IF('12 - Device_Configuration'!AI55="","",'12 - Device_Configuration'!AI55)</f>
        <v>Cybernet Manufacturing Inc</v>
      </c>
      <c r="J55" s="29" t="str">
        <f>IF('12 - Device_Configuration'!AJ55="","",'12 - Device_Configuration'!AJ55)</f>
        <v>CyberMed-S24 TGL</v>
      </c>
      <c r="K55" s="29" t="str">
        <f>IF('12 - Device_Configuration'!AA55="","",'12 - Device_Configuration'!AA55)</f>
        <v/>
      </c>
      <c r="L55" s="29" t="str">
        <f>IF('12 - Device_Configuration'!I55="","",'12 - Device_Configuration'!I55)</f>
        <v/>
      </c>
      <c r="M55" s="30"/>
      <c r="N55" s="29" t="str">
        <f>IF('12 - Device_Configuration'!J55="","",'12 - Device_Configuration'!J55)</f>
        <v>Yes</v>
      </c>
      <c r="O55" s="29" t="str">
        <f>IF('12 - Device_Configuration'!K55="","",'12 - Device_Configuration'!K55)</f>
        <v>No</v>
      </c>
      <c r="P55" s="29" t="str">
        <f>IF('12 - Device_Configuration'!L55="","",'12 - Device_Configuration'!L55)</f>
        <v>No</v>
      </c>
      <c r="Q55" s="30"/>
      <c r="R55" s="29" t="str">
        <f>IF('12 - Device_Configuration'!AY55="","",'12 - Device_Configuration'!AY55)</f>
        <v/>
      </c>
      <c r="S55" s="29" t="str">
        <f>IF('12 - Device_Configuration'!AX55="","",'12 - Device_Configuration'!AX55)</f>
        <v/>
      </c>
      <c r="T55" s="29" t="str">
        <f>IF('12 - Device_Configuration'!AV55="","",'12 - Device_Configuration'!AV55)</f>
        <v/>
      </c>
      <c r="U55" s="29" t="str">
        <f>IF('12 - Device_Configuration'!AW55="","",'12 - Device_Configuration'!AW55)</f>
        <v/>
      </c>
      <c r="V55" s="29" t="str">
        <f>IF('12 - Device_Configuration'!BA55="","",'12 - Device_Configuration'!BA55)</f>
        <v/>
      </c>
      <c r="W55" s="29" t="str">
        <f>IF('12 - Device_Configuration'!BC55="","",'12 - Device_Configuration'!BC55)</f>
        <v>In Storage</v>
      </c>
      <c r="X55" s="29" t="str">
        <f>IF('12 - Device_Configuration'!BK55="","",'12 - Device_Configuration'!BK55)</f>
        <v/>
      </c>
      <c r="Y55" s="29" t="str">
        <f>IF('12 - Device_Configuration'!BB55="","",'12 - Device_Configuration'!BB55)</f>
        <v>Ran POSTINSTALL, boxe</v>
      </c>
      <c r="Z55" s="29" t="str">
        <f>IF('12 - Device_Configuration'!P55="","",'12 - Device_Configuration'!P55)</f>
        <v/>
      </c>
      <c r="AA55" s="29" t="str">
        <f>IF('12 - Device_Configuration'!Q55="","",'12 - Device_Configuration'!Q55)</f>
        <v/>
      </c>
    </row>
    <row r="56" spans="1:27">
      <c r="A56" s="30"/>
      <c r="B56" s="30"/>
      <c r="C56" s="29" t="str">
        <f>IF('12 - Device_Configuration'!H56="","",'12 - Device_Configuration'!H56)</f>
        <v>NSUH</v>
      </c>
      <c r="D56" s="29" t="str">
        <f>IF('12 - Device_Configuration'!AE56="","",'12 - Device_Configuration'!AE56)</f>
        <v/>
      </c>
      <c r="E56" s="29" t="str">
        <f>IF('12 - Device_Configuration'!AF56="","",'12 - Device_Configuration'!AF56)</f>
        <v/>
      </c>
      <c r="F56" s="29" t="str">
        <f>IF('12 - Device_Configuration'!AG56="","",'12 - Device_Configuration'!AG56)</f>
        <v/>
      </c>
      <c r="G56" s="29" t="str">
        <f>IF('12 - Device_Configuration'!AH56="","",'12 - Device_Configuration'!AH56)</f>
        <v/>
      </c>
      <c r="H56" s="29" t="str">
        <f>IF('12 - Device_Configuration'!A56="","",'12 - Device_Configuration'!A56)</f>
        <v>Cybernet</v>
      </c>
      <c r="I56" s="29" t="str">
        <f>IF('12 - Device_Configuration'!AI56="","",'12 - Device_Configuration'!AI56)</f>
        <v/>
      </c>
      <c r="J56" s="29" t="str">
        <f>IF('12 - Device_Configuration'!AJ56="","",'12 - Device_Configuration'!AJ56)</f>
        <v/>
      </c>
      <c r="K56" s="29" t="str">
        <f>IF('12 - Device_Configuration'!AA56="","",'12 - Device_Configuration'!AA56)</f>
        <v/>
      </c>
      <c r="L56" s="29" t="str">
        <f>IF('12 - Device_Configuration'!I56="","",'12 - Device_Configuration'!I56)</f>
        <v/>
      </c>
      <c r="M56" s="30"/>
      <c r="N56" s="29" t="str">
        <f>IF('12 - Device_Configuration'!J56="","",'12 - Device_Configuration'!J56)</f>
        <v>Yes</v>
      </c>
      <c r="O56" s="29" t="str">
        <f>IF('12 - Device_Configuration'!K56="","",'12 - Device_Configuration'!K56)</f>
        <v>No</v>
      </c>
      <c r="P56" s="29" t="str">
        <f>IF('12 - Device_Configuration'!L56="","",'12 - Device_Configuration'!L56)</f>
        <v>No</v>
      </c>
      <c r="Q56" s="30"/>
      <c r="R56" s="29" t="str">
        <f>IF('12 - Device_Configuration'!AY56="","",'12 - Device_Configuration'!AY56)</f>
        <v/>
      </c>
      <c r="S56" s="29" t="str">
        <f>IF('12 - Device_Configuration'!AX56="","",'12 - Device_Configuration'!AX56)</f>
        <v/>
      </c>
      <c r="T56" s="29" t="str">
        <f>IF('12 - Device_Configuration'!AV56="","",'12 - Device_Configuration'!AV56)</f>
        <v/>
      </c>
      <c r="U56" s="29" t="str">
        <f>IF('12 - Device_Configuration'!AW56="","",'12 - Device_Configuration'!AW56)</f>
        <v/>
      </c>
      <c r="V56" s="29" t="str">
        <f>IF('12 - Device_Configuration'!BA56="","",'12 - Device_Configuration'!BA56)</f>
        <v/>
      </c>
      <c r="W56" s="29" t="str">
        <f>IF('12 - Device_Configuration'!BC56="","",'12 - Device_Configuration'!BC56)</f>
        <v>In Storage</v>
      </c>
      <c r="X56" s="29" t="str">
        <f>IF('12 - Device_Configuration'!BK56="","",'12 - Device_Configuration'!BK56)</f>
        <v/>
      </c>
      <c r="Y56" s="29" t="str">
        <f>IF('12 - Device_Configuration'!BB56="","",'12 - Device_Configuration'!BB56)</f>
        <v/>
      </c>
      <c r="Z56" s="29" t="str">
        <f>IF('12 - Device_Configuration'!P56="","",'12 - Device_Configuration'!P56)</f>
        <v/>
      </c>
      <c r="AA56" s="29" t="str">
        <f>IF('12 - Device_Configuration'!Q56="","",'12 - Device_Configuration'!Q56)</f>
        <v/>
      </c>
    </row>
    <row r="57" spans="1:27">
      <c r="A57" s="30"/>
      <c r="B57" s="30"/>
      <c r="C57" s="29" t="str">
        <f>IF('12 - Device_Configuration'!H57="","",'12 - Device_Configuration'!H57)</f>
        <v>NSUH</v>
      </c>
      <c r="D57" s="29" t="str">
        <f>IF('12 - Device_Configuration'!AE57="","",'12 - Device_Configuration'!AE57)</f>
        <v/>
      </c>
      <c r="E57" s="29" t="str">
        <f>IF('12 - Device_Configuration'!AF57="","",'12 - Device_Configuration'!AF57)</f>
        <v/>
      </c>
      <c r="F57" s="29" t="str">
        <f>IF('12 - Device_Configuration'!AG57="","",'12 - Device_Configuration'!AG57)</f>
        <v/>
      </c>
      <c r="G57" s="29" t="str">
        <f>IF('12 - Device_Configuration'!AH57="","",'12 - Device_Configuration'!AH57)</f>
        <v/>
      </c>
      <c r="H57" s="29" t="str">
        <f>IF('12 - Device_Configuration'!A57="","",'12 - Device_Configuration'!A57)</f>
        <v>Cybernet</v>
      </c>
      <c r="I57" s="29" t="str">
        <f>IF('12 - Device_Configuration'!AI57="","",'12 - Device_Configuration'!AI57)</f>
        <v/>
      </c>
      <c r="J57" s="29" t="str">
        <f>IF('12 - Device_Configuration'!AJ57="","",'12 - Device_Configuration'!AJ57)</f>
        <v/>
      </c>
      <c r="K57" s="29" t="str">
        <f>IF('12 - Device_Configuration'!AA57="","",'12 - Device_Configuration'!AA57)</f>
        <v/>
      </c>
      <c r="L57" s="29" t="str">
        <f>IF('12 - Device_Configuration'!I57="","",'12 - Device_Configuration'!I57)</f>
        <v/>
      </c>
      <c r="M57" s="30"/>
      <c r="N57" s="29" t="str">
        <f>IF('12 - Device_Configuration'!J57="","",'12 - Device_Configuration'!J57)</f>
        <v>Yes</v>
      </c>
      <c r="O57" s="29" t="str">
        <f>IF('12 - Device_Configuration'!K57="","",'12 - Device_Configuration'!K57)</f>
        <v>No</v>
      </c>
      <c r="P57" s="29" t="str">
        <f>IF('12 - Device_Configuration'!L57="","",'12 - Device_Configuration'!L57)</f>
        <v>No</v>
      </c>
      <c r="Q57" s="30"/>
      <c r="R57" s="29" t="str">
        <f>IF('12 - Device_Configuration'!AY57="","",'12 - Device_Configuration'!AY57)</f>
        <v/>
      </c>
      <c r="S57" s="29" t="str">
        <f>IF('12 - Device_Configuration'!AX57="","",'12 - Device_Configuration'!AX57)</f>
        <v/>
      </c>
      <c r="T57" s="29" t="str">
        <f>IF('12 - Device_Configuration'!AV57="","",'12 - Device_Configuration'!AV57)</f>
        <v/>
      </c>
      <c r="U57" s="29" t="str">
        <f>IF('12 - Device_Configuration'!AW57="","",'12 - Device_Configuration'!AW57)</f>
        <v/>
      </c>
      <c r="V57" s="29" t="str">
        <f>IF('12 - Device_Configuration'!BA57="","",'12 - Device_Configuration'!BA57)</f>
        <v/>
      </c>
      <c r="W57" s="29" t="str">
        <f>IF('12 - Device_Configuration'!BC57="","",'12 - Device_Configuration'!BC57)</f>
        <v>In Storage</v>
      </c>
      <c r="X57" s="29" t="str">
        <f>IF('12 - Device_Configuration'!BK57="","",'12 - Device_Configuration'!BK57)</f>
        <v/>
      </c>
      <c r="Y57" s="29" t="str">
        <f>IF('12 - Device_Configuration'!BB57="","",'12 - Device_Configuration'!BB57)</f>
        <v/>
      </c>
      <c r="Z57" s="29" t="str">
        <f>IF('12 - Device_Configuration'!P57="","",'12 - Device_Configuration'!P57)</f>
        <v/>
      </c>
      <c r="AA57" s="29" t="str">
        <f>IF('12 - Device_Configuration'!Q57="","",'12 - Device_Configuration'!Q57)</f>
        <v/>
      </c>
    </row>
    <row r="58" spans="1:27">
      <c r="A58" s="30"/>
      <c r="B58" s="30"/>
      <c r="C58" s="29" t="str">
        <f>IF('12 - Device_Configuration'!H58="","",'12 - Device_Configuration'!H58)</f>
        <v>NSUH</v>
      </c>
      <c r="D58" s="29" t="str">
        <f>IF('12 - Device_Configuration'!AE58="","",'12 - Device_Configuration'!AE58)</f>
        <v/>
      </c>
      <c r="E58" s="29" t="str">
        <f>IF('12 - Device_Configuration'!AF58="","",'12 - Device_Configuration'!AF58)</f>
        <v/>
      </c>
      <c r="F58" s="29" t="str">
        <f>IF('12 - Device_Configuration'!AG58="","",'12 - Device_Configuration'!AG58)</f>
        <v/>
      </c>
      <c r="G58" s="29" t="str">
        <f>IF('12 - Device_Configuration'!AH58="","",'12 - Device_Configuration'!AH58)</f>
        <v/>
      </c>
      <c r="H58" s="29" t="str">
        <f>IF('12 - Device_Configuration'!A58="","",'12 - Device_Configuration'!A58)</f>
        <v>Cybernet</v>
      </c>
      <c r="I58" s="29" t="str">
        <f>IF('12 - Device_Configuration'!AI58="","",'12 - Device_Configuration'!AI58)</f>
        <v/>
      </c>
      <c r="J58" s="29" t="str">
        <f>IF('12 - Device_Configuration'!AJ58="","",'12 - Device_Configuration'!AJ58)</f>
        <v/>
      </c>
      <c r="K58" s="29" t="str">
        <f>IF('12 - Device_Configuration'!AA58="","",'12 - Device_Configuration'!AA58)</f>
        <v/>
      </c>
      <c r="L58" s="29" t="str">
        <f>IF('12 - Device_Configuration'!I58="","",'12 - Device_Configuration'!I58)</f>
        <v/>
      </c>
      <c r="M58" s="30"/>
      <c r="N58" s="29" t="str">
        <f>IF('12 - Device_Configuration'!J58="","",'12 - Device_Configuration'!J58)</f>
        <v>Yes</v>
      </c>
      <c r="O58" s="29" t="str">
        <f>IF('12 - Device_Configuration'!K58="","",'12 - Device_Configuration'!K58)</f>
        <v>No</v>
      </c>
      <c r="P58" s="29" t="str">
        <f>IF('12 - Device_Configuration'!L58="","",'12 - Device_Configuration'!L58)</f>
        <v>No</v>
      </c>
      <c r="Q58" s="30"/>
      <c r="R58" s="29" t="str">
        <f>IF('12 - Device_Configuration'!AY58="","",'12 - Device_Configuration'!AY58)</f>
        <v/>
      </c>
      <c r="S58" s="29" t="str">
        <f>IF('12 - Device_Configuration'!AX58="","",'12 - Device_Configuration'!AX58)</f>
        <v/>
      </c>
      <c r="T58" s="29" t="str">
        <f>IF('12 - Device_Configuration'!AV58="","",'12 - Device_Configuration'!AV58)</f>
        <v/>
      </c>
      <c r="U58" s="29" t="str">
        <f>IF('12 - Device_Configuration'!AW58="","",'12 - Device_Configuration'!AW58)</f>
        <v/>
      </c>
      <c r="V58" s="29" t="str">
        <f>IF('12 - Device_Configuration'!BA58="","",'12 - Device_Configuration'!BA58)</f>
        <v/>
      </c>
      <c r="W58" s="29" t="str">
        <f>IF('12 - Device_Configuration'!BC58="","",'12 - Device_Configuration'!BC58)</f>
        <v>In Storage</v>
      </c>
      <c r="X58" s="29" t="str">
        <f>IF('12 - Device_Configuration'!BK58="","",'12 - Device_Configuration'!BK58)</f>
        <v/>
      </c>
      <c r="Y58" s="29" t="str">
        <f>IF('12 - Device_Configuration'!BB58="","",'12 - Device_Configuration'!BB58)</f>
        <v/>
      </c>
      <c r="Z58" s="29" t="str">
        <f>IF('12 - Device_Configuration'!P58="","",'12 - Device_Configuration'!P58)</f>
        <v/>
      </c>
      <c r="AA58" s="29" t="str">
        <f>IF('12 - Device_Configuration'!Q58="","",'12 - Device_Configuration'!Q58)</f>
        <v/>
      </c>
    </row>
    <row r="59" spans="1:27">
      <c r="A59" s="30"/>
      <c r="B59" s="30"/>
      <c r="C59" s="29" t="str">
        <f>IF('12 - Device_Configuration'!H59="","",'12 - Device_Configuration'!H59)</f>
        <v>NSUH</v>
      </c>
      <c r="D59" s="29" t="str">
        <f>IF('12 - Device_Configuration'!AE59="","",'12 - Device_Configuration'!AE59)</f>
        <v/>
      </c>
      <c r="E59" s="29" t="str">
        <f>IF('12 - Device_Configuration'!AF59="","",'12 - Device_Configuration'!AF59)</f>
        <v/>
      </c>
      <c r="F59" s="29" t="str">
        <f>IF('12 - Device_Configuration'!AG59="","",'12 - Device_Configuration'!AG59)</f>
        <v/>
      </c>
      <c r="G59" s="29" t="str">
        <f>IF('12 - Device_Configuration'!AH59="","",'12 - Device_Configuration'!AH59)</f>
        <v/>
      </c>
      <c r="H59" s="29" t="str">
        <f>IF('12 - Device_Configuration'!A59="","",'12 - Device_Configuration'!A59)</f>
        <v>Cybernet</v>
      </c>
      <c r="I59" s="29" t="str">
        <f>IF('12 - Device_Configuration'!AI59="","",'12 - Device_Configuration'!AI59)</f>
        <v/>
      </c>
      <c r="J59" s="29" t="str">
        <f>IF('12 - Device_Configuration'!AJ59="","",'12 - Device_Configuration'!AJ59)</f>
        <v/>
      </c>
      <c r="K59" s="29" t="str">
        <f>IF('12 - Device_Configuration'!AA59="","",'12 - Device_Configuration'!AA59)</f>
        <v/>
      </c>
      <c r="L59" s="29" t="str">
        <f>IF('12 - Device_Configuration'!I59="","",'12 - Device_Configuration'!I59)</f>
        <v/>
      </c>
      <c r="M59" s="30"/>
      <c r="N59" s="29" t="str">
        <f>IF('12 - Device_Configuration'!J59="","",'12 - Device_Configuration'!J59)</f>
        <v>Yes</v>
      </c>
      <c r="O59" s="29" t="str">
        <f>IF('12 - Device_Configuration'!K59="","",'12 - Device_Configuration'!K59)</f>
        <v>No</v>
      </c>
      <c r="P59" s="29" t="str">
        <f>IF('12 - Device_Configuration'!L59="","",'12 - Device_Configuration'!L59)</f>
        <v>No</v>
      </c>
      <c r="Q59" s="30"/>
      <c r="R59" s="29" t="str">
        <f>IF('12 - Device_Configuration'!AY59="","",'12 - Device_Configuration'!AY59)</f>
        <v/>
      </c>
      <c r="S59" s="29" t="str">
        <f>IF('12 - Device_Configuration'!AX59="","",'12 - Device_Configuration'!AX59)</f>
        <v/>
      </c>
      <c r="T59" s="29" t="str">
        <f>IF('12 - Device_Configuration'!AV59="","",'12 - Device_Configuration'!AV59)</f>
        <v/>
      </c>
      <c r="U59" s="29" t="str">
        <f>IF('12 - Device_Configuration'!AW59="","",'12 - Device_Configuration'!AW59)</f>
        <v/>
      </c>
      <c r="V59" s="29" t="str">
        <f>IF('12 - Device_Configuration'!BA59="","",'12 - Device_Configuration'!BA59)</f>
        <v/>
      </c>
      <c r="W59" s="29" t="str">
        <f>IF('12 - Device_Configuration'!BC59="","",'12 - Device_Configuration'!BC59)</f>
        <v>In Storage</v>
      </c>
      <c r="X59" s="29" t="str">
        <f>IF('12 - Device_Configuration'!BK59="","",'12 - Device_Configuration'!BK59)</f>
        <v/>
      </c>
      <c r="Y59" s="29" t="str">
        <f>IF('12 - Device_Configuration'!BB59="","",'12 - Device_Configuration'!BB59)</f>
        <v/>
      </c>
      <c r="Z59" s="29" t="str">
        <f>IF('12 - Device_Configuration'!P59="","",'12 - Device_Configuration'!P59)</f>
        <v/>
      </c>
      <c r="AA59" s="29" t="str">
        <f>IF('12 - Device_Configuration'!Q59="","",'12 - Device_Configuration'!Q59)</f>
        <v/>
      </c>
    </row>
    <row r="60" spans="1:27">
      <c r="A60" s="30"/>
      <c r="B60" s="30"/>
      <c r="C60" s="29" t="str">
        <f>IF('12 - Device_Configuration'!H60="","",'12 - Device_Configuration'!H60)</f>
        <v>NSUH</v>
      </c>
      <c r="D60" s="29" t="str">
        <f>IF('12 - Device_Configuration'!AE60="","",'12 - Device_Configuration'!AE60)</f>
        <v/>
      </c>
      <c r="E60" s="29" t="str">
        <f>IF('12 - Device_Configuration'!AF60="","",'12 - Device_Configuration'!AF60)</f>
        <v/>
      </c>
      <c r="F60" s="29" t="str">
        <f>IF('12 - Device_Configuration'!AG60="","",'12 - Device_Configuration'!AG60)</f>
        <v/>
      </c>
      <c r="G60" s="29" t="str">
        <f>IF('12 - Device_Configuration'!AH60="","",'12 - Device_Configuration'!AH60)</f>
        <v/>
      </c>
      <c r="H60" s="29" t="str">
        <f>IF('12 - Device_Configuration'!A60="","",'12 - Device_Configuration'!A60)</f>
        <v>Cybernet</v>
      </c>
      <c r="I60" s="29" t="str">
        <f>IF('12 - Device_Configuration'!AI60="","",'12 - Device_Configuration'!AI60)</f>
        <v/>
      </c>
      <c r="J60" s="29" t="str">
        <f>IF('12 - Device_Configuration'!AJ60="","",'12 - Device_Configuration'!AJ60)</f>
        <v/>
      </c>
      <c r="K60" s="29" t="str">
        <f>IF('12 - Device_Configuration'!AA60="","",'12 - Device_Configuration'!AA60)</f>
        <v/>
      </c>
      <c r="L60" s="29" t="str">
        <f>IF('12 - Device_Configuration'!I60="","",'12 - Device_Configuration'!I60)</f>
        <v/>
      </c>
      <c r="M60" s="30"/>
      <c r="N60" s="29" t="str">
        <f>IF('12 - Device_Configuration'!J60="","",'12 - Device_Configuration'!J60)</f>
        <v>Yes</v>
      </c>
      <c r="O60" s="29" t="str">
        <f>IF('12 - Device_Configuration'!K60="","",'12 - Device_Configuration'!K60)</f>
        <v>No</v>
      </c>
      <c r="P60" s="29" t="str">
        <f>IF('12 - Device_Configuration'!L60="","",'12 - Device_Configuration'!L60)</f>
        <v>No</v>
      </c>
      <c r="Q60" s="30"/>
      <c r="R60" s="29" t="str">
        <f>IF('12 - Device_Configuration'!AY60="","",'12 - Device_Configuration'!AY60)</f>
        <v/>
      </c>
      <c r="S60" s="29" t="str">
        <f>IF('12 - Device_Configuration'!AX60="","",'12 - Device_Configuration'!AX60)</f>
        <v/>
      </c>
      <c r="T60" s="29" t="str">
        <f>IF('12 - Device_Configuration'!AV60="","",'12 - Device_Configuration'!AV60)</f>
        <v/>
      </c>
      <c r="U60" s="29" t="str">
        <f>IF('12 - Device_Configuration'!AW60="","",'12 - Device_Configuration'!AW60)</f>
        <v/>
      </c>
      <c r="V60" s="29" t="str">
        <f>IF('12 - Device_Configuration'!BA60="","",'12 - Device_Configuration'!BA60)</f>
        <v/>
      </c>
      <c r="W60" s="29" t="str">
        <f>IF('12 - Device_Configuration'!BC60="","",'12 - Device_Configuration'!BC60)</f>
        <v>In Storage</v>
      </c>
      <c r="X60" s="29" t="str">
        <f>IF('12 - Device_Configuration'!BK60="","",'12 - Device_Configuration'!BK60)</f>
        <v/>
      </c>
      <c r="Y60" s="29" t="str">
        <f>IF('12 - Device_Configuration'!BB60="","",'12 - Device_Configuration'!BB60)</f>
        <v/>
      </c>
      <c r="Z60" s="29" t="str">
        <f>IF('12 - Device_Configuration'!P60="","",'12 - Device_Configuration'!P60)</f>
        <v/>
      </c>
      <c r="AA60" s="29" t="str">
        <f>IF('12 - Device_Configuration'!Q60="","",'12 - Device_Configuration'!Q60)</f>
        <v/>
      </c>
    </row>
    <row r="61" spans="1:27">
      <c r="A61" s="30"/>
      <c r="B61" s="30"/>
      <c r="C61" s="29" t="str">
        <f>IF('12 - Device_Configuration'!H61="","",'12 - Device_Configuration'!H61)</f>
        <v>NSUH</v>
      </c>
      <c r="D61" s="29" t="str">
        <f>IF('12 - Device_Configuration'!AE61="","",'12 - Device_Configuration'!AE61)</f>
        <v/>
      </c>
      <c r="E61" s="29" t="str">
        <f>IF('12 - Device_Configuration'!AF61="","",'12 - Device_Configuration'!AF61)</f>
        <v/>
      </c>
      <c r="F61" s="29" t="str">
        <f>IF('12 - Device_Configuration'!AG61="","",'12 - Device_Configuration'!AG61)</f>
        <v/>
      </c>
      <c r="G61" s="29" t="str">
        <f>IF('12 - Device_Configuration'!AH61="","",'12 - Device_Configuration'!AH61)</f>
        <v/>
      </c>
      <c r="H61" s="29" t="str">
        <f>IF('12 - Device_Configuration'!A61="","",'12 - Device_Configuration'!A61)</f>
        <v>Cybernet</v>
      </c>
      <c r="I61" s="29" t="str">
        <f>IF('12 - Device_Configuration'!AI61="","",'12 - Device_Configuration'!AI61)</f>
        <v/>
      </c>
      <c r="J61" s="29" t="str">
        <f>IF('12 - Device_Configuration'!AJ61="","",'12 - Device_Configuration'!AJ61)</f>
        <v/>
      </c>
      <c r="K61" s="29" t="str">
        <f>IF('12 - Device_Configuration'!AA61="","",'12 - Device_Configuration'!AA61)</f>
        <v/>
      </c>
      <c r="L61" s="29" t="str">
        <f>IF('12 - Device_Configuration'!I61="","",'12 - Device_Configuration'!I61)</f>
        <v/>
      </c>
      <c r="M61" s="30"/>
      <c r="N61" s="29" t="str">
        <f>IF('12 - Device_Configuration'!J61="","",'12 - Device_Configuration'!J61)</f>
        <v>Yes</v>
      </c>
      <c r="O61" s="29" t="str">
        <f>IF('12 - Device_Configuration'!K61="","",'12 - Device_Configuration'!K61)</f>
        <v>No</v>
      </c>
      <c r="P61" s="29" t="str">
        <f>IF('12 - Device_Configuration'!L61="","",'12 - Device_Configuration'!L61)</f>
        <v>No</v>
      </c>
      <c r="Q61" s="30"/>
      <c r="R61" s="29" t="str">
        <f>IF('12 - Device_Configuration'!AY61="","",'12 - Device_Configuration'!AY61)</f>
        <v/>
      </c>
      <c r="S61" s="29" t="str">
        <f>IF('12 - Device_Configuration'!AX61="","",'12 - Device_Configuration'!AX61)</f>
        <v/>
      </c>
      <c r="T61" s="29" t="str">
        <f>IF('12 - Device_Configuration'!AV61="","",'12 - Device_Configuration'!AV61)</f>
        <v/>
      </c>
      <c r="U61" s="29" t="str">
        <f>IF('12 - Device_Configuration'!AW61="","",'12 - Device_Configuration'!AW61)</f>
        <v/>
      </c>
      <c r="V61" s="29" t="str">
        <f>IF('12 - Device_Configuration'!BA61="","",'12 - Device_Configuration'!BA61)</f>
        <v/>
      </c>
      <c r="W61" s="29" t="str">
        <f>IF('12 - Device_Configuration'!BC61="","",'12 - Device_Configuration'!BC61)</f>
        <v>In Storage</v>
      </c>
      <c r="X61" s="29" t="str">
        <f>IF('12 - Device_Configuration'!BK61="","",'12 - Device_Configuration'!BK61)</f>
        <v/>
      </c>
      <c r="Y61" s="29" t="str">
        <f>IF('12 - Device_Configuration'!BB61="","",'12 - Device_Configuration'!BB61)</f>
        <v/>
      </c>
      <c r="Z61" s="29" t="str">
        <f>IF('12 - Device_Configuration'!P61="","",'12 - Device_Configuration'!P61)</f>
        <v/>
      </c>
      <c r="AA61" s="29" t="str">
        <f>IF('12 - Device_Configuration'!Q61="","",'12 - Device_Configuration'!Q61)</f>
        <v/>
      </c>
    </row>
    <row r="62" spans="1:27">
      <c r="A62" s="30"/>
      <c r="B62" s="30"/>
      <c r="C62" s="29" t="str">
        <f>IF('12 - Device_Configuration'!H62="","",'12 - Device_Configuration'!H62)</f>
        <v>NSUH</v>
      </c>
      <c r="D62" s="29" t="str">
        <f>IF('12 - Device_Configuration'!AE62="","",'12 - Device_Configuration'!AE62)</f>
        <v/>
      </c>
      <c r="E62" s="29" t="str">
        <f>IF('12 - Device_Configuration'!AF62="","",'12 - Device_Configuration'!AF62)</f>
        <v/>
      </c>
      <c r="F62" s="29" t="str">
        <f>IF('12 - Device_Configuration'!AG62="","",'12 - Device_Configuration'!AG62)</f>
        <v/>
      </c>
      <c r="G62" s="29" t="str">
        <f>IF('12 - Device_Configuration'!AH62="","",'12 - Device_Configuration'!AH62)</f>
        <v/>
      </c>
      <c r="H62" s="29" t="str">
        <f>IF('12 - Device_Configuration'!A62="","",'12 - Device_Configuration'!A62)</f>
        <v>Cybernet</v>
      </c>
      <c r="I62" s="29" t="str">
        <f>IF('12 - Device_Configuration'!AI62="","",'12 - Device_Configuration'!AI62)</f>
        <v/>
      </c>
      <c r="J62" s="29" t="str">
        <f>IF('12 - Device_Configuration'!AJ62="","",'12 - Device_Configuration'!AJ62)</f>
        <v/>
      </c>
      <c r="K62" s="29" t="str">
        <f>IF('12 - Device_Configuration'!AA62="","",'12 - Device_Configuration'!AA62)</f>
        <v/>
      </c>
      <c r="L62" s="29" t="str">
        <f>IF('12 - Device_Configuration'!I62="","",'12 - Device_Configuration'!I62)</f>
        <v/>
      </c>
      <c r="M62" s="30"/>
      <c r="N62" s="29" t="str">
        <f>IF('12 - Device_Configuration'!J62="","",'12 - Device_Configuration'!J62)</f>
        <v>Yes</v>
      </c>
      <c r="O62" s="29" t="str">
        <f>IF('12 - Device_Configuration'!K62="","",'12 - Device_Configuration'!K62)</f>
        <v>No</v>
      </c>
      <c r="P62" s="29" t="str">
        <f>IF('12 - Device_Configuration'!L62="","",'12 - Device_Configuration'!L62)</f>
        <v>No</v>
      </c>
      <c r="Q62" s="30"/>
      <c r="R62" s="29" t="str">
        <f>IF('12 - Device_Configuration'!AY62="","",'12 - Device_Configuration'!AY62)</f>
        <v/>
      </c>
      <c r="S62" s="29" t="str">
        <f>IF('12 - Device_Configuration'!AX62="","",'12 - Device_Configuration'!AX62)</f>
        <v/>
      </c>
      <c r="T62" s="29" t="str">
        <f>IF('12 - Device_Configuration'!AV62="","",'12 - Device_Configuration'!AV62)</f>
        <v/>
      </c>
      <c r="U62" s="29" t="str">
        <f>IF('12 - Device_Configuration'!AW62="","",'12 - Device_Configuration'!AW62)</f>
        <v/>
      </c>
      <c r="V62" s="29" t="str">
        <f>IF('12 - Device_Configuration'!BA62="","",'12 - Device_Configuration'!BA62)</f>
        <v/>
      </c>
      <c r="W62" s="29" t="str">
        <f>IF('12 - Device_Configuration'!BC62="","",'12 - Device_Configuration'!BC62)</f>
        <v>In Storage</v>
      </c>
      <c r="X62" s="29" t="str">
        <f>IF('12 - Device_Configuration'!BK62="","",'12 - Device_Configuration'!BK62)</f>
        <v/>
      </c>
      <c r="Y62" s="29" t="str">
        <f>IF('12 - Device_Configuration'!BB62="","",'12 - Device_Configuration'!BB62)</f>
        <v/>
      </c>
      <c r="Z62" s="29" t="str">
        <f>IF('12 - Device_Configuration'!P62="","",'12 - Device_Configuration'!P62)</f>
        <v/>
      </c>
      <c r="AA62" s="29" t="str">
        <f>IF('12 - Device_Configuration'!Q62="","",'12 - Device_Configuration'!Q62)</f>
        <v/>
      </c>
    </row>
    <row r="63" spans="1:27">
      <c r="A63" s="30"/>
      <c r="B63" s="30"/>
      <c r="C63" s="29" t="str">
        <f>IF('12 - Device_Configuration'!H63="","",'12 - Device_Configuration'!H63)</f>
        <v>NSUH</v>
      </c>
      <c r="D63" s="29" t="str">
        <f>IF('12 - Device_Configuration'!AE63="","",'12 - Device_Configuration'!AE63)</f>
        <v/>
      </c>
      <c r="E63" s="29" t="str">
        <f>IF('12 - Device_Configuration'!AF63="","",'12 - Device_Configuration'!AF63)</f>
        <v/>
      </c>
      <c r="F63" s="29" t="str">
        <f>IF('12 - Device_Configuration'!AG63="","",'12 - Device_Configuration'!AG63)</f>
        <v/>
      </c>
      <c r="G63" s="29" t="str">
        <f>IF('12 - Device_Configuration'!AH63="","",'12 - Device_Configuration'!AH63)</f>
        <v/>
      </c>
      <c r="H63" s="29" t="str">
        <f>IF('12 - Device_Configuration'!A63="","",'12 - Device_Configuration'!A63)</f>
        <v>Cybernet</v>
      </c>
      <c r="I63" s="29" t="str">
        <f>IF('12 - Device_Configuration'!AI63="","",'12 - Device_Configuration'!AI63)</f>
        <v/>
      </c>
      <c r="J63" s="29" t="str">
        <f>IF('12 - Device_Configuration'!AJ63="","",'12 - Device_Configuration'!AJ63)</f>
        <v/>
      </c>
      <c r="K63" s="29" t="str">
        <f>IF('12 - Device_Configuration'!AA63="","",'12 - Device_Configuration'!AA63)</f>
        <v/>
      </c>
      <c r="L63" s="29" t="str">
        <f>IF('12 - Device_Configuration'!I63="","",'12 - Device_Configuration'!I63)</f>
        <v/>
      </c>
      <c r="M63" s="30"/>
      <c r="N63" s="29" t="str">
        <f>IF('12 - Device_Configuration'!J63="","",'12 - Device_Configuration'!J63)</f>
        <v>Yes</v>
      </c>
      <c r="O63" s="29" t="str">
        <f>IF('12 - Device_Configuration'!K63="","",'12 - Device_Configuration'!K63)</f>
        <v>No</v>
      </c>
      <c r="P63" s="29" t="str">
        <f>IF('12 - Device_Configuration'!L63="","",'12 - Device_Configuration'!L63)</f>
        <v>No</v>
      </c>
      <c r="Q63" s="30"/>
      <c r="R63" s="29" t="str">
        <f>IF('12 - Device_Configuration'!AY63="","",'12 - Device_Configuration'!AY63)</f>
        <v/>
      </c>
      <c r="S63" s="29" t="str">
        <f>IF('12 - Device_Configuration'!AX63="","",'12 - Device_Configuration'!AX63)</f>
        <v/>
      </c>
      <c r="T63" s="29" t="str">
        <f>IF('12 - Device_Configuration'!AV63="","",'12 - Device_Configuration'!AV63)</f>
        <v/>
      </c>
      <c r="U63" s="29" t="str">
        <f>IF('12 - Device_Configuration'!AW63="","",'12 - Device_Configuration'!AW63)</f>
        <v/>
      </c>
      <c r="V63" s="29" t="str">
        <f>IF('12 - Device_Configuration'!BA63="","",'12 - Device_Configuration'!BA63)</f>
        <v/>
      </c>
      <c r="W63" s="29" t="str">
        <f>IF('12 - Device_Configuration'!BC63="","",'12 - Device_Configuration'!BC63)</f>
        <v>In Storage</v>
      </c>
      <c r="X63" s="29" t="str">
        <f>IF('12 - Device_Configuration'!BK63="","",'12 - Device_Configuration'!BK63)</f>
        <v/>
      </c>
      <c r="Y63" s="29" t="str">
        <f>IF('12 - Device_Configuration'!BB63="","",'12 - Device_Configuration'!BB63)</f>
        <v/>
      </c>
      <c r="Z63" s="29" t="str">
        <f>IF('12 - Device_Configuration'!P63="","",'12 - Device_Configuration'!P63)</f>
        <v/>
      </c>
      <c r="AA63" s="29" t="str">
        <f>IF('12 - Device_Configuration'!Q63="","",'12 - Device_Configuration'!Q63)</f>
        <v/>
      </c>
    </row>
    <row r="64" spans="1:27">
      <c r="A64" s="30"/>
      <c r="B64" s="30"/>
      <c r="C64" s="29" t="str">
        <f>IF('12 - Device_Configuration'!H64="","",'12 - Device_Configuration'!H64)</f>
        <v>NSUH</v>
      </c>
      <c r="D64" s="29" t="str">
        <f>IF('12 - Device_Configuration'!AE64="","",'12 - Device_Configuration'!AE64)</f>
        <v/>
      </c>
      <c r="E64" s="29" t="str">
        <f>IF('12 - Device_Configuration'!AF64="","",'12 - Device_Configuration'!AF64)</f>
        <v/>
      </c>
      <c r="F64" s="29" t="str">
        <f>IF('12 - Device_Configuration'!AG64="","",'12 - Device_Configuration'!AG64)</f>
        <v/>
      </c>
      <c r="G64" s="29" t="str">
        <f>IF('12 - Device_Configuration'!AH64="","",'12 - Device_Configuration'!AH64)</f>
        <v/>
      </c>
      <c r="H64" s="29" t="str">
        <f>IF('12 - Device_Configuration'!A64="","",'12 - Device_Configuration'!A64)</f>
        <v>Cybernet</v>
      </c>
      <c r="I64" s="29" t="str">
        <f>IF('12 - Device_Configuration'!AI64="","",'12 - Device_Configuration'!AI64)</f>
        <v/>
      </c>
      <c r="J64" s="29" t="str">
        <f>IF('12 - Device_Configuration'!AJ64="","",'12 - Device_Configuration'!AJ64)</f>
        <v/>
      </c>
      <c r="K64" s="29" t="str">
        <f>IF('12 - Device_Configuration'!AA64="","",'12 - Device_Configuration'!AA64)</f>
        <v/>
      </c>
      <c r="L64" s="29" t="str">
        <f>IF('12 - Device_Configuration'!I64="","",'12 - Device_Configuration'!I64)</f>
        <v/>
      </c>
      <c r="M64" s="30"/>
      <c r="N64" s="29" t="str">
        <f>IF('12 - Device_Configuration'!J64="","",'12 - Device_Configuration'!J64)</f>
        <v>Yes</v>
      </c>
      <c r="O64" s="29" t="str">
        <f>IF('12 - Device_Configuration'!K64="","",'12 - Device_Configuration'!K64)</f>
        <v>No</v>
      </c>
      <c r="P64" s="29" t="str">
        <f>IF('12 - Device_Configuration'!L64="","",'12 - Device_Configuration'!L64)</f>
        <v>No</v>
      </c>
      <c r="Q64" s="30"/>
      <c r="R64" s="29" t="str">
        <f>IF('12 - Device_Configuration'!AY64="","",'12 - Device_Configuration'!AY64)</f>
        <v/>
      </c>
      <c r="S64" s="29" t="str">
        <f>IF('12 - Device_Configuration'!AX64="","",'12 - Device_Configuration'!AX64)</f>
        <v/>
      </c>
      <c r="T64" s="29" t="str">
        <f>IF('12 - Device_Configuration'!AV64="","",'12 - Device_Configuration'!AV64)</f>
        <v/>
      </c>
      <c r="U64" s="29" t="str">
        <f>IF('12 - Device_Configuration'!AW64="","",'12 - Device_Configuration'!AW64)</f>
        <v/>
      </c>
      <c r="V64" s="29" t="str">
        <f>IF('12 - Device_Configuration'!BA64="","",'12 - Device_Configuration'!BA64)</f>
        <v/>
      </c>
      <c r="W64" s="29" t="str">
        <f>IF('12 - Device_Configuration'!BC64="","",'12 - Device_Configuration'!BC64)</f>
        <v>In Storage</v>
      </c>
      <c r="X64" s="29" t="str">
        <f>IF('12 - Device_Configuration'!BK64="","",'12 - Device_Configuration'!BK64)</f>
        <v/>
      </c>
      <c r="Y64" s="29" t="str">
        <f>IF('12 - Device_Configuration'!BB64="","",'12 - Device_Configuration'!BB64)</f>
        <v/>
      </c>
      <c r="Z64" s="29" t="str">
        <f>IF('12 - Device_Configuration'!P64="","",'12 - Device_Configuration'!P64)</f>
        <v/>
      </c>
      <c r="AA64" s="29" t="str">
        <f>IF('12 - Device_Configuration'!Q64="","",'12 - Device_Configuration'!Q64)</f>
        <v/>
      </c>
    </row>
    <row r="65" spans="1:27">
      <c r="A65" s="30"/>
      <c r="B65" s="30"/>
      <c r="C65" s="29" t="str">
        <f>IF('12 - Device_Configuration'!H65="","",'12 - Device_Configuration'!H65)</f>
        <v>NSUH</v>
      </c>
      <c r="D65" s="29" t="str">
        <f>IF('12 - Device_Configuration'!AE65="","",'12 - Device_Configuration'!AE65)</f>
        <v/>
      </c>
      <c r="E65" s="29" t="str">
        <f>IF('12 - Device_Configuration'!AF65="","",'12 - Device_Configuration'!AF65)</f>
        <v/>
      </c>
      <c r="F65" s="29" t="str">
        <f>IF('12 - Device_Configuration'!AG65="","",'12 - Device_Configuration'!AG65)</f>
        <v/>
      </c>
      <c r="G65" s="29" t="str">
        <f>IF('12 - Device_Configuration'!AH65="","",'12 - Device_Configuration'!AH65)</f>
        <v/>
      </c>
      <c r="H65" s="29" t="str">
        <f>IF('12 - Device_Configuration'!A65="","",'12 - Device_Configuration'!A65)</f>
        <v>Cybernet</v>
      </c>
      <c r="I65" s="29" t="str">
        <f>IF('12 - Device_Configuration'!AI65="","",'12 - Device_Configuration'!AI65)</f>
        <v/>
      </c>
      <c r="J65" s="29" t="str">
        <f>IF('12 - Device_Configuration'!AJ65="","",'12 - Device_Configuration'!AJ65)</f>
        <v/>
      </c>
      <c r="K65" s="29" t="str">
        <f>IF('12 - Device_Configuration'!AA65="","",'12 - Device_Configuration'!AA65)</f>
        <v/>
      </c>
      <c r="L65" s="29" t="str">
        <f>IF('12 - Device_Configuration'!I65="","",'12 - Device_Configuration'!I65)</f>
        <v/>
      </c>
      <c r="M65" s="30"/>
      <c r="N65" s="29" t="str">
        <f>IF('12 - Device_Configuration'!J65="","",'12 - Device_Configuration'!J65)</f>
        <v>Yes</v>
      </c>
      <c r="O65" s="29" t="str">
        <f>IF('12 - Device_Configuration'!K65="","",'12 - Device_Configuration'!K65)</f>
        <v>No</v>
      </c>
      <c r="P65" s="29" t="str">
        <f>IF('12 - Device_Configuration'!L65="","",'12 - Device_Configuration'!L65)</f>
        <v>No</v>
      </c>
      <c r="Q65" s="30"/>
      <c r="R65" s="29" t="str">
        <f>IF('12 - Device_Configuration'!AY65="","",'12 - Device_Configuration'!AY65)</f>
        <v/>
      </c>
      <c r="S65" s="29" t="str">
        <f>IF('12 - Device_Configuration'!AX65="","",'12 - Device_Configuration'!AX65)</f>
        <v/>
      </c>
      <c r="T65" s="29" t="str">
        <f>IF('12 - Device_Configuration'!AV65="","",'12 - Device_Configuration'!AV65)</f>
        <v/>
      </c>
      <c r="U65" s="29" t="str">
        <f>IF('12 - Device_Configuration'!AW65="","",'12 - Device_Configuration'!AW65)</f>
        <v/>
      </c>
      <c r="V65" s="29" t="str">
        <f>IF('12 - Device_Configuration'!BA65="","",'12 - Device_Configuration'!BA65)</f>
        <v/>
      </c>
      <c r="W65" s="29" t="str">
        <f>IF('12 - Device_Configuration'!BC65="","",'12 - Device_Configuration'!BC65)</f>
        <v>In Storage</v>
      </c>
      <c r="X65" s="29" t="str">
        <f>IF('12 - Device_Configuration'!BK65="","",'12 - Device_Configuration'!BK65)</f>
        <v/>
      </c>
      <c r="Y65" s="29" t="str">
        <f>IF('12 - Device_Configuration'!BB65="","",'12 - Device_Configuration'!BB65)</f>
        <v/>
      </c>
      <c r="Z65" s="29" t="str">
        <f>IF('12 - Device_Configuration'!P65="","",'12 - Device_Configuration'!P65)</f>
        <v/>
      </c>
      <c r="AA65" s="29" t="str">
        <f>IF('12 - Device_Configuration'!Q65="","",'12 - Device_Configuration'!Q65)</f>
        <v/>
      </c>
    </row>
    <row r="66" spans="1:27">
      <c r="A66" s="30"/>
      <c r="B66" s="30"/>
      <c r="C66" s="29" t="str">
        <f>IF('12 - Device_Configuration'!H66="","",'12 - Device_Configuration'!H66)</f>
        <v>NSUH</v>
      </c>
      <c r="D66" s="29" t="str">
        <f>IF('12 - Device_Configuration'!AE66="","",'12 - Device_Configuration'!AE66)</f>
        <v/>
      </c>
      <c r="E66" s="29" t="str">
        <f>IF('12 - Device_Configuration'!AF66="","",'12 - Device_Configuration'!AF66)</f>
        <v/>
      </c>
      <c r="F66" s="29" t="str">
        <f>IF('12 - Device_Configuration'!AG66="","",'12 - Device_Configuration'!AG66)</f>
        <v/>
      </c>
      <c r="G66" s="29" t="str">
        <f>IF('12 - Device_Configuration'!AH66="","",'12 - Device_Configuration'!AH66)</f>
        <v/>
      </c>
      <c r="H66" s="29" t="str">
        <f>IF('12 - Device_Configuration'!A66="","",'12 - Device_Configuration'!A66)</f>
        <v>Cybernet</v>
      </c>
      <c r="I66" s="29" t="str">
        <f>IF('12 - Device_Configuration'!AI66="","",'12 - Device_Configuration'!AI66)</f>
        <v/>
      </c>
      <c r="J66" s="29" t="str">
        <f>IF('12 - Device_Configuration'!AJ66="","",'12 - Device_Configuration'!AJ66)</f>
        <v/>
      </c>
      <c r="K66" s="29" t="str">
        <f>IF('12 - Device_Configuration'!AA66="","",'12 - Device_Configuration'!AA66)</f>
        <v/>
      </c>
      <c r="L66" s="29" t="str">
        <f>IF('12 - Device_Configuration'!I66="","",'12 - Device_Configuration'!I66)</f>
        <v/>
      </c>
      <c r="M66" s="30"/>
      <c r="N66" s="29" t="str">
        <f>IF('12 - Device_Configuration'!J66="","",'12 - Device_Configuration'!J66)</f>
        <v>Yes</v>
      </c>
      <c r="O66" s="29" t="str">
        <f>IF('12 - Device_Configuration'!K66="","",'12 - Device_Configuration'!K66)</f>
        <v>No</v>
      </c>
      <c r="P66" s="29" t="str">
        <f>IF('12 - Device_Configuration'!L66="","",'12 - Device_Configuration'!L66)</f>
        <v>No</v>
      </c>
      <c r="Q66" s="30"/>
      <c r="R66" s="29" t="str">
        <f>IF('12 - Device_Configuration'!AY66="","",'12 - Device_Configuration'!AY66)</f>
        <v/>
      </c>
      <c r="S66" s="29" t="str">
        <f>IF('12 - Device_Configuration'!AX66="","",'12 - Device_Configuration'!AX66)</f>
        <v/>
      </c>
      <c r="T66" s="29" t="str">
        <f>IF('12 - Device_Configuration'!AV66="","",'12 - Device_Configuration'!AV66)</f>
        <v/>
      </c>
      <c r="U66" s="29" t="str">
        <f>IF('12 - Device_Configuration'!AW66="","",'12 - Device_Configuration'!AW66)</f>
        <v/>
      </c>
      <c r="V66" s="29" t="str">
        <f>IF('12 - Device_Configuration'!BA66="","",'12 - Device_Configuration'!BA66)</f>
        <v/>
      </c>
      <c r="W66" s="29" t="str">
        <f>IF('12 - Device_Configuration'!BC66="","",'12 - Device_Configuration'!BC66)</f>
        <v/>
      </c>
      <c r="X66" s="29" t="str">
        <f>IF('12 - Device_Configuration'!BK66="","",'12 - Device_Configuration'!BK66)</f>
        <v/>
      </c>
      <c r="Y66" s="29" t="str">
        <f>IF('12 - Device_Configuration'!BB66="","",'12 - Device_Configuration'!BB66)</f>
        <v/>
      </c>
      <c r="Z66" s="29" t="str">
        <f>IF('12 - Device_Configuration'!P66="","",'12 - Device_Configuration'!P66)</f>
        <v/>
      </c>
      <c r="AA66" s="29" t="str">
        <f>IF('12 - Device_Configuration'!Q66="","",'12 - Device_Configuration'!Q66)</f>
        <v/>
      </c>
    </row>
    <row r="67" spans="1:27">
      <c r="A67" s="30"/>
      <c r="B67" s="30"/>
      <c r="C67" s="29" t="str">
        <f>IF('12 - Device_Configuration'!H67="","",'12 - Device_Configuration'!H67)</f>
        <v>NSUH</v>
      </c>
      <c r="D67" s="29" t="str">
        <f>IF('12 - Device_Configuration'!AE67="","",'12 - Device_Configuration'!AE67)</f>
        <v/>
      </c>
      <c r="E67" s="29" t="str">
        <f>IF('12 - Device_Configuration'!AF67="","",'12 - Device_Configuration'!AF67)</f>
        <v/>
      </c>
      <c r="F67" s="29" t="str">
        <f>IF('12 - Device_Configuration'!AG67="","",'12 - Device_Configuration'!AG67)</f>
        <v/>
      </c>
      <c r="G67" s="29" t="str">
        <f>IF('12 - Device_Configuration'!AH67="","",'12 - Device_Configuration'!AH67)</f>
        <v/>
      </c>
      <c r="H67" s="29" t="str">
        <f>IF('12 - Device_Configuration'!A67="","",'12 - Device_Configuration'!A67)</f>
        <v>Cybernet</v>
      </c>
      <c r="I67" s="29" t="str">
        <f>IF('12 - Device_Configuration'!AI67="","",'12 - Device_Configuration'!AI67)</f>
        <v/>
      </c>
      <c r="J67" s="29" t="str">
        <f>IF('12 - Device_Configuration'!AJ67="","",'12 - Device_Configuration'!AJ67)</f>
        <v/>
      </c>
      <c r="K67" s="29" t="str">
        <f>IF('12 - Device_Configuration'!AA67="","",'12 - Device_Configuration'!AA67)</f>
        <v/>
      </c>
      <c r="L67" s="29" t="str">
        <f>IF('12 - Device_Configuration'!I67="","",'12 - Device_Configuration'!I67)</f>
        <v/>
      </c>
      <c r="M67" s="30"/>
      <c r="N67" s="29" t="str">
        <f>IF('12 - Device_Configuration'!J67="","",'12 - Device_Configuration'!J67)</f>
        <v>Yes</v>
      </c>
      <c r="O67" s="29" t="str">
        <f>IF('12 - Device_Configuration'!K67="","",'12 - Device_Configuration'!K67)</f>
        <v>No</v>
      </c>
      <c r="P67" s="29" t="str">
        <f>IF('12 - Device_Configuration'!L67="","",'12 - Device_Configuration'!L67)</f>
        <v>No</v>
      </c>
      <c r="Q67" s="30"/>
      <c r="R67" s="29" t="str">
        <f>IF('12 - Device_Configuration'!AY67="","",'12 - Device_Configuration'!AY67)</f>
        <v/>
      </c>
      <c r="S67" s="29" t="str">
        <f>IF('12 - Device_Configuration'!AX67="","",'12 - Device_Configuration'!AX67)</f>
        <v/>
      </c>
      <c r="T67" s="29" t="str">
        <f>IF('12 - Device_Configuration'!AV67="","",'12 - Device_Configuration'!AV67)</f>
        <v/>
      </c>
      <c r="U67" s="29" t="str">
        <f>IF('12 - Device_Configuration'!AW67="","",'12 - Device_Configuration'!AW67)</f>
        <v/>
      </c>
      <c r="V67" s="29" t="str">
        <f>IF('12 - Device_Configuration'!BA67="","",'12 - Device_Configuration'!BA67)</f>
        <v/>
      </c>
      <c r="W67" s="29" t="str">
        <f>IF('12 - Device_Configuration'!BC67="","",'12 - Device_Configuration'!BC67)</f>
        <v/>
      </c>
      <c r="X67" s="29" t="str">
        <f>IF('12 - Device_Configuration'!BK67="","",'12 - Device_Configuration'!BK67)</f>
        <v/>
      </c>
      <c r="Y67" s="29" t="str">
        <f>IF('12 - Device_Configuration'!BB67="","",'12 - Device_Configuration'!BB67)</f>
        <v/>
      </c>
      <c r="Z67" s="29" t="str">
        <f>IF('12 - Device_Configuration'!P67="","",'12 - Device_Configuration'!P67)</f>
        <v/>
      </c>
      <c r="AA67" s="29" t="str">
        <f>IF('12 - Device_Configuration'!Q67="","",'12 - Device_Configuration'!Q67)</f>
        <v/>
      </c>
    </row>
    <row r="68" spans="1:27">
      <c r="A68" s="30"/>
      <c r="B68" s="30"/>
      <c r="C68" s="29" t="str">
        <f>IF('12 - Device_Configuration'!H68="","",'12 - Device_Configuration'!H68)</f>
        <v>NSUH</v>
      </c>
      <c r="D68" s="29" t="str">
        <f>IF('12 - Device_Configuration'!AE68="","",'12 - Device_Configuration'!AE68)</f>
        <v/>
      </c>
      <c r="E68" s="29" t="str">
        <f>IF('12 - Device_Configuration'!AF68="","",'12 - Device_Configuration'!AF68)</f>
        <v/>
      </c>
      <c r="F68" s="29" t="str">
        <f>IF('12 - Device_Configuration'!AG68="","",'12 - Device_Configuration'!AG68)</f>
        <v/>
      </c>
      <c r="G68" s="29" t="str">
        <f>IF('12 - Device_Configuration'!AH68="","",'12 - Device_Configuration'!AH68)</f>
        <v/>
      </c>
      <c r="H68" s="29" t="str">
        <f>IF('12 - Device_Configuration'!A68="","",'12 - Device_Configuration'!A68)</f>
        <v>Cybernet</v>
      </c>
      <c r="I68" s="29" t="str">
        <f>IF('12 - Device_Configuration'!AI68="","",'12 - Device_Configuration'!AI68)</f>
        <v/>
      </c>
      <c r="J68" s="29" t="str">
        <f>IF('12 - Device_Configuration'!AJ68="","",'12 - Device_Configuration'!AJ68)</f>
        <v/>
      </c>
      <c r="K68" s="29" t="str">
        <f>IF('12 - Device_Configuration'!AA68="","",'12 - Device_Configuration'!AA68)</f>
        <v/>
      </c>
      <c r="L68" s="29" t="str">
        <f>IF('12 - Device_Configuration'!I68="","",'12 - Device_Configuration'!I68)</f>
        <v/>
      </c>
      <c r="M68" s="30"/>
      <c r="N68" s="29" t="str">
        <f>IF('12 - Device_Configuration'!J68="","",'12 - Device_Configuration'!J68)</f>
        <v>Yes</v>
      </c>
      <c r="O68" s="29" t="str">
        <f>IF('12 - Device_Configuration'!K68="","",'12 - Device_Configuration'!K68)</f>
        <v>No</v>
      </c>
      <c r="P68" s="29" t="str">
        <f>IF('12 - Device_Configuration'!L68="","",'12 - Device_Configuration'!L68)</f>
        <v>No</v>
      </c>
      <c r="Q68" s="30"/>
      <c r="R68" s="29" t="str">
        <f>IF('12 - Device_Configuration'!AY68="","",'12 - Device_Configuration'!AY68)</f>
        <v/>
      </c>
      <c r="S68" s="29" t="str">
        <f>IF('12 - Device_Configuration'!AX68="","",'12 - Device_Configuration'!AX68)</f>
        <v/>
      </c>
      <c r="T68" s="29" t="str">
        <f>IF('12 - Device_Configuration'!AV68="","",'12 - Device_Configuration'!AV68)</f>
        <v/>
      </c>
      <c r="U68" s="29" t="str">
        <f>IF('12 - Device_Configuration'!AW68="","",'12 - Device_Configuration'!AW68)</f>
        <v/>
      </c>
      <c r="V68" s="29" t="str">
        <f>IF('12 - Device_Configuration'!BA68="","",'12 - Device_Configuration'!BA68)</f>
        <v/>
      </c>
      <c r="W68" s="29" t="str">
        <f>IF('12 - Device_Configuration'!BC68="","",'12 - Device_Configuration'!BC68)</f>
        <v/>
      </c>
      <c r="X68" s="29" t="str">
        <f>IF('12 - Device_Configuration'!BK68="","",'12 - Device_Configuration'!BK68)</f>
        <v/>
      </c>
      <c r="Y68" s="29" t="str">
        <f>IF('12 - Device_Configuration'!BB68="","",'12 - Device_Configuration'!BB68)</f>
        <v/>
      </c>
      <c r="Z68" s="29" t="str">
        <f>IF('12 - Device_Configuration'!P68="","",'12 - Device_Configuration'!P68)</f>
        <v/>
      </c>
      <c r="AA68" s="29" t="str">
        <f>IF('12 - Device_Configuration'!Q68="","",'12 - Device_Configuration'!Q68)</f>
        <v/>
      </c>
    </row>
    <row r="69" spans="1:27">
      <c r="A69" s="30"/>
      <c r="B69" s="30"/>
      <c r="C69" s="29" t="str">
        <f>IF('12 - Device_Configuration'!H69="","",'12 - Device_Configuration'!H69)</f>
        <v>LIJ - CCMC</v>
      </c>
      <c r="D69" s="29" t="str">
        <f>IF('12 - Device_Configuration'!AE69="","",'12 - Device_Configuration'!AE69)</f>
        <v/>
      </c>
      <c r="E69" s="29" t="str">
        <f>IF('12 - Device_Configuration'!AF69="","",'12 - Device_Configuration'!AF69)</f>
        <v/>
      </c>
      <c r="F69" s="29" t="str">
        <f>IF('12 - Device_Configuration'!AG69="","",'12 - Device_Configuration'!AG69)</f>
        <v/>
      </c>
      <c r="G69" s="29" t="str">
        <f>IF('12 - Device_Configuration'!AH69="","",'12 - Device_Configuration'!AH69)</f>
        <v/>
      </c>
      <c r="H69" s="29" t="str">
        <f>IF('12 - Device_Configuration'!A69="","",'12 - Device_Configuration'!A69)</f>
        <v>Cybernet</v>
      </c>
      <c r="I69" s="29" t="str">
        <f>IF('12 - Device_Configuration'!AI69="","",'12 - Device_Configuration'!AI69)</f>
        <v/>
      </c>
      <c r="J69" s="29" t="str">
        <f>IF('12 - Device_Configuration'!AJ69="","",'12 - Device_Configuration'!AJ69)</f>
        <v/>
      </c>
      <c r="K69" s="29" t="str">
        <f>IF('12 - Device_Configuration'!AA69="","",'12 - Device_Configuration'!AA69)</f>
        <v/>
      </c>
      <c r="L69" s="29" t="str">
        <f>IF('12 - Device_Configuration'!I69="","",'12 - Device_Configuration'!I69)</f>
        <v/>
      </c>
      <c r="M69" s="30"/>
      <c r="N69" s="29" t="str">
        <f>IF('12 - Device_Configuration'!J69="","",'12 - Device_Configuration'!J69)</f>
        <v>Yes</v>
      </c>
      <c r="O69" s="29" t="str">
        <f>IF('12 - Device_Configuration'!K69="","",'12 - Device_Configuration'!K69)</f>
        <v>No</v>
      </c>
      <c r="P69" s="29" t="str">
        <f>IF('12 - Device_Configuration'!L69="","",'12 - Device_Configuration'!L69)</f>
        <v>No</v>
      </c>
      <c r="Q69" s="30"/>
      <c r="R69" s="29" t="str">
        <f>IF('12 - Device_Configuration'!AY69="","",'12 - Device_Configuration'!AY69)</f>
        <v/>
      </c>
      <c r="S69" s="29" t="str">
        <f>IF('12 - Device_Configuration'!AX69="","",'12 - Device_Configuration'!AX69)</f>
        <v/>
      </c>
      <c r="T69" s="29" t="str">
        <f>IF('12 - Device_Configuration'!AV69="","",'12 - Device_Configuration'!AV69)</f>
        <v/>
      </c>
      <c r="U69" s="29" t="str">
        <f>IF('12 - Device_Configuration'!AW69="","",'12 - Device_Configuration'!AW69)</f>
        <v/>
      </c>
      <c r="V69" s="29" t="str">
        <f>IF('12 - Device_Configuration'!BA69="","",'12 - Device_Configuration'!BA69)</f>
        <v/>
      </c>
      <c r="W69" s="29" t="str">
        <f>IF('12 - Device_Configuration'!BC69="","",'12 - Device_Configuration'!BC69)</f>
        <v/>
      </c>
      <c r="X69" s="29" t="str">
        <f>IF('12 - Device_Configuration'!BK69="","",'12 - Device_Configuration'!BK69)</f>
        <v/>
      </c>
      <c r="Y69" s="29" t="str">
        <f>IF('12 - Device_Configuration'!BB69="","",'12 - Device_Configuration'!BB69)</f>
        <v/>
      </c>
      <c r="Z69" s="29" t="str">
        <f>IF('12 - Device_Configuration'!P69="","",'12 - Device_Configuration'!P69)</f>
        <v/>
      </c>
      <c r="AA69" s="29" t="str">
        <f>IF('12 - Device_Configuration'!Q69="","",'12 - Device_Configuration'!Q69)</f>
        <v/>
      </c>
    </row>
    <row r="70" spans="1:27">
      <c r="A70" s="30"/>
      <c r="B70" s="30"/>
      <c r="C70" s="29" t="str">
        <f>IF('12 - Device_Configuration'!H70="","",'12 - Device_Configuration'!H70)</f>
        <v>LIJ - CCMC</v>
      </c>
      <c r="D70" s="29" t="str">
        <f>IF('12 - Device_Configuration'!AE70="","",'12 - Device_Configuration'!AE70)</f>
        <v/>
      </c>
      <c r="E70" s="29" t="str">
        <f>IF('12 - Device_Configuration'!AF70="","",'12 - Device_Configuration'!AF70)</f>
        <v/>
      </c>
      <c r="F70" s="29" t="str">
        <f>IF('12 - Device_Configuration'!AG70="","",'12 - Device_Configuration'!AG70)</f>
        <v/>
      </c>
      <c r="G70" s="29" t="str">
        <f>IF('12 - Device_Configuration'!AH70="","",'12 - Device_Configuration'!AH70)</f>
        <v/>
      </c>
      <c r="H70" s="29" t="str">
        <f>IF('12 - Device_Configuration'!A70="","",'12 - Device_Configuration'!A70)</f>
        <v>Cybernet</v>
      </c>
      <c r="I70" s="29" t="str">
        <f>IF('12 - Device_Configuration'!AI70="","",'12 - Device_Configuration'!AI70)</f>
        <v/>
      </c>
      <c r="J70" s="29" t="str">
        <f>IF('12 - Device_Configuration'!AJ70="","",'12 - Device_Configuration'!AJ70)</f>
        <v/>
      </c>
      <c r="K70" s="29" t="str">
        <f>IF('12 - Device_Configuration'!AA70="","",'12 - Device_Configuration'!AA70)</f>
        <v/>
      </c>
      <c r="L70" s="29" t="str">
        <f>IF('12 - Device_Configuration'!I70="","",'12 - Device_Configuration'!I70)</f>
        <v/>
      </c>
      <c r="M70" s="30"/>
      <c r="N70" s="29" t="str">
        <f>IF('12 - Device_Configuration'!J70="","",'12 - Device_Configuration'!J70)</f>
        <v>Yes</v>
      </c>
      <c r="O70" s="29" t="str">
        <f>IF('12 - Device_Configuration'!K70="","",'12 - Device_Configuration'!K70)</f>
        <v>No</v>
      </c>
      <c r="P70" s="29" t="str">
        <f>IF('12 - Device_Configuration'!L70="","",'12 - Device_Configuration'!L70)</f>
        <v>No</v>
      </c>
      <c r="Q70" s="30"/>
      <c r="R70" s="29" t="str">
        <f>IF('12 - Device_Configuration'!AY70="","",'12 - Device_Configuration'!AY70)</f>
        <v/>
      </c>
      <c r="S70" s="29" t="str">
        <f>IF('12 - Device_Configuration'!AX70="","",'12 - Device_Configuration'!AX70)</f>
        <v/>
      </c>
      <c r="T70" s="29" t="str">
        <f>IF('12 - Device_Configuration'!AV70="","",'12 - Device_Configuration'!AV70)</f>
        <v/>
      </c>
      <c r="U70" s="29" t="str">
        <f>IF('12 - Device_Configuration'!AW70="","",'12 - Device_Configuration'!AW70)</f>
        <v/>
      </c>
      <c r="V70" s="29" t="str">
        <f>IF('12 - Device_Configuration'!BA70="","",'12 - Device_Configuration'!BA70)</f>
        <v/>
      </c>
      <c r="W70" s="29" t="str">
        <f>IF('12 - Device_Configuration'!BC70="","",'12 - Device_Configuration'!BC70)</f>
        <v/>
      </c>
      <c r="X70" s="29" t="str">
        <f>IF('12 - Device_Configuration'!BK70="","",'12 - Device_Configuration'!BK70)</f>
        <v/>
      </c>
      <c r="Y70" s="29" t="str">
        <f>IF('12 - Device_Configuration'!BB70="","",'12 - Device_Configuration'!BB70)</f>
        <v/>
      </c>
      <c r="Z70" s="29" t="str">
        <f>IF('12 - Device_Configuration'!P70="","",'12 - Device_Configuration'!P70)</f>
        <v/>
      </c>
      <c r="AA70" s="29" t="str">
        <f>IF('12 - Device_Configuration'!Q70="","",'12 - Device_Configuration'!Q70)</f>
        <v/>
      </c>
    </row>
    <row r="71" spans="1:27">
      <c r="A71" s="30"/>
      <c r="B71" s="30"/>
      <c r="C71" s="29" t="str">
        <f>IF('12 - Device_Configuration'!H71="","",'12 - Device_Configuration'!H71)</f>
        <v>LIJ - CCMC</v>
      </c>
      <c r="D71" s="29" t="str">
        <f>IF('12 - Device_Configuration'!AE71="","",'12 - Device_Configuration'!AE71)</f>
        <v/>
      </c>
      <c r="E71" s="29" t="str">
        <f>IF('12 - Device_Configuration'!AF71="","",'12 - Device_Configuration'!AF71)</f>
        <v/>
      </c>
      <c r="F71" s="29" t="str">
        <f>IF('12 - Device_Configuration'!AG71="","",'12 - Device_Configuration'!AG71)</f>
        <v/>
      </c>
      <c r="G71" s="29" t="str">
        <f>IF('12 - Device_Configuration'!AH71="","",'12 - Device_Configuration'!AH71)</f>
        <v/>
      </c>
      <c r="H71" s="29" t="str">
        <f>IF('12 - Device_Configuration'!A71="","",'12 - Device_Configuration'!A71)</f>
        <v>Cybernet</v>
      </c>
      <c r="I71" s="29" t="str">
        <f>IF('12 - Device_Configuration'!AI71="","",'12 - Device_Configuration'!AI71)</f>
        <v/>
      </c>
      <c r="J71" s="29" t="str">
        <f>IF('12 - Device_Configuration'!AJ71="","",'12 - Device_Configuration'!AJ71)</f>
        <v/>
      </c>
      <c r="K71" s="29" t="str">
        <f>IF('12 - Device_Configuration'!AA71="","",'12 - Device_Configuration'!AA71)</f>
        <v/>
      </c>
      <c r="L71" s="29" t="str">
        <f>IF('12 - Device_Configuration'!I71="","",'12 - Device_Configuration'!I71)</f>
        <v/>
      </c>
      <c r="M71" s="30"/>
      <c r="N71" s="29" t="str">
        <f>IF('12 - Device_Configuration'!J71="","",'12 - Device_Configuration'!J71)</f>
        <v>Yes</v>
      </c>
      <c r="O71" s="29" t="str">
        <f>IF('12 - Device_Configuration'!K71="","",'12 - Device_Configuration'!K71)</f>
        <v>No</v>
      </c>
      <c r="P71" s="29" t="str">
        <f>IF('12 - Device_Configuration'!L71="","",'12 - Device_Configuration'!L71)</f>
        <v>No</v>
      </c>
      <c r="Q71" s="30"/>
      <c r="R71" s="29" t="str">
        <f>IF('12 - Device_Configuration'!AY71="","",'12 - Device_Configuration'!AY71)</f>
        <v/>
      </c>
      <c r="S71" s="29" t="str">
        <f>IF('12 - Device_Configuration'!AX71="","",'12 - Device_Configuration'!AX71)</f>
        <v/>
      </c>
      <c r="T71" s="29" t="str">
        <f>IF('12 - Device_Configuration'!AV71="","",'12 - Device_Configuration'!AV71)</f>
        <v/>
      </c>
      <c r="U71" s="29" t="str">
        <f>IF('12 - Device_Configuration'!AW71="","",'12 - Device_Configuration'!AW71)</f>
        <v/>
      </c>
      <c r="V71" s="29" t="str">
        <f>IF('12 - Device_Configuration'!BA71="","",'12 - Device_Configuration'!BA71)</f>
        <v/>
      </c>
      <c r="W71" s="29" t="str">
        <f>IF('12 - Device_Configuration'!BC71="","",'12 - Device_Configuration'!BC71)</f>
        <v/>
      </c>
      <c r="X71" s="29" t="str">
        <f>IF('12 - Device_Configuration'!BK71="","",'12 - Device_Configuration'!BK71)</f>
        <v/>
      </c>
      <c r="Y71" s="29" t="str">
        <f>IF('12 - Device_Configuration'!BB71="","",'12 - Device_Configuration'!BB71)</f>
        <v/>
      </c>
      <c r="Z71" s="29" t="str">
        <f>IF('12 - Device_Configuration'!P71="","",'12 - Device_Configuration'!P71)</f>
        <v/>
      </c>
      <c r="AA71" s="29" t="str">
        <f>IF('12 - Device_Configuration'!Q71="","",'12 - Device_Configuration'!Q71)</f>
        <v/>
      </c>
    </row>
    <row r="72" spans="1:27">
      <c r="A72" s="30"/>
      <c r="B72" s="30"/>
      <c r="C72" s="29" t="str">
        <f>IF('12 - Device_Configuration'!H72="","",'12 - Device_Configuration'!H72)</f>
        <v>LIJ - CCMC</v>
      </c>
      <c r="D72" s="29" t="str">
        <f>IF('12 - Device_Configuration'!AE72="","",'12 - Device_Configuration'!AE72)</f>
        <v/>
      </c>
      <c r="E72" s="29" t="str">
        <f>IF('12 - Device_Configuration'!AF72="","",'12 - Device_Configuration'!AF72)</f>
        <v/>
      </c>
      <c r="F72" s="29" t="str">
        <f>IF('12 - Device_Configuration'!AG72="","",'12 - Device_Configuration'!AG72)</f>
        <v/>
      </c>
      <c r="G72" s="29" t="str">
        <f>IF('12 - Device_Configuration'!AH72="","",'12 - Device_Configuration'!AH72)</f>
        <v/>
      </c>
      <c r="H72" s="29" t="str">
        <f>IF('12 - Device_Configuration'!A72="","",'12 - Device_Configuration'!A72)</f>
        <v>Cybernet</v>
      </c>
      <c r="I72" s="29" t="str">
        <f>IF('12 - Device_Configuration'!AI72="","",'12 - Device_Configuration'!AI72)</f>
        <v/>
      </c>
      <c r="J72" s="29" t="str">
        <f>IF('12 - Device_Configuration'!AJ72="","",'12 - Device_Configuration'!AJ72)</f>
        <v/>
      </c>
      <c r="K72" s="29" t="str">
        <f>IF('12 - Device_Configuration'!AA72="","",'12 - Device_Configuration'!AA72)</f>
        <v/>
      </c>
      <c r="L72" s="29" t="str">
        <f>IF('12 - Device_Configuration'!I72="","",'12 - Device_Configuration'!I72)</f>
        <v/>
      </c>
      <c r="M72" s="30"/>
      <c r="N72" s="29" t="str">
        <f>IF('12 - Device_Configuration'!J72="","",'12 - Device_Configuration'!J72)</f>
        <v>Yes</v>
      </c>
      <c r="O72" s="29" t="str">
        <f>IF('12 - Device_Configuration'!K72="","",'12 - Device_Configuration'!K72)</f>
        <v>No</v>
      </c>
      <c r="P72" s="29" t="str">
        <f>IF('12 - Device_Configuration'!L72="","",'12 - Device_Configuration'!L72)</f>
        <v>No</v>
      </c>
      <c r="Q72" s="30"/>
      <c r="R72" s="29" t="str">
        <f>IF('12 - Device_Configuration'!AY72="","",'12 - Device_Configuration'!AY72)</f>
        <v/>
      </c>
      <c r="S72" s="29" t="str">
        <f>IF('12 - Device_Configuration'!AX72="","",'12 - Device_Configuration'!AX72)</f>
        <v/>
      </c>
      <c r="T72" s="29" t="str">
        <f>IF('12 - Device_Configuration'!AV72="","",'12 - Device_Configuration'!AV72)</f>
        <v/>
      </c>
      <c r="U72" s="29" t="str">
        <f>IF('12 - Device_Configuration'!AW72="","",'12 - Device_Configuration'!AW72)</f>
        <v/>
      </c>
      <c r="V72" s="29" t="str">
        <f>IF('12 - Device_Configuration'!BA72="","",'12 - Device_Configuration'!BA72)</f>
        <v/>
      </c>
      <c r="W72" s="29" t="str">
        <f>IF('12 - Device_Configuration'!BC72="","",'12 - Device_Configuration'!BC72)</f>
        <v/>
      </c>
      <c r="X72" s="29" t="str">
        <f>IF('12 - Device_Configuration'!BK72="","",'12 - Device_Configuration'!BK72)</f>
        <v/>
      </c>
      <c r="Y72" s="29" t="str">
        <f>IF('12 - Device_Configuration'!BB72="","",'12 - Device_Configuration'!BB72)</f>
        <v/>
      </c>
      <c r="Z72" s="29" t="str">
        <f>IF('12 - Device_Configuration'!P72="","",'12 - Device_Configuration'!P72)</f>
        <v/>
      </c>
      <c r="AA72" s="29" t="str">
        <f>IF('12 - Device_Configuration'!Q72="","",'12 - Device_Configuration'!Q72)</f>
        <v/>
      </c>
    </row>
    <row r="73" spans="1:27">
      <c r="A73" s="30"/>
      <c r="B73" s="30"/>
      <c r="C73" s="29" t="str">
        <f>IF('12 - Device_Configuration'!H73="","",'12 - Device_Configuration'!H73)</f>
        <v>LIJ - CCMC</v>
      </c>
      <c r="D73" s="29" t="str">
        <f>IF('12 - Device_Configuration'!AE73="","",'12 - Device_Configuration'!AE73)</f>
        <v/>
      </c>
      <c r="E73" s="29" t="str">
        <f>IF('12 - Device_Configuration'!AF73="","",'12 - Device_Configuration'!AF73)</f>
        <v/>
      </c>
      <c r="F73" s="29" t="str">
        <f>IF('12 - Device_Configuration'!AG73="","",'12 - Device_Configuration'!AG73)</f>
        <v/>
      </c>
      <c r="G73" s="29" t="str">
        <f>IF('12 - Device_Configuration'!AH73="","",'12 - Device_Configuration'!AH73)</f>
        <v/>
      </c>
      <c r="H73" s="29" t="str">
        <f>IF('12 - Device_Configuration'!A73="","",'12 - Device_Configuration'!A73)</f>
        <v>Cybernet</v>
      </c>
      <c r="I73" s="29" t="str">
        <f>IF('12 - Device_Configuration'!AI73="","",'12 - Device_Configuration'!AI73)</f>
        <v/>
      </c>
      <c r="J73" s="29" t="str">
        <f>IF('12 - Device_Configuration'!AJ73="","",'12 - Device_Configuration'!AJ73)</f>
        <v/>
      </c>
      <c r="K73" s="29" t="str">
        <f>IF('12 - Device_Configuration'!AA73="","",'12 - Device_Configuration'!AA73)</f>
        <v/>
      </c>
      <c r="L73" s="29" t="str">
        <f>IF('12 - Device_Configuration'!I73="","",'12 - Device_Configuration'!I73)</f>
        <v/>
      </c>
      <c r="M73" s="30"/>
      <c r="N73" s="29" t="str">
        <f>IF('12 - Device_Configuration'!J73="","",'12 - Device_Configuration'!J73)</f>
        <v>Yes</v>
      </c>
      <c r="O73" s="29" t="str">
        <f>IF('12 - Device_Configuration'!K73="","",'12 - Device_Configuration'!K73)</f>
        <v>No</v>
      </c>
      <c r="P73" s="29" t="str">
        <f>IF('12 - Device_Configuration'!L73="","",'12 - Device_Configuration'!L73)</f>
        <v>No</v>
      </c>
      <c r="Q73" s="30"/>
      <c r="R73" s="29" t="str">
        <f>IF('12 - Device_Configuration'!AY73="","",'12 - Device_Configuration'!AY73)</f>
        <v/>
      </c>
      <c r="S73" s="29" t="str">
        <f>IF('12 - Device_Configuration'!AX73="","",'12 - Device_Configuration'!AX73)</f>
        <v/>
      </c>
      <c r="T73" s="29" t="str">
        <f>IF('12 - Device_Configuration'!AV73="","",'12 - Device_Configuration'!AV73)</f>
        <v/>
      </c>
      <c r="U73" s="29" t="str">
        <f>IF('12 - Device_Configuration'!AW73="","",'12 - Device_Configuration'!AW73)</f>
        <v/>
      </c>
      <c r="V73" s="29" t="str">
        <f>IF('12 - Device_Configuration'!BA73="","",'12 - Device_Configuration'!BA73)</f>
        <v/>
      </c>
      <c r="W73" s="29" t="str">
        <f>IF('12 - Device_Configuration'!BC73="","",'12 - Device_Configuration'!BC73)</f>
        <v/>
      </c>
      <c r="X73" s="29" t="str">
        <f>IF('12 - Device_Configuration'!BK73="","",'12 - Device_Configuration'!BK73)</f>
        <v/>
      </c>
      <c r="Y73" s="29" t="str">
        <f>IF('12 - Device_Configuration'!BB73="","",'12 - Device_Configuration'!BB73)</f>
        <v/>
      </c>
      <c r="Z73" s="29" t="str">
        <f>IF('12 - Device_Configuration'!P73="","",'12 - Device_Configuration'!P73)</f>
        <v/>
      </c>
      <c r="AA73" s="29" t="str">
        <f>IF('12 - Device_Configuration'!Q73="","",'12 - Device_Configuration'!Q73)</f>
        <v/>
      </c>
    </row>
    <row r="74" spans="1:27">
      <c r="A74" s="30"/>
      <c r="B74" s="30"/>
      <c r="C74" s="29" t="str">
        <f>IF('12 - Device_Configuration'!H74="","",'12 - Device_Configuration'!H74)</f>
        <v>LIJ - CCMC</v>
      </c>
      <c r="D74" s="29" t="str">
        <f>IF('12 - Device_Configuration'!AE74="","",'12 - Device_Configuration'!AE74)</f>
        <v/>
      </c>
      <c r="E74" s="29" t="str">
        <f>IF('12 - Device_Configuration'!AF74="","",'12 - Device_Configuration'!AF74)</f>
        <v/>
      </c>
      <c r="F74" s="29" t="str">
        <f>IF('12 - Device_Configuration'!AG74="","",'12 - Device_Configuration'!AG74)</f>
        <v/>
      </c>
      <c r="G74" s="29" t="str">
        <f>IF('12 - Device_Configuration'!AH74="","",'12 - Device_Configuration'!AH74)</f>
        <v/>
      </c>
      <c r="H74" s="29" t="str">
        <f>IF('12 - Device_Configuration'!A74="","",'12 - Device_Configuration'!A74)</f>
        <v>Cybernet</v>
      </c>
      <c r="I74" s="29" t="str">
        <f>IF('12 - Device_Configuration'!AI74="","",'12 - Device_Configuration'!AI74)</f>
        <v/>
      </c>
      <c r="J74" s="29" t="str">
        <f>IF('12 - Device_Configuration'!AJ74="","",'12 - Device_Configuration'!AJ74)</f>
        <v/>
      </c>
      <c r="K74" s="29" t="str">
        <f>IF('12 - Device_Configuration'!AA74="","",'12 - Device_Configuration'!AA74)</f>
        <v/>
      </c>
      <c r="L74" s="29" t="str">
        <f>IF('12 - Device_Configuration'!I74="","",'12 - Device_Configuration'!I74)</f>
        <v/>
      </c>
      <c r="M74" s="30"/>
      <c r="N74" s="29" t="str">
        <f>IF('12 - Device_Configuration'!J74="","",'12 - Device_Configuration'!J74)</f>
        <v>Yes</v>
      </c>
      <c r="O74" s="29" t="str">
        <f>IF('12 - Device_Configuration'!K74="","",'12 - Device_Configuration'!K74)</f>
        <v>No</v>
      </c>
      <c r="P74" s="29" t="str">
        <f>IF('12 - Device_Configuration'!L74="","",'12 - Device_Configuration'!L74)</f>
        <v>No</v>
      </c>
      <c r="Q74" s="30"/>
      <c r="R74" s="29" t="str">
        <f>IF('12 - Device_Configuration'!AY74="","",'12 - Device_Configuration'!AY74)</f>
        <v/>
      </c>
      <c r="S74" s="29" t="str">
        <f>IF('12 - Device_Configuration'!AX74="","",'12 - Device_Configuration'!AX74)</f>
        <v/>
      </c>
      <c r="T74" s="29" t="str">
        <f>IF('12 - Device_Configuration'!AV74="","",'12 - Device_Configuration'!AV74)</f>
        <v/>
      </c>
      <c r="U74" s="29" t="str">
        <f>IF('12 - Device_Configuration'!AW74="","",'12 - Device_Configuration'!AW74)</f>
        <v/>
      </c>
      <c r="V74" s="29" t="str">
        <f>IF('12 - Device_Configuration'!BA74="","",'12 - Device_Configuration'!BA74)</f>
        <v/>
      </c>
      <c r="W74" s="29" t="str">
        <f>IF('12 - Device_Configuration'!BC74="","",'12 - Device_Configuration'!BC74)</f>
        <v/>
      </c>
      <c r="X74" s="29" t="str">
        <f>IF('12 - Device_Configuration'!BK74="","",'12 - Device_Configuration'!BK74)</f>
        <v/>
      </c>
      <c r="Y74" s="29" t="str">
        <f>IF('12 - Device_Configuration'!BB74="","",'12 - Device_Configuration'!BB74)</f>
        <v/>
      </c>
      <c r="Z74" s="29" t="str">
        <f>IF('12 - Device_Configuration'!P74="","",'12 - Device_Configuration'!P74)</f>
        <v/>
      </c>
      <c r="AA74" s="29" t="str">
        <f>IF('12 - Device_Configuration'!Q74="","",'12 - Device_Configuration'!Q74)</f>
        <v/>
      </c>
    </row>
    <row r="75" spans="1:27">
      <c r="A75" s="30"/>
      <c r="B75" s="30"/>
      <c r="C75" s="29" t="str">
        <f>IF('12 - Device_Configuration'!H75="","",'12 - Device_Configuration'!H75)</f>
        <v>LIJ - CCMC</v>
      </c>
      <c r="D75" s="29" t="str">
        <f>IF('12 - Device_Configuration'!AE75="","",'12 - Device_Configuration'!AE75)</f>
        <v/>
      </c>
      <c r="E75" s="29" t="str">
        <f>IF('12 - Device_Configuration'!AF75="","",'12 - Device_Configuration'!AF75)</f>
        <v/>
      </c>
      <c r="F75" s="29" t="str">
        <f>IF('12 - Device_Configuration'!AG75="","",'12 - Device_Configuration'!AG75)</f>
        <v/>
      </c>
      <c r="G75" s="29" t="str">
        <f>IF('12 - Device_Configuration'!AH75="","",'12 - Device_Configuration'!AH75)</f>
        <v/>
      </c>
      <c r="H75" s="29" t="str">
        <f>IF('12 - Device_Configuration'!A75="","",'12 - Device_Configuration'!A75)</f>
        <v>Cybernet</v>
      </c>
      <c r="I75" s="29" t="str">
        <f>IF('12 - Device_Configuration'!AI75="","",'12 - Device_Configuration'!AI75)</f>
        <v/>
      </c>
      <c r="J75" s="29" t="str">
        <f>IF('12 - Device_Configuration'!AJ75="","",'12 - Device_Configuration'!AJ75)</f>
        <v/>
      </c>
      <c r="K75" s="29" t="str">
        <f>IF('12 - Device_Configuration'!AA75="","",'12 - Device_Configuration'!AA75)</f>
        <v/>
      </c>
      <c r="L75" s="29" t="str">
        <f>IF('12 - Device_Configuration'!I75="","",'12 - Device_Configuration'!I75)</f>
        <v/>
      </c>
      <c r="M75" s="30"/>
      <c r="N75" s="29" t="str">
        <f>IF('12 - Device_Configuration'!J75="","",'12 - Device_Configuration'!J75)</f>
        <v>Yes</v>
      </c>
      <c r="O75" s="29" t="str">
        <f>IF('12 - Device_Configuration'!K75="","",'12 - Device_Configuration'!K75)</f>
        <v>No</v>
      </c>
      <c r="P75" s="29" t="str">
        <f>IF('12 - Device_Configuration'!L75="","",'12 - Device_Configuration'!L75)</f>
        <v>No</v>
      </c>
      <c r="Q75" s="30"/>
      <c r="R75" s="29" t="str">
        <f>IF('12 - Device_Configuration'!AY75="","",'12 - Device_Configuration'!AY75)</f>
        <v/>
      </c>
      <c r="S75" s="29" t="str">
        <f>IF('12 - Device_Configuration'!AX75="","",'12 - Device_Configuration'!AX75)</f>
        <v/>
      </c>
      <c r="T75" s="29" t="str">
        <f>IF('12 - Device_Configuration'!AV75="","",'12 - Device_Configuration'!AV75)</f>
        <v/>
      </c>
      <c r="U75" s="29" t="str">
        <f>IF('12 - Device_Configuration'!AW75="","",'12 - Device_Configuration'!AW75)</f>
        <v/>
      </c>
      <c r="V75" s="29" t="str">
        <f>IF('12 - Device_Configuration'!BA75="","",'12 - Device_Configuration'!BA75)</f>
        <v/>
      </c>
      <c r="W75" s="29" t="str">
        <f>IF('12 - Device_Configuration'!BC75="","",'12 - Device_Configuration'!BC75)</f>
        <v/>
      </c>
      <c r="X75" s="29" t="str">
        <f>IF('12 - Device_Configuration'!BK75="","",'12 - Device_Configuration'!BK75)</f>
        <v/>
      </c>
      <c r="Y75" s="29" t="str">
        <f>IF('12 - Device_Configuration'!BB75="","",'12 - Device_Configuration'!BB75)</f>
        <v/>
      </c>
      <c r="Z75" s="29" t="str">
        <f>IF('12 - Device_Configuration'!P75="","",'12 - Device_Configuration'!P75)</f>
        <v/>
      </c>
      <c r="AA75" s="29" t="str">
        <f>IF('12 - Device_Configuration'!Q75="","",'12 - Device_Configuration'!Q75)</f>
        <v/>
      </c>
    </row>
    <row r="76" spans="1:27">
      <c r="A76" s="30"/>
      <c r="B76" s="30"/>
      <c r="C76" s="29" t="str">
        <f>IF('12 - Device_Configuration'!H76="","",'12 - Device_Configuration'!H76)</f>
        <v>LIJ - CCMC</v>
      </c>
      <c r="D76" s="29" t="str">
        <f>IF('12 - Device_Configuration'!AE76="","",'12 - Device_Configuration'!AE76)</f>
        <v/>
      </c>
      <c r="E76" s="29" t="str">
        <f>IF('12 - Device_Configuration'!AF76="","",'12 - Device_Configuration'!AF76)</f>
        <v/>
      </c>
      <c r="F76" s="29" t="str">
        <f>IF('12 - Device_Configuration'!AG76="","",'12 - Device_Configuration'!AG76)</f>
        <v/>
      </c>
      <c r="G76" s="29" t="str">
        <f>IF('12 - Device_Configuration'!AH76="","",'12 - Device_Configuration'!AH76)</f>
        <v/>
      </c>
      <c r="H76" s="29" t="str">
        <f>IF('12 - Device_Configuration'!A76="","",'12 - Device_Configuration'!A76)</f>
        <v>Cybernet</v>
      </c>
      <c r="I76" s="29" t="str">
        <f>IF('12 - Device_Configuration'!AI76="","",'12 - Device_Configuration'!AI76)</f>
        <v/>
      </c>
      <c r="J76" s="29" t="str">
        <f>IF('12 - Device_Configuration'!AJ76="","",'12 - Device_Configuration'!AJ76)</f>
        <v/>
      </c>
      <c r="K76" s="29" t="str">
        <f>IF('12 - Device_Configuration'!AA76="","",'12 - Device_Configuration'!AA76)</f>
        <v/>
      </c>
      <c r="L76" s="29" t="str">
        <f>IF('12 - Device_Configuration'!I76="","",'12 - Device_Configuration'!I76)</f>
        <v/>
      </c>
      <c r="M76" s="30"/>
      <c r="N76" s="29" t="str">
        <f>IF('12 - Device_Configuration'!J76="","",'12 - Device_Configuration'!J76)</f>
        <v>Yes</v>
      </c>
      <c r="O76" s="29" t="str">
        <f>IF('12 - Device_Configuration'!K76="","",'12 - Device_Configuration'!K76)</f>
        <v>No</v>
      </c>
      <c r="P76" s="29" t="str">
        <f>IF('12 - Device_Configuration'!L76="","",'12 - Device_Configuration'!L76)</f>
        <v>No</v>
      </c>
      <c r="Q76" s="30"/>
      <c r="R76" s="29" t="str">
        <f>IF('12 - Device_Configuration'!AY76="","",'12 - Device_Configuration'!AY76)</f>
        <v/>
      </c>
      <c r="S76" s="29" t="str">
        <f>IF('12 - Device_Configuration'!AX76="","",'12 - Device_Configuration'!AX76)</f>
        <v/>
      </c>
      <c r="T76" s="29" t="str">
        <f>IF('12 - Device_Configuration'!AV76="","",'12 - Device_Configuration'!AV76)</f>
        <v/>
      </c>
      <c r="U76" s="29" t="str">
        <f>IF('12 - Device_Configuration'!AW76="","",'12 - Device_Configuration'!AW76)</f>
        <v/>
      </c>
      <c r="V76" s="29" t="str">
        <f>IF('12 - Device_Configuration'!BA76="","",'12 - Device_Configuration'!BA76)</f>
        <v/>
      </c>
      <c r="W76" s="29" t="str">
        <f>IF('12 - Device_Configuration'!BC76="","",'12 - Device_Configuration'!BC76)</f>
        <v/>
      </c>
      <c r="X76" s="29" t="str">
        <f>IF('12 - Device_Configuration'!BK76="","",'12 - Device_Configuration'!BK76)</f>
        <v/>
      </c>
      <c r="Y76" s="29" t="str">
        <f>IF('12 - Device_Configuration'!BB76="","",'12 - Device_Configuration'!BB76)</f>
        <v/>
      </c>
      <c r="Z76" s="29" t="str">
        <f>IF('12 - Device_Configuration'!P76="","",'12 - Device_Configuration'!P76)</f>
        <v/>
      </c>
      <c r="AA76" s="29" t="str">
        <f>IF('12 - Device_Configuration'!Q76="","",'12 - Device_Configuration'!Q76)</f>
        <v/>
      </c>
    </row>
    <row r="77" spans="1:27">
      <c r="A77" s="30"/>
      <c r="B77" s="30"/>
      <c r="C77" s="29" t="str">
        <f>IF('12 - Device_Configuration'!H77="","",'12 - Device_Configuration'!H77)</f>
        <v>LIJ - CCMC</v>
      </c>
      <c r="D77" s="29" t="str">
        <f>IF('12 - Device_Configuration'!AE77="","",'12 - Device_Configuration'!AE77)</f>
        <v/>
      </c>
      <c r="E77" s="29" t="str">
        <f>IF('12 - Device_Configuration'!AF77="","",'12 - Device_Configuration'!AF77)</f>
        <v/>
      </c>
      <c r="F77" s="29" t="str">
        <f>IF('12 - Device_Configuration'!AG77="","",'12 - Device_Configuration'!AG77)</f>
        <v/>
      </c>
      <c r="G77" s="29" t="str">
        <f>IF('12 - Device_Configuration'!AH77="","",'12 - Device_Configuration'!AH77)</f>
        <v/>
      </c>
      <c r="H77" s="29" t="str">
        <f>IF('12 - Device_Configuration'!A77="","",'12 - Device_Configuration'!A77)</f>
        <v>Cybernet</v>
      </c>
      <c r="I77" s="29" t="str">
        <f>IF('12 - Device_Configuration'!AI77="","",'12 - Device_Configuration'!AI77)</f>
        <v/>
      </c>
      <c r="J77" s="29" t="str">
        <f>IF('12 - Device_Configuration'!AJ77="","",'12 - Device_Configuration'!AJ77)</f>
        <v/>
      </c>
      <c r="K77" s="29" t="str">
        <f>IF('12 - Device_Configuration'!AA77="","",'12 - Device_Configuration'!AA77)</f>
        <v/>
      </c>
      <c r="L77" s="29" t="str">
        <f>IF('12 - Device_Configuration'!I77="","",'12 - Device_Configuration'!I77)</f>
        <v/>
      </c>
      <c r="M77" s="30"/>
      <c r="N77" s="29" t="str">
        <f>IF('12 - Device_Configuration'!J77="","",'12 - Device_Configuration'!J77)</f>
        <v>Yes</v>
      </c>
      <c r="O77" s="29" t="str">
        <f>IF('12 - Device_Configuration'!K77="","",'12 - Device_Configuration'!K77)</f>
        <v>No</v>
      </c>
      <c r="P77" s="29" t="str">
        <f>IF('12 - Device_Configuration'!L77="","",'12 - Device_Configuration'!L77)</f>
        <v>No</v>
      </c>
      <c r="Q77" s="30"/>
      <c r="R77" s="29" t="str">
        <f>IF('12 - Device_Configuration'!AY77="","",'12 - Device_Configuration'!AY77)</f>
        <v/>
      </c>
      <c r="S77" s="29" t="str">
        <f>IF('12 - Device_Configuration'!AX77="","",'12 - Device_Configuration'!AX77)</f>
        <v/>
      </c>
      <c r="T77" s="29" t="str">
        <f>IF('12 - Device_Configuration'!AV77="","",'12 - Device_Configuration'!AV77)</f>
        <v/>
      </c>
      <c r="U77" s="29" t="str">
        <f>IF('12 - Device_Configuration'!AW77="","",'12 - Device_Configuration'!AW77)</f>
        <v/>
      </c>
      <c r="V77" s="29" t="str">
        <f>IF('12 - Device_Configuration'!BA77="","",'12 - Device_Configuration'!BA77)</f>
        <v/>
      </c>
      <c r="W77" s="29" t="str">
        <f>IF('12 - Device_Configuration'!BC77="","",'12 - Device_Configuration'!BC77)</f>
        <v/>
      </c>
      <c r="X77" s="29" t="str">
        <f>IF('12 - Device_Configuration'!BK77="","",'12 - Device_Configuration'!BK77)</f>
        <v/>
      </c>
      <c r="Y77" s="29" t="str">
        <f>IF('12 - Device_Configuration'!BB77="","",'12 - Device_Configuration'!BB77)</f>
        <v/>
      </c>
      <c r="Z77" s="29" t="str">
        <f>IF('12 - Device_Configuration'!P77="","",'12 - Device_Configuration'!P77)</f>
        <v/>
      </c>
      <c r="AA77" s="29" t="str">
        <f>IF('12 - Device_Configuration'!Q77="","",'12 - Device_Configuration'!Q77)</f>
        <v/>
      </c>
    </row>
    <row r="78" spans="1:27">
      <c r="A78" s="30"/>
      <c r="B78" s="30"/>
      <c r="C78" s="29" t="str">
        <f>IF('12 - Device_Configuration'!H78="","",'12 - Device_Configuration'!H78)</f>
        <v>CFAM</v>
      </c>
      <c r="D78" s="29" t="str">
        <f>IF('12 - Device_Configuration'!AE78="","",'12 - Device_Configuration'!AE78)</f>
        <v/>
      </c>
      <c r="E78" s="29" t="str">
        <f>IF('12 - Device_Configuration'!AF78="","",'12 - Device_Configuration'!AF78)</f>
        <v/>
      </c>
      <c r="F78" s="29" t="str">
        <f>IF('12 - Device_Configuration'!AG78="","",'12 - Device_Configuration'!AG78)</f>
        <v/>
      </c>
      <c r="G78" s="29" t="str">
        <f>IF('12 - Device_Configuration'!AH78="","",'12 - Device_Configuration'!AH78)</f>
        <v/>
      </c>
      <c r="H78" s="29" t="str">
        <f>IF('12 - Device_Configuration'!A78="","",'12 - Device_Configuration'!A78)</f>
        <v>Cybernet</v>
      </c>
      <c r="I78" s="29" t="str">
        <f>IF('12 - Device_Configuration'!AI78="","",'12 - Device_Configuration'!AI78)</f>
        <v/>
      </c>
      <c r="J78" s="29" t="str">
        <f>IF('12 - Device_Configuration'!AJ78="","",'12 - Device_Configuration'!AJ78)</f>
        <v/>
      </c>
      <c r="K78" s="29" t="str">
        <f>IF('12 - Device_Configuration'!AA78="","",'12 - Device_Configuration'!AA78)</f>
        <v/>
      </c>
      <c r="L78" s="29" t="str">
        <f>IF('12 - Device_Configuration'!I78="","",'12 - Device_Configuration'!I78)</f>
        <v/>
      </c>
      <c r="M78" s="30"/>
      <c r="N78" s="29" t="str">
        <f>IF('12 - Device_Configuration'!J78="","",'12 - Device_Configuration'!J78)</f>
        <v>Yes</v>
      </c>
      <c r="O78" s="29" t="str">
        <f>IF('12 - Device_Configuration'!K78="","",'12 - Device_Configuration'!K78)</f>
        <v>No</v>
      </c>
      <c r="P78" s="29" t="str">
        <f>IF('12 - Device_Configuration'!L78="","",'12 - Device_Configuration'!L78)</f>
        <v>No</v>
      </c>
      <c r="Q78" s="30"/>
      <c r="R78" s="29" t="str">
        <f>IF('12 - Device_Configuration'!AY78="","",'12 - Device_Configuration'!AY78)</f>
        <v/>
      </c>
      <c r="S78" s="29" t="str">
        <f>IF('12 - Device_Configuration'!AX78="","",'12 - Device_Configuration'!AX78)</f>
        <v/>
      </c>
      <c r="T78" s="29" t="str">
        <f>IF('12 - Device_Configuration'!AV78="","",'12 - Device_Configuration'!AV78)</f>
        <v/>
      </c>
      <c r="U78" s="29" t="str">
        <f>IF('12 - Device_Configuration'!AW78="","",'12 - Device_Configuration'!AW78)</f>
        <v/>
      </c>
      <c r="V78" s="29" t="str">
        <f>IF('12 - Device_Configuration'!BA78="","",'12 - Device_Configuration'!BA78)</f>
        <v/>
      </c>
      <c r="W78" s="29" t="str">
        <f>IF('12 - Device_Configuration'!BC78="","",'12 - Device_Configuration'!BC78)</f>
        <v/>
      </c>
      <c r="X78" s="29" t="str">
        <f>IF('12 - Device_Configuration'!BK78="","",'12 - Device_Configuration'!BK78)</f>
        <v/>
      </c>
      <c r="Y78" s="29" t="str">
        <f>IF('12 - Device_Configuration'!BB78="","",'12 - Device_Configuration'!BB78)</f>
        <v/>
      </c>
      <c r="Z78" s="29" t="str">
        <f>IF('12 - Device_Configuration'!P78="","",'12 - Device_Configuration'!P78)</f>
        <v/>
      </c>
      <c r="AA78" s="29" t="str">
        <f>IF('12 - Device_Configuration'!Q78="","",'12 - Device_Configuration'!Q78)</f>
        <v/>
      </c>
    </row>
    <row r="79" spans="1:27">
      <c r="A79" s="30"/>
      <c r="B79" s="30"/>
      <c r="C79" s="29" t="str">
        <f>IF('12 - Device_Configuration'!H79="","",'12 - Device_Configuration'!H79)</f>
        <v>CFAM</v>
      </c>
      <c r="D79" s="29" t="str">
        <f>IF('12 - Device_Configuration'!AE79="","",'12 - Device_Configuration'!AE79)</f>
        <v/>
      </c>
      <c r="E79" s="29" t="str">
        <f>IF('12 - Device_Configuration'!AF79="","",'12 - Device_Configuration'!AF79)</f>
        <v/>
      </c>
      <c r="F79" s="29" t="str">
        <f>IF('12 - Device_Configuration'!AG79="","",'12 - Device_Configuration'!AG79)</f>
        <v/>
      </c>
      <c r="G79" s="29" t="str">
        <f>IF('12 - Device_Configuration'!AH79="","",'12 - Device_Configuration'!AH79)</f>
        <v/>
      </c>
      <c r="H79" s="29" t="str">
        <f>IF('12 - Device_Configuration'!A79="","",'12 - Device_Configuration'!A79)</f>
        <v>Cybernet</v>
      </c>
      <c r="I79" s="29" t="str">
        <f>IF('12 - Device_Configuration'!AI79="","",'12 - Device_Configuration'!AI79)</f>
        <v/>
      </c>
      <c r="J79" s="29" t="str">
        <f>IF('12 - Device_Configuration'!AJ79="","",'12 - Device_Configuration'!AJ79)</f>
        <v/>
      </c>
      <c r="K79" s="29" t="str">
        <f>IF('12 - Device_Configuration'!AA79="","",'12 - Device_Configuration'!AA79)</f>
        <v/>
      </c>
      <c r="L79" s="29" t="str">
        <f>IF('12 - Device_Configuration'!I79="","",'12 - Device_Configuration'!I79)</f>
        <v/>
      </c>
      <c r="M79" s="30"/>
      <c r="N79" s="29" t="str">
        <f>IF('12 - Device_Configuration'!J79="","",'12 - Device_Configuration'!J79)</f>
        <v>Yes</v>
      </c>
      <c r="O79" s="29" t="str">
        <f>IF('12 - Device_Configuration'!K79="","",'12 - Device_Configuration'!K79)</f>
        <v>No</v>
      </c>
      <c r="P79" s="29" t="str">
        <f>IF('12 - Device_Configuration'!L79="","",'12 - Device_Configuration'!L79)</f>
        <v>No</v>
      </c>
      <c r="Q79" s="30"/>
      <c r="R79" s="29" t="str">
        <f>IF('12 - Device_Configuration'!AY79="","",'12 - Device_Configuration'!AY79)</f>
        <v/>
      </c>
      <c r="S79" s="29" t="str">
        <f>IF('12 - Device_Configuration'!AX79="","",'12 - Device_Configuration'!AX79)</f>
        <v/>
      </c>
      <c r="T79" s="29" t="str">
        <f>IF('12 - Device_Configuration'!AV79="","",'12 - Device_Configuration'!AV79)</f>
        <v/>
      </c>
      <c r="U79" s="29" t="str">
        <f>IF('12 - Device_Configuration'!AW79="","",'12 - Device_Configuration'!AW79)</f>
        <v/>
      </c>
      <c r="V79" s="29" t="str">
        <f>IF('12 - Device_Configuration'!BA79="","",'12 - Device_Configuration'!BA79)</f>
        <v/>
      </c>
      <c r="W79" s="29" t="str">
        <f>IF('12 - Device_Configuration'!BC79="","",'12 - Device_Configuration'!BC79)</f>
        <v/>
      </c>
      <c r="X79" s="29" t="str">
        <f>IF('12 - Device_Configuration'!BK79="","",'12 - Device_Configuration'!BK79)</f>
        <v/>
      </c>
      <c r="Y79" s="29" t="str">
        <f>IF('12 - Device_Configuration'!BB79="","",'12 - Device_Configuration'!BB79)</f>
        <v/>
      </c>
      <c r="Z79" s="29" t="str">
        <f>IF('12 - Device_Configuration'!P79="","",'12 - Device_Configuration'!P79)</f>
        <v/>
      </c>
      <c r="AA79" s="29" t="str">
        <f>IF('12 - Device_Configuration'!Q79="","",'12 - Device_Configuration'!Q79)</f>
        <v/>
      </c>
    </row>
    <row r="80" spans="1:27">
      <c r="A80" s="30"/>
      <c r="B80" s="30"/>
      <c r="C80" s="29" t="str">
        <f>IF('12 - Device_Configuration'!H80="","",'12 - Device_Configuration'!H80)</f>
        <v>CFAM</v>
      </c>
      <c r="D80" s="29" t="str">
        <f>IF('12 - Device_Configuration'!AE80="","",'12 - Device_Configuration'!AE80)</f>
        <v/>
      </c>
      <c r="E80" s="29" t="str">
        <f>IF('12 - Device_Configuration'!AF80="","",'12 - Device_Configuration'!AF80)</f>
        <v/>
      </c>
      <c r="F80" s="29" t="str">
        <f>IF('12 - Device_Configuration'!AG80="","",'12 - Device_Configuration'!AG80)</f>
        <v/>
      </c>
      <c r="G80" s="29" t="str">
        <f>IF('12 - Device_Configuration'!AH80="","",'12 - Device_Configuration'!AH80)</f>
        <v/>
      </c>
      <c r="H80" s="29" t="str">
        <f>IF('12 - Device_Configuration'!A80="","",'12 - Device_Configuration'!A80)</f>
        <v>Cybernet</v>
      </c>
      <c r="I80" s="29" t="str">
        <f>IF('12 - Device_Configuration'!AI80="","",'12 - Device_Configuration'!AI80)</f>
        <v/>
      </c>
      <c r="J80" s="29" t="str">
        <f>IF('12 - Device_Configuration'!AJ80="","",'12 - Device_Configuration'!AJ80)</f>
        <v/>
      </c>
      <c r="K80" s="29" t="str">
        <f>IF('12 - Device_Configuration'!AA80="","",'12 - Device_Configuration'!AA80)</f>
        <v/>
      </c>
      <c r="L80" s="29" t="str">
        <f>IF('12 - Device_Configuration'!I80="","",'12 - Device_Configuration'!I80)</f>
        <v/>
      </c>
      <c r="M80" s="30"/>
      <c r="N80" s="29" t="str">
        <f>IF('12 - Device_Configuration'!J80="","",'12 - Device_Configuration'!J80)</f>
        <v>Yes</v>
      </c>
      <c r="O80" s="29" t="str">
        <f>IF('12 - Device_Configuration'!K80="","",'12 - Device_Configuration'!K80)</f>
        <v>No</v>
      </c>
      <c r="P80" s="29" t="str">
        <f>IF('12 - Device_Configuration'!L80="","",'12 - Device_Configuration'!L80)</f>
        <v>No</v>
      </c>
      <c r="Q80" s="30"/>
      <c r="R80" s="29" t="str">
        <f>IF('12 - Device_Configuration'!AY80="","",'12 - Device_Configuration'!AY80)</f>
        <v/>
      </c>
      <c r="S80" s="29" t="str">
        <f>IF('12 - Device_Configuration'!AX80="","",'12 - Device_Configuration'!AX80)</f>
        <v/>
      </c>
      <c r="T80" s="29" t="str">
        <f>IF('12 - Device_Configuration'!AV80="","",'12 - Device_Configuration'!AV80)</f>
        <v/>
      </c>
      <c r="U80" s="29" t="str">
        <f>IF('12 - Device_Configuration'!AW80="","",'12 - Device_Configuration'!AW80)</f>
        <v/>
      </c>
      <c r="V80" s="29" t="str">
        <f>IF('12 - Device_Configuration'!BA80="","",'12 - Device_Configuration'!BA80)</f>
        <v/>
      </c>
      <c r="W80" s="29" t="str">
        <f>IF('12 - Device_Configuration'!BC80="","",'12 - Device_Configuration'!BC80)</f>
        <v/>
      </c>
      <c r="X80" s="29" t="str">
        <f>IF('12 - Device_Configuration'!BK80="","",'12 - Device_Configuration'!BK80)</f>
        <v/>
      </c>
      <c r="Y80" s="29" t="str">
        <f>IF('12 - Device_Configuration'!BB80="","",'12 - Device_Configuration'!BB80)</f>
        <v/>
      </c>
      <c r="Z80" s="29" t="str">
        <f>IF('12 - Device_Configuration'!P80="","",'12 - Device_Configuration'!P80)</f>
        <v/>
      </c>
      <c r="AA80" s="29" t="str">
        <f>IF('12 - Device_Configuration'!Q80="","",'12 - Device_Configuration'!Q80)</f>
        <v/>
      </c>
    </row>
    <row r="81" spans="1:27">
      <c r="A81" s="30"/>
      <c r="B81" s="30"/>
      <c r="C81" s="29" t="str">
        <f>IF('12 - Device_Configuration'!H81="","",'12 - Device_Configuration'!H81)</f>
        <v>CFAM</v>
      </c>
      <c r="D81" s="29" t="str">
        <f>IF('12 - Device_Configuration'!AE81="","",'12 - Device_Configuration'!AE81)</f>
        <v/>
      </c>
      <c r="E81" s="29" t="str">
        <f>IF('12 - Device_Configuration'!AF81="","",'12 - Device_Configuration'!AF81)</f>
        <v/>
      </c>
      <c r="F81" s="29" t="str">
        <f>IF('12 - Device_Configuration'!AG81="","",'12 - Device_Configuration'!AG81)</f>
        <v/>
      </c>
      <c r="G81" s="29" t="str">
        <f>IF('12 - Device_Configuration'!AH81="","",'12 - Device_Configuration'!AH81)</f>
        <v/>
      </c>
      <c r="H81" s="29" t="str">
        <f>IF('12 - Device_Configuration'!A81="","",'12 - Device_Configuration'!A81)</f>
        <v>Cybernet</v>
      </c>
      <c r="I81" s="29" t="str">
        <f>IF('12 - Device_Configuration'!AI81="","",'12 - Device_Configuration'!AI81)</f>
        <v/>
      </c>
      <c r="J81" s="29" t="str">
        <f>IF('12 - Device_Configuration'!AJ81="","",'12 - Device_Configuration'!AJ81)</f>
        <v/>
      </c>
      <c r="K81" s="29" t="str">
        <f>IF('12 - Device_Configuration'!AA81="","",'12 - Device_Configuration'!AA81)</f>
        <v/>
      </c>
      <c r="L81" s="29" t="str">
        <f>IF('12 - Device_Configuration'!I81="","",'12 - Device_Configuration'!I81)</f>
        <v/>
      </c>
      <c r="M81" s="30"/>
      <c r="N81" s="29" t="str">
        <f>IF('12 - Device_Configuration'!J81="","",'12 - Device_Configuration'!J81)</f>
        <v>Yes</v>
      </c>
      <c r="O81" s="29" t="str">
        <f>IF('12 - Device_Configuration'!K81="","",'12 - Device_Configuration'!K81)</f>
        <v>No</v>
      </c>
      <c r="P81" s="29" t="str">
        <f>IF('12 - Device_Configuration'!L81="","",'12 - Device_Configuration'!L81)</f>
        <v>No</v>
      </c>
      <c r="Q81" s="30"/>
      <c r="R81" s="29" t="str">
        <f>IF('12 - Device_Configuration'!AY81="","",'12 - Device_Configuration'!AY81)</f>
        <v/>
      </c>
      <c r="S81" s="29" t="str">
        <f>IF('12 - Device_Configuration'!AX81="","",'12 - Device_Configuration'!AX81)</f>
        <v/>
      </c>
      <c r="T81" s="29" t="str">
        <f>IF('12 - Device_Configuration'!AV81="","",'12 - Device_Configuration'!AV81)</f>
        <v/>
      </c>
      <c r="U81" s="29" t="str">
        <f>IF('12 - Device_Configuration'!AW81="","",'12 - Device_Configuration'!AW81)</f>
        <v/>
      </c>
      <c r="V81" s="29" t="str">
        <f>IF('12 - Device_Configuration'!BA81="","",'12 - Device_Configuration'!BA81)</f>
        <v/>
      </c>
      <c r="W81" s="29" t="str">
        <f>IF('12 - Device_Configuration'!BC81="","",'12 - Device_Configuration'!BC81)</f>
        <v/>
      </c>
      <c r="X81" s="29" t="str">
        <f>IF('12 - Device_Configuration'!BK81="","",'12 - Device_Configuration'!BK81)</f>
        <v/>
      </c>
      <c r="Y81" s="29" t="str">
        <f>IF('12 - Device_Configuration'!BB81="","",'12 - Device_Configuration'!BB81)</f>
        <v/>
      </c>
      <c r="Z81" s="29" t="str">
        <f>IF('12 - Device_Configuration'!P81="","",'12 - Device_Configuration'!P81)</f>
        <v/>
      </c>
      <c r="AA81" s="29" t="str">
        <f>IF('12 - Device_Configuration'!Q81="","",'12 - Device_Configuration'!Q81)</f>
        <v/>
      </c>
    </row>
    <row r="82" spans="1:27">
      <c r="A82" s="30"/>
      <c r="B82" s="30"/>
      <c r="C82" s="29" t="str">
        <f>IF('12 - Device_Configuration'!H82="","",'12 - Device_Configuration'!H82)</f>
        <v>CFAM</v>
      </c>
      <c r="D82" s="29" t="str">
        <f>IF('12 - Device_Configuration'!AE82="","",'12 - Device_Configuration'!AE82)</f>
        <v/>
      </c>
      <c r="E82" s="29" t="str">
        <f>IF('12 - Device_Configuration'!AF82="","",'12 - Device_Configuration'!AF82)</f>
        <v/>
      </c>
      <c r="F82" s="29" t="str">
        <f>IF('12 - Device_Configuration'!AG82="","",'12 - Device_Configuration'!AG82)</f>
        <v/>
      </c>
      <c r="G82" s="29" t="str">
        <f>IF('12 - Device_Configuration'!AH82="","",'12 - Device_Configuration'!AH82)</f>
        <v/>
      </c>
      <c r="H82" s="29" t="str">
        <f>IF('12 - Device_Configuration'!A82="","",'12 - Device_Configuration'!A82)</f>
        <v>Cybernet</v>
      </c>
      <c r="I82" s="29" t="str">
        <f>IF('12 - Device_Configuration'!AI82="","",'12 - Device_Configuration'!AI82)</f>
        <v/>
      </c>
      <c r="J82" s="29" t="str">
        <f>IF('12 - Device_Configuration'!AJ82="","",'12 - Device_Configuration'!AJ82)</f>
        <v/>
      </c>
      <c r="K82" s="29" t="str">
        <f>IF('12 - Device_Configuration'!AA82="","",'12 - Device_Configuration'!AA82)</f>
        <v/>
      </c>
      <c r="L82" s="29" t="str">
        <f>IF('12 - Device_Configuration'!I82="","",'12 - Device_Configuration'!I82)</f>
        <v/>
      </c>
      <c r="M82" s="30"/>
      <c r="N82" s="29" t="str">
        <f>IF('12 - Device_Configuration'!J82="","",'12 - Device_Configuration'!J82)</f>
        <v>Yes</v>
      </c>
      <c r="O82" s="29" t="str">
        <f>IF('12 - Device_Configuration'!K82="","",'12 - Device_Configuration'!K82)</f>
        <v>No</v>
      </c>
      <c r="P82" s="29" t="str">
        <f>IF('12 - Device_Configuration'!L82="","",'12 - Device_Configuration'!L82)</f>
        <v>No</v>
      </c>
      <c r="Q82" s="30"/>
      <c r="R82" s="29" t="str">
        <f>IF('12 - Device_Configuration'!AY82="","",'12 - Device_Configuration'!AY82)</f>
        <v/>
      </c>
      <c r="S82" s="29" t="str">
        <f>IF('12 - Device_Configuration'!AX82="","",'12 - Device_Configuration'!AX82)</f>
        <v/>
      </c>
      <c r="T82" s="29" t="str">
        <f>IF('12 - Device_Configuration'!AV82="","",'12 - Device_Configuration'!AV82)</f>
        <v/>
      </c>
      <c r="U82" s="29" t="str">
        <f>IF('12 - Device_Configuration'!AW82="","",'12 - Device_Configuration'!AW82)</f>
        <v/>
      </c>
      <c r="V82" s="29" t="str">
        <f>IF('12 - Device_Configuration'!BA82="","",'12 - Device_Configuration'!BA82)</f>
        <v/>
      </c>
      <c r="W82" s="29" t="str">
        <f>IF('12 - Device_Configuration'!BC82="","",'12 - Device_Configuration'!BC82)</f>
        <v/>
      </c>
      <c r="X82" s="29" t="str">
        <f>IF('12 - Device_Configuration'!BK82="","",'12 - Device_Configuration'!BK82)</f>
        <v/>
      </c>
      <c r="Y82" s="29" t="str">
        <f>IF('12 - Device_Configuration'!BB82="","",'12 - Device_Configuration'!BB82)</f>
        <v/>
      </c>
      <c r="Z82" s="29" t="str">
        <f>IF('12 - Device_Configuration'!P82="","",'12 - Device_Configuration'!P82)</f>
        <v/>
      </c>
      <c r="AA82" s="29" t="str">
        <f>IF('12 - Device_Configuration'!Q82="","",'12 - Device_Configuration'!Q82)</f>
        <v/>
      </c>
    </row>
    <row r="83" spans="1:27">
      <c r="A83" s="30"/>
      <c r="B83" s="30"/>
      <c r="C83" s="29" t="str">
        <f>IF('12 - Device_Configuration'!H83="","",'12 - Device_Configuration'!H83)</f>
        <v>CFAM</v>
      </c>
      <c r="D83" s="29" t="str">
        <f>IF('12 - Device_Configuration'!AE83="","",'12 - Device_Configuration'!AE83)</f>
        <v/>
      </c>
      <c r="E83" s="29" t="str">
        <f>IF('12 - Device_Configuration'!AF83="","",'12 - Device_Configuration'!AF83)</f>
        <v/>
      </c>
      <c r="F83" s="29" t="str">
        <f>IF('12 - Device_Configuration'!AG83="","",'12 - Device_Configuration'!AG83)</f>
        <v/>
      </c>
      <c r="G83" s="29" t="str">
        <f>IF('12 - Device_Configuration'!AH83="","",'12 - Device_Configuration'!AH83)</f>
        <v/>
      </c>
      <c r="H83" s="29" t="str">
        <f>IF('12 - Device_Configuration'!A83="","",'12 - Device_Configuration'!A83)</f>
        <v>Cybernet</v>
      </c>
      <c r="I83" s="29" t="str">
        <f>IF('12 - Device_Configuration'!AI83="","",'12 - Device_Configuration'!AI83)</f>
        <v/>
      </c>
      <c r="J83" s="29" t="str">
        <f>IF('12 - Device_Configuration'!AJ83="","",'12 - Device_Configuration'!AJ83)</f>
        <v/>
      </c>
      <c r="K83" s="29" t="str">
        <f>IF('12 - Device_Configuration'!AA83="","",'12 - Device_Configuration'!AA83)</f>
        <v/>
      </c>
      <c r="L83" s="29" t="str">
        <f>IF('12 - Device_Configuration'!I83="","",'12 - Device_Configuration'!I83)</f>
        <v/>
      </c>
      <c r="M83" s="30"/>
      <c r="N83" s="29" t="str">
        <f>IF('12 - Device_Configuration'!J83="","",'12 - Device_Configuration'!J83)</f>
        <v>Yes</v>
      </c>
      <c r="O83" s="29" t="str">
        <f>IF('12 - Device_Configuration'!K83="","",'12 - Device_Configuration'!K83)</f>
        <v>No</v>
      </c>
      <c r="P83" s="29" t="str">
        <f>IF('12 - Device_Configuration'!L83="","",'12 - Device_Configuration'!L83)</f>
        <v>No</v>
      </c>
      <c r="Q83" s="30"/>
      <c r="R83" s="29" t="str">
        <f>IF('12 - Device_Configuration'!AY83="","",'12 - Device_Configuration'!AY83)</f>
        <v/>
      </c>
      <c r="S83" s="29" t="str">
        <f>IF('12 - Device_Configuration'!AX83="","",'12 - Device_Configuration'!AX83)</f>
        <v/>
      </c>
      <c r="T83" s="29" t="str">
        <f>IF('12 - Device_Configuration'!AV83="","",'12 - Device_Configuration'!AV83)</f>
        <v/>
      </c>
      <c r="U83" s="29" t="str">
        <f>IF('12 - Device_Configuration'!AW83="","",'12 - Device_Configuration'!AW83)</f>
        <v/>
      </c>
      <c r="V83" s="29" t="str">
        <f>IF('12 - Device_Configuration'!BA83="","",'12 - Device_Configuration'!BA83)</f>
        <v/>
      </c>
      <c r="W83" s="29" t="str">
        <f>IF('12 - Device_Configuration'!BC83="","",'12 - Device_Configuration'!BC83)</f>
        <v/>
      </c>
      <c r="X83" s="29" t="str">
        <f>IF('12 - Device_Configuration'!BK83="","",'12 - Device_Configuration'!BK83)</f>
        <v/>
      </c>
      <c r="Y83" s="29" t="str">
        <f>IF('12 - Device_Configuration'!BB83="","",'12 - Device_Configuration'!BB83)</f>
        <v/>
      </c>
      <c r="Z83" s="29" t="str">
        <f>IF('12 - Device_Configuration'!P83="","",'12 - Device_Configuration'!P83)</f>
        <v/>
      </c>
      <c r="AA83" s="29" t="str">
        <f>IF('12 - Device_Configuration'!Q83="","",'12 - Device_Configuration'!Q83)</f>
        <v/>
      </c>
    </row>
    <row r="84" spans="1:27">
      <c r="A84" s="30"/>
      <c r="B84" s="30"/>
      <c r="C84" s="29" t="str">
        <f>IF('12 - Device_Configuration'!H84="","",'12 - Device_Configuration'!H84)</f>
        <v>CFAM</v>
      </c>
      <c r="D84" s="29" t="str">
        <f>IF('12 - Device_Configuration'!AE84="","",'12 - Device_Configuration'!AE84)</f>
        <v/>
      </c>
      <c r="E84" s="29" t="str">
        <f>IF('12 - Device_Configuration'!AF84="","",'12 - Device_Configuration'!AF84)</f>
        <v/>
      </c>
      <c r="F84" s="29" t="str">
        <f>IF('12 - Device_Configuration'!AG84="","",'12 - Device_Configuration'!AG84)</f>
        <v/>
      </c>
      <c r="G84" s="29" t="str">
        <f>IF('12 - Device_Configuration'!AH84="","",'12 - Device_Configuration'!AH84)</f>
        <v/>
      </c>
      <c r="H84" s="29" t="str">
        <f>IF('12 - Device_Configuration'!A84="","",'12 - Device_Configuration'!A84)</f>
        <v>Cybernet</v>
      </c>
      <c r="I84" s="29" t="str">
        <f>IF('12 - Device_Configuration'!AI84="","",'12 - Device_Configuration'!AI84)</f>
        <v/>
      </c>
      <c r="J84" s="29" t="str">
        <f>IF('12 - Device_Configuration'!AJ84="","",'12 - Device_Configuration'!AJ84)</f>
        <v/>
      </c>
      <c r="K84" s="29" t="str">
        <f>IF('12 - Device_Configuration'!AA84="","",'12 - Device_Configuration'!AA84)</f>
        <v/>
      </c>
      <c r="L84" s="29" t="str">
        <f>IF('12 - Device_Configuration'!I84="","",'12 - Device_Configuration'!I84)</f>
        <v/>
      </c>
      <c r="M84" s="30"/>
      <c r="N84" s="29" t="str">
        <f>IF('12 - Device_Configuration'!J84="","",'12 - Device_Configuration'!J84)</f>
        <v>Yes</v>
      </c>
      <c r="O84" s="29" t="str">
        <f>IF('12 - Device_Configuration'!K84="","",'12 - Device_Configuration'!K84)</f>
        <v>No</v>
      </c>
      <c r="P84" s="29" t="str">
        <f>IF('12 - Device_Configuration'!L84="","",'12 - Device_Configuration'!L84)</f>
        <v>No</v>
      </c>
      <c r="Q84" s="30"/>
      <c r="R84" s="29" t="str">
        <f>IF('12 - Device_Configuration'!AY84="","",'12 - Device_Configuration'!AY84)</f>
        <v/>
      </c>
      <c r="S84" s="29" t="str">
        <f>IF('12 - Device_Configuration'!AX84="","",'12 - Device_Configuration'!AX84)</f>
        <v/>
      </c>
      <c r="T84" s="29" t="str">
        <f>IF('12 - Device_Configuration'!AV84="","",'12 - Device_Configuration'!AV84)</f>
        <v/>
      </c>
      <c r="U84" s="29" t="str">
        <f>IF('12 - Device_Configuration'!AW84="","",'12 - Device_Configuration'!AW84)</f>
        <v/>
      </c>
      <c r="V84" s="29" t="str">
        <f>IF('12 - Device_Configuration'!BA84="","",'12 - Device_Configuration'!BA84)</f>
        <v/>
      </c>
      <c r="W84" s="29" t="str">
        <f>IF('12 - Device_Configuration'!BC84="","",'12 - Device_Configuration'!BC84)</f>
        <v/>
      </c>
      <c r="X84" s="29" t="str">
        <f>IF('12 - Device_Configuration'!BK84="","",'12 - Device_Configuration'!BK84)</f>
        <v/>
      </c>
      <c r="Y84" s="29" t="str">
        <f>IF('12 - Device_Configuration'!BB84="","",'12 - Device_Configuration'!BB84)</f>
        <v/>
      </c>
      <c r="Z84" s="29" t="str">
        <f>IF('12 - Device_Configuration'!P84="","",'12 - Device_Configuration'!P84)</f>
        <v/>
      </c>
      <c r="AA84" s="29" t="str">
        <f>IF('12 - Device_Configuration'!Q84="","",'12 - Device_Configuration'!Q84)</f>
        <v/>
      </c>
    </row>
    <row r="85" spans="1:27">
      <c r="A85" s="30"/>
      <c r="B85" s="30"/>
      <c r="C85" s="29" t="str">
        <f>IF('12 - Device_Configuration'!H85="","",'12 - Device_Configuration'!H85)</f>
        <v>LIJ - CCMC</v>
      </c>
      <c r="D85" s="29" t="str">
        <f>IF('12 - Device_Configuration'!AE85="","",'12 - Device_Configuration'!AE85)</f>
        <v/>
      </c>
      <c r="E85" s="29" t="str">
        <f>IF('12 - Device_Configuration'!AF85="","",'12 - Device_Configuration'!AF85)</f>
        <v/>
      </c>
      <c r="F85" s="29" t="str">
        <f>IF('12 - Device_Configuration'!AG85="","",'12 - Device_Configuration'!AG85)</f>
        <v/>
      </c>
      <c r="G85" s="29" t="str">
        <f>IF('12 - Device_Configuration'!AH85="","",'12 - Device_Configuration'!AH85)</f>
        <v/>
      </c>
      <c r="H85" s="29" t="str">
        <f>IF('12 - Device_Configuration'!A85="","",'12 - Device_Configuration'!A85)</f>
        <v>Cybernet</v>
      </c>
      <c r="I85" s="29" t="str">
        <f>IF('12 - Device_Configuration'!AI85="","",'12 - Device_Configuration'!AI85)</f>
        <v/>
      </c>
      <c r="J85" s="29" t="str">
        <f>IF('12 - Device_Configuration'!AJ85="","",'12 - Device_Configuration'!AJ85)</f>
        <v/>
      </c>
      <c r="K85" s="29" t="str">
        <f>IF('12 - Device_Configuration'!AA85="","",'12 - Device_Configuration'!AA85)</f>
        <v/>
      </c>
      <c r="L85" s="29" t="str">
        <f>IF('12 - Device_Configuration'!I85="","",'12 - Device_Configuration'!I85)</f>
        <v/>
      </c>
      <c r="M85" s="30"/>
      <c r="N85" s="29" t="str">
        <f>IF('12 - Device_Configuration'!J85="","",'12 - Device_Configuration'!J85)</f>
        <v>Yes</v>
      </c>
      <c r="O85" s="29" t="str">
        <f>IF('12 - Device_Configuration'!K85="","",'12 - Device_Configuration'!K85)</f>
        <v>No</v>
      </c>
      <c r="P85" s="29" t="str">
        <f>IF('12 - Device_Configuration'!L85="","",'12 - Device_Configuration'!L85)</f>
        <v>No</v>
      </c>
      <c r="Q85" s="30"/>
      <c r="R85" s="29" t="str">
        <f>IF('12 - Device_Configuration'!AY85="","",'12 - Device_Configuration'!AY85)</f>
        <v/>
      </c>
      <c r="S85" s="29" t="str">
        <f>IF('12 - Device_Configuration'!AX85="","",'12 - Device_Configuration'!AX85)</f>
        <v/>
      </c>
      <c r="T85" s="29" t="str">
        <f>IF('12 - Device_Configuration'!AV85="","",'12 - Device_Configuration'!AV85)</f>
        <v/>
      </c>
      <c r="U85" s="29" t="str">
        <f>IF('12 - Device_Configuration'!AW85="","",'12 - Device_Configuration'!AW85)</f>
        <v/>
      </c>
      <c r="V85" s="29" t="str">
        <f>IF('12 - Device_Configuration'!BA85="","",'12 - Device_Configuration'!BA85)</f>
        <v/>
      </c>
      <c r="W85" s="29" t="str">
        <f>IF('12 - Device_Configuration'!BC85="","",'12 - Device_Configuration'!BC85)</f>
        <v/>
      </c>
      <c r="X85" s="29" t="str">
        <f>IF('12 - Device_Configuration'!BK85="","",'12 - Device_Configuration'!BK85)</f>
        <v/>
      </c>
      <c r="Y85" s="29" t="str">
        <f>IF('12 - Device_Configuration'!BB85="","",'12 - Device_Configuration'!BB85)</f>
        <v/>
      </c>
      <c r="Z85" s="29" t="str">
        <f>IF('12 - Device_Configuration'!P85="","",'12 - Device_Configuration'!P85)</f>
        <v/>
      </c>
      <c r="AA85" s="29" t="str">
        <f>IF('12 - Device_Configuration'!Q85="","",'12 - Device_Configuration'!Q85)</f>
        <v/>
      </c>
    </row>
    <row r="86" spans="1:27">
      <c r="A86" s="30"/>
      <c r="B86" s="30"/>
      <c r="C86" s="29" t="str">
        <f>IF('12 - Device_Configuration'!H86="","",'12 - Device_Configuration'!H86)</f>
        <v>LIJ - CCMC</v>
      </c>
      <c r="D86" s="29" t="str">
        <f>IF('12 - Device_Configuration'!AE86="","",'12 - Device_Configuration'!AE86)</f>
        <v/>
      </c>
      <c r="E86" s="29" t="str">
        <f>IF('12 - Device_Configuration'!AF86="","",'12 - Device_Configuration'!AF86)</f>
        <v/>
      </c>
      <c r="F86" s="29" t="str">
        <f>IF('12 - Device_Configuration'!AG86="","",'12 - Device_Configuration'!AG86)</f>
        <v/>
      </c>
      <c r="G86" s="29" t="str">
        <f>IF('12 - Device_Configuration'!AH86="","",'12 - Device_Configuration'!AH86)</f>
        <v/>
      </c>
      <c r="H86" s="29" t="str">
        <f>IF('12 - Device_Configuration'!A86="","",'12 - Device_Configuration'!A86)</f>
        <v>Cybernet</v>
      </c>
      <c r="I86" s="29" t="str">
        <f>IF('12 - Device_Configuration'!AI86="","",'12 - Device_Configuration'!AI86)</f>
        <v/>
      </c>
      <c r="J86" s="29" t="str">
        <f>IF('12 - Device_Configuration'!AJ86="","",'12 - Device_Configuration'!AJ86)</f>
        <v/>
      </c>
      <c r="K86" s="29" t="str">
        <f>IF('12 - Device_Configuration'!AA86="","",'12 - Device_Configuration'!AA86)</f>
        <v/>
      </c>
      <c r="L86" s="29" t="str">
        <f>IF('12 - Device_Configuration'!I86="","",'12 - Device_Configuration'!I86)</f>
        <v/>
      </c>
      <c r="M86" s="30"/>
      <c r="N86" s="29" t="str">
        <f>IF('12 - Device_Configuration'!J86="","",'12 - Device_Configuration'!J86)</f>
        <v>Yes</v>
      </c>
      <c r="O86" s="29" t="str">
        <f>IF('12 - Device_Configuration'!K86="","",'12 - Device_Configuration'!K86)</f>
        <v>No</v>
      </c>
      <c r="P86" s="29" t="str">
        <f>IF('12 - Device_Configuration'!L86="","",'12 - Device_Configuration'!L86)</f>
        <v>No</v>
      </c>
      <c r="Q86" s="30"/>
      <c r="R86" s="29" t="str">
        <f>IF('12 - Device_Configuration'!AY86="","",'12 - Device_Configuration'!AY86)</f>
        <v/>
      </c>
      <c r="S86" s="29" t="str">
        <f>IF('12 - Device_Configuration'!AX86="","",'12 - Device_Configuration'!AX86)</f>
        <v/>
      </c>
      <c r="T86" s="29" t="str">
        <f>IF('12 - Device_Configuration'!AV86="","",'12 - Device_Configuration'!AV86)</f>
        <v/>
      </c>
      <c r="U86" s="29" t="str">
        <f>IF('12 - Device_Configuration'!AW86="","",'12 - Device_Configuration'!AW86)</f>
        <v/>
      </c>
      <c r="V86" s="29" t="str">
        <f>IF('12 - Device_Configuration'!BA86="","",'12 - Device_Configuration'!BA86)</f>
        <v/>
      </c>
      <c r="W86" s="29" t="str">
        <f>IF('12 - Device_Configuration'!BC86="","",'12 - Device_Configuration'!BC86)</f>
        <v/>
      </c>
      <c r="X86" s="29" t="str">
        <f>IF('12 - Device_Configuration'!BK86="","",'12 - Device_Configuration'!BK86)</f>
        <v/>
      </c>
      <c r="Y86" s="29" t="str">
        <f>IF('12 - Device_Configuration'!BB86="","",'12 - Device_Configuration'!BB86)</f>
        <v/>
      </c>
      <c r="Z86" s="29" t="str">
        <f>IF('12 - Device_Configuration'!P86="","",'12 - Device_Configuration'!P86)</f>
        <v/>
      </c>
      <c r="AA86" s="29" t="str">
        <f>IF('12 - Device_Configuration'!Q86="","",'12 - Device_Configuration'!Q86)</f>
        <v/>
      </c>
    </row>
    <row r="87" spans="1:27">
      <c r="A87" s="30"/>
      <c r="B87" s="30"/>
      <c r="C87" s="29" t="str">
        <f>IF('12 - Device_Configuration'!H87="","",'12 - Device_Configuration'!H87)</f>
        <v>LIJ - CCMC</v>
      </c>
      <c r="D87" s="29" t="str">
        <f>IF('12 - Device_Configuration'!AE87="","",'12 - Device_Configuration'!AE87)</f>
        <v/>
      </c>
      <c r="E87" s="29" t="str">
        <f>IF('12 - Device_Configuration'!AF87="","",'12 - Device_Configuration'!AF87)</f>
        <v/>
      </c>
      <c r="F87" s="29" t="str">
        <f>IF('12 - Device_Configuration'!AG87="","",'12 - Device_Configuration'!AG87)</f>
        <v/>
      </c>
      <c r="G87" s="29" t="str">
        <f>IF('12 - Device_Configuration'!AH87="","",'12 - Device_Configuration'!AH87)</f>
        <v/>
      </c>
      <c r="H87" s="29" t="str">
        <f>IF('12 - Device_Configuration'!A87="","",'12 - Device_Configuration'!A87)</f>
        <v>Cybernet</v>
      </c>
      <c r="I87" s="29" t="str">
        <f>IF('12 - Device_Configuration'!AI87="","",'12 - Device_Configuration'!AI87)</f>
        <v/>
      </c>
      <c r="J87" s="29" t="str">
        <f>IF('12 - Device_Configuration'!AJ87="","",'12 - Device_Configuration'!AJ87)</f>
        <v/>
      </c>
      <c r="K87" s="29" t="str">
        <f>IF('12 - Device_Configuration'!AA87="","",'12 - Device_Configuration'!AA87)</f>
        <v/>
      </c>
      <c r="L87" s="29" t="str">
        <f>IF('12 - Device_Configuration'!I87="","",'12 - Device_Configuration'!I87)</f>
        <v/>
      </c>
      <c r="M87" s="30"/>
      <c r="N87" s="29" t="str">
        <f>IF('12 - Device_Configuration'!J87="","",'12 - Device_Configuration'!J87)</f>
        <v>Yes</v>
      </c>
      <c r="O87" s="29" t="str">
        <f>IF('12 - Device_Configuration'!K87="","",'12 - Device_Configuration'!K87)</f>
        <v>No</v>
      </c>
      <c r="P87" s="29" t="str">
        <f>IF('12 - Device_Configuration'!L87="","",'12 - Device_Configuration'!L87)</f>
        <v>No</v>
      </c>
      <c r="Q87" s="30"/>
      <c r="R87" s="29" t="str">
        <f>IF('12 - Device_Configuration'!AY87="","",'12 - Device_Configuration'!AY87)</f>
        <v/>
      </c>
      <c r="S87" s="29" t="str">
        <f>IF('12 - Device_Configuration'!AX87="","",'12 - Device_Configuration'!AX87)</f>
        <v/>
      </c>
      <c r="T87" s="29" t="str">
        <f>IF('12 - Device_Configuration'!AV87="","",'12 - Device_Configuration'!AV87)</f>
        <v/>
      </c>
      <c r="U87" s="29" t="str">
        <f>IF('12 - Device_Configuration'!AW87="","",'12 - Device_Configuration'!AW87)</f>
        <v/>
      </c>
      <c r="V87" s="29" t="str">
        <f>IF('12 - Device_Configuration'!BA87="","",'12 - Device_Configuration'!BA87)</f>
        <v/>
      </c>
      <c r="W87" s="29" t="str">
        <f>IF('12 - Device_Configuration'!BC87="","",'12 - Device_Configuration'!BC87)</f>
        <v/>
      </c>
      <c r="X87" s="29" t="str">
        <f>IF('12 - Device_Configuration'!BK87="","",'12 - Device_Configuration'!BK87)</f>
        <v/>
      </c>
      <c r="Y87" s="29" t="str">
        <f>IF('12 - Device_Configuration'!BB87="","",'12 - Device_Configuration'!BB87)</f>
        <v/>
      </c>
      <c r="Z87" s="29" t="str">
        <f>IF('12 - Device_Configuration'!P87="","",'12 - Device_Configuration'!P87)</f>
        <v/>
      </c>
      <c r="AA87" s="29" t="str">
        <f>IF('12 - Device_Configuration'!Q87="","",'12 - Device_Configuration'!Q87)</f>
        <v/>
      </c>
    </row>
    <row r="88" spans="1:27">
      <c r="A88" s="30"/>
      <c r="B88" s="30"/>
      <c r="C88" s="29" t="str">
        <f>IF('12 - Device_Configuration'!H88="","",'12 - Device_Configuration'!H88)</f>
        <v>LIJ - CCMC</v>
      </c>
      <c r="D88" s="29" t="str">
        <f>IF('12 - Device_Configuration'!AE88="","",'12 - Device_Configuration'!AE88)</f>
        <v/>
      </c>
      <c r="E88" s="29" t="str">
        <f>IF('12 - Device_Configuration'!AF88="","",'12 - Device_Configuration'!AF88)</f>
        <v/>
      </c>
      <c r="F88" s="29" t="str">
        <f>IF('12 - Device_Configuration'!AG88="","",'12 - Device_Configuration'!AG88)</f>
        <v/>
      </c>
      <c r="G88" s="29" t="str">
        <f>IF('12 - Device_Configuration'!AH88="","",'12 - Device_Configuration'!AH88)</f>
        <v/>
      </c>
      <c r="H88" s="29" t="str">
        <f>IF('12 - Device_Configuration'!A88="","",'12 - Device_Configuration'!A88)</f>
        <v>Cybernet</v>
      </c>
      <c r="I88" s="29" t="str">
        <f>IF('12 - Device_Configuration'!AI88="","",'12 - Device_Configuration'!AI88)</f>
        <v/>
      </c>
      <c r="J88" s="29" t="str">
        <f>IF('12 - Device_Configuration'!AJ88="","",'12 - Device_Configuration'!AJ88)</f>
        <v/>
      </c>
      <c r="K88" s="29" t="str">
        <f>IF('12 - Device_Configuration'!AA88="","",'12 - Device_Configuration'!AA88)</f>
        <v/>
      </c>
      <c r="L88" s="29" t="str">
        <f>IF('12 - Device_Configuration'!I88="","",'12 - Device_Configuration'!I88)</f>
        <v/>
      </c>
      <c r="M88" s="30"/>
      <c r="N88" s="29" t="str">
        <f>IF('12 - Device_Configuration'!J88="","",'12 - Device_Configuration'!J88)</f>
        <v>Yes</v>
      </c>
      <c r="O88" s="29" t="str">
        <f>IF('12 - Device_Configuration'!K88="","",'12 - Device_Configuration'!K88)</f>
        <v>No</v>
      </c>
      <c r="P88" s="29" t="str">
        <f>IF('12 - Device_Configuration'!L88="","",'12 - Device_Configuration'!L88)</f>
        <v>No</v>
      </c>
      <c r="Q88" s="30"/>
      <c r="R88" s="29" t="str">
        <f>IF('12 - Device_Configuration'!AY88="","",'12 - Device_Configuration'!AY88)</f>
        <v/>
      </c>
      <c r="S88" s="29" t="str">
        <f>IF('12 - Device_Configuration'!AX88="","",'12 - Device_Configuration'!AX88)</f>
        <v/>
      </c>
      <c r="T88" s="29" t="str">
        <f>IF('12 - Device_Configuration'!AV88="","",'12 - Device_Configuration'!AV88)</f>
        <v/>
      </c>
      <c r="U88" s="29" t="str">
        <f>IF('12 - Device_Configuration'!AW88="","",'12 - Device_Configuration'!AW88)</f>
        <v/>
      </c>
      <c r="V88" s="29" t="str">
        <f>IF('12 - Device_Configuration'!BA88="","",'12 - Device_Configuration'!BA88)</f>
        <v/>
      </c>
      <c r="W88" s="29" t="str">
        <f>IF('12 - Device_Configuration'!BC88="","",'12 - Device_Configuration'!BC88)</f>
        <v/>
      </c>
      <c r="X88" s="29" t="str">
        <f>IF('12 - Device_Configuration'!BK88="","",'12 - Device_Configuration'!BK88)</f>
        <v/>
      </c>
      <c r="Y88" s="29" t="str">
        <f>IF('12 - Device_Configuration'!BB88="","",'12 - Device_Configuration'!BB88)</f>
        <v/>
      </c>
      <c r="Z88" s="29" t="str">
        <f>IF('12 - Device_Configuration'!P88="","",'12 - Device_Configuration'!P88)</f>
        <v/>
      </c>
      <c r="AA88" s="29" t="str">
        <f>IF('12 - Device_Configuration'!Q88="","",'12 - Device_Configuration'!Q88)</f>
        <v/>
      </c>
    </row>
    <row r="89" spans="1:27">
      <c r="A89" s="30"/>
      <c r="B89" s="30"/>
      <c r="C89" s="29" t="str">
        <f>IF('12 - Device_Configuration'!H89="","",'12 - Device_Configuration'!H89)</f>
        <v>LIJ - CCMC</v>
      </c>
      <c r="D89" s="29" t="str">
        <f>IF('12 - Device_Configuration'!AE89="","",'12 - Device_Configuration'!AE89)</f>
        <v/>
      </c>
      <c r="E89" s="29" t="str">
        <f>IF('12 - Device_Configuration'!AF89="","",'12 - Device_Configuration'!AF89)</f>
        <v/>
      </c>
      <c r="F89" s="29" t="str">
        <f>IF('12 - Device_Configuration'!AG89="","",'12 - Device_Configuration'!AG89)</f>
        <v/>
      </c>
      <c r="G89" s="29" t="str">
        <f>IF('12 - Device_Configuration'!AH89="","",'12 - Device_Configuration'!AH89)</f>
        <v/>
      </c>
      <c r="H89" s="29" t="str">
        <f>IF('12 - Device_Configuration'!A89="","",'12 - Device_Configuration'!A89)</f>
        <v>Cybernet</v>
      </c>
      <c r="I89" s="29" t="str">
        <f>IF('12 - Device_Configuration'!AI89="","",'12 - Device_Configuration'!AI89)</f>
        <v/>
      </c>
      <c r="J89" s="29" t="str">
        <f>IF('12 - Device_Configuration'!AJ89="","",'12 - Device_Configuration'!AJ89)</f>
        <v/>
      </c>
      <c r="K89" s="29" t="str">
        <f>IF('12 - Device_Configuration'!AA89="","",'12 - Device_Configuration'!AA89)</f>
        <v/>
      </c>
      <c r="L89" s="29" t="str">
        <f>IF('12 - Device_Configuration'!I89="","",'12 - Device_Configuration'!I89)</f>
        <v/>
      </c>
      <c r="M89" s="30"/>
      <c r="N89" s="29" t="str">
        <f>IF('12 - Device_Configuration'!J89="","",'12 - Device_Configuration'!J89)</f>
        <v>Yes</v>
      </c>
      <c r="O89" s="29" t="str">
        <f>IF('12 - Device_Configuration'!K89="","",'12 - Device_Configuration'!K89)</f>
        <v>No</v>
      </c>
      <c r="P89" s="29" t="str">
        <f>IF('12 - Device_Configuration'!L89="","",'12 - Device_Configuration'!L89)</f>
        <v>No</v>
      </c>
      <c r="Q89" s="30"/>
      <c r="R89" s="29" t="str">
        <f>IF('12 - Device_Configuration'!AY89="","",'12 - Device_Configuration'!AY89)</f>
        <v/>
      </c>
      <c r="S89" s="29" t="str">
        <f>IF('12 - Device_Configuration'!AX89="","",'12 - Device_Configuration'!AX89)</f>
        <v/>
      </c>
      <c r="T89" s="29" t="str">
        <f>IF('12 - Device_Configuration'!AV89="","",'12 - Device_Configuration'!AV89)</f>
        <v/>
      </c>
      <c r="U89" s="29" t="str">
        <f>IF('12 - Device_Configuration'!AW89="","",'12 - Device_Configuration'!AW89)</f>
        <v/>
      </c>
      <c r="V89" s="29" t="str">
        <f>IF('12 - Device_Configuration'!BA89="","",'12 - Device_Configuration'!BA89)</f>
        <v/>
      </c>
      <c r="W89" s="29" t="str">
        <f>IF('12 - Device_Configuration'!BC89="","",'12 - Device_Configuration'!BC89)</f>
        <v/>
      </c>
      <c r="X89" s="29" t="str">
        <f>IF('12 - Device_Configuration'!BK89="","",'12 - Device_Configuration'!BK89)</f>
        <v/>
      </c>
      <c r="Y89" s="29" t="str">
        <f>IF('12 - Device_Configuration'!BB89="","",'12 - Device_Configuration'!BB89)</f>
        <v/>
      </c>
      <c r="Z89" s="29" t="str">
        <f>IF('12 - Device_Configuration'!P89="","",'12 - Device_Configuration'!P89)</f>
        <v/>
      </c>
      <c r="AA89" s="29" t="str">
        <f>IF('12 - Device_Configuration'!Q89="","",'12 - Device_Configuration'!Q89)</f>
        <v/>
      </c>
    </row>
    <row r="90" spans="1:27">
      <c r="A90" s="30"/>
      <c r="B90" s="30"/>
      <c r="C90" s="29" t="str">
        <f>IF('12 - Device_Configuration'!H90="","",'12 - Device_Configuration'!H90)</f>
        <v>LIJ - Other</v>
      </c>
      <c r="D90" s="29" t="str">
        <f>IF('12 - Device_Configuration'!AE90="","",'12 - Device_Configuration'!AE90)</f>
        <v/>
      </c>
      <c r="E90" s="29" t="str">
        <f>IF('12 - Device_Configuration'!AF90="","",'12 - Device_Configuration'!AF90)</f>
        <v/>
      </c>
      <c r="F90" s="29" t="str">
        <f>IF('12 - Device_Configuration'!AG90="","",'12 - Device_Configuration'!AG90)</f>
        <v/>
      </c>
      <c r="G90" s="29" t="str">
        <f>IF('12 - Device_Configuration'!AH90="","",'12 - Device_Configuration'!AH90)</f>
        <v/>
      </c>
      <c r="H90" s="29" t="str">
        <f>IF('12 - Device_Configuration'!A90="","",'12 - Device_Configuration'!A90)</f>
        <v>Cybernet</v>
      </c>
      <c r="I90" s="29" t="str">
        <f>IF('12 - Device_Configuration'!AI90="","",'12 - Device_Configuration'!AI90)</f>
        <v/>
      </c>
      <c r="J90" s="29" t="str">
        <f>IF('12 - Device_Configuration'!AJ90="","",'12 - Device_Configuration'!AJ90)</f>
        <v/>
      </c>
      <c r="K90" s="29" t="str">
        <f>IF('12 - Device_Configuration'!AA90="","",'12 - Device_Configuration'!AA90)</f>
        <v/>
      </c>
      <c r="L90" s="29" t="str">
        <f>IF('12 - Device_Configuration'!I90="","",'12 - Device_Configuration'!I90)</f>
        <v/>
      </c>
      <c r="M90" s="30"/>
      <c r="N90" s="29" t="str">
        <f>IF('12 - Device_Configuration'!J90="","",'12 - Device_Configuration'!J90)</f>
        <v>Yes</v>
      </c>
      <c r="O90" s="29" t="str">
        <f>IF('12 - Device_Configuration'!K90="","",'12 - Device_Configuration'!K90)</f>
        <v>No</v>
      </c>
      <c r="P90" s="29" t="str">
        <f>IF('12 - Device_Configuration'!L90="","",'12 - Device_Configuration'!L90)</f>
        <v>No</v>
      </c>
      <c r="Q90" s="30"/>
      <c r="R90" s="29" t="str">
        <f>IF('12 - Device_Configuration'!AY90="","",'12 - Device_Configuration'!AY90)</f>
        <v/>
      </c>
      <c r="S90" s="29" t="str">
        <f>IF('12 - Device_Configuration'!AX90="","",'12 - Device_Configuration'!AX90)</f>
        <v/>
      </c>
      <c r="T90" s="29" t="str">
        <f>IF('12 - Device_Configuration'!AV90="","",'12 - Device_Configuration'!AV90)</f>
        <v/>
      </c>
      <c r="U90" s="29" t="str">
        <f>IF('12 - Device_Configuration'!AW90="","",'12 - Device_Configuration'!AW90)</f>
        <v/>
      </c>
      <c r="V90" s="29" t="str">
        <f>IF('12 - Device_Configuration'!BA90="","",'12 - Device_Configuration'!BA90)</f>
        <v/>
      </c>
      <c r="W90" s="29" t="str">
        <f>IF('12 - Device_Configuration'!BC90="","",'12 - Device_Configuration'!BC90)</f>
        <v/>
      </c>
      <c r="X90" s="29" t="str">
        <f>IF('12 - Device_Configuration'!BK90="","",'12 - Device_Configuration'!BK90)</f>
        <v/>
      </c>
      <c r="Y90" s="29" t="str">
        <f>IF('12 - Device_Configuration'!BB90="","",'12 - Device_Configuration'!BB90)</f>
        <v/>
      </c>
      <c r="Z90" s="29" t="str">
        <f>IF('12 - Device_Configuration'!P90="","",'12 - Device_Configuration'!P90)</f>
        <v/>
      </c>
      <c r="AA90" s="29" t="str">
        <f>IF('12 - Device_Configuration'!Q90="","",'12 - Device_Configuration'!Q90)</f>
        <v/>
      </c>
    </row>
    <row r="91" spans="1:27">
      <c r="A91" s="30"/>
      <c r="B91" s="30"/>
      <c r="C91" s="29" t="str">
        <f>IF('12 - Device_Configuration'!H91="","",'12 - Device_Configuration'!H91)</f>
        <v>LIJ - Other</v>
      </c>
      <c r="D91" s="29" t="str">
        <f>IF('12 - Device_Configuration'!AE91="","",'12 - Device_Configuration'!AE91)</f>
        <v/>
      </c>
      <c r="E91" s="29" t="str">
        <f>IF('12 - Device_Configuration'!AF91="","",'12 - Device_Configuration'!AF91)</f>
        <v/>
      </c>
      <c r="F91" s="29" t="str">
        <f>IF('12 - Device_Configuration'!AG91="","",'12 - Device_Configuration'!AG91)</f>
        <v/>
      </c>
      <c r="G91" s="29" t="str">
        <f>IF('12 - Device_Configuration'!AH91="","",'12 - Device_Configuration'!AH91)</f>
        <v/>
      </c>
      <c r="H91" s="29" t="str">
        <f>IF('12 - Device_Configuration'!A91="","",'12 - Device_Configuration'!A91)</f>
        <v>Cybernet</v>
      </c>
      <c r="I91" s="29" t="str">
        <f>IF('12 - Device_Configuration'!AI91="","",'12 - Device_Configuration'!AI91)</f>
        <v/>
      </c>
      <c r="J91" s="29" t="str">
        <f>IF('12 - Device_Configuration'!AJ91="","",'12 - Device_Configuration'!AJ91)</f>
        <v/>
      </c>
      <c r="K91" s="29" t="str">
        <f>IF('12 - Device_Configuration'!AA91="","",'12 - Device_Configuration'!AA91)</f>
        <v/>
      </c>
      <c r="L91" s="29" t="str">
        <f>IF('12 - Device_Configuration'!I91="","",'12 - Device_Configuration'!I91)</f>
        <v/>
      </c>
      <c r="M91" s="30"/>
      <c r="N91" s="29" t="str">
        <f>IF('12 - Device_Configuration'!J91="","",'12 - Device_Configuration'!J91)</f>
        <v>Yes</v>
      </c>
      <c r="O91" s="29" t="str">
        <f>IF('12 - Device_Configuration'!K91="","",'12 - Device_Configuration'!K91)</f>
        <v>No</v>
      </c>
      <c r="P91" s="29" t="str">
        <f>IF('12 - Device_Configuration'!L91="","",'12 - Device_Configuration'!L91)</f>
        <v>No</v>
      </c>
      <c r="Q91" s="30"/>
      <c r="R91" s="29" t="str">
        <f>IF('12 - Device_Configuration'!AY91="","",'12 - Device_Configuration'!AY91)</f>
        <v/>
      </c>
      <c r="S91" s="29" t="str">
        <f>IF('12 - Device_Configuration'!AX91="","",'12 - Device_Configuration'!AX91)</f>
        <v/>
      </c>
      <c r="T91" s="29" t="str">
        <f>IF('12 - Device_Configuration'!AV91="","",'12 - Device_Configuration'!AV91)</f>
        <v/>
      </c>
      <c r="U91" s="29" t="str">
        <f>IF('12 - Device_Configuration'!AW91="","",'12 - Device_Configuration'!AW91)</f>
        <v/>
      </c>
      <c r="V91" s="29" t="str">
        <f>IF('12 - Device_Configuration'!BA91="","",'12 - Device_Configuration'!BA91)</f>
        <v/>
      </c>
      <c r="W91" s="29" t="str">
        <f>IF('12 - Device_Configuration'!BC91="","",'12 - Device_Configuration'!BC91)</f>
        <v/>
      </c>
      <c r="X91" s="29" t="str">
        <f>IF('12 - Device_Configuration'!BK91="","",'12 - Device_Configuration'!BK91)</f>
        <v/>
      </c>
      <c r="Y91" s="29" t="str">
        <f>IF('12 - Device_Configuration'!BB91="","",'12 - Device_Configuration'!BB91)</f>
        <v/>
      </c>
      <c r="Z91" s="29" t="str">
        <f>IF('12 - Device_Configuration'!P91="","",'12 - Device_Configuration'!P91)</f>
        <v/>
      </c>
      <c r="AA91" s="29" t="str">
        <f>IF('12 - Device_Configuration'!Q91="","",'12 - Device_Configuration'!Q91)</f>
        <v/>
      </c>
    </row>
    <row r="92" spans="1:27">
      <c r="A92" s="30"/>
      <c r="B92" s="30"/>
      <c r="C92" s="29" t="str">
        <f>IF('12 - Device_Configuration'!H92="","",'12 - Device_Configuration'!H92)</f>
        <v>LIJ - Other</v>
      </c>
      <c r="D92" s="29" t="str">
        <f>IF('12 - Device_Configuration'!AE92="","",'12 - Device_Configuration'!AE92)</f>
        <v/>
      </c>
      <c r="E92" s="29" t="str">
        <f>IF('12 - Device_Configuration'!AF92="","",'12 - Device_Configuration'!AF92)</f>
        <v/>
      </c>
      <c r="F92" s="29" t="str">
        <f>IF('12 - Device_Configuration'!AG92="","",'12 - Device_Configuration'!AG92)</f>
        <v/>
      </c>
      <c r="G92" s="29" t="str">
        <f>IF('12 - Device_Configuration'!AH92="","",'12 - Device_Configuration'!AH92)</f>
        <v/>
      </c>
      <c r="H92" s="29" t="str">
        <f>IF('12 - Device_Configuration'!A92="","",'12 - Device_Configuration'!A92)</f>
        <v>Cybernet</v>
      </c>
      <c r="I92" s="29" t="str">
        <f>IF('12 - Device_Configuration'!AI92="","",'12 - Device_Configuration'!AI92)</f>
        <v/>
      </c>
      <c r="J92" s="29" t="str">
        <f>IF('12 - Device_Configuration'!AJ92="","",'12 - Device_Configuration'!AJ92)</f>
        <v/>
      </c>
      <c r="K92" s="29" t="str">
        <f>IF('12 - Device_Configuration'!AA92="","",'12 - Device_Configuration'!AA92)</f>
        <v/>
      </c>
      <c r="L92" s="29" t="str">
        <f>IF('12 - Device_Configuration'!I92="","",'12 - Device_Configuration'!I92)</f>
        <v/>
      </c>
      <c r="M92" s="30"/>
      <c r="N92" s="29" t="str">
        <f>IF('12 - Device_Configuration'!J92="","",'12 - Device_Configuration'!J92)</f>
        <v>Yes</v>
      </c>
      <c r="O92" s="29" t="str">
        <f>IF('12 - Device_Configuration'!K92="","",'12 - Device_Configuration'!K92)</f>
        <v>No</v>
      </c>
      <c r="P92" s="29" t="str">
        <f>IF('12 - Device_Configuration'!L92="","",'12 - Device_Configuration'!L92)</f>
        <v>No</v>
      </c>
      <c r="Q92" s="30"/>
      <c r="R92" s="29" t="str">
        <f>IF('12 - Device_Configuration'!AY92="","",'12 - Device_Configuration'!AY92)</f>
        <v/>
      </c>
      <c r="S92" s="29" t="str">
        <f>IF('12 - Device_Configuration'!AX92="","",'12 - Device_Configuration'!AX92)</f>
        <v/>
      </c>
      <c r="T92" s="29" t="str">
        <f>IF('12 - Device_Configuration'!AV92="","",'12 - Device_Configuration'!AV92)</f>
        <v/>
      </c>
      <c r="U92" s="29" t="str">
        <f>IF('12 - Device_Configuration'!AW92="","",'12 - Device_Configuration'!AW92)</f>
        <v/>
      </c>
      <c r="V92" s="29" t="str">
        <f>IF('12 - Device_Configuration'!BA92="","",'12 - Device_Configuration'!BA92)</f>
        <v/>
      </c>
      <c r="W92" s="29" t="str">
        <f>IF('12 - Device_Configuration'!BC92="","",'12 - Device_Configuration'!BC92)</f>
        <v/>
      </c>
      <c r="X92" s="29" t="str">
        <f>IF('12 - Device_Configuration'!BK92="","",'12 - Device_Configuration'!BK92)</f>
        <v/>
      </c>
      <c r="Y92" s="29" t="str">
        <f>IF('12 - Device_Configuration'!BB92="","",'12 - Device_Configuration'!BB92)</f>
        <v/>
      </c>
      <c r="Z92" s="29" t="str">
        <f>IF('12 - Device_Configuration'!P92="","",'12 - Device_Configuration'!P92)</f>
        <v/>
      </c>
      <c r="AA92" s="29" t="str">
        <f>IF('12 - Device_Configuration'!Q92="","",'12 - Device_Configuration'!Q92)</f>
        <v/>
      </c>
    </row>
    <row r="93" spans="1:27">
      <c r="A93" s="30"/>
      <c r="B93" s="30"/>
      <c r="C93" s="29" t="str">
        <f>IF('12 - Device_Configuration'!H93="","",'12 - Device_Configuration'!H93)</f>
        <v>LIJ - Other</v>
      </c>
      <c r="D93" s="29" t="str">
        <f>IF('12 - Device_Configuration'!AE93="","",'12 - Device_Configuration'!AE93)</f>
        <v/>
      </c>
      <c r="E93" s="29" t="str">
        <f>IF('12 - Device_Configuration'!AF93="","",'12 - Device_Configuration'!AF93)</f>
        <v/>
      </c>
      <c r="F93" s="29" t="str">
        <f>IF('12 - Device_Configuration'!AG93="","",'12 - Device_Configuration'!AG93)</f>
        <v/>
      </c>
      <c r="G93" s="29" t="str">
        <f>IF('12 - Device_Configuration'!AH93="","",'12 - Device_Configuration'!AH93)</f>
        <v/>
      </c>
      <c r="H93" s="29" t="str">
        <f>IF('12 - Device_Configuration'!A93="","",'12 - Device_Configuration'!A93)</f>
        <v>Cybernet</v>
      </c>
      <c r="I93" s="29" t="str">
        <f>IF('12 - Device_Configuration'!AI93="","",'12 - Device_Configuration'!AI93)</f>
        <v/>
      </c>
      <c r="J93" s="29" t="str">
        <f>IF('12 - Device_Configuration'!AJ93="","",'12 - Device_Configuration'!AJ93)</f>
        <v/>
      </c>
      <c r="K93" s="29" t="str">
        <f>IF('12 - Device_Configuration'!AA93="","",'12 - Device_Configuration'!AA93)</f>
        <v/>
      </c>
      <c r="L93" s="29" t="str">
        <f>IF('12 - Device_Configuration'!I93="","",'12 - Device_Configuration'!I93)</f>
        <v/>
      </c>
      <c r="M93" s="30"/>
      <c r="N93" s="29" t="str">
        <f>IF('12 - Device_Configuration'!J93="","",'12 - Device_Configuration'!J93)</f>
        <v>Yes</v>
      </c>
      <c r="O93" s="29" t="str">
        <f>IF('12 - Device_Configuration'!K93="","",'12 - Device_Configuration'!K93)</f>
        <v>No</v>
      </c>
      <c r="P93" s="29" t="str">
        <f>IF('12 - Device_Configuration'!L93="","",'12 - Device_Configuration'!L93)</f>
        <v>No</v>
      </c>
      <c r="Q93" s="30"/>
      <c r="R93" s="29" t="str">
        <f>IF('12 - Device_Configuration'!AY93="","",'12 - Device_Configuration'!AY93)</f>
        <v/>
      </c>
      <c r="S93" s="29" t="str">
        <f>IF('12 - Device_Configuration'!AX93="","",'12 - Device_Configuration'!AX93)</f>
        <v/>
      </c>
      <c r="T93" s="29" t="str">
        <f>IF('12 - Device_Configuration'!AV93="","",'12 - Device_Configuration'!AV93)</f>
        <v/>
      </c>
      <c r="U93" s="29" t="str">
        <f>IF('12 - Device_Configuration'!AW93="","",'12 - Device_Configuration'!AW93)</f>
        <v/>
      </c>
      <c r="V93" s="29" t="str">
        <f>IF('12 - Device_Configuration'!BA93="","",'12 - Device_Configuration'!BA93)</f>
        <v/>
      </c>
      <c r="W93" s="29" t="str">
        <f>IF('12 - Device_Configuration'!BC93="","",'12 - Device_Configuration'!BC93)</f>
        <v/>
      </c>
      <c r="X93" s="29" t="str">
        <f>IF('12 - Device_Configuration'!BK93="","",'12 - Device_Configuration'!BK93)</f>
        <v/>
      </c>
      <c r="Y93" s="29" t="str">
        <f>IF('12 - Device_Configuration'!BB93="","",'12 - Device_Configuration'!BB93)</f>
        <v/>
      </c>
      <c r="Z93" s="29" t="str">
        <f>IF('12 - Device_Configuration'!P93="","",'12 - Device_Configuration'!P93)</f>
        <v/>
      </c>
      <c r="AA93" s="29" t="str">
        <f>IF('12 - Device_Configuration'!Q93="","",'12 - Device_Configuration'!Q93)</f>
        <v/>
      </c>
    </row>
    <row r="94" spans="1:27">
      <c r="A94" s="30"/>
      <c r="B94" s="30"/>
      <c r="C94" s="29" t="str">
        <f>IF('12 - Device_Configuration'!H94="","",'12 - Device_Configuration'!H94)</f>
        <v>LIJ - Other</v>
      </c>
      <c r="D94" s="29" t="str">
        <f>IF('12 - Device_Configuration'!AE94="","",'12 - Device_Configuration'!AE94)</f>
        <v/>
      </c>
      <c r="E94" s="29" t="str">
        <f>IF('12 - Device_Configuration'!AF94="","",'12 - Device_Configuration'!AF94)</f>
        <v/>
      </c>
      <c r="F94" s="29" t="str">
        <f>IF('12 - Device_Configuration'!AG94="","",'12 - Device_Configuration'!AG94)</f>
        <v/>
      </c>
      <c r="G94" s="29" t="str">
        <f>IF('12 - Device_Configuration'!AH94="","",'12 - Device_Configuration'!AH94)</f>
        <v/>
      </c>
      <c r="H94" s="29" t="str">
        <f>IF('12 - Device_Configuration'!A94="","",'12 - Device_Configuration'!A94)</f>
        <v>Cybernet</v>
      </c>
      <c r="I94" s="29" t="str">
        <f>IF('12 - Device_Configuration'!AI94="","",'12 - Device_Configuration'!AI94)</f>
        <v/>
      </c>
      <c r="J94" s="29" t="str">
        <f>IF('12 - Device_Configuration'!AJ94="","",'12 - Device_Configuration'!AJ94)</f>
        <v/>
      </c>
      <c r="K94" s="29" t="str">
        <f>IF('12 - Device_Configuration'!AA94="","",'12 - Device_Configuration'!AA94)</f>
        <v/>
      </c>
      <c r="L94" s="29" t="str">
        <f>IF('12 - Device_Configuration'!I94="","",'12 - Device_Configuration'!I94)</f>
        <v/>
      </c>
      <c r="M94" s="30"/>
      <c r="N94" s="29" t="str">
        <f>IF('12 - Device_Configuration'!J94="","",'12 - Device_Configuration'!J94)</f>
        <v>Yes</v>
      </c>
      <c r="O94" s="29" t="str">
        <f>IF('12 - Device_Configuration'!K94="","",'12 - Device_Configuration'!K94)</f>
        <v>No</v>
      </c>
      <c r="P94" s="29" t="str">
        <f>IF('12 - Device_Configuration'!L94="","",'12 - Device_Configuration'!L94)</f>
        <v>No</v>
      </c>
      <c r="Q94" s="30"/>
      <c r="R94" s="29" t="str">
        <f>IF('12 - Device_Configuration'!AY94="","",'12 - Device_Configuration'!AY94)</f>
        <v/>
      </c>
      <c r="S94" s="29" t="str">
        <f>IF('12 - Device_Configuration'!AX94="","",'12 - Device_Configuration'!AX94)</f>
        <v/>
      </c>
      <c r="T94" s="29" t="str">
        <f>IF('12 - Device_Configuration'!AV94="","",'12 - Device_Configuration'!AV94)</f>
        <v/>
      </c>
      <c r="U94" s="29" t="str">
        <f>IF('12 - Device_Configuration'!AW94="","",'12 - Device_Configuration'!AW94)</f>
        <v/>
      </c>
      <c r="V94" s="29" t="str">
        <f>IF('12 - Device_Configuration'!BA94="","",'12 - Device_Configuration'!BA94)</f>
        <v/>
      </c>
      <c r="W94" s="29" t="str">
        <f>IF('12 - Device_Configuration'!BC94="","",'12 - Device_Configuration'!BC94)</f>
        <v/>
      </c>
      <c r="X94" s="29" t="str">
        <f>IF('12 - Device_Configuration'!BK94="","",'12 - Device_Configuration'!BK94)</f>
        <v/>
      </c>
      <c r="Y94" s="29" t="str">
        <f>IF('12 - Device_Configuration'!BB94="","",'12 - Device_Configuration'!BB94)</f>
        <v/>
      </c>
      <c r="Z94" s="29" t="str">
        <f>IF('12 - Device_Configuration'!P94="","",'12 - Device_Configuration'!P94)</f>
        <v/>
      </c>
      <c r="AA94" s="29" t="str">
        <f>IF('12 - Device_Configuration'!Q94="","",'12 - Device_Configuration'!Q94)</f>
        <v/>
      </c>
    </row>
    <row r="95" spans="1:27">
      <c r="A95" s="30"/>
      <c r="B95" s="30"/>
      <c r="C95" s="29" t="str">
        <f>IF('12 - Device_Configuration'!H95="","",'12 - Device_Configuration'!H95)</f>
        <v>LIJ - Other</v>
      </c>
      <c r="D95" s="29" t="str">
        <f>IF('12 - Device_Configuration'!AE95="","",'12 - Device_Configuration'!AE95)</f>
        <v/>
      </c>
      <c r="E95" s="29" t="str">
        <f>IF('12 - Device_Configuration'!AF95="","",'12 - Device_Configuration'!AF95)</f>
        <v/>
      </c>
      <c r="F95" s="29" t="str">
        <f>IF('12 - Device_Configuration'!AG95="","",'12 - Device_Configuration'!AG95)</f>
        <v/>
      </c>
      <c r="G95" s="29" t="str">
        <f>IF('12 - Device_Configuration'!AH95="","",'12 - Device_Configuration'!AH95)</f>
        <v/>
      </c>
      <c r="H95" s="29" t="str">
        <f>IF('12 - Device_Configuration'!A95="","",'12 - Device_Configuration'!A95)</f>
        <v>Cybernet</v>
      </c>
      <c r="I95" s="29" t="str">
        <f>IF('12 - Device_Configuration'!AI95="","",'12 - Device_Configuration'!AI95)</f>
        <v/>
      </c>
      <c r="J95" s="29" t="str">
        <f>IF('12 - Device_Configuration'!AJ95="","",'12 - Device_Configuration'!AJ95)</f>
        <v/>
      </c>
      <c r="K95" s="29" t="str">
        <f>IF('12 - Device_Configuration'!AA95="","",'12 - Device_Configuration'!AA95)</f>
        <v/>
      </c>
      <c r="L95" s="29" t="str">
        <f>IF('12 - Device_Configuration'!I95="","",'12 - Device_Configuration'!I95)</f>
        <v/>
      </c>
      <c r="M95" s="30"/>
      <c r="N95" s="29" t="str">
        <f>IF('12 - Device_Configuration'!J95="","",'12 - Device_Configuration'!J95)</f>
        <v>Yes</v>
      </c>
      <c r="O95" s="29" t="str">
        <f>IF('12 - Device_Configuration'!K95="","",'12 - Device_Configuration'!K95)</f>
        <v>No</v>
      </c>
      <c r="P95" s="29" t="str">
        <f>IF('12 - Device_Configuration'!L95="","",'12 - Device_Configuration'!L95)</f>
        <v>No</v>
      </c>
      <c r="Q95" s="30"/>
      <c r="R95" s="29" t="str">
        <f>IF('12 - Device_Configuration'!AY95="","",'12 - Device_Configuration'!AY95)</f>
        <v/>
      </c>
      <c r="S95" s="29" t="str">
        <f>IF('12 - Device_Configuration'!AX95="","",'12 - Device_Configuration'!AX95)</f>
        <v/>
      </c>
      <c r="T95" s="29" t="str">
        <f>IF('12 - Device_Configuration'!AV95="","",'12 - Device_Configuration'!AV95)</f>
        <v/>
      </c>
      <c r="U95" s="29" t="str">
        <f>IF('12 - Device_Configuration'!AW95="","",'12 - Device_Configuration'!AW95)</f>
        <v/>
      </c>
      <c r="V95" s="29" t="str">
        <f>IF('12 - Device_Configuration'!BA95="","",'12 - Device_Configuration'!BA95)</f>
        <v/>
      </c>
      <c r="W95" s="29" t="str">
        <f>IF('12 - Device_Configuration'!BC95="","",'12 - Device_Configuration'!BC95)</f>
        <v/>
      </c>
      <c r="X95" s="29" t="str">
        <f>IF('12 - Device_Configuration'!BK95="","",'12 - Device_Configuration'!BK95)</f>
        <v/>
      </c>
      <c r="Y95" s="29" t="str">
        <f>IF('12 - Device_Configuration'!BB95="","",'12 - Device_Configuration'!BB95)</f>
        <v/>
      </c>
      <c r="Z95" s="29" t="str">
        <f>IF('12 - Device_Configuration'!P95="","",'12 - Device_Configuration'!P95)</f>
        <v/>
      </c>
      <c r="AA95" s="29" t="str">
        <f>IF('12 - Device_Configuration'!Q95="","",'12 - Device_Configuration'!Q95)</f>
        <v/>
      </c>
    </row>
    <row r="96" spans="1:27">
      <c r="A96" s="30"/>
      <c r="B96" s="30"/>
      <c r="C96" s="29" t="str">
        <f>IF('12 - Device_Configuration'!H96="","",'12 - Device_Configuration'!H96)</f>
        <v>LIJ - Other</v>
      </c>
      <c r="D96" s="29" t="str">
        <f>IF('12 - Device_Configuration'!AE96="","",'12 - Device_Configuration'!AE96)</f>
        <v/>
      </c>
      <c r="E96" s="29" t="str">
        <f>IF('12 - Device_Configuration'!AF96="","",'12 - Device_Configuration'!AF96)</f>
        <v/>
      </c>
      <c r="F96" s="29" t="str">
        <f>IF('12 - Device_Configuration'!AG96="","",'12 - Device_Configuration'!AG96)</f>
        <v/>
      </c>
      <c r="G96" s="29" t="str">
        <f>IF('12 - Device_Configuration'!AH96="","",'12 - Device_Configuration'!AH96)</f>
        <v/>
      </c>
      <c r="H96" s="29" t="str">
        <f>IF('12 - Device_Configuration'!A96="","",'12 - Device_Configuration'!A96)</f>
        <v>Cybernet</v>
      </c>
      <c r="I96" s="29" t="str">
        <f>IF('12 - Device_Configuration'!AI96="","",'12 - Device_Configuration'!AI96)</f>
        <v/>
      </c>
      <c r="J96" s="29" t="str">
        <f>IF('12 - Device_Configuration'!AJ96="","",'12 - Device_Configuration'!AJ96)</f>
        <v/>
      </c>
      <c r="K96" s="29" t="str">
        <f>IF('12 - Device_Configuration'!AA96="","",'12 - Device_Configuration'!AA96)</f>
        <v/>
      </c>
      <c r="L96" s="29" t="str">
        <f>IF('12 - Device_Configuration'!I96="","",'12 - Device_Configuration'!I96)</f>
        <v/>
      </c>
      <c r="M96" s="30"/>
      <c r="N96" s="29" t="str">
        <f>IF('12 - Device_Configuration'!J96="","",'12 - Device_Configuration'!J96)</f>
        <v>Yes</v>
      </c>
      <c r="O96" s="29" t="str">
        <f>IF('12 - Device_Configuration'!K96="","",'12 - Device_Configuration'!K96)</f>
        <v>No</v>
      </c>
      <c r="P96" s="29" t="str">
        <f>IF('12 - Device_Configuration'!L96="","",'12 - Device_Configuration'!L96)</f>
        <v>No</v>
      </c>
      <c r="Q96" s="30"/>
      <c r="R96" s="29" t="str">
        <f>IF('12 - Device_Configuration'!AY96="","",'12 - Device_Configuration'!AY96)</f>
        <v/>
      </c>
      <c r="S96" s="29" t="str">
        <f>IF('12 - Device_Configuration'!AX96="","",'12 - Device_Configuration'!AX96)</f>
        <v/>
      </c>
      <c r="T96" s="29" t="str">
        <f>IF('12 - Device_Configuration'!AV96="","",'12 - Device_Configuration'!AV96)</f>
        <v/>
      </c>
      <c r="U96" s="29" t="str">
        <f>IF('12 - Device_Configuration'!AW96="","",'12 - Device_Configuration'!AW96)</f>
        <v/>
      </c>
      <c r="V96" s="29" t="str">
        <f>IF('12 - Device_Configuration'!BA96="","",'12 - Device_Configuration'!BA96)</f>
        <v/>
      </c>
      <c r="W96" s="29" t="str">
        <f>IF('12 - Device_Configuration'!BC96="","",'12 - Device_Configuration'!BC96)</f>
        <v/>
      </c>
      <c r="X96" s="29" t="str">
        <f>IF('12 - Device_Configuration'!BK96="","",'12 - Device_Configuration'!BK96)</f>
        <v/>
      </c>
      <c r="Y96" s="29" t="str">
        <f>IF('12 - Device_Configuration'!BB96="","",'12 - Device_Configuration'!BB96)</f>
        <v/>
      </c>
      <c r="Z96" s="29" t="str">
        <f>IF('12 - Device_Configuration'!P96="","",'12 - Device_Configuration'!P96)</f>
        <v/>
      </c>
      <c r="AA96" s="29" t="str">
        <f>IF('12 - Device_Configuration'!Q96="","",'12 - Device_Configuration'!Q96)</f>
        <v/>
      </c>
    </row>
    <row r="97" spans="1:27">
      <c r="A97" s="30"/>
      <c r="B97" s="30"/>
      <c r="C97" s="29" t="str">
        <f>IF('12 - Device_Configuration'!H97="","",'12 - Device_Configuration'!H97)</f>
        <v>LIJ - Other</v>
      </c>
      <c r="D97" s="29" t="str">
        <f>IF('12 - Device_Configuration'!AE97="","",'12 - Device_Configuration'!AE97)</f>
        <v/>
      </c>
      <c r="E97" s="29" t="str">
        <f>IF('12 - Device_Configuration'!AF97="","",'12 - Device_Configuration'!AF97)</f>
        <v/>
      </c>
      <c r="F97" s="29" t="str">
        <f>IF('12 - Device_Configuration'!AG97="","",'12 - Device_Configuration'!AG97)</f>
        <v/>
      </c>
      <c r="G97" s="29" t="str">
        <f>IF('12 - Device_Configuration'!AH97="","",'12 - Device_Configuration'!AH97)</f>
        <v/>
      </c>
      <c r="H97" s="29" t="str">
        <f>IF('12 - Device_Configuration'!A97="","",'12 - Device_Configuration'!A97)</f>
        <v>Cybernet</v>
      </c>
      <c r="I97" s="29" t="str">
        <f>IF('12 - Device_Configuration'!AI97="","",'12 - Device_Configuration'!AI97)</f>
        <v/>
      </c>
      <c r="J97" s="29" t="str">
        <f>IF('12 - Device_Configuration'!AJ97="","",'12 - Device_Configuration'!AJ97)</f>
        <v/>
      </c>
      <c r="K97" s="29" t="str">
        <f>IF('12 - Device_Configuration'!AA97="","",'12 - Device_Configuration'!AA97)</f>
        <v/>
      </c>
      <c r="L97" s="29" t="str">
        <f>IF('12 - Device_Configuration'!I97="","",'12 - Device_Configuration'!I97)</f>
        <v/>
      </c>
      <c r="M97" s="30"/>
      <c r="N97" s="29" t="str">
        <f>IF('12 - Device_Configuration'!J97="","",'12 - Device_Configuration'!J97)</f>
        <v>Yes</v>
      </c>
      <c r="O97" s="29" t="str">
        <f>IF('12 - Device_Configuration'!K97="","",'12 - Device_Configuration'!K97)</f>
        <v>No</v>
      </c>
      <c r="P97" s="29" t="str">
        <f>IF('12 - Device_Configuration'!L97="","",'12 - Device_Configuration'!L97)</f>
        <v>No</v>
      </c>
      <c r="Q97" s="30"/>
      <c r="R97" s="29" t="str">
        <f>IF('12 - Device_Configuration'!AY97="","",'12 - Device_Configuration'!AY97)</f>
        <v/>
      </c>
      <c r="S97" s="29" t="str">
        <f>IF('12 - Device_Configuration'!AX97="","",'12 - Device_Configuration'!AX97)</f>
        <v/>
      </c>
      <c r="T97" s="29" t="str">
        <f>IF('12 - Device_Configuration'!AV97="","",'12 - Device_Configuration'!AV97)</f>
        <v/>
      </c>
      <c r="U97" s="29" t="str">
        <f>IF('12 - Device_Configuration'!AW97="","",'12 - Device_Configuration'!AW97)</f>
        <v/>
      </c>
      <c r="V97" s="29" t="str">
        <f>IF('12 - Device_Configuration'!BA97="","",'12 - Device_Configuration'!BA97)</f>
        <v/>
      </c>
      <c r="W97" s="29" t="str">
        <f>IF('12 - Device_Configuration'!BC97="","",'12 - Device_Configuration'!BC97)</f>
        <v/>
      </c>
      <c r="X97" s="29" t="str">
        <f>IF('12 - Device_Configuration'!BK97="","",'12 - Device_Configuration'!BK97)</f>
        <v/>
      </c>
      <c r="Y97" s="29" t="str">
        <f>IF('12 - Device_Configuration'!BB97="","",'12 - Device_Configuration'!BB97)</f>
        <v/>
      </c>
      <c r="Z97" s="29" t="str">
        <f>IF('12 - Device_Configuration'!P97="","",'12 - Device_Configuration'!P97)</f>
        <v/>
      </c>
      <c r="AA97" s="29" t="str">
        <f>IF('12 - Device_Configuration'!Q97="","",'12 - Device_Configuration'!Q97)</f>
        <v/>
      </c>
    </row>
    <row r="98" spans="1:27">
      <c r="A98" s="30"/>
      <c r="B98" s="30"/>
      <c r="C98" s="29" t="str">
        <f>IF('12 - Device_Configuration'!H98="","",'12 - Device_Configuration'!H98)</f>
        <v>LIJ - Other</v>
      </c>
      <c r="D98" s="29" t="str">
        <f>IF('12 - Device_Configuration'!AE98="","",'12 - Device_Configuration'!AE98)</f>
        <v/>
      </c>
      <c r="E98" s="29" t="str">
        <f>IF('12 - Device_Configuration'!AF98="","",'12 - Device_Configuration'!AF98)</f>
        <v/>
      </c>
      <c r="F98" s="29" t="str">
        <f>IF('12 - Device_Configuration'!AG98="","",'12 - Device_Configuration'!AG98)</f>
        <v/>
      </c>
      <c r="G98" s="29" t="str">
        <f>IF('12 - Device_Configuration'!AH98="","",'12 - Device_Configuration'!AH98)</f>
        <v/>
      </c>
      <c r="H98" s="29" t="str">
        <f>IF('12 - Device_Configuration'!A98="","",'12 - Device_Configuration'!A98)</f>
        <v>Cybernet</v>
      </c>
      <c r="I98" s="29" t="str">
        <f>IF('12 - Device_Configuration'!AI98="","",'12 - Device_Configuration'!AI98)</f>
        <v/>
      </c>
      <c r="J98" s="29" t="str">
        <f>IF('12 - Device_Configuration'!AJ98="","",'12 - Device_Configuration'!AJ98)</f>
        <v/>
      </c>
      <c r="K98" s="29" t="str">
        <f>IF('12 - Device_Configuration'!AA98="","",'12 - Device_Configuration'!AA98)</f>
        <v/>
      </c>
      <c r="L98" s="29" t="str">
        <f>IF('12 - Device_Configuration'!I98="","",'12 - Device_Configuration'!I98)</f>
        <v/>
      </c>
      <c r="M98" s="30"/>
      <c r="N98" s="29" t="str">
        <f>IF('12 - Device_Configuration'!J98="","",'12 - Device_Configuration'!J98)</f>
        <v>Yes</v>
      </c>
      <c r="O98" s="29" t="str">
        <f>IF('12 - Device_Configuration'!K98="","",'12 - Device_Configuration'!K98)</f>
        <v>No</v>
      </c>
      <c r="P98" s="29" t="str">
        <f>IF('12 - Device_Configuration'!L98="","",'12 - Device_Configuration'!L98)</f>
        <v>No</v>
      </c>
      <c r="Q98" s="30"/>
      <c r="R98" s="29" t="str">
        <f>IF('12 - Device_Configuration'!AY98="","",'12 - Device_Configuration'!AY98)</f>
        <v/>
      </c>
      <c r="S98" s="29" t="str">
        <f>IF('12 - Device_Configuration'!AX98="","",'12 - Device_Configuration'!AX98)</f>
        <v/>
      </c>
      <c r="T98" s="29" t="str">
        <f>IF('12 - Device_Configuration'!AV98="","",'12 - Device_Configuration'!AV98)</f>
        <v/>
      </c>
      <c r="U98" s="29" t="str">
        <f>IF('12 - Device_Configuration'!AW98="","",'12 - Device_Configuration'!AW98)</f>
        <v/>
      </c>
      <c r="V98" s="29" t="str">
        <f>IF('12 - Device_Configuration'!BA98="","",'12 - Device_Configuration'!BA98)</f>
        <v/>
      </c>
      <c r="W98" s="29" t="str">
        <f>IF('12 - Device_Configuration'!BC98="","",'12 - Device_Configuration'!BC98)</f>
        <v/>
      </c>
      <c r="X98" s="29" t="str">
        <f>IF('12 - Device_Configuration'!BK98="","",'12 - Device_Configuration'!BK98)</f>
        <v/>
      </c>
      <c r="Y98" s="29" t="str">
        <f>IF('12 - Device_Configuration'!BB98="","",'12 - Device_Configuration'!BB98)</f>
        <v/>
      </c>
      <c r="Z98" s="29" t="str">
        <f>IF('12 - Device_Configuration'!P98="","",'12 - Device_Configuration'!P98)</f>
        <v/>
      </c>
      <c r="AA98" s="29" t="str">
        <f>IF('12 - Device_Configuration'!Q98="","",'12 - Device_Configuration'!Q98)</f>
        <v/>
      </c>
    </row>
    <row r="99" spans="1:27">
      <c r="A99" s="30"/>
      <c r="B99" s="30"/>
      <c r="C99" s="29" t="str">
        <f>IF('12 - Device_Configuration'!H99="","",'12 - Device_Configuration'!H99)</f>
        <v>LIJ - Other</v>
      </c>
      <c r="D99" s="29" t="str">
        <f>IF('12 - Device_Configuration'!AE99="","",'12 - Device_Configuration'!AE99)</f>
        <v/>
      </c>
      <c r="E99" s="29" t="str">
        <f>IF('12 - Device_Configuration'!AF99="","",'12 - Device_Configuration'!AF99)</f>
        <v/>
      </c>
      <c r="F99" s="29" t="str">
        <f>IF('12 - Device_Configuration'!AG99="","",'12 - Device_Configuration'!AG99)</f>
        <v/>
      </c>
      <c r="G99" s="29" t="str">
        <f>IF('12 - Device_Configuration'!AH99="","",'12 - Device_Configuration'!AH99)</f>
        <v/>
      </c>
      <c r="H99" s="29" t="str">
        <f>IF('12 - Device_Configuration'!A99="","",'12 - Device_Configuration'!A99)</f>
        <v>Cybernet</v>
      </c>
      <c r="I99" s="29" t="str">
        <f>IF('12 - Device_Configuration'!AI99="","",'12 - Device_Configuration'!AI99)</f>
        <v/>
      </c>
      <c r="J99" s="29" t="str">
        <f>IF('12 - Device_Configuration'!AJ99="","",'12 - Device_Configuration'!AJ99)</f>
        <v/>
      </c>
      <c r="K99" s="29" t="str">
        <f>IF('12 - Device_Configuration'!AA99="","",'12 - Device_Configuration'!AA99)</f>
        <v/>
      </c>
      <c r="L99" s="29" t="str">
        <f>IF('12 - Device_Configuration'!I99="","",'12 - Device_Configuration'!I99)</f>
        <v/>
      </c>
      <c r="M99" s="30"/>
      <c r="N99" s="29" t="str">
        <f>IF('12 - Device_Configuration'!J99="","",'12 - Device_Configuration'!J99)</f>
        <v>Yes</v>
      </c>
      <c r="O99" s="29" t="str">
        <f>IF('12 - Device_Configuration'!K99="","",'12 - Device_Configuration'!K99)</f>
        <v>No</v>
      </c>
      <c r="P99" s="29" t="str">
        <f>IF('12 - Device_Configuration'!L99="","",'12 - Device_Configuration'!L99)</f>
        <v>No</v>
      </c>
      <c r="Q99" s="30"/>
      <c r="R99" s="29" t="str">
        <f>IF('12 - Device_Configuration'!AY99="","",'12 - Device_Configuration'!AY99)</f>
        <v/>
      </c>
      <c r="S99" s="29" t="str">
        <f>IF('12 - Device_Configuration'!AX99="","",'12 - Device_Configuration'!AX99)</f>
        <v/>
      </c>
      <c r="T99" s="29" t="str">
        <f>IF('12 - Device_Configuration'!AV99="","",'12 - Device_Configuration'!AV99)</f>
        <v/>
      </c>
      <c r="U99" s="29" t="str">
        <f>IF('12 - Device_Configuration'!AW99="","",'12 - Device_Configuration'!AW99)</f>
        <v/>
      </c>
      <c r="V99" s="29" t="str">
        <f>IF('12 - Device_Configuration'!BA99="","",'12 - Device_Configuration'!BA99)</f>
        <v/>
      </c>
      <c r="W99" s="29" t="str">
        <f>IF('12 - Device_Configuration'!BC99="","",'12 - Device_Configuration'!BC99)</f>
        <v/>
      </c>
      <c r="X99" s="29" t="str">
        <f>IF('12 - Device_Configuration'!BK99="","",'12 - Device_Configuration'!BK99)</f>
        <v/>
      </c>
      <c r="Y99" s="29" t="str">
        <f>IF('12 - Device_Configuration'!BB99="","",'12 - Device_Configuration'!BB99)</f>
        <v/>
      </c>
      <c r="Z99" s="29" t="str">
        <f>IF('12 - Device_Configuration'!P99="","",'12 - Device_Configuration'!P99)</f>
        <v/>
      </c>
      <c r="AA99" s="29" t="str">
        <f>IF('12 - Device_Configuration'!Q99="","",'12 - Device_Configuration'!Q99)</f>
        <v/>
      </c>
    </row>
    <row r="100" spans="1:27">
      <c r="A100" s="30"/>
      <c r="B100" s="30"/>
      <c r="C100" s="29" t="str">
        <f>IF('12 - Device_Configuration'!H100="","",'12 - Device_Configuration'!H100)</f>
        <v>LIJ - Other</v>
      </c>
      <c r="D100" s="29" t="str">
        <f>IF('12 - Device_Configuration'!AE100="","",'12 - Device_Configuration'!AE100)</f>
        <v/>
      </c>
      <c r="E100" s="29" t="str">
        <f>IF('12 - Device_Configuration'!AF100="","",'12 - Device_Configuration'!AF100)</f>
        <v/>
      </c>
      <c r="F100" s="29" t="str">
        <f>IF('12 - Device_Configuration'!AG100="","",'12 - Device_Configuration'!AG100)</f>
        <v/>
      </c>
      <c r="G100" s="29" t="str">
        <f>IF('12 - Device_Configuration'!AH100="","",'12 - Device_Configuration'!AH100)</f>
        <v/>
      </c>
      <c r="H100" s="29" t="str">
        <f>IF('12 - Device_Configuration'!A100="","",'12 - Device_Configuration'!A100)</f>
        <v>Cybernet</v>
      </c>
      <c r="I100" s="29" t="str">
        <f>IF('12 - Device_Configuration'!AI100="","",'12 - Device_Configuration'!AI100)</f>
        <v/>
      </c>
      <c r="J100" s="29" t="str">
        <f>IF('12 - Device_Configuration'!AJ100="","",'12 - Device_Configuration'!AJ100)</f>
        <v/>
      </c>
      <c r="K100" s="29" t="str">
        <f>IF('12 - Device_Configuration'!AA100="","",'12 - Device_Configuration'!AA100)</f>
        <v/>
      </c>
      <c r="L100" s="29" t="str">
        <f>IF('12 - Device_Configuration'!I100="","",'12 - Device_Configuration'!I100)</f>
        <v/>
      </c>
      <c r="M100" s="30"/>
      <c r="N100" s="29" t="str">
        <f>IF('12 - Device_Configuration'!J100="","",'12 - Device_Configuration'!J100)</f>
        <v>Yes</v>
      </c>
      <c r="O100" s="29" t="str">
        <f>IF('12 - Device_Configuration'!K100="","",'12 - Device_Configuration'!K100)</f>
        <v>No</v>
      </c>
      <c r="P100" s="29" t="str">
        <f>IF('12 - Device_Configuration'!L100="","",'12 - Device_Configuration'!L100)</f>
        <v>No</v>
      </c>
      <c r="Q100" s="30"/>
      <c r="R100" s="29" t="str">
        <f>IF('12 - Device_Configuration'!AY100="","",'12 - Device_Configuration'!AY100)</f>
        <v/>
      </c>
      <c r="S100" s="29" t="str">
        <f>IF('12 - Device_Configuration'!AX100="","",'12 - Device_Configuration'!AX100)</f>
        <v/>
      </c>
      <c r="T100" s="29" t="str">
        <f>IF('12 - Device_Configuration'!AV100="","",'12 - Device_Configuration'!AV100)</f>
        <v/>
      </c>
      <c r="U100" s="29" t="str">
        <f>IF('12 - Device_Configuration'!AW100="","",'12 - Device_Configuration'!AW100)</f>
        <v/>
      </c>
      <c r="V100" s="29" t="str">
        <f>IF('12 - Device_Configuration'!BA100="","",'12 - Device_Configuration'!BA100)</f>
        <v/>
      </c>
      <c r="W100" s="29" t="str">
        <f>IF('12 - Device_Configuration'!BC100="","",'12 - Device_Configuration'!BC100)</f>
        <v/>
      </c>
      <c r="X100" s="29" t="str">
        <f>IF('12 - Device_Configuration'!BK100="","",'12 - Device_Configuration'!BK100)</f>
        <v/>
      </c>
      <c r="Y100" s="29" t="str">
        <f>IF('12 - Device_Configuration'!BB100="","",'12 - Device_Configuration'!BB100)</f>
        <v/>
      </c>
      <c r="Z100" s="29" t="str">
        <f>IF('12 - Device_Configuration'!P100="","",'12 - Device_Configuration'!P100)</f>
        <v/>
      </c>
      <c r="AA100" s="29" t="str">
        <f>IF('12 - Device_Configuration'!Q100="","",'12 - Device_Configuration'!Q100)</f>
        <v/>
      </c>
    </row>
    <row r="101" spans="1:27">
      <c r="A101" s="30"/>
      <c r="B101" s="30"/>
      <c r="C101" s="29" t="str">
        <f>IF('12 - Device_Configuration'!H101="","",'12 - Device_Configuration'!H101)</f>
        <v>LIJ - Other</v>
      </c>
      <c r="D101" s="29" t="str">
        <f>IF('12 - Device_Configuration'!AE101="","",'12 - Device_Configuration'!AE101)</f>
        <v/>
      </c>
      <c r="E101" s="29" t="str">
        <f>IF('12 - Device_Configuration'!AF101="","",'12 - Device_Configuration'!AF101)</f>
        <v/>
      </c>
      <c r="F101" s="29" t="str">
        <f>IF('12 - Device_Configuration'!AG101="","",'12 - Device_Configuration'!AG101)</f>
        <v/>
      </c>
      <c r="G101" s="29" t="str">
        <f>IF('12 - Device_Configuration'!AH101="","",'12 - Device_Configuration'!AH101)</f>
        <v/>
      </c>
      <c r="H101" s="29" t="str">
        <f>IF('12 - Device_Configuration'!A101="","",'12 - Device_Configuration'!A101)</f>
        <v>Cybernet</v>
      </c>
      <c r="I101" s="29" t="str">
        <f>IF('12 - Device_Configuration'!AI101="","",'12 - Device_Configuration'!AI101)</f>
        <v/>
      </c>
      <c r="J101" s="29" t="str">
        <f>IF('12 - Device_Configuration'!AJ101="","",'12 - Device_Configuration'!AJ101)</f>
        <v/>
      </c>
      <c r="K101" s="29" t="str">
        <f>IF('12 - Device_Configuration'!AA101="","",'12 - Device_Configuration'!AA101)</f>
        <v/>
      </c>
      <c r="L101" s="29" t="str">
        <f>IF('12 - Device_Configuration'!I101="","",'12 - Device_Configuration'!I101)</f>
        <v/>
      </c>
      <c r="M101" s="30"/>
      <c r="N101" s="29" t="str">
        <f>IF('12 - Device_Configuration'!J101="","",'12 - Device_Configuration'!J101)</f>
        <v>Yes</v>
      </c>
      <c r="O101" s="29" t="str">
        <f>IF('12 - Device_Configuration'!K101="","",'12 - Device_Configuration'!K101)</f>
        <v>No</v>
      </c>
      <c r="P101" s="29" t="str">
        <f>IF('12 - Device_Configuration'!L101="","",'12 - Device_Configuration'!L101)</f>
        <v>No</v>
      </c>
      <c r="Q101" s="30"/>
      <c r="R101" s="29" t="str">
        <f>IF('12 - Device_Configuration'!AY101="","",'12 - Device_Configuration'!AY101)</f>
        <v/>
      </c>
      <c r="S101" s="29" t="str">
        <f>IF('12 - Device_Configuration'!AX101="","",'12 - Device_Configuration'!AX101)</f>
        <v/>
      </c>
      <c r="T101" s="29" t="str">
        <f>IF('12 - Device_Configuration'!AV101="","",'12 - Device_Configuration'!AV101)</f>
        <v/>
      </c>
      <c r="U101" s="29" t="str">
        <f>IF('12 - Device_Configuration'!AW101="","",'12 - Device_Configuration'!AW101)</f>
        <v/>
      </c>
      <c r="V101" s="29" t="str">
        <f>IF('12 - Device_Configuration'!BA101="","",'12 - Device_Configuration'!BA101)</f>
        <v/>
      </c>
      <c r="W101" s="29" t="str">
        <f>IF('12 - Device_Configuration'!BC101="","",'12 - Device_Configuration'!BC101)</f>
        <v/>
      </c>
      <c r="X101" s="29" t="str">
        <f>IF('12 - Device_Configuration'!BK101="","",'12 - Device_Configuration'!BK101)</f>
        <v/>
      </c>
      <c r="Y101" s="29" t="str">
        <f>IF('12 - Device_Configuration'!BB101="","",'12 - Device_Configuration'!BB101)</f>
        <v/>
      </c>
      <c r="Z101" s="29" t="str">
        <f>IF('12 - Device_Configuration'!P101="","",'12 - Device_Configuration'!P101)</f>
        <v/>
      </c>
      <c r="AA101" s="29" t="str">
        <f>IF('12 - Device_Configuration'!Q101="","",'12 - Device_Configuration'!Q101)</f>
        <v/>
      </c>
    </row>
    <row r="102" spans="1:27">
      <c r="A102" s="30"/>
      <c r="B102" s="30"/>
      <c r="C102" s="29" t="str">
        <f>IF('12 - Device_Configuration'!H102="","",'12 - Device_Configuration'!H102)</f>
        <v>LIJ - Other</v>
      </c>
      <c r="D102" s="29" t="str">
        <f>IF('12 - Device_Configuration'!AE102="","",'12 - Device_Configuration'!AE102)</f>
        <v/>
      </c>
      <c r="E102" s="29" t="str">
        <f>IF('12 - Device_Configuration'!AF102="","",'12 - Device_Configuration'!AF102)</f>
        <v/>
      </c>
      <c r="F102" s="29" t="str">
        <f>IF('12 - Device_Configuration'!AG102="","",'12 - Device_Configuration'!AG102)</f>
        <v/>
      </c>
      <c r="G102" s="29" t="str">
        <f>IF('12 - Device_Configuration'!AH102="","",'12 - Device_Configuration'!AH102)</f>
        <v/>
      </c>
      <c r="H102" s="29" t="str">
        <f>IF('12 - Device_Configuration'!A102="","",'12 - Device_Configuration'!A102)</f>
        <v>Cybernet</v>
      </c>
      <c r="I102" s="29" t="str">
        <f>IF('12 - Device_Configuration'!AI102="","",'12 - Device_Configuration'!AI102)</f>
        <v/>
      </c>
      <c r="J102" s="29" t="str">
        <f>IF('12 - Device_Configuration'!AJ102="","",'12 - Device_Configuration'!AJ102)</f>
        <v/>
      </c>
      <c r="K102" s="29" t="str">
        <f>IF('12 - Device_Configuration'!AA102="","",'12 - Device_Configuration'!AA102)</f>
        <v/>
      </c>
      <c r="L102" s="29" t="str">
        <f>IF('12 - Device_Configuration'!I102="","",'12 - Device_Configuration'!I102)</f>
        <v/>
      </c>
      <c r="M102" s="30"/>
      <c r="N102" s="29" t="str">
        <f>IF('12 - Device_Configuration'!J102="","",'12 - Device_Configuration'!J102)</f>
        <v>Yes</v>
      </c>
      <c r="O102" s="29" t="str">
        <f>IF('12 - Device_Configuration'!K102="","",'12 - Device_Configuration'!K102)</f>
        <v>No</v>
      </c>
      <c r="P102" s="29" t="str">
        <f>IF('12 - Device_Configuration'!L102="","",'12 - Device_Configuration'!L102)</f>
        <v>No</v>
      </c>
      <c r="Q102" s="30"/>
      <c r="R102" s="29" t="str">
        <f>IF('12 - Device_Configuration'!AY102="","",'12 - Device_Configuration'!AY102)</f>
        <v/>
      </c>
      <c r="S102" s="29" t="str">
        <f>IF('12 - Device_Configuration'!AX102="","",'12 - Device_Configuration'!AX102)</f>
        <v/>
      </c>
      <c r="T102" s="29" t="str">
        <f>IF('12 - Device_Configuration'!AV102="","",'12 - Device_Configuration'!AV102)</f>
        <v/>
      </c>
      <c r="U102" s="29" t="str">
        <f>IF('12 - Device_Configuration'!AW102="","",'12 - Device_Configuration'!AW102)</f>
        <v/>
      </c>
      <c r="V102" s="29" t="str">
        <f>IF('12 - Device_Configuration'!BA102="","",'12 - Device_Configuration'!BA102)</f>
        <v/>
      </c>
      <c r="W102" s="29" t="str">
        <f>IF('12 - Device_Configuration'!BC102="","",'12 - Device_Configuration'!BC102)</f>
        <v/>
      </c>
      <c r="X102" s="29" t="str">
        <f>IF('12 - Device_Configuration'!BK102="","",'12 - Device_Configuration'!BK102)</f>
        <v/>
      </c>
      <c r="Y102" s="29" t="str">
        <f>IF('12 - Device_Configuration'!BB102="","",'12 - Device_Configuration'!BB102)</f>
        <v/>
      </c>
      <c r="Z102" s="29" t="str">
        <f>IF('12 - Device_Configuration'!P102="","",'12 - Device_Configuration'!P102)</f>
        <v/>
      </c>
      <c r="AA102" s="29" t="str">
        <f>IF('12 - Device_Configuration'!Q102="","",'12 - Device_Configuration'!Q102)</f>
        <v/>
      </c>
    </row>
    <row r="103" spans="1:27">
      <c r="A103" s="30"/>
      <c r="B103" s="30"/>
      <c r="C103" s="29" t="str">
        <f>IF('12 - Device_Configuration'!H103="","",'12 - Device_Configuration'!H103)</f>
        <v>LIJ - Other</v>
      </c>
      <c r="D103" s="29" t="str">
        <f>IF('12 - Device_Configuration'!AE103="","",'12 - Device_Configuration'!AE103)</f>
        <v/>
      </c>
      <c r="E103" s="29" t="str">
        <f>IF('12 - Device_Configuration'!AF103="","",'12 - Device_Configuration'!AF103)</f>
        <v/>
      </c>
      <c r="F103" s="29" t="str">
        <f>IF('12 - Device_Configuration'!AG103="","",'12 - Device_Configuration'!AG103)</f>
        <v/>
      </c>
      <c r="G103" s="29" t="str">
        <f>IF('12 - Device_Configuration'!AH103="","",'12 - Device_Configuration'!AH103)</f>
        <v/>
      </c>
      <c r="H103" s="29" t="str">
        <f>IF('12 - Device_Configuration'!A103="","",'12 - Device_Configuration'!A103)</f>
        <v>Cybernet</v>
      </c>
      <c r="I103" s="29" t="str">
        <f>IF('12 - Device_Configuration'!AI103="","",'12 - Device_Configuration'!AI103)</f>
        <v/>
      </c>
      <c r="J103" s="29" t="str">
        <f>IF('12 - Device_Configuration'!AJ103="","",'12 - Device_Configuration'!AJ103)</f>
        <v/>
      </c>
      <c r="K103" s="29" t="str">
        <f>IF('12 - Device_Configuration'!AA103="","",'12 - Device_Configuration'!AA103)</f>
        <v/>
      </c>
      <c r="L103" s="29" t="str">
        <f>IF('12 - Device_Configuration'!I103="","",'12 - Device_Configuration'!I103)</f>
        <v/>
      </c>
      <c r="M103" s="30"/>
      <c r="N103" s="29" t="str">
        <f>IF('12 - Device_Configuration'!J103="","",'12 - Device_Configuration'!J103)</f>
        <v>Yes</v>
      </c>
      <c r="O103" s="29" t="str">
        <f>IF('12 - Device_Configuration'!K103="","",'12 - Device_Configuration'!K103)</f>
        <v>No</v>
      </c>
      <c r="P103" s="29" t="str">
        <f>IF('12 - Device_Configuration'!L103="","",'12 - Device_Configuration'!L103)</f>
        <v>No</v>
      </c>
      <c r="Q103" s="30"/>
      <c r="R103" s="29" t="str">
        <f>IF('12 - Device_Configuration'!AY103="","",'12 - Device_Configuration'!AY103)</f>
        <v/>
      </c>
      <c r="S103" s="29" t="str">
        <f>IF('12 - Device_Configuration'!AX103="","",'12 - Device_Configuration'!AX103)</f>
        <v/>
      </c>
      <c r="T103" s="29" t="str">
        <f>IF('12 - Device_Configuration'!AV103="","",'12 - Device_Configuration'!AV103)</f>
        <v/>
      </c>
      <c r="U103" s="29" t="str">
        <f>IF('12 - Device_Configuration'!AW103="","",'12 - Device_Configuration'!AW103)</f>
        <v/>
      </c>
      <c r="V103" s="29" t="str">
        <f>IF('12 - Device_Configuration'!BA103="","",'12 - Device_Configuration'!BA103)</f>
        <v/>
      </c>
      <c r="W103" s="29" t="str">
        <f>IF('12 - Device_Configuration'!BC103="","",'12 - Device_Configuration'!BC103)</f>
        <v/>
      </c>
      <c r="X103" s="29" t="str">
        <f>IF('12 - Device_Configuration'!BK103="","",'12 - Device_Configuration'!BK103)</f>
        <v/>
      </c>
      <c r="Y103" s="29" t="str">
        <f>IF('12 - Device_Configuration'!BB103="","",'12 - Device_Configuration'!BB103)</f>
        <v/>
      </c>
      <c r="Z103" s="29" t="str">
        <f>IF('12 - Device_Configuration'!P103="","",'12 - Device_Configuration'!P103)</f>
        <v/>
      </c>
      <c r="AA103" s="29" t="str">
        <f>IF('12 - Device_Configuration'!Q103="","",'12 - Device_Configuration'!Q103)</f>
        <v/>
      </c>
    </row>
    <row r="104" spans="1:27">
      <c r="A104" s="30"/>
      <c r="B104" s="30"/>
      <c r="C104" s="29" t="str">
        <f>IF('12 - Device_Configuration'!H104="","",'12 - Device_Configuration'!H104)</f>
        <v>LIJ - Other</v>
      </c>
      <c r="D104" s="29" t="str">
        <f>IF('12 - Device_Configuration'!AE104="","",'12 - Device_Configuration'!AE104)</f>
        <v/>
      </c>
      <c r="E104" s="29" t="str">
        <f>IF('12 - Device_Configuration'!AF104="","",'12 - Device_Configuration'!AF104)</f>
        <v/>
      </c>
      <c r="F104" s="29" t="str">
        <f>IF('12 - Device_Configuration'!AG104="","",'12 - Device_Configuration'!AG104)</f>
        <v/>
      </c>
      <c r="G104" s="29" t="str">
        <f>IF('12 - Device_Configuration'!AH104="","",'12 - Device_Configuration'!AH104)</f>
        <v/>
      </c>
      <c r="H104" s="29" t="str">
        <f>IF('12 - Device_Configuration'!A104="","",'12 - Device_Configuration'!A104)</f>
        <v>Cybernet</v>
      </c>
      <c r="I104" s="29" t="str">
        <f>IF('12 - Device_Configuration'!AI104="","",'12 - Device_Configuration'!AI104)</f>
        <v/>
      </c>
      <c r="J104" s="29" t="str">
        <f>IF('12 - Device_Configuration'!AJ104="","",'12 - Device_Configuration'!AJ104)</f>
        <v/>
      </c>
      <c r="K104" s="29" t="str">
        <f>IF('12 - Device_Configuration'!AA104="","",'12 - Device_Configuration'!AA104)</f>
        <v/>
      </c>
      <c r="L104" s="29" t="str">
        <f>IF('12 - Device_Configuration'!I104="","",'12 - Device_Configuration'!I104)</f>
        <v/>
      </c>
      <c r="M104" s="30"/>
      <c r="N104" s="29" t="str">
        <f>IF('12 - Device_Configuration'!J104="","",'12 - Device_Configuration'!J104)</f>
        <v>Yes</v>
      </c>
      <c r="O104" s="29" t="str">
        <f>IF('12 - Device_Configuration'!K104="","",'12 - Device_Configuration'!K104)</f>
        <v>No</v>
      </c>
      <c r="P104" s="29" t="str">
        <f>IF('12 - Device_Configuration'!L104="","",'12 - Device_Configuration'!L104)</f>
        <v>No</v>
      </c>
      <c r="Q104" s="30"/>
      <c r="R104" s="29" t="str">
        <f>IF('12 - Device_Configuration'!AY104="","",'12 - Device_Configuration'!AY104)</f>
        <v/>
      </c>
      <c r="S104" s="29" t="str">
        <f>IF('12 - Device_Configuration'!AX104="","",'12 - Device_Configuration'!AX104)</f>
        <v/>
      </c>
      <c r="T104" s="29" t="str">
        <f>IF('12 - Device_Configuration'!AV104="","",'12 - Device_Configuration'!AV104)</f>
        <v/>
      </c>
      <c r="U104" s="29" t="str">
        <f>IF('12 - Device_Configuration'!AW104="","",'12 - Device_Configuration'!AW104)</f>
        <v/>
      </c>
      <c r="V104" s="29" t="str">
        <f>IF('12 - Device_Configuration'!BA104="","",'12 - Device_Configuration'!BA104)</f>
        <v/>
      </c>
      <c r="W104" s="29" t="str">
        <f>IF('12 - Device_Configuration'!BC104="","",'12 - Device_Configuration'!BC104)</f>
        <v/>
      </c>
      <c r="X104" s="29" t="str">
        <f>IF('12 - Device_Configuration'!BK104="","",'12 - Device_Configuration'!BK104)</f>
        <v/>
      </c>
      <c r="Y104" s="29" t="str">
        <f>IF('12 - Device_Configuration'!BB104="","",'12 - Device_Configuration'!BB104)</f>
        <v/>
      </c>
      <c r="Z104" s="29" t="str">
        <f>IF('12 - Device_Configuration'!P104="","",'12 - Device_Configuration'!P104)</f>
        <v/>
      </c>
      <c r="AA104" s="29" t="str">
        <f>IF('12 - Device_Configuration'!Q104="","",'12 - Device_Configuration'!Q104)</f>
        <v/>
      </c>
    </row>
    <row r="105" spans="1:27">
      <c r="A105" s="30"/>
      <c r="B105" s="30"/>
      <c r="C105" s="29" t="str">
        <f>IF('12 - Device_Configuration'!H105="","",'12 - Device_Configuration'!H105)</f>
        <v>LIJ - Other</v>
      </c>
      <c r="D105" s="29" t="str">
        <f>IF('12 - Device_Configuration'!AE105="","",'12 - Device_Configuration'!AE105)</f>
        <v/>
      </c>
      <c r="E105" s="29" t="str">
        <f>IF('12 - Device_Configuration'!AF105="","",'12 - Device_Configuration'!AF105)</f>
        <v/>
      </c>
      <c r="F105" s="29" t="str">
        <f>IF('12 - Device_Configuration'!AG105="","",'12 - Device_Configuration'!AG105)</f>
        <v/>
      </c>
      <c r="G105" s="29" t="str">
        <f>IF('12 - Device_Configuration'!AH105="","",'12 - Device_Configuration'!AH105)</f>
        <v/>
      </c>
      <c r="H105" s="29" t="str">
        <f>IF('12 - Device_Configuration'!A105="","",'12 - Device_Configuration'!A105)</f>
        <v>Cybernet</v>
      </c>
      <c r="I105" s="29" t="str">
        <f>IF('12 - Device_Configuration'!AI105="","",'12 - Device_Configuration'!AI105)</f>
        <v/>
      </c>
      <c r="J105" s="29" t="str">
        <f>IF('12 - Device_Configuration'!AJ105="","",'12 - Device_Configuration'!AJ105)</f>
        <v/>
      </c>
      <c r="K105" s="29" t="str">
        <f>IF('12 - Device_Configuration'!AA105="","",'12 - Device_Configuration'!AA105)</f>
        <v/>
      </c>
      <c r="L105" s="29" t="str">
        <f>IF('12 - Device_Configuration'!I105="","",'12 - Device_Configuration'!I105)</f>
        <v/>
      </c>
      <c r="M105" s="30"/>
      <c r="N105" s="29" t="str">
        <f>IF('12 - Device_Configuration'!J105="","",'12 - Device_Configuration'!J105)</f>
        <v>Yes</v>
      </c>
      <c r="O105" s="29" t="str">
        <f>IF('12 - Device_Configuration'!K105="","",'12 - Device_Configuration'!K105)</f>
        <v>No</v>
      </c>
      <c r="P105" s="29" t="str">
        <f>IF('12 - Device_Configuration'!L105="","",'12 - Device_Configuration'!L105)</f>
        <v>No</v>
      </c>
      <c r="Q105" s="30"/>
      <c r="R105" s="29" t="str">
        <f>IF('12 - Device_Configuration'!AY105="","",'12 - Device_Configuration'!AY105)</f>
        <v/>
      </c>
      <c r="S105" s="29" t="str">
        <f>IF('12 - Device_Configuration'!AX105="","",'12 - Device_Configuration'!AX105)</f>
        <v/>
      </c>
      <c r="T105" s="29" t="str">
        <f>IF('12 - Device_Configuration'!AV105="","",'12 - Device_Configuration'!AV105)</f>
        <v/>
      </c>
      <c r="U105" s="29" t="str">
        <f>IF('12 - Device_Configuration'!AW105="","",'12 - Device_Configuration'!AW105)</f>
        <v/>
      </c>
      <c r="V105" s="29" t="str">
        <f>IF('12 - Device_Configuration'!BA105="","",'12 - Device_Configuration'!BA105)</f>
        <v/>
      </c>
      <c r="W105" s="29" t="str">
        <f>IF('12 - Device_Configuration'!BC105="","",'12 - Device_Configuration'!BC105)</f>
        <v/>
      </c>
      <c r="X105" s="29" t="str">
        <f>IF('12 - Device_Configuration'!BK105="","",'12 - Device_Configuration'!BK105)</f>
        <v/>
      </c>
      <c r="Y105" s="29" t="str">
        <f>IF('12 - Device_Configuration'!BB105="","",'12 - Device_Configuration'!BB105)</f>
        <v/>
      </c>
      <c r="Z105" s="29" t="str">
        <f>IF('12 - Device_Configuration'!P105="","",'12 - Device_Configuration'!P105)</f>
        <v/>
      </c>
      <c r="AA105" s="29" t="str">
        <f>IF('12 - Device_Configuration'!Q105="","",'12 - Device_Configuration'!Q105)</f>
        <v/>
      </c>
    </row>
    <row r="106" spans="1:27">
      <c r="A106" s="30"/>
      <c r="B106" s="30"/>
      <c r="C106" s="29" t="str">
        <f>IF('12 - Device_Configuration'!H106="","",'12 - Device_Configuration'!H106)</f>
        <v>LIJ - Other</v>
      </c>
      <c r="D106" s="29" t="str">
        <f>IF('12 - Device_Configuration'!AE106="","",'12 - Device_Configuration'!AE106)</f>
        <v/>
      </c>
      <c r="E106" s="29" t="str">
        <f>IF('12 - Device_Configuration'!AF106="","",'12 - Device_Configuration'!AF106)</f>
        <v/>
      </c>
      <c r="F106" s="29" t="str">
        <f>IF('12 - Device_Configuration'!AG106="","",'12 - Device_Configuration'!AG106)</f>
        <v/>
      </c>
      <c r="G106" s="29" t="str">
        <f>IF('12 - Device_Configuration'!AH106="","",'12 - Device_Configuration'!AH106)</f>
        <v/>
      </c>
      <c r="H106" s="29" t="str">
        <f>IF('12 - Device_Configuration'!A106="","",'12 - Device_Configuration'!A106)</f>
        <v>Cybernet</v>
      </c>
      <c r="I106" s="29" t="str">
        <f>IF('12 - Device_Configuration'!AI106="","",'12 - Device_Configuration'!AI106)</f>
        <v/>
      </c>
      <c r="J106" s="29" t="str">
        <f>IF('12 - Device_Configuration'!AJ106="","",'12 - Device_Configuration'!AJ106)</f>
        <v/>
      </c>
      <c r="K106" s="29" t="str">
        <f>IF('12 - Device_Configuration'!AA106="","",'12 - Device_Configuration'!AA106)</f>
        <v/>
      </c>
      <c r="L106" s="29" t="str">
        <f>IF('12 - Device_Configuration'!I106="","",'12 - Device_Configuration'!I106)</f>
        <v/>
      </c>
      <c r="M106" s="30"/>
      <c r="N106" s="29" t="str">
        <f>IF('12 - Device_Configuration'!J106="","",'12 - Device_Configuration'!J106)</f>
        <v>Yes</v>
      </c>
      <c r="O106" s="29" t="str">
        <f>IF('12 - Device_Configuration'!K106="","",'12 - Device_Configuration'!K106)</f>
        <v>No</v>
      </c>
      <c r="P106" s="29" t="str">
        <f>IF('12 - Device_Configuration'!L106="","",'12 - Device_Configuration'!L106)</f>
        <v>No</v>
      </c>
      <c r="Q106" s="30"/>
      <c r="R106" s="29" t="str">
        <f>IF('12 - Device_Configuration'!AY106="","",'12 - Device_Configuration'!AY106)</f>
        <v/>
      </c>
      <c r="S106" s="29" t="str">
        <f>IF('12 - Device_Configuration'!AX106="","",'12 - Device_Configuration'!AX106)</f>
        <v/>
      </c>
      <c r="T106" s="29" t="str">
        <f>IF('12 - Device_Configuration'!AV106="","",'12 - Device_Configuration'!AV106)</f>
        <v/>
      </c>
      <c r="U106" s="29" t="str">
        <f>IF('12 - Device_Configuration'!AW106="","",'12 - Device_Configuration'!AW106)</f>
        <v/>
      </c>
      <c r="V106" s="29" t="str">
        <f>IF('12 - Device_Configuration'!BA106="","",'12 - Device_Configuration'!BA106)</f>
        <v/>
      </c>
      <c r="W106" s="29" t="str">
        <f>IF('12 - Device_Configuration'!BC106="","",'12 - Device_Configuration'!BC106)</f>
        <v/>
      </c>
      <c r="X106" s="29" t="str">
        <f>IF('12 - Device_Configuration'!BK106="","",'12 - Device_Configuration'!BK106)</f>
        <v/>
      </c>
      <c r="Y106" s="29" t="str">
        <f>IF('12 - Device_Configuration'!BB106="","",'12 - Device_Configuration'!BB106)</f>
        <v/>
      </c>
      <c r="Z106" s="29" t="str">
        <f>IF('12 - Device_Configuration'!P106="","",'12 - Device_Configuration'!P106)</f>
        <v/>
      </c>
      <c r="AA106" s="29" t="str">
        <f>IF('12 - Device_Configuration'!Q106="","",'12 - Device_Configuration'!Q106)</f>
        <v/>
      </c>
    </row>
    <row r="107" spans="1:27">
      <c r="A107" s="30"/>
      <c r="B107" s="30"/>
      <c r="C107" s="29" t="str">
        <f>IF('12 - Device_Configuration'!H107="","",'12 - Device_Configuration'!H107)</f>
        <v>LIJ - Other</v>
      </c>
      <c r="D107" s="29" t="str">
        <f>IF('12 - Device_Configuration'!AE107="","",'12 - Device_Configuration'!AE107)</f>
        <v/>
      </c>
      <c r="E107" s="29" t="str">
        <f>IF('12 - Device_Configuration'!AF107="","",'12 - Device_Configuration'!AF107)</f>
        <v/>
      </c>
      <c r="F107" s="29" t="str">
        <f>IF('12 - Device_Configuration'!AG107="","",'12 - Device_Configuration'!AG107)</f>
        <v/>
      </c>
      <c r="G107" s="29" t="str">
        <f>IF('12 - Device_Configuration'!AH107="","",'12 - Device_Configuration'!AH107)</f>
        <v/>
      </c>
      <c r="H107" s="29" t="str">
        <f>IF('12 - Device_Configuration'!A107="","",'12 - Device_Configuration'!A107)</f>
        <v>Cybernet</v>
      </c>
      <c r="I107" s="29" t="str">
        <f>IF('12 - Device_Configuration'!AI107="","",'12 - Device_Configuration'!AI107)</f>
        <v/>
      </c>
      <c r="J107" s="29" t="str">
        <f>IF('12 - Device_Configuration'!AJ107="","",'12 - Device_Configuration'!AJ107)</f>
        <v/>
      </c>
      <c r="K107" s="29" t="str">
        <f>IF('12 - Device_Configuration'!AA107="","",'12 - Device_Configuration'!AA107)</f>
        <v/>
      </c>
      <c r="L107" s="29" t="str">
        <f>IF('12 - Device_Configuration'!I107="","",'12 - Device_Configuration'!I107)</f>
        <v/>
      </c>
      <c r="M107" s="30"/>
      <c r="N107" s="29" t="str">
        <f>IF('12 - Device_Configuration'!J107="","",'12 - Device_Configuration'!J107)</f>
        <v>Yes</v>
      </c>
      <c r="O107" s="29" t="str">
        <f>IF('12 - Device_Configuration'!K107="","",'12 - Device_Configuration'!K107)</f>
        <v>No</v>
      </c>
      <c r="P107" s="29" t="str">
        <f>IF('12 - Device_Configuration'!L107="","",'12 - Device_Configuration'!L107)</f>
        <v>No</v>
      </c>
      <c r="Q107" s="30"/>
      <c r="R107" s="29" t="str">
        <f>IF('12 - Device_Configuration'!AY107="","",'12 - Device_Configuration'!AY107)</f>
        <v/>
      </c>
      <c r="S107" s="29" t="str">
        <f>IF('12 - Device_Configuration'!AX107="","",'12 - Device_Configuration'!AX107)</f>
        <v/>
      </c>
      <c r="T107" s="29" t="str">
        <f>IF('12 - Device_Configuration'!AV107="","",'12 - Device_Configuration'!AV107)</f>
        <v/>
      </c>
      <c r="U107" s="29" t="str">
        <f>IF('12 - Device_Configuration'!AW107="","",'12 - Device_Configuration'!AW107)</f>
        <v/>
      </c>
      <c r="V107" s="29" t="str">
        <f>IF('12 - Device_Configuration'!BA107="","",'12 - Device_Configuration'!BA107)</f>
        <v/>
      </c>
      <c r="W107" s="29" t="str">
        <f>IF('12 - Device_Configuration'!BC107="","",'12 - Device_Configuration'!BC107)</f>
        <v/>
      </c>
      <c r="X107" s="29" t="str">
        <f>IF('12 - Device_Configuration'!BK107="","",'12 - Device_Configuration'!BK107)</f>
        <v/>
      </c>
      <c r="Y107" s="29" t="str">
        <f>IF('12 - Device_Configuration'!BB107="","",'12 - Device_Configuration'!BB107)</f>
        <v/>
      </c>
      <c r="Z107" s="29" t="str">
        <f>IF('12 - Device_Configuration'!P107="","",'12 - Device_Configuration'!P107)</f>
        <v/>
      </c>
      <c r="AA107" s="29" t="str">
        <f>IF('12 - Device_Configuration'!Q107="","",'12 - Device_Configuration'!Q107)</f>
        <v/>
      </c>
    </row>
    <row r="108" spans="1:27">
      <c r="A108" s="30"/>
      <c r="B108" s="30"/>
      <c r="C108" s="29" t="str">
        <f>IF('12 - Device_Configuration'!H108="","",'12 - Device_Configuration'!H108)</f>
        <v>LIJ - Other</v>
      </c>
      <c r="D108" s="29" t="str">
        <f>IF('12 - Device_Configuration'!AE108="","",'12 - Device_Configuration'!AE108)</f>
        <v/>
      </c>
      <c r="E108" s="29" t="str">
        <f>IF('12 - Device_Configuration'!AF108="","",'12 - Device_Configuration'!AF108)</f>
        <v/>
      </c>
      <c r="F108" s="29" t="str">
        <f>IF('12 - Device_Configuration'!AG108="","",'12 - Device_Configuration'!AG108)</f>
        <v/>
      </c>
      <c r="G108" s="29" t="str">
        <f>IF('12 - Device_Configuration'!AH108="","",'12 - Device_Configuration'!AH108)</f>
        <v/>
      </c>
      <c r="H108" s="29" t="str">
        <f>IF('12 - Device_Configuration'!A108="","",'12 - Device_Configuration'!A108)</f>
        <v>Cybernet</v>
      </c>
      <c r="I108" s="29" t="str">
        <f>IF('12 - Device_Configuration'!AI108="","",'12 - Device_Configuration'!AI108)</f>
        <v/>
      </c>
      <c r="J108" s="29" t="str">
        <f>IF('12 - Device_Configuration'!AJ108="","",'12 - Device_Configuration'!AJ108)</f>
        <v/>
      </c>
      <c r="K108" s="29" t="str">
        <f>IF('12 - Device_Configuration'!AA108="","",'12 - Device_Configuration'!AA108)</f>
        <v/>
      </c>
      <c r="L108" s="29" t="str">
        <f>IF('12 - Device_Configuration'!I108="","",'12 - Device_Configuration'!I108)</f>
        <v/>
      </c>
      <c r="M108" s="30"/>
      <c r="N108" s="29" t="str">
        <f>IF('12 - Device_Configuration'!J108="","",'12 - Device_Configuration'!J108)</f>
        <v>Yes</v>
      </c>
      <c r="O108" s="29" t="str">
        <f>IF('12 - Device_Configuration'!K108="","",'12 - Device_Configuration'!K108)</f>
        <v>No</v>
      </c>
      <c r="P108" s="29" t="str">
        <f>IF('12 - Device_Configuration'!L108="","",'12 - Device_Configuration'!L108)</f>
        <v>No</v>
      </c>
      <c r="Q108" s="30"/>
      <c r="R108" s="29" t="str">
        <f>IF('12 - Device_Configuration'!AY108="","",'12 - Device_Configuration'!AY108)</f>
        <v/>
      </c>
      <c r="S108" s="29" t="str">
        <f>IF('12 - Device_Configuration'!AX108="","",'12 - Device_Configuration'!AX108)</f>
        <v/>
      </c>
      <c r="T108" s="29" t="str">
        <f>IF('12 - Device_Configuration'!AV108="","",'12 - Device_Configuration'!AV108)</f>
        <v/>
      </c>
      <c r="U108" s="29" t="str">
        <f>IF('12 - Device_Configuration'!AW108="","",'12 - Device_Configuration'!AW108)</f>
        <v/>
      </c>
      <c r="V108" s="29" t="str">
        <f>IF('12 - Device_Configuration'!BA108="","",'12 - Device_Configuration'!BA108)</f>
        <v/>
      </c>
      <c r="W108" s="29" t="str">
        <f>IF('12 - Device_Configuration'!BC108="","",'12 - Device_Configuration'!BC108)</f>
        <v/>
      </c>
      <c r="X108" s="29" t="str">
        <f>IF('12 - Device_Configuration'!BK108="","",'12 - Device_Configuration'!BK108)</f>
        <v/>
      </c>
      <c r="Y108" s="29" t="str">
        <f>IF('12 - Device_Configuration'!BB108="","",'12 - Device_Configuration'!BB108)</f>
        <v/>
      </c>
      <c r="Z108" s="29" t="str">
        <f>IF('12 - Device_Configuration'!P108="","",'12 - Device_Configuration'!P108)</f>
        <v/>
      </c>
      <c r="AA108" s="29" t="str">
        <f>IF('12 - Device_Configuration'!Q108="","",'12 - Device_Configuration'!Q108)</f>
        <v/>
      </c>
    </row>
    <row r="109" spans="1:27">
      <c r="A109" s="30"/>
      <c r="B109" s="30"/>
      <c r="C109" s="29" t="str">
        <f>IF('12 - Device_Configuration'!H109="","",'12 - Device_Configuration'!H109)</f>
        <v>LIJ - Other</v>
      </c>
      <c r="D109" s="29" t="str">
        <f>IF('12 - Device_Configuration'!AE109="","",'12 - Device_Configuration'!AE109)</f>
        <v/>
      </c>
      <c r="E109" s="29" t="str">
        <f>IF('12 - Device_Configuration'!AF109="","",'12 - Device_Configuration'!AF109)</f>
        <v/>
      </c>
      <c r="F109" s="29" t="str">
        <f>IF('12 - Device_Configuration'!AG109="","",'12 - Device_Configuration'!AG109)</f>
        <v/>
      </c>
      <c r="G109" s="29" t="str">
        <f>IF('12 - Device_Configuration'!AH109="","",'12 - Device_Configuration'!AH109)</f>
        <v/>
      </c>
      <c r="H109" s="29" t="str">
        <f>IF('12 - Device_Configuration'!A109="","",'12 - Device_Configuration'!A109)</f>
        <v>Cybernet</v>
      </c>
      <c r="I109" s="29" t="str">
        <f>IF('12 - Device_Configuration'!AI109="","",'12 - Device_Configuration'!AI109)</f>
        <v/>
      </c>
      <c r="J109" s="29" t="str">
        <f>IF('12 - Device_Configuration'!AJ109="","",'12 - Device_Configuration'!AJ109)</f>
        <v/>
      </c>
      <c r="K109" s="29" t="str">
        <f>IF('12 - Device_Configuration'!AA109="","",'12 - Device_Configuration'!AA109)</f>
        <v/>
      </c>
      <c r="L109" s="29" t="str">
        <f>IF('12 - Device_Configuration'!I109="","",'12 - Device_Configuration'!I109)</f>
        <v/>
      </c>
      <c r="M109" s="30"/>
      <c r="N109" s="29" t="str">
        <f>IF('12 - Device_Configuration'!J109="","",'12 - Device_Configuration'!J109)</f>
        <v>Yes</v>
      </c>
      <c r="O109" s="29" t="str">
        <f>IF('12 - Device_Configuration'!K109="","",'12 - Device_Configuration'!K109)</f>
        <v>No</v>
      </c>
      <c r="P109" s="29" t="str">
        <f>IF('12 - Device_Configuration'!L109="","",'12 - Device_Configuration'!L109)</f>
        <v>No</v>
      </c>
      <c r="Q109" s="30"/>
      <c r="R109" s="29" t="str">
        <f>IF('12 - Device_Configuration'!AY109="","",'12 - Device_Configuration'!AY109)</f>
        <v/>
      </c>
      <c r="S109" s="29" t="str">
        <f>IF('12 - Device_Configuration'!AX109="","",'12 - Device_Configuration'!AX109)</f>
        <v/>
      </c>
      <c r="T109" s="29" t="str">
        <f>IF('12 - Device_Configuration'!AV109="","",'12 - Device_Configuration'!AV109)</f>
        <v/>
      </c>
      <c r="U109" s="29" t="str">
        <f>IF('12 - Device_Configuration'!AW109="","",'12 - Device_Configuration'!AW109)</f>
        <v/>
      </c>
      <c r="V109" s="29" t="str">
        <f>IF('12 - Device_Configuration'!BA109="","",'12 - Device_Configuration'!BA109)</f>
        <v/>
      </c>
      <c r="W109" s="29" t="str">
        <f>IF('12 - Device_Configuration'!BC109="","",'12 - Device_Configuration'!BC109)</f>
        <v/>
      </c>
      <c r="X109" s="29" t="str">
        <f>IF('12 - Device_Configuration'!BK109="","",'12 - Device_Configuration'!BK109)</f>
        <v/>
      </c>
      <c r="Y109" s="29" t="str">
        <f>IF('12 - Device_Configuration'!BB109="","",'12 - Device_Configuration'!BB109)</f>
        <v/>
      </c>
      <c r="Z109" s="29" t="str">
        <f>IF('12 - Device_Configuration'!P109="","",'12 - Device_Configuration'!P109)</f>
        <v/>
      </c>
      <c r="AA109" s="29" t="str">
        <f>IF('12 - Device_Configuration'!Q109="","",'12 - Device_Configuration'!Q109)</f>
        <v/>
      </c>
    </row>
    <row r="110" spans="1:27">
      <c r="A110" s="30"/>
      <c r="B110" s="30"/>
      <c r="C110" s="29" t="str">
        <f>IF('12 - Device_Configuration'!H110="","",'12 - Device_Configuration'!H110)</f>
        <v>LIJ - OR</v>
      </c>
      <c r="D110" s="29" t="str">
        <f>IF('12 - Device_Configuration'!AE110="","",'12 - Device_Configuration'!AE110)</f>
        <v/>
      </c>
      <c r="E110" s="29" t="str">
        <f>IF('12 - Device_Configuration'!AF110="","",'12 - Device_Configuration'!AF110)</f>
        <v/>
      </c>
      <c r="F110" s="29" t="str">
        <f>IF('12 - Device_Configuration'!AG110="","",'12 - Device_Configuration'!AG110)</f>
        <v/>
      </c>
      <c r="G110" s="29" t="str">
        <f>IF('12 - Device_Configuration'!AH110="","",'12 - Device_Configuration'!AH110)</f>
        <v/>
      </c>
      <c r="H110" s="29" t="str">
        <f>IF('12 - Device_Configuration'!A110="","",'12 - Device_Configuration'!A110)</f>
        <v>Cybernet</v>
      </c>
      <c r="I110" s="29" t="str">
        <f>IF('12 - Device_Configuration'!AI110="","",'12 - Device_Configuration'!AI110)</f>
        <v/>
      </c>
      <c r="J110" s="29" t="str">
        <f>IF('12 - Device_Configuration'!AJ110="","",'12 - Device_Configuration'!AJ110)</f>
        <v/>
      </c>
      <c r="K110" s="29" t="str">
        <f>IF('12 - Device_Configuration'!AA110="","",'12 - Device_Configuration'!AA110)</f>
        <v/>
      </c>
      <c r="L110" s="29" t="str">
        <f>IF('12 - Device_Configuration'!I110="","",'12 - Device_Configuration'!I110)</f>
        <v/>
      </c>
      <c r="M110" s="30"/>
      <c r="N110" s="29" t="str">
        <f>IF('12 - Device_Configuration'!J110="","",'12 - Device_Configuration'!J110)</f>
        <v>Yes</v>
      </c>
      <c r="O110" s="29" t="str">
        <f>IF('12 - Device_Configuration'!K110="","",'12 - Device_Configuration'!K110)</f>
        <v>No</v>
      </c>
      <c r="P110" s="29" t="str">
        <f>IF('12 - Device_Configuration'!L110="","",'12 - Device_Configuration'!L110)</f>
        <v>No</v>
      </c>
      <c r="Q110" s="30"/>
      <c r="R110" s="29" t="str">
        <f>IF('12 - Device_Configuration'!AY110="","",'12 - Device_Configuration'!AY110)</f>
        <v/>
      </c>
      <c r="S110" s="29" t="str">
        <f>IF('12 - Device_Configuration'!AX110="","",'12 - Device_Configuration'!AX110)</f>
        <v/>
      </c>
      <c r="T110" s="29" t="str">
        <f>IF('12 - Device_Configuration'!AV110="","",'12 - Device_Configuration'!AV110)</f>
        <v/>
      </c>
      <c r="U110" s="29" t="str">
        <f>IF('12 - Device_Configuration'!AW110="","",'12 - Device_Configuration'!AW110)</f>
        <v/>
      </c>
      <c r="V110" s="29" t="str">
        <f>IF('12 - Device_Configuration'!BA110="","",'12 - Device_Configuration'!BA110)</f>
        <v/>
      </c>
      <c r="W110" s="29" t="str">
        <f>IF('12 - Device_Configuration'!BC110="","",'12 - Device_Configuration'!BC110)</f>
        <v/>
      </c>
      <c r="X110" s="29" t="str">
        <f>IF('12 - Device_Configuration'!BK110="","",'12 - Device_Configuration'!BK110)</f>
        <v/>
      </c>
      <c r="Y110" s="29" t="str">
        <f>IF('12 - Device_Configuration'!BB110="","",'12 - Device_Configuration'!BB110)</f>
        <v/>
      </c>
      <c r="Z110" s="29" t="str">
        <f>IF('12 - Device_Configuration'!P110="","",'12 - Device_Configuration'!P110)</f>
        <v/>
      </c>
      <c r="AA110" s="29" t="str">
        <f>IF('12 - Device_Configuration'!Q110="","",'12 - Device_Configuration'!Q110)</f>
        <v/>
      </c>
    </row>
    <row r="111" spans="1:27">
      <c r="A111" s="30"/>
      <c r="B111" s="30"/>
      <c r="C111" s="29" t="str">
        <f>IF('12 - Device_Configuration'!H111="","",'12 - Device_Configuration'!H111)</f>
        <v>LIJ - OR</v>
      </c>
      <c r="D111" s="29" t="str">
        <f>IF('12 - Device_Configuration'!AE111="","",'12 - Device_Configuration'!AE111)</f>
        <v/>
      </c>
      <c r="E111" s="29" t="str">
        <f>IF('12 - Device_Configuration'!AF111="","",'12 - Device_Configuration'!AF111)</f>
        <v/>
      </c>
      <c r="F111" s="29" t="str">
        <f>IF('12 - Device_Configuration'!AG111="","",'12 - Device_Configuration'!AG111)</f>
        <v/>
      </c>
      <c r="G111" s="29" t="str">
        <f>IF('12 - Device_Configuration'!AH111="","",'12 - Device_Configuration'!AH111)</f>
        <v/>
      </c>
      <c r="H111" s="29" t="str">
        <f>IF('12 - Device_Configuration'!A111="","",'12 - Device_Configuration'!A111)</f>
        <v>Cybernet</v>
      </c>
      <c r="I111" s="29" t="str">
        <f>IF('12 - Device_Configuration'!AI111="","",'12 - Device_Configuration'!AI111)</f>
        <v/>
      </c>
      <c r="J111" s="29" t="str">
        <f>IF('12 - Device_Configuration'!AJ111="","",'12 - Device_Configuration'!AJ111)</f>
        <v/>
      </c>
      <c r="K111" s="29" t="str">
        <f>IF('12 - Device_Configuration'!AA111="","",'12 - Device_Configuration'!AA111)</f>
        <v/>
      </c>
      <c r="L111" s="29" t="str">
        <f>IF('12 - Device_Configuration'!I111="","",'12 - Device_Configuration'!I111)</f>
        <v/>
      </c>
      <c r="M111" s="30"/>
      <c r="N111" s="29" t="str">
        <f>IF('12 - Device_Configuration'!J111="","",'12 - Device_Configuration'!J111)</f>
        <v>Yes</v>
      </c>
      <c r="O111" s="29" t="str">
        <f>IF('12 - Device_Configuration'!K111="","",'12 - Device_Configuration'!K111)</f>
        <v>No</v>
      </c>
      <c r="P111" s="29" t="str">
        <f>IF('12 - Device_Configuration'!L111="","",'12 - Device_Configuration'!L111)</f>
        <v>No</v>
      </c>
      <c r="Q111" s="30"/>
      <c r="R111" s="29" t="str">
        <f>IF('12 - Device_Configuration'!AY111="","",'12 - Device_Configuration'!AY111)</f>
        <v/>
      </c>
      <c r="S111" s="29" t="str">
        <f>IF('12 - Device_Configuration'!AX111="","",'12 - Device_Configuration'!AX111)</f>
        <v/>
      </c>
      <c r="T111" s="29" t="str">
        <f>IF('12 - Device_Configuration'!AV111="","",'12 - Device_Configuration'!AV111)</f>
        <v/>
      </c>
      <c r="U111" s="29" t="str">
        <f>IF('12 - Device_Configuration'!AW111="","",'12 - Device_Configuration'!AW111)</f>
        <v/>
      </c>
      <c r="V111" s="29" t="str">
        <f>IF('12 - Device_Configuration'!BA111="","",'12 - Device_Configuration'!BA111)</f>
        <v/>
      </c>
      <c r="W111" s="29" t="str">
        <f>IF('12 - Device_Configuration'!BC111="","",'12 - Device_Configuration'!BC111)</f>
        <v/>
      </c>
      <c r="X111" s="29" t="str">
        <f>IF('12 - Device_Configuration'!BK111="","",'12 - Device_Configuration'!BK111)</f>
        <v/>
      </c>
      <c r="Y111" s="29" t="str">
        <f>IF('12 - Device_Configuration'!BB111="","",'12 - Device_Configuration'!BB111)</f>
        <v/>
      </c>
      <c r="Z111" s="29" t="str">
        <f>IF('12 - Device_Configuration'!P111="","",'12 - Device_Configuration'!P111)</f>
        <v/>
      </c>
      <c r="AA111" s="29" t="str">
        <f>IF('12 - Device_Configuration'!Q111="","",'12 - Device_Configuration'!Q111)</f>
        <v/>
      </c>
    </row>
    <row r="112" spans="1:27">
      <c r="A112" s="30"/>
      <c r="B112" s="30"/>
      <c r="C112" s="29" t="str">
        <f>IF('12 - Device_Configuration'!H112="","",'12 - Device_Configuration'!H112)</f>
        <v>LIJ - OR</v>
      </c>
      <c r="D112" s="29" t="str">
        <f>IF('12 - Device_Configuration'!AE112="","",'12 - Device_Configuration'!AE112)</f>
        <v/>
      </c>
      <c r="E112" s="29" t="str">
        <f>IF('12 - Device_Configuration'!AF112="","",'12 - Device_Configuration'!AF112)</f>
        <v/>
      </c>
      <c r="F112" s="29" t="str">
        <f>IF('12 - Device_Configuration'!AG112="","",'12 - Device_Configuration'!AG112)</f>
        <v/>
      </c>
      <c r="G112" s="29" t="str">
        <f>IF('12 - Device_Configuration'!AH112="","",'12 - Device_Configuration'!AH112)</f>
        <v/>
      </c>
      <c r="H112" s="29" t="str">
        <f>IF('12 - Device_Configuration'!A112="","",'12 - Device_Configuration'!A112)</f>
        <v>Cybernet</v>
      </c>
      <c r="I112" s="29" t="str">
        <f>IF('12 - Device_Configuration'!AI112="","",'12 - Device_Configuration'!AI112)</f>
        <v/>
      </c>
      <c r="J112" s="29" t="str">
        <f>IF('12 - Device_Configuration'!AJ112="","",'12 - Device_Configuration'!AJ112)</f>
        <v/>
      </c>
      <c r="K112" s="29" t="str">
        <f>IF('12 - Device_Configuration'!AA112="","",'12 - Device_Configuration'!AA112)</f>
        <v/>
      </c>
      <c r="L112" s="29" t="str">
        <f>IF('12 - Device_Configuration'!I112="","",'12 - Device_Configuration'!I112)</f>
        <v/>
      </c>
      <c r="M112" s="30"/>
      <c r="N112" s="29" t="str">
        <f>IF('12 - Device_Configuration'!J112="","",'12 - Device_Configuration'!J112)</f>
        <v>Yes</v>
      </c>
      <c r="O112" s="29" t="str">
        <f>IF('12 - Device_Configuration'!K112="","",'12 - Device_Configuration'!K112)</f>
        <v>No</v>
      </c>
      <c r="P112" s="29" t="str">
        <f>IF('12 - Device_Configuration'!L112="","",'12 - Device_Configuration'!L112)</f>
        <v>No</v>
      </c>
      <c r="Q112" s="30"/>
      <c r="R112" s="29" t="str">
        <f>IF('12 - Device_Configuration'!AY112="","",'12 - Device_Configuration'!AY112)</f>
        <v/>
      </c>
      <c r="S112" s="29" t="str">
        <f>IF('12 - Device_Configuration'!AX112="","",'12 - Device_Configuration'!AX112)</f>
        <v/>
      </c>
      <c r="T112" s="29" t="str">
        <f>IF('12 - Device_Configuration'!AV112="","",'12 - Device_Configuration'!AV112)</f>
        <v/>
      </c>
      <c r="U112" s="29" t="str">
        <f>IF('12 - Device_Configuration'!AW112="","",'12 - Device_Configuration'!AW112)</f>
        <v/>
      </c>
      <c r="V112" s="29" t="str">
        <f>IF('12 - Device_Configuration'!BA112="","",'12 - Device_Configuration'!BA112)</f>
        <v/>
      </c>
      <c r="W112" s="29" t="str">
        <f>IF('12 - Device_Configuration'!BC112="","",'12 - Device_Configuration'!BC112)</f>
        <v/>
      </c>
      <c r="X112" s="29" t="str">
        <f>IF('12 - Device_Configuration'!BK112="","",'12 - Device_Configuration'!BK112)</f>
        <v/>
      </c>
      <c r="Y112" s="29" t="str">
        <f>IF('12 - Device_Configuration'!BB112="","",'12 - Device_Configuration'!BB112)</f>
        <v/>
      </c>
      <c r="Z112" s="29" t="str">
        <f>IF('12 - Device_Configuration'!P112="","",'12 - Device_Configuration'!P112)</f>
        <v/>
      </c>
      <c r="AA112" s="29" t="str">
        <f>IF('12 - Device_Configuration'!Q112="","",'12 - Device_Configuration'!Q112)</f>
        <v/>
      </c>
    </row>
    <row r="113" spans="1:27">
      <c r="A113" s="30"/>
      <c r="B113" s="30"/>
      <c r="C113" s="29" t="str">
        <f>IF('12 - Device_Configuration'!H113="","",'12 - Device_Configuration'!H113)</f>
        <v>LIJ - OR</v>
      </c>
      <c r="D113" s="29" t="str">
        <f>IF('12 - Device_Configuration'!AE113="","",'12 - Device_Configuration'!AE113)</f>
        <v/>
      </c>
      <c r="E113" s="29" t="str">
        <f>IF('12 - Device_Configuration'!AF113="","",'12 - Device_Configuration'!AF113)</f>
        <v/>
      </c>
      <c r="F113" s="29" t="str">
        <f>IF('12 - Device_Configuration'!AG113="","",'12 - Device_Configuration'!AG113)</f>
        <v/>
      </c>
      <c r="G113" s="29" t="str">
        <f>IF('12 - Device_Configuration'!AH113="","",'12 - Device_Configuration'!AH113)</f>
        <v/>
      </c>
      <c r="H113" s="29" t="str">
        <f>IF('12 - Device_Configuration'!A113="","",'12 - Device_Configuration'!A113)</f>
        <v>Cybernet</v>
      </c>
      <c r="I113" s="29" t="str">
        <f>IF('12 - Device_Configuration'!AI113="","",'12 - Device_Configuration'!AI113)</f>
        <v/>
      </c>
      <c r="J113" s="29" t="str">
        <f>IF('12 - Device_Configuration'!AJ113="","",'12 - Device_Configuration'!AJ113)</f>
        <v/>
      </c>
      <c r="K113" s="29" t="str">
        <f>IF('12 - Device_Configuration'!AA113="","",'12 - Device_Configuration'!AA113)</f>
        <v/>
      </c>
      <c r="L113" s="29" t="str">
        <f>IF('12 - Device_Configuration'!I113="","",'12 - Device_Configuration'!I113)</f>
        <v/>
      </c>
      <c r="M113" s="30"/>
      <c r="N113" s="29" t="str">
        <f>IF('12 - Device_Configuration'!J113="","",'12 - Device_Configuration'!J113)</f>
        <v>Yes</v>
      </c>
      <c r="O113" s="29" t="str">
        <f>IF('12 - Device_Configuration'!K113="","",'12 - Device_Configuration'!K113)</f>
        <v>No</v>
      </c>
      <c r="P113" s="29" t="str">
        <f>IF('12 - Device_Configuration'!L113="","",'12 - Device_Configuration'!L113)</f>
        <v>No</v>
      </c>
      <c r="Q113" s="30"/>
      <c r="R113" s="29" t="str">
        <f>IF('12 - Device_Configuration'!AY113="","",'12 - Device_Configuration'!AY113)</f>
        <v/>
      </c>
      <c r="S113" s="29" t="str">
        <f>IF('12 - Device_Configuration'!AX113="","",'12 - Device_Configuration'!AX113)</f>
        <v/>
      </c>
      <c r="T113" s="29" t="str">
        <f>IF('12 - Device_Configuration'!AV113="","",'12 - Device_Configuration'!AV113)</f>
        <v/>
      </c>
      <c r="U113" s="29" t="str">
        <f>IF('12 - Device_Configuration'!AW113="","",'12 - Device_Configuration'!AW113)</f>
        <v/>
      </c>
      <c r="V113" s="29" t="str">
        <f>IF('12 - Device_Configuration'!BA113="","",'12 - Device_Configuration'!BA113)</f>
        <v/>
      </c>
      <c r="W113" s="29" t="str">
        <f>IF('12 - Device_Configuration'!BC113="","",'12 - Device_Configuration'!BC113)</f>
        <v/>
      </c>
      <c r="X113" s="29" t="str">
        <f>IF('12 - Device_Configuration'!BK113="","",'12 - Device_Configuration'!BK113)</f>
        <v/>
      </c>
      <c r="Y113" s="29" t="str">
        <f>IF('12 - Device_Configuration'!BB113="","",'12 - Device_Configuration'!BB113)</f>
        <v/>
      </c>
      <c r="Z113" s="29" t="str">
        <f>IF('12 - Device_Configuration'!P113="","",'12 - Device_Configuration'!P113)</f>
        <v/>
      </c>
      <c r="AA113" s="29" t="str">
        <f>IF('12 - Device_Configuration'!Q113="","",'12 - Device_Configuration'!Q113)</f>
        <v/>
      </c>
    </row>
    <row r="114" spans="1:27">
      <c r="A114" s="30"/>
      <c r="B114" s="30"/>
      <c r="C114" s="29" t="str">
        <f>IF('12 - Device_Configuration'!H114="","",'12 - Device_Configuration'!H114)</f>
        <v>LIJ - OR</v>
      </c>
      <c r="D114" s="29" t="str">
        <f>IF('12 - Device_Configuration'!AE114="","",'12 - Device_Configuration'!AE114)</f>
        <v/>
      </c>
      <c r="E114" s="29" t="str">
        <f>IF('12 - Device_Configuration'!AF114="","",'12 - Device_Configuration'!AF114)</f>
        <v/>
      </c>
      <c r="F114" s="29" t="str">
        <f>IF('12 - Device_Configuration'!AG114="","",'12 - Device_Configuration'!AG114)</f>
        <v/>
      </c>
      <c r="G114" s="29" t="str">
        <f>IF('12 - Device_Configuration'!AH114="","",'12 - Device_Configuration'!AH114)</f>
        <v/>
      </c>
      <c r="H114" s="29" t="str">
        <f>IF('12 - Device_Configuration'!A114="","",'12 - Device_Configuration'!A114)</f>
        <v>Cybernet</v>
      </c>
      <c r="I114" s="29" t="str">
        <f>IF('12 - Device_Configuration'!AI114="","",'12 - Device_Configuration'!AI114)</f>
        <v/>
      </c>
      <c r="J114" s="29" t="str">
        <f>IF('12 - Device_Configuration'!AJ114="","",'12 - Device_Configuration'!AJ114)</f>
        <v/>
      </c>
      <c r="K114" s="29" t="str">
        <f>IF('12 - Device_Configuration'!AA114="","",'12 - Device_Configuration'!AA114)</f>
        <v/>
      </c>
      <c r="L114" s="29" t="str">
        <f>IF('12 - Device_Configuration'!I114="","",'12 - Device_Configuration'!I114)</f>
        <v/>
      </c>
      <c r="M114" s="30"/>
      <c r="N114" s="29" t="str">
        <f>IF('12 - Device_Configuration'!J114="","",'12 - Device_Configuration'!J114)</f>
        <v>Yes</v>
      </c>
      <c r="O114" s="29" t="str">
        <f>IF('12 - Device_Configuration'!K114="","",'12 - Device_Configuration'!K114)</f>
        <v>No</v>
      </c>
      <c r="P114" s="29" t="str">
        <f>IF('12 - Device_Configuration'!L114="","",'12 - Device_Configuration'!L114)</f>
        <v>No</v>
      </c>
      <c r="Q114" s="30"/>
      <c r="R114" s="29" t="str">
        <f>IF('12 - Device_Configuration'!AY114="","",'12 - Device_Configuration'!AY114)</f>
        <v/>
      </c>
      <c r="S114" s="29" t="str">
        <f>IF('12 - Device_Configuration'!AX114="","",'12 - Device_Configuration'!AX114)</f>
        <v/>
      </c>
      <c r="T114" s="29" t="str">
        <f>IF('12 - Device_Configuration'!AV114="","",'12 - Device_Configuration'!AV114)</f>
        <v/>
      </c>
      <c r="U114" s="29" t="str">
        <f>IF('12 - Device_Configuration'!AW114="","",'12 - Device_Configuration'!AW114)</f>
        <v/>
      </c>
      <c r="V114" s="29" t="str">
        <f>IF('12 - Device_Configuration'!BA114="","",'12 - Device_Configuration'!BA114)</f>
        <v/>
      </c>
      <c r="W114" s="29" t="str">
        <f>IF('12 - Device_Configuration'!BC114="","",'12 - Device_Configuration'!BC114)</f>
        <v/>
      </c>
      <c r="X114" s="29" t="str">
        <f>IF('12 - Device_Configuration'!BK114="","",'12 - Device_Configuration'!BK114)</f>
        <v/>
      </c>
      <c r="Y114" s="29" t="str">
        <f>IF('12 - Device_Configuration'!BB114="","",'12 - Device_Configuration'!BB114)</f>
        <v/>
      </c>
      <c r="Z114" s="29" t="str">
        <f>IF('12 - Device_Configuration'!P114="","",'12 - Device_Configuration'!P114)</f>
        <v/>
      </c>
      <c r="AA114" s="29" t="str">
        <f>IF('12 - Device_Configuration'!Q114="","",'12 - Device_Configuration'!Q114)</f>
        <v/>
      </c>
    </row>
    <row r="115" spans="1:27">
      <c r="A115" s="30"/>
      <c r="B115" s="30"/>
      <c r="C115" s="29" t="str">
        <f>IF('12 - Device_Configuration'!H115="","",'12 - Device_Configuration'!H115)</f>
        <v>LIJ - OR</v>
      </c>
      <c r="D115" s="29" t="str">
        <f>IF('12 - Device_Configuration'!AE115="","",'12 - Device_Configuration'!AE115)</f>
        <v/>
      </c>
      <c r="E115" s="29" t="str">
        <f>IF('12 - Device_Configuration'!AF115="","",'12 - Device_Configuration'!AF115)</f>
        <v/>
      </c>
      <c r="F115" s="29" t="str">
        <f>IF('12 - Device_Configuration'!AG115="","",'12 - Device_Configuration'!AG115)</f>
        <v/>
      </c>
      <c r="G115" s="29" t="str">
        <f>IF('12 - Device_Configuration'!AH115="","",'12 - Device_Configuration'!AH115)</f>
        <v/>
      </c>
      <c r="H115" s="29" t="str">
        <f>IF('12 - Device_Configuration'!A115="","",'12 - Device_Configuration'!A115)</f>
        <v>Cybernet</v>
      </c>
      <c r="I115" s="29" t="str">
        <f>IF('12 - Device_Configuration'!AI115="","",'12 - Device_Configuration'!AI115)</f>
        <v/>
      </c>
      <c r="J115" s="29" t="str">
        <f>IF('12 - Device_Configuration'!AJ115="","",'12 - Device_Configuration'!AJ115)</f>
        <v/>
      </c>
      <c r="K115" s="29" t="str">
        <f>IF('12 - Device_Configuration'!AA115="","",'12 - Device_Configuration'!AA115)</f>
        <v/>
      </c>
      <c r="L115" s="29" t="str">
        <f>IF('12 - Device_Configuration'!I115="","",'12 - Device_Configuration'!I115)</f>
        <v/>
      </c>
      <c r="M115" s="30"/>
      <c r="N115" s="29" t="str">
        <f>IF('12 - Device_Configuration'!J115="","",'12 - Device_Configuration'!J115)</f>
        <v>Yes</v>
      </c>
      <c r="O115" s="29" t="str">
        <f>IF('12 - Device_Configuration'!K115="","",'12 - Device_Configuration'!K115)</f>
        <v>No</v>
      </c>
      <c r="P115" s="29" t="str">
        <f>IF('12 - Device_Configuration'!L115="","",'12 - Device_Configuration'!L115)</f>
        <v>No</v>
      </c>
      <c r="Q115" s="30"/>
      <c r="R115" s="29" t="str">
        <f>IF('12 - Device_Configuration'!AY115="","",'12 - Device_Configuration'!AY115)</f>
        <v/>
      </c>
      <c r="S115" s="29" t="str">
        <f>IF('12 - Device_Configuration'!AX115="","",'12 - Device_Configuration'!AX115)</f>
        <v/>
      </c>
      <c r="T115" s="29" t="str">
        <f>IF('12 - Device_Configuration'!AV115="","",'12 - Device_Configuration'!AV115)</f>
        <v/>
      </c>
      <c r="U115" s="29" t="str">
        <f>IF('12 - Device_Configuration'!AW115="","",'12 - Device_Configuration'!AW115)</f>
        <v/>
      </c>
      <c r="V115" s="29" t="str">
        <f>IF('12 - Device_Configuration'!BA115="","",'12 - Device_Configuration'!BA115)</f>
        <v/>
      </c>
      <c r="W115" s="29" t="str">
        <f>IF('12 - Device_Configuration'!BC115="","",'12 - Device_Configuration'!BC115)</f>
        <v/>
      </c>
      <c r="X115" s="29" t="str">
        <f>IF('12 - Device_Configuration'!BK115="","",'12 - Device_Configuration'!BK115)</f>
        <v/>
      </c>
      <c r="Y115" s="29" t="str">
        <f>IF('12 - Device_Configuration'!BB115="","",'12 - Device_Configuration'!BB115)</f>
        <v/>
      </c>
      <c r="Z115" s="29" t="str">
        <f>IF('12 - Device_Configuration'!P115="","",'12 - Device_Configuration'!P115)</f>
        <v/>
      </c>
      <c r="AA115" s="29" t="str">
        <f>IF('12 - Device_Configuration'!Q115="","",'12 - Device_Configuration'!Q115)</f>
        <v/>
      </c>
    </row>
    <row r="116" spans="1:27">
      <c r="A116" s="30"/>
      <c r="B116" s="30"/>
      <c r="C116" s="29" t="str">
        <f>IF('12 - Device_Configuration'!H116="","",'12 - Device_Configuration'!H116)</f>
        <v>LIJ - OR</v>
      </c>
      <c r="D116" s="29" t="str">
        <f>IF('12 - Device_Configuration'!AE116="","",'12 - Device_Configuration'!AE116)</f>
        <v/>
      </c>
      <c r="E116" s="29" t="str">
        <f>IF('12 - Device_Configuration'!AF116="","",'12 - Device_Configuration'!AF116)</f>
        <v/>
      </c>
      <c r="F116" s="29" t="str">
        <f>IF('12 - Device_Configuration'!AG116="","",'12 - Device_Configuration'!AG116)</f>
        <v/>
      </c>
      <c r="G116" s="29" t="str">
        <f>IF('12 - Device_Configuration'!AH116="","",'12 - Device_Configuration'!AH116)</f>
        <v/>
      </c>
      <c r="H116" s="29" t="str">
        <f>IF('12 - Device_Configuration'!A116="","",'12 - Device_Configuration'!A116)</f>
        <v>Cybernet</v>
      </c>
      <c r="I116" s="29" t="str">
        <f>IF('12 - Device_Configuration'!AI116="","",'12 - Device_Configuration'!AI116)</f>
        <v/>
      </c>
      <c r="J116" s="29" t="str">
        <f>IF('12 - Device_Configuration'!AJ116="","",'12 - Device_Configuration'!AJ116)</f>
        <v/>
      </c>
      <c r="K116" s="29" t="str">
        <f>IF('12 - Device_Configuration'!AA116="","",'12 - Device_Configuration'!AA116)</f>
        <v/>
      </c>
      <c r="L116" s="29" t="str">
        <f>IF('12 - Device_Configuration'!I116="","",'12 - Device_Configuration'!I116)</f>
        <v/>
      </c>
      <c r="M116" s="30"/>
      <c r="N116" s="29" t="str">
        <f>IF('12 - Device_Configuration'!J116="","",'12 - Device_Configuration'!J116)</f>
        <v>Yes</v>
      </c>
      <c r="O116" s="29" t="str">
        <f>IF('12 - Device_Configuration'!K116="","",'12 - Device_Configuration'!K116)</f>
        <v>No</v>
      </c>
      <c r="P116" s="29" t="str">
        <f>IF('12 - Device_Configuration'!L116="","",'12 - Device_Configuration'!L116)</f>
        <v>No</v>
      </c>
      <c r="Q116" s="30"/>
      <c r="R116" s="29" t="str">
        <f>IF('12 - Device_Configuration'!AY116="","",'12 - Device_Configuration'!AY116)</f>
        <v/>
      </c>
      <c r="S116" s="29" t="str">
        <f>IF('12 - Device_Configuration'!AX116="","",'12 - Device_Configuration'!AX116)</f>
        <v/>
      </c>
      <c r="T116" s="29" t="str">
        <f>IF('12 - Device_Configuration'!AV116="","",'12 - Device_Configuration'!AV116)</f>
        <v/>
      </c>
      <c r="U116" s="29" t="str">
        <f>IF('12 - Device_Configuration'!AW116="","",'12 - Device_Configuration'!AW116)</f>
        <v/>
      </c>
      <c r="V116" s="29" t="str">
        <f>IF('12 - Device_Configuration'!BA116="","",'12 - Device_Configuration'!BA116)</f>
        <v/>
      </c>
      <c r="W116" s="29" t="str">
        <f>IF('12 - Device_Configuration'!BC116="","",'12 - Device_Configuration'!BC116)</f>
        <v/>
      </c>
      <c r="X116" s="29" t="str">
        <f>IF('12 - Device_Configuration'!BK116="","",'12 - Device_Configuration'!BK116)</f>
        <v/>
      </c>
      <c r="Y116" s="29" t="str">
        <f>IF('12 - Device_Configuration'!BB116="","",'12 - Device_Configuration'!BB116)</f>
        <v/>
      </c>
      <c r="Z116" s="29" t="str">
        <f>IF('12 - Device_Configuration'!P116="","",'12 - Device_Configuration'!P116)</f>
        <v/>
      </c>
      <c r="AA116" s="29" t="str">
        <f>IF('12 - Device_Configuration'!Q116="","",'12 - Device_Configuration'!Q116)</f>
        <v/>
      </c>
    </row>
    <row r="117" spans="1:27">
      <c r="A117" s="30"/>
      <c r="B117" s="30"/>
      <c r="C117" s="29" t="str">
        <f>IF('12 - Device_Configuration'!H117="","",'12 - Device_Configuration'!H117)</f>
        <v>LIJ - OR</v>
      </c>
      <c r="D117" s="29" t="str">
        <f>IF('12 - Device_Configuration'!AE117="","",'12 - Device_Configuration'!AE117)</f>
        <v/>
      </c>
      <c r="E117" s="29" t="str">
        <f>IF('12 - Device_Configuration'!AF117="","",'12 - Device_Configuration'!AF117)</f>
        <v/>
      </c>
      <c r="F117" s="29" t="str">
        <f>IF('12 - Device_Configuration'!AG117="","",'12 - Device_Configuration'!AG117)</f>
        <v/>
      </c>
      <c r="G117" s="29" t="str">
        <f>IF('12 - Device_Configuration'!AH117="","",'12 - Device_Configuration'!AH117)</f>
        <v/>
      </c>
      <c r="H117" s="29" t="str">
        <f>IF('12 - Device_Configuration'!A117="","",'12 - Device_Configuration'!A117)</f>
        <v>Cybernet</v>
      </c>
      <c r="I117" s="29" t="str">
        <f>IF('12 - Device_Configuration'!AI117="","",'12 - Device_Configuration'!AI117)</f>
        <v/>
      </c>
      <c r="J117" s="29" t="str">
        <f>IF('12 - Device_Configuration'!AJ117="","",'12 - Device_Configuration'!AJ117)</f>
        <v/>
      </c>
      <c r="K117" s="29" t="str">
        <f>IF('12 - Device_Configuration'!AA117="","",'12 - Device_Configuration'!AA117)</f>
        <v/>
      </c>
      <c r="L117" s="29" t="str">
        <f>IF('12 - Device_Configuration'!I117="","",'12 - Device_Configuration'!I117)</f>
        <v/>
      </c>
      <c r="M117" s="30"/>
      <c r="N117" s="29" t="str">
        <f>IF('12 - Device_Configuration'!J117="","",'12 - Device_Configuration'!J117)</f>
        <v>Yes</v>
      </c>
      <c r="O117" s="29" t="str">
        <f>IF('12 - Device_Configuration'!K117="","",'12 - Device_Configuration'!K117)</f>
        <v>No</v>
      </c>
      <c r="P117" s="29" t="str">
        <f>IF('12 - Device_Configuration'!L117="","",'12 - Device_Configuration'!L117)</f>
        <v>No</v>
      </c>
      <c r="Q117" s="30"/>
      <c r="R117" s="29" t="str">
        <f>IF('12 - Device_Configuration'!AY117="","",'12 - Device_Configuration'!AY117)</f>
        <v/>
      </c>
      <c r="S117" s="29" t="str">
        <f>IF('12 - Device_Configuration'!AX117="","",'12 - Device_Configuration'!AX117)</f>
        <v/>
      </c>
      <c r="T117" s="29" t="str">
        <f>IF('12 - Device_Configuration'!AV117="","",'12 - Device_Configuration'!AV117)</f>
        <v/>
      </c>
      <c r="U117" s="29" t="str">
        <f>IF('12 - Device_Configuration'!AW117="","",'12 - Device_Configuration'!AW117)</f>
        <v/>
      </c>
      <c r="V117" s="29" t="str">
        <f>IF('12 - Device_Configuration'!BA117="","",'12 - Device_Configuration'!BA117)</f>
        <v/>
      </c>
      <c r="W117" s="29" t="str">
        <f>IF('12 - Device_Configuration'!BC117="","",'12 - Device_Configuration'!BC117)</f>
        <v/>
      </c>
      <c r="X117" s="29" t="str">
        <f>IF('12 - Device_Configuration'!BK117="","",'12 - Device_Configuration'!BK117)</f>
        <v/>
      </c>
      <c r="Y117" s="29" t="str">
        <f>IF('12 - Device_Configuration'!BB117="","",'12 - Device_Configuration'!BB117)</f>
        <v/>
      </c>
      <c r="Z117" s="29" t="str">
        <f>IF('12 - Device_Configuration'!P117="","",'12 - Device_Configuration'!P117)</f>
        <v/>
      </c>
      <c r="AA117" s="29" t="str">
        <f>IF('12 - Device_Configuration'!Q117="","",'12 - Device_Configuration'!Q117)</f>
        <v/>
      </c>
    </row>
    <row r="118" spans="1:27">
      <c r="A118" s="30"/>
      <c r="B118" s="30"/>
      <c r="C118" s="29" t="str">
        <f>IF('12 - Device_Configuration'!H118="","",'12 - Device_Configuration'!H118)</f>
        <v>LIJ - OR</v>
      </c>
      <c r="D118" s="29" t="str">
        <f>IF('12 - Device_Configuration'!AE118="","",'12 - Device_Configuration'!AE118)</f>
        <v/>
      </c>
      <c r="E118" s="29" t="str">
        <f>IF('12 - Device_Configuration'!AF118="","",'12 - Device_Configuration'!AF118)</f>
        <v/>
      </c>
      <c r="F118" s="29" t="str">
        <f>IF('12 - Device_Configuration'!AG118="","",'12 - Device_Configuration'!AG118)</f>
        <v/>
      </c>
      <c r="G118" s="29" t="str">
        <f>IF('12 - Device_Configuration'!AH118="","",'12 - Device_Configuration'!AH118)</f>
        <v/>
      </c>
      <c r="H118" s="29" t="str">
        <f>IF('12 - Device_Configuration'!A118="","",'12 - Device_Configuration'!A118)</f>
        <v>Cybernet</v>
      </c>
      <c r="I118" s="29" t="str">
        <f>IF('12 - Device_Configuration'!AI118="","",'12 - Device_Configuration'!AI118)</f>
        <v/>
      </c>
      <c r="J118" s="29" t="str">
        <f>IF('12 - Device_Configuration'!AJ118="","",'12 - Device_Configuration'!AJ118)</f>
        <v/>
      </c>
      <c r="K118" s="29" t="str">
        <f>IF('12 - Device_Configuration'!AA118="","",'12 - Device_Configuration'!AA118)</f>
        <v/>
      </c>
      <c r="L118" s="29" t="str">
        <f>IF('12 - Device_Configuration'!I118="","",'12 - Device_Configuration'!I118)</f>
        <v/>
      </c>
      <c r="M118" s="30"/>
      <c r="N118" s="29" t="str">
        <f>IF('12 - Device_Configuration'!J118="","",'12 - Device_Configuration'!J118)</f>
        <v>Yes</v>
      </c>
      <c r="O118" s="29" t="str">
        <f>IF('12 - Device_Configuration'!K118="","",'12 - Device_Configuration'!K118)</f>
        <v>No</v>
      </c>
      <c r="P118" s="29" t="str">
        <f>IF('12 - Device_Configuration'!L118="","",'12 - Device_Configuration'!L118)</f>
        <v>No</v>
      </c>
      <c r="Q118" s="30"/>
      <c r="R118" s="29" t="str">
        <f>IF('12 - Device_Configuration'!AY118="","",'12 - Device_Configuration'!AY118)</f>
        <v/>
      </c>
      <c r="S118" s="29" t="str">
        <f>IF('12 - Device_Configuration'!AX118="","",'12 - Device_Configuration'!AX118)</f>
        <v/>
      </c>
      <c r="T118" s="29" t="str">
        <f>IF('12 - Device_Configuration'!AV118="","",'12 - Device_Configuration'!AV118)</f>
        <v/>
      </c>
      <c r="U118" s="29" t="str">
        <f>IF('12 - Device_Configuration'!AW118="","",'12 - Device_Configuration'!AW118)</f>
        <v/>
      </c>
      <c r="V118" s="29" t="str">
        <f>IF('12 - Device_Configuration'!BA118="","",'12 - Device_Configuration'!BA118)</f>
        <v/>
      </c>
      <c r="W118" s="29" t="str">
        <f>IF('12 - Device_Configuration'!BC118="","",'12 - Device_Configuration'!BC118)</f>
        <v/>
      </c>
      <c r="X118" s="29" t="str">
        <f>IF('12 - Device_Configuration'!BK118="","",'12 - Device_Configuration'!BK118)</f>
        <v/>
      </c>
      <c r="Y118" s="29" t="str">
        <f>IF('12 - Device_Configuration'!BB118="","",'12 - Device_Configuration'!BB118)</f>
        <v/>
      </c>
      <c r="Z118" s="29" t="str">
        <f>IF('12 - Device_Configuration'!P118="","",'12 - Device_Configuration'!P118)</f>
        <v/>
      </c>
      <c r="AA118" s="29" t="str">
        <f>IF('12 - Device_Configuration'!Q118="","",'12 - Device_Configuration'!Q118)</f>
        <v/>
      </c>
    </row>
    <row r="119" spans="1:27">
      <c r="A119" s="30"/>
      <c r="B119" s="30"/>
      <c r="C119" s="29" t="str">
        <f>IF('12 - Device_Configuration'!H119="","",'12 - Device_Configuration'!H119)</f>
        <v>LIJ - OR</v>
      </c>
      <c r="D119" s="29" t="str">
        <f>IF('12 - Device_Configuration'!AE119="","",'12 - Device_Configuration'!AE119)</f>
        <v/>
      </c>
      <c r="E119" s="29" t="str">
        <f>IF('12 - Device_Configuration'!AF119="","",'12 - Device_Configuration'!AF119)</f>
        <v/>
      </c>
      <c r="F119" s="29" t="str">
        <f>IF('12 - Device_Configuration'!AG119="","",'12 - Device_Configuration'!AG119)</f>
        <v/>
      </c>
      <c r="G119" s="29" t="str">
        <f>IF('12 - Device_Configuration'!AH119="","",'12 - Device_Configuration'!AH119)</f>
        <v/>
      </c>
      <c r="H119" s="29" t="str">
        <f>IF('12 - Device_Configuration'!A119="","",'12 - Device_Configuration'!A119)</f>
        <v>Cybernet</v>
      </c>
      <c r="I119" s="29" t="str">
        <f>IF('12 - Device_Configuration'!AI119="","",'12 - Device_Configuration'!AI119)</f>
        <v/>
      </c>
      <c r="J119" s="29" t="str">
        <f>IF('12 - Device_Configuration'!AJ119="","",'12 - Device_Configuration'!AJ119)</f>
        <v/>
      </c>
      <c r="K119" s="29" t="str">
        <f>IF('12 - Device_Configuration'!AA119="","",'12 - Device_Configuration'!AA119)</f>
        <v/>
      </c>
      <c r="L119" s="29" t="str">
        <f>IF('12 - Device_Configuration'!I119="","",'12 - Device_Configuration'!I119)</f>
        <v/>
      </c>
      <c r="M119" s="30"/>
      <c r="N119" s="29" t="str">
        <f>IF('12 - Device_Configuration'!J119="","",'12 - Device_Configuration'!J119)</f>
        <v>Yes</v>
      </c>
      <c r="O119" s="29" t="str">
        <f>IF('12 - Device_Configuration'!K119="","",'12 - Device_Configuration'!K119)</f>
        <v>No</v>
      </c>
      <c r="P119" s="29" t="str">
        <f>IF('12 - Device_Configuration'!L119="","",'12 - Device_Configuration'!L119)</f>
        <v>No</v>
      </c>
      <c r="Q119" s="30"/>
      <c r="R119" s="29" t="str">
        <f>IF('12 - Device_Configuration'!AY119="","",'12 - Device_Configuration'!AY119)</f>
        <v/>
      </c>
      <c r="S119" s="29" t="str">
        <f>IF('12 - Device_Configuration'!AX119="","",'12 - Device_Configuration'!AX119)</f>
        <v/>
      </c>
      <c r="T119" s="29" t="str">
        <f>IF('12 - Device_Configuration'!AV119="","",'12 - Device_Configuration'!AV119)</f>
        <v/>
      </c>
      <c r="U119" s="29" t="str">
        <f>IF('12 - Device_Configuration'!AW119="","",'12 - Device_Configuration'!AW119)</f>
        <v/>
      </c>
      <c r="V119" s="29" t="str">
        <f>IF('12 - Device_Configuration'!BA119="","",'12 - Device_Configuration'!BA119)</f>
        <v/>
      </c>
      <c r="W119" s="29" t="str">
        <f>IF('12 - Device_Configuration'!BC119="","",'12 - Device_Configuration'!BC119)</f>
        <v/>
      </c>
      <c r="X119" s="29" t="str">
        <f>IF('12 - Device_Configuration'!BK119="","",'12 - Device_Configuration'!BK119)</f>
        <v/>
      </c>
      <c r="Y119" s="29" t="str">
        <f>IF('12 - Device_Configuration'!BB119="","",'12 - Device_Configuration'!BB119)</f>
        <v/>
      </c>
      <c r="Z119" s="29" t="str">
        <f>IF('12 - Device_Configuration'!P119="","",'12 - Device_Configuration'!P119)</f>
        <v/>
      </c>
      <c r="AA119" s="29" t="str">
        <f>IF('12 - Device_Configuration'!Q119="","",'12 - Device_Configuration'!Q119)</f>
        <v/>
      </c>
    </row>
    <row r="120" spans="1:27">
      <c r="A120" s="30"/>
      <c r="B120" s="30"/>
      <c r="C120" s="29" t="str">
        <f>IF('12 - Device_Configuration'!H120="","",'12 - Device_Configuration'!H120)</f>
        <v>LIJ - OR</v>
      </c>
      <c r="D120" s="29" t="str">
        <f>IF('12 - Device_Configuration'!AE120="","",'12 - Device_Configuration'!AE120)</f>
        <v/>
      </c>
      <c r="E120" s="29" t="str">
        <f>IF('12 - Device_Configuration'!AF120="","",'12 - Device_Configuration'!AF120)</f>
        <v/>
      </c>
      <c r="F120" s="29" t="str">
        <f>IF('12 - Device_Configuration'!AG120="","",'12 - Device_Configuration'!AG120)</f>
        <v/>
      </c>
      <c r="G120" s="29" t="str">
        <f>IF('12 - Device_Configuration'!AH120="","",'12 - Device_Configuration'!AH120)</f>
        <v/>
      </c>
      <c r="H120" s="29" t="str">
        <f>IF('12 - Device_Configuration'!A120="","",'12 - Device_Configuration'!A120)</f>
        <v>Cybernet</v>
      </c>
      <c r="I120" s="29" t="str">
        <f>IF('12 - Device_Configuration'!AI120="","",'12 - Device_Configuration'!AI120)</f>
        <v/>
      </c>
      <c r="J120" s="29" t="str">
        <f>IF('12 - Device_Configuration'!AJ120="","",'12 - Device_Configuration'!AJ120)</f>
        <v/>
      </c>
      <c r="K120" s="29" t="str">
        <f>IF('12 - Device_Configuration'!AA120="","",'12 - Device_Configuration'!AA120)</f>
        <v/>
      </c>
      <c r="L120" s="29" t="str">
        <f>IF('12 - Device_Configuration'!I120="","",'12 - Device_Configuration'!I120)</f>
        <v/>
      </c>
      <c r="M120" s="30"/>
      <c r="N120" s="29" t="str">
        <f>IF('12 - Device_Configuration'!J120="","",'12 - Device_Configuration'!J120)</f>
        <v>Yes</v>
      </c>
      <c r="O120" s="29" t="str">
        <f>IF('12 - Device_Configuration'!K120="","",'12 - Device_Configuration'!K120)</f>
        <v>No</v>
      </c>
      <c r="P120" s="29" t="str">
        <f>IF('12 - Device_Configuration'!L120="","",'12 - Device_Configuration'!L120)</f>
        <v>No</v>
      </c>
      <c r="Q120" s="30"/>
      <c r="R120" s="29" t="str">
        <f>IF('12 - Device_Configuration'!AY120="","",'12 - Device_Configuration'!AY120)</f>
        <v/>
      </c>
      <c r="S120" s="29" t="str">
        <f>IF('12 - Device_Configuration'!AX120="","",'12 - Device_Configuration'!AX120)</f>
        <v/>
      </c>
      <c r="T120" s="29" t="str">
        <f>IF('12 - Device_Configuration'!AV120="","",'12 - Device_Configuration'!AV120)</f>
        <v/>
      </c>
      <c r="U120" s="29" t="str">
        <f>IF('12 - Device_Configuration'!AW120="","",'12 - Device_Configuration'!AW120)</f>
        <v/>
      </c>
      <c r="V120" s="29" t="str">
        <f>IF('12 - Device_Configuration'!BA120="","",'12 - Device_Configuration'!BA120)</f>
        <v/>
      </c>
      <c r="W120" s="29" t="str">
        <f>IF('12 - Device_Configuration'!BC120="","",'12 - Device_Configuration'!BC120)</f>
        <v/>
      </c>
      <c r="X120" s="29" t="str">
        <f>IF('12 - Device_Configuration'!BK120="","",'12 - Device_Configuration'!BK120)</f>
        <v/>
      </c>
      <c r="Y120" s="29" t="str">
        <f>IF('12 - Device_Configuration'!BB120="","",'12 - Device_Configuration'!BB120)</f>
        <v/>
      </c>
      <c r="Z120" s="29" t="str">
        <f>IF('12 - Device_Configuration'!P120="","",'12 - Device_Configuration'!P120)</f>
        <v/>
      </c>
      <c r="AA120" s="29" t="str">
        <f>IF('12 - Device_Configuration'!Q120="","",'12 - Device_Configuration'!Q120)</f>
        <v/>
      </c>
    </row>
    <row r="121" spans="1:27">
      <c r="A121" s="30"/>
      <c r="B121" s="30"/>
      <c r="C121" s="29" t="str">
        <f>IF('12 - Device_Configuration'!H121="","",'12 - Device_Configuration'!H121)</f>
        <v>LIJ - OR</v>
      </c>
      <c r="D121" s="29" t="str">
        <f>IF('12 - Device_Configuration'!AE121="","",'12 - Device_Configuration'!AE121)</f>
        <v/>
      </c>
      <c r="E121" s="29" t="str">
        <f>IF('12 - Device_Configuration'!AF121="","",'12 - Device_Configuration'!AF121)</f>
        <v/>
      </c>
      <c r="F121" s="29" t="str">
        <f>IF('12 - Device_Configuration'!AG121="","",'12 - Device_Configuration'!AG121)</f>
        <v/>
      </c>
      <c r="G121" s="29" t="str">
        <f>IF('12 - Device_Configuration'!AH121="","",'12 - Device_Configuration'!AH121)</f>
        <v/>
      </c>
      <c r="H121" s="29" t="str">
        <f>IF('12 - Device_Configuration'!A121="","",'12 - Device_Configuration'!A121)</f>
        <v>Cybernet</v>
      </c>
      <c r="I121" s="29" t="str">
        <f>IF('12 - Device_Configuration'!AI121="","",'12 - Device_Configuration'!AI121)</f>
        <v/>
      </c>
      <c r="J121" s="29" t="str">
        <f>IF('12 - Device_Configuration'!AJ121="","",'12 - Device_Configuration'!AJ121)</f>
        <v/>
      </c>
      <c r="K121" s="29" t="str">
        <f>IF('12 - Device_Configuration'!AA121="","",'12 - Device_Configuration'!AA121)</f>
        <v/>
      </c>
      <c r="L121" s="29" t="str">
        <f>IF('12 - Device_Configuration'!I121="","",'12 - Device_Configuration'!I121)</f>
        <v/>
      </c>
      <c r="M121" s="30"/>
      <c r="N121" s="29" t="str">
        <f>IF('12 - Device_Configuration'!J121="","",'12 - Device_Configuration'!J121)</f>
        <v>Yes</v>
      </c>
      <c r="O121" s="29" t="str">
        <f>IF('12 - Device_Configuration'!K121="","",'12 - Device_Configuration'!K121)</f>
        <v>No</v>
      </c>
      <c r="P121" s="29" t="str">
        <f>IF('12 - Device_Configuration'!L121="","",'12 - Device_Configuration'!L121)</f>
        <v>No</v>
      </c>
      <c r="Q121" s="30"/>
      <c r="R121" s="29" t="str">
        <f>IF('12 - Device_Configuration'!AY121="","",'12 - Device_Configuration'!AY121)</f>
        <v/>
      </c>
      <c r="S121" s="29" t="str">
        <f>IF('12 - Device_Configuration'!AX121="","",'12 - Device_Configuration'!AX121)</f>
        <v/>
      </c>
      <c r="T121" s="29" t="str">
        <f>IF('12 - Device_Configuration'!AV121="","",'12 - Device_Configuration'!AV121)</f>
        <v/>
      </c>
      <c r="U121" s="29" t="str">
        <f>IF('12 - Device_Configuration'!AW121="","",'12 - Device_Configuration'!AW121)</f>
        <v/>
      </c>
      <c r="V121" s="29" t="str">
        <f>IF('12 - Device_Configuration'!BA121="","",'12 - Device_Configuration'!BA121)</f>
        <v/>
      </c>
      <c r="W121" s="29" t="str">
        <f>IF('12 - Device_Configuration'!BC121="","",'12 - Device_Configuration'!BC121)</f>
        <v/>
      </c>
      <c r="X121" s="29" t="str">
        <f>IF('12 - Device_Configuration'!BK121="","",'12 - Device_Configuration'!BK121)</f>
        <v/>
      </c>
      <c r="Y121" s="29" t="str">
        <f>IF('12 - Device_Configuration'!BB121="","",'12 - Device_Configuration'!BB121)</f>
        <v/>
      </c>
      <c r="Z121" s="29" t="str">
        <f>IF('12 - Device_Configuration'!P121="","",'12 - Device_Configuration'!P121)</f>
        <v/>
      </c>
      <c r="AA121" s="29" t="str">
        <f>IF('12 - Device_Configuration'!Q121="","",'12 - Device_Configuration'!Q121)</f>
        <v/>
      </c>
    </row>
    <row r="122" spans="1:27">
      <c r="A122" s="30"/>
      <c r="B122" s="30"/>
      <c r="C122" s="29" t="str">
        <f>IF('12 - Device_Configuration'!H122="","",'12 - Device_Configuration'!H122)</f>
        <v>LIJ - OR</v>
      </c>
      <c r="D122" s="29" t="str">
        <f>IF('12 - Device_Configuration'!AE122="","",'12 - Device_Configuration'!AE122)</f>
        <v/>
      </c>
      <c r="E122" s="29" t="str">
        <f>IF('12 - Device_Configuration'!AF122="","",'12 - Device_Configuration'!AF122)</f>
        <v/>
      </c>
      <c r="F122" s="29" t="str">
        <f>IF('12 - Device_Configuration'!AG122="","",'12 - Device_Configuration'!AG122)</f>
        <v/>
      </c>
      <c r="G122" s="29" t="str">
        <f>IF('12 - Device_Configuration'!AH122="","",'12 - Device_Configuration'!AH122)</f>
        <v/>
      </c>
      <c r="H122" s="29" t="str">
        <f>IF('12 - Device_Configuration'!A122="","",'12 - Device_Configuration'!A122)</f>
        <v>Cybernet</v>
      </c>
      <c r="I122" s="29" t="str">
        <f>IF('12 - Device_Configuration'!AI122="","",'12 - Device_Configuration'!AI122)</f>
        <v/>
      </c>
      <c r="J122" s="29" t="str">
        <f>IF('12 - Device_Configuration'!AJ122="","",'12 - Device_Configuration'!AJ122)</f>
        <v/>
      </c>
      <c r="K122" s="29" t="str">
        <f>IF('12 - Device_Configuration'!AA122="","",'12 - Device_Configuration'!AA122)</f>
        <v/>
      </c>
      <c r="L122" s="29" t="str">
        <f>IF('12 - Device_Configuration'!I122="","",'12 - Device_Configuration'!I122)</f>
        <v/>
      </c>
      <c r="M122" s="30"/>
      <c r="N122" s="29" t="str">
        <f>IF('12 - Device_Configuration'!J122="","",'12 - Device_Configuration'!J122)</f>
        <v>Yes</v>
      </c>
      <c r="O122" s="29" t="str">
        <f>IF('12 - Device_Configuration'!K122="","",'12 - Device_Configuration'!K122)</f>
        <v>No</v>
      </c>
      <c r="P122" s="29" t="str">
        <f>IF('12 - Device_Configuration'!L122="","",'12 - Device_Configuration'!L122)</f>
        <v>No</v>
      </c>
      <c r="Q122" s="30"/>
      <c r="R122" s="29" t="str">
        <f>IF('12 - Device_Configuration'!AY122="","",'12 - Device_Configuration'!AY122)</f>
        <v/>
      </c>
      <c r="S122" s="29" t="str">
        <f>IF('12 - Device_Configuration'!AX122="","",'12 - Device_Configuration'!AX122)</f>
        <v/>
      </c>
      <c r="T122" s="29" t="str">
        <f>IF('12 - Device_Configuration'!AV122="","",'12 - Device_Configuration'!AV122)</f>
        <v/>
      </c>
      <c r="U122" s="29" t="str">
        <f>IF('12 - Device_Configuration'!AW122="","",'12 - Device_Configuration'!AW122)</f>
        <v/>
      </c>
      <c r="V122" s="29" t="str">
        <f>IF('12 - Device_Configuration'!BA122="","",'12 - Device_Configuration'!BA122)</f>
        <v/>
      </c>
      <c r="W122" s="29" t="str">
        <f>IF('12 - Device_Configuration'!BC122="","",'12 - Device_Configuration'!BC122)</f>
        <v/>
      </c>
      <c r="X122" s="29" t="str">
        <f>IF('12 - Device_Configuration'!BK122="","",'12 - Device_Configuration'!BK122)</f>
        <v/>
      </c>
      <c r="Y122" s="29" t="str">
        <f>IF('12 - Device_Configuration'!BB122="","",'12 - Device_Configuration'!BB122)</f>
        <v/>
      </c>
      <c r="Z122" s="29" t="str">
        <f>IF('12 - Device_Configuration'!P122="","",'12 - Device_Configuration'!P122)</f>
        <v/>
      </c>
      <c r="AA122" s="29" t="str">
        <f>IF('12 - Device_Configuration'!Q122="","",'12 - Device_Configuration'!Q122)</f>
        <v/>
      </c>
    </row>
    <row r="123" spans="1:27">
      <c r="A123" s="30"/>
      <c r="B123" s="30"/>
      <c r="C123" s="29" t="str">
        <f>IF('12 - Device_Configuration'!H123="","",'12 - Device_Configuration'!H123)</f>
        <v>LIJ - OR</v>
      </c>
      <c r="D123" s="29" t="str">
        <f>IF('12 - Device_Configuration'!AE123="","",'12 - Device_Configuration'!AE123)</f>
        <v/>
      </c>
      <c r="E123" s="29" t="str">
        <f>IF('12 - Device_Configuration'!AF123="","",'12 - Device_Configuration'!AF123)</f>
        <v/>
      </c>
      <c r="F123" s="29" t="str">
        <f>IF('12 - Device_Configuration'!AG123="","",'12 - Device_Configuration'!AG123)</f>
        <v/>
      </c>
      <c r="G123" s="29" t="str">
        <f>IF('12 - Device_Configuration'!AH123="","",'12 - Device_Configuration'!AH123)</f>
        <v/>
      </c>
      <c r="H123" s="29" t="str">
        <f>IF('12 - Device_Configuration'!A123="","",'12 - Device_Configuration'!A123)</f>
        <v>Cybernet</v>
      </c>
      <c r="I123" s="29" t="str">
        <f>IF('12 - Device_Configuration'!AI123="","",'12 - Device_Configuration'!AI123)</f>
        <v/>
      </c>
      <c r="J123" s="29" t="str">
        <f>IF('12 - Device_Configuration'!AJ123="","",'12 - Device_Configuration'!AJ123)</f>
        <v/>
      </c>
      <c r="K123" s="29" t="str">
        <f>IF('12 - Device_Configuration'!AA123="","",'12 - Device_Configuration'!AA123)</f>
        <v/>
      </c>
      <c r="L123" s="29" t="str">
        <f>IF('12 - Device_Configuration'!I123="","",'12 - Device_Configuration'!I123)</f>
        <v/>
      </c>
      <c r="M123" s="30"/>
      <c r="N123" s="29" t="str">
        <f>IF('12 - Device_Configuration'!J123="","",'12 - Device_Configuration'!J123)</f>
        <v>Yes</v>
      </c>
      <c r="O123" s="29" t="str">
        <f>IF('12 - Device_Configuration'!K123="","",'12 - Device_Configuration'!K123)</f>
        <v>No</v>
      </c>
      <c r="P123" s="29" t="str">
        <f>IF('12 - Device_Configuration'!L123="","",'12 - Device_Configuration'!L123)</f>
        <v>No</v>
      </c>
      <c r="Q123" s="30"/>
      <c r="R123" s="29" t="str">
        <f>IF('12 - Device_Configuration'!AY123="","",'12 - Device_Configuration'!AY123)</f>
        <v/>
      </c>
      <c r="S123" s="29" t="str">
        <f>IF('12 - Device_Configuration'!AX123="","",'12 - Device_Configuration'!AX123)</f>
        <v/>
      </c>
      <c r="T123" s="29" t="str">
        <f>IF('12 - Device_Configuration'!AV123="","",'12 - Device_Configuration'!AV123)</f>
        <v/>
      </c>
      <c r="U123" s="29" t="str">
        <f>IF('12 - Device_Configuration'!AW123="","",'12 - Device_Configuration'!AW123)</f>
        <v/>
      </c>
      <c r="V123" s="29" t="str">
        <f>IF('12 - Device_Configuration'!BA123="","",'12 - Device_Configuration'!BA123)</f>
        <v/>
      </c>
      <c r="W123" s="29" t="str">
        <f>IF('12 - Device_Configuration'!BC123="","",'12 - Device_Configuration'!BC123)</f>
        <v/>
      </c>
      <c r="X123" s="29" t="str">
        <f>IF('12 - Device_Configuration'!BK123="","",'12 - Device_Configuration'!BK123)</f>
        <v/>
      </c>
      <c r="Y123" s="29" t="str">
        <f>IF('12 - Device_Configuration'!BB123="","",'12 - Device_Configuration'!BB123)</f>
        <v/>
      </c>
      <c r="Z123" s="29" t="str">
        <f>IF('12 - Device_Configuration'!P123="","",'12 - Device_Configuration'!P123)</f>
        <v/>
      </c>
      <c r="AA123" s="29" t="str">
        <f>IF('12 - Device_Configuration'!Q123="","",'12 - Device_Configuration'!Q123)</f>
        <v/>
      </c>
    </row>
    <row r="124" spans="1:27">
      <c r="A124" s="30"/>
      <c r="B124" s="30"/>
      <c r="C124" s="29" t="str">
        <f>IF('12 - Device_Configuration'!H124="","",'12 - Device_Configuration'!H124)</f>
        <v>LIJ - OR</v>
      </c>
      <c r="D124" s="29" t="str">
        <f>IF('12 - Device_Configuration'!AE124="","",'12 - Device_Configuration'!AE124)</f>
        <v/>
      </c>
      <c r="E124" s="29" t="str">
        <f>IF('12 - Device_Configuration'!AF124="","",'12 - Device_Configuration'!AF124)</f>
        <v/>
      </c>
      <c r="F124" s="29" t="str">
        <f>IF('12 - Device_Configuration'!AG124="","",'12 - Device_Configuration'!AG124)</f>
        <v/>
      </c>
      <c r="G124" s="29" t="str">
        <f>IF('12 - Device_Configuration'!AH124="","",'12 - Device_Configuration'!AH124)</f>
        <v/>
      </c>
      <c r="H124" s="29" t="str">
        <f>IF('12 - Device_Configuration'!A124="","",'12 - Device_Configuration'!A124)</f>
        <v>Cybernet</v>
      </c>
      <c r="I124" s="29" t="str">
        <f>IF('12 - Device_Configuration'!AI124="","",'12 - Device_Configuration'!AI124)</f>
        <v/>
      </c>
      <c r="J124" s="29" t="str">
        <f>IF('12 - Device_Configuration'!AJ124="","",'12 - Device_Configuration'!AJ124)</f>
        <v/>
      </c>
      <c r="K124" s="29" t="str">
        <f>IF('12 - Device_Configuration'!AA124="","",'12 - Device_Configuration'!AA124)</f>
        <v/>
      </c>
      <c r="L124" s="29" t="str">
        <f>IF('12 - Device_Configuration'!I124="","",'12 - Device_Configuration'!I124)</f>
        <v/>
      </c>
      <c r="M124" s="30"/>
      <c r="N124" s="29" t="str">
        <f>IF('12 - Device_Configuration'!J124="","",'12 - Device_Configuration'!J124)</f>
        <v>Yes</v>
      </c>
      <c r="O124" s="29" t="str">
        <f>IF('12 - Device_Configuration'!K124="","",'12 - Device_Configuration'!K124)</f>
        <v>No</v>
      </c>
      <c r="P124" s="29" t="str">
        <f>IF('12 - Device_Configuration'!L124="","",'12 - Device_Configuration'!L124)</f>
        <v>No</v>
      </c>
      <c r="Q124" s="30"/>
      <c r="R124" s="29" t="str">
        <f>IF('12 - Device_Configuration'!AY124="","",'12 - Device_Configuration'!AY124)</f>
        <v/>
      </c>
      <c r="S124" s="29" t="str">
        <f>IF('12 - Device_Configuration'!AX124="","",'12 - Device_Configuration'!AX124)</f>
        <v/>
      </c>
      <c r="T124" s="29" t="str">
        <f>IF('12 - Device_Configuration'!AV124="","",'12 - Device_Configuration'!AV124)</f>
        <v/>
      </c>
      <c r="U124" s="29" t="str">
        <f>IF('12 - Device_Configuration'!AW124="","",'12 - Device_Configuration'!AW124)</f>
        <v/>
      </c>
      <c r="V124" s="29" t="str">
        <f>IF('12 - Device_Configuration'!BA124="","",'12 - Device_Configuration'!BA124)</f>
        <v/>
      </c>
      <c r="W124" s="29" t="str">
        <f>IF('12 - Device_Configuration'!BC124="","",'12 - Device_Configuration'!BC124)</f>
        <v/>
      </c>
      <c r="X124" s="29" t="str">
        <f>IF('12 - Device_Configuration'!BK124="","",'12 - Device_Configuration'!BK124)</f>
        <v/>
      </c>
      <c r="Y124" s="29" t="str">
        <f>IF('12 - Device_Configuration'!BB124="","",'12 - Device_Configuration'!BB124)</f>
        <v/>
      </c>
      <c r="Z124" s="29" t="str">
        <f>IF('12 - Device_Configuration'!P124="","",'12 - Device_Configuration'!P124)</f>
        <v/>
      </c>
      <c r="AA124" s="29" t="str">
        <f>IF('12 - Device_Configuration'!Q124="","",'12 - Device_Configuration'!Q124)</f>
        <v/>
      </c>
    </row>
    <row r="125" spans="1:27">
      <c r="A125" s="30"/>
      <c r="B125" s="30"/>
      <c r="C125" s="29" t="str">
        <f>IF('12 - Device_Configuration'!H125="","",'12 - Device_Configuration'!H125)</f>
        <v>LIJ - OR</v>
      </c>
      <c r="D125" s="29" t="str">
        <f>IF('12 - Device_Configuration'!AE125="","",'12 - Device_Configuration'!AE125)</f>
        <v/>
      </c>
      <c r="E125" s="29" t="str">
        <f>IF('12 - Device_Configuration'!AF125="","",'12 - Device_Configuration'!AF125)</f>
        <v/>
      </c>
      <c r="F125" s="29" t="str">
        <f>IF('12 - Device_Configuration'!AG125="","",'12 - Device_Configuration'!AG125)</f>
        <v/>
      </c>
      <c r="G125" s="29" t="str">
        <f>IF('12 - Device_Configuration'!AH125="","",'12 - Device_Configuration'!AH125)</f>
        <v/>
      </c>
      <c r="H125" s="29" t="str">
        <f>IF('12 - Device_Configuration'!A125="","",'12 - Device_Configuration'!A125)</f>
        <v>Cybernet</v>
      </c>
      <c r="I125" s="29" t="str">
        <f>IF('12 - Device_Configuration'!AI125="","",'12 - Device_Configuration'!AI125)</f>
        <v/>
      </c>
      <c r="J125" s="29" t="str">
        <f>IF('12 - Device_Configuration'!AJ125="","",'12 - Device_Configuration'!AJ125)</f>
        <v/>
      </c>
      <c r="K125" s="29" t="str">
        <f>IF('12 - Device_Configuration'!AA125="","",'12 - Device_Configuration'!AA125)</f>
        <v/>
      </c>
      <c r="L125" s="29" t="str">
        <f>IF('12 - Device_Configuration'!I125="","",'12 - Device_Configuration'!I125)</f>
        <v/>
      </c>
      <c r="M125" s="30"/>
      <c r="N125" s="29" t="str">
        <f>IF('12 - Device_Configuration'!J125="","",'12 - Device_Configuration'!J125)</f>
        <v>Yes</v>
      </c>
      <c r="O125" s="29" t="str">
        <f>IF('12 - Device_Configuration'!K125="","",'12 - Device_Configuration'!K125)</f>
        <v>No</v>
      </c>
      <c r="P125" s="29" t="str">
        <f>IF('12 - Device_Configuration'!L125="","",'12 - Device_Configuration'!L125)</f>
        <v>No</v>
      </c>
      <c r="Q125" s="30"/>
      <c r="R125" s="29" t="str">
        <f>IF('12 - Device_Configuration'!AY125="","",'12 - Device_Configuration'!AY125)</f>
        <v/>
      </c>
      <c r="S125" s="29" t="str">
        <f>IF('12 - Device_Configuration'!AX125="","",'12 - Device_Configuration'!AX125)</f>
        <v/>
      </c>
      <c r="T125" s="29" t="str">
        <f>IF('12 - Device_Configuration'!AV125="","",'12 - Device_Configuration'!AV125)</f>
        <v/>
      </c>
      <c r="U125" s="29" t="str">
        <f>IF('12 - Device_Configuration'!AW125="","",'12 - Device_Configuration'!AW125)</f>
        <v/>
      </c>
      <c r="V125" s="29" t="str">
        <f>IF('12 - Device_Configuration'!BA125="","",'12 - Device_Configuration'!BA125)</f>
        <v/>
      </c>
      <c r="W125" s="29" t="str">
        <f>IF('12 - Device_Configuration'!BC125="","",'12 - Device_Configuration'!BC125)</f>
        <v/>
      </c>
      <c r="X125" s="29" t="str">
        <f>IF('12 - Device_Configuration'!BK125="","",'12 - Device_Configuration'!BK125)</f>
        <v/>
      </c>
      <c r="Y125" s="29" t="str">
        <f>IF('12 - Device_Configuration'!BB125="","",'12 - Device_Configuration'!BB125)</f>
        <v/>
      </c>
      <c r="Z125" s="29" t="str">
        <f>IF('12 - Device_Configuration'!P125="","",'12 - Device_Configuration'!P125)</f>
        <v/>
      </c>
      <c r="AA125" s="29" t="str">
        <f>IF('12 - Device_Configuration'!Q125="","",'12 - Device_Configuration'!Q125)</f>
        <v/>
      </c>
    </row>
    <row r="126" spans="1:27">
      <c r="A126" s="30"/>
      <c r="B126" s="30"/>
      <c r="C126" s="29" t="str">
        <f>IF('12 - Device_Configuration'!H126="","",'12 - Device_Configuration'!H126)</f>
        <v>LIJ - OR</v>
      </c>
      <c r="D126" s="29" t="str">
        <f>IF('12 - Device_Configuration'!AE126="","",'12 - Device_Configuration'!AE126)</f>
        <v/>
      </c>
      <c r="E126" s="29" t="str">
        <f>IF('12 - Device_Configuration'!AF126="","",'12 - Device_Configuration'!AF126)</f>
        <v/>
      </c>
      <c r="F126" s="29" t="str">
        <f>IF('12 - Device_Configuration'!AG126="","",'12 - Device_Configuration'!AG126)</f>
        <v/>
      </c>
      <c r="G126" s="29" t="str">
        <f>IF('12 - Device_Configuration'!AH126="","",'12 - Device_Configuration'!AH126)</f>
        <v/>
      </c>
      <c r="H126" s="29" t="str">
        <f>IF('12 - Device_Configuration'!A126="","",'12 - Device_Configuration'!A126)</f>
        <v>Cybernet</v>
      </c>
      <c r="I126" s="29" t="str">
        <f>IF('12 - Device_Configuration'!AI126="","",'12 - Device_Configuration'!AI126)</f>
        <v/>
      </c>
      <c r="J126" s="29" t="str">
        <f>IF('12 - Device_Configuration'!AJ126="","",'12 - Device_Configuration'!AJ126)</f>
        <v/>
      </c>
      <c r="K126" s="29" t="str">
        <f>IF('12 - Device_Configuration'!AA126="","",'12 - Device_Configuration'!AA126)</f>
        <v/>
      </c>
      <c r="L126" s="29" t="str">
        <f>IF('12 - Device_Configuration'!I126="","",'12 - Device_Configuration'!I126)</f>
        <v/>
      </c>
      <c r="M126" s="30"/>
      <c r="N126" s="29" t="str">
        <f>IF('12 - Device_Configuration'!J126="","",'12 - Device_Configuration'!J126)</f>
        <v>Yes</v>
      </c>
      <c r="O126" s="29" t="str">
        <f>IF('12 - Device_Configuration'!K126="","",'12 - Device_Configuration'!K126)</f>
        <v>No</v>
      </c>
      <c r="P126" s="29" t="str">
        <f>IF('12 - Device_Configuration'!L126="","",'12 - Device_Configuration'!L126)</f>
        <v>No</v>
      </c>
      <c r="Q126" s="30"/>
      <c r="R126" s="29" t="str">
        <f>IF('12 - Device_Configuration'!AY126="","",'12 - Device_Configuration'!AY126)</f>
        <v/>
      </c>
      <c r="S126" s="29" t="str">
        <f>IF('12 - Device_Configuration'!AX126="","",'12 - Device_Configuration'!AX126)</f>
        <v/>
      </c>
      <c r="T126" s="29" t="str">
        <f>IF('12 - Device_Configuration'!AV126="","",'12 - Device_Configuration'!AV126)</f>
        <v/>
      </c>
      <c r="U126" s="29" t="str">
        <f>IF('12 - Device_Configuration'!AW126="","",'12 - Device_Configuration'!AW126)</f>
        <v/>
      </c>
      <c r="V126" s="29" t="str">
        <f>IF('12 - Device_Configuration'!BA126="","",'12 - Device_Configuration'!BA126)</f>
        <v/>
      </c>
      <c r="W126" s="29" t="str">
        <f>IF('12 - Device_Configuration'!BC126="","",'12 - Device_Configuration'!BC126)</f>
        <v/>
      </c>
      <c r="X126" s="29" t="str">
        <f>IF('12 - Device_Configuration'!BK126="","",'12 - Device_Configuration'!BK126)</f>
        <v/>
      </c>
      <c r="Y126" s="29" t="str">
        <f>IF('12 - Device_Configuration'!BB126="","",'12 - Device_Configuration'!BB126)</f>
        <v/>
      </c>
      <c r="Z126" s="29" t="str">
        <f>IF('12 - Device_Configuration'!P126="","",'12 - Device_Configuration'!P126)</f>
        <v/>
      </c>
      <c r="AA126" s="29" t="str">
        <f>IF('12 - Device_Configuration'!Q126="","",'12 - Device_Configuration'!Q126)</f>
        <v/>
      </c>
    </row>
    <row r="127" spans="1:27">
      <c r="A127" s="30"/>
      <c r="B127" s="30"/>
      <c r="C127" s="29" t="str">
        <f>IF('12 - Device_Configuration'!H127="","",'12 - Device_Configuration'!H127)</f>
        <v>LIJ - OR</v>
      </c>
      <c r="D127" s="29" t="str">
        <f>IF('12 - Device_Configuration'!AE127="","",'12 - Device_Configuration'!AE127)</f>
        <v/>
      </c>
      <c r="E127" s="29" t="str">
        <f>IF('12 - Device_Configuration'!AF127="","",'12 - Device_Configuration'!AF127)</f>
        <v/>
      </c>
      <c r="F127" s="29" t="str">
        <f>IF('12 - Device_Configuration'!AG127="","",'12 - Device_Configuration'!AG127)</f>
        <v/>
      </c>
      <c r="G127" s="29" t="str">
        <f>IF('12 - Device_Configuration'!AH127="","",'12 - Device_Configuration'!AH127)</f>
        <v/>
      </c>
      <c r="H127" s="29" t="str">
        <f>IF('12 - Device_Configuration'!A127="","",'12 - Device_Configuration'!A127)</f>
        <v>Cybernet</v>
      </c>
      <c r="I127" s="29" t="str">
        <f>IF('12 - Device_Configuration'!AI127="","",'12 - Device_Configuration'!AI127)</f>
        <v/>
      </c>
      <c r="J127" s="29" t="str">
        <f>IF('12 - Device_Configuration'!AJ127="","",'12 - Device_Configuration'!AJ127)</f>
        <v/>
      </c>
      <c r="K127" s="29" t="str">
        <f>IF('12 - Device_Configuration'!AA127="","",'12 - Device_Configuration'!AA127)</f>
        <v/>
      </c>
      <c r="L127" s="29" t="str">
        <f>IF('12 - Device_Configuration'!I127="","",'12 - Device_Configuration'!I127)</f>
        <v/>
      </c>
      <c r="M127" s="30"/>
      <c r="N127" s="29" t="str">
        <f>IF('12 - Device_Configuration'!J127="","",'12 - Device_Configuration'!J127)</f>
        <v>Yes</v>
      </c>
      <c r="O127" s="29" t="str">
        <f>IF('12 - Device_Configuration'!K127="","",'12 - Device_Configuration'!K127)</f>
        <v>No</v>
      </c>
      <c r="P127" s="29" t="str">
        <f>IF('12 - Device_Configuration'!L127="","",'12 - Device_Configuration'!L127)</f>
        <v>No</v>
      </c>
      <c r="Q127" s="30"/>
      <c r="R127" s="29" t="str">
        <f>IF('12 - Device_Configuration'!AY127="","",'12 - Device_Configuration'!AY127)</f>
        <v/>
      </c>
      <c r="S127" s="29" t="str">
        <f>IF('12 - Device_Configuration'!AX127="","",'12 - Device_Configuration'!AX127)</f>
        <v/>
      </c>
      <c r="T127" s="29" t="str">
        <f>IF('12 - Device_Configuration'!AV127="","",'12 - Device_Configuration'!AV127)</f>
        <v/>
      </c>
      <c r="U127" s="29" t="str">
        <f>IF('12 - Device_Configuration'!AW127="","",'12 - Device_Configuration'!AW127)</f>
        <v/>
      </c>
      <c r="V127" s="29" t="str">
        <f>IF('12 - Device_Configuration'!BA127="","",'12 - Device_Configuration'!BA127)</f>
        <v/>
      </c>
      <c r="W127" s="29" t="str">
        <f>IF('12 - Device_Configuration'!BC127="","",'12 - Device_Configuration'!BC127)</f>
        <v/>
      </c>
      <c r="X127" s="29" t="str">
        <f>IF('12 - Device_Configuration'!BK127="","",'12 - Device_Configuration'!BK127)</f>
        <v/>
      </c>
      <c r="Y127" s="29" t="str">
        <f>IF('12 - Device_Configuration'!BB127="","",'12 - Device_Configuration'!BB127)</f>
        <v/>
      </c>
      <c r="Z127" s="29" t="str">
        <f>IF('12 - Device_Configuration'!P127="","",'12 - Device_Configuration'!P127)</f>
        <v/>
      </c>
      <c r="AA127" s="29" t="str">
        <f>IF('12 - Device_Configuration'!Q127="","",'12 - Device_Configuration'!Q127)</f>
        <v/>
      </c>
    </row>
    <row r="128" spans="1:27">
      <c r="A128" s="30"/>
      <c r="B128" s="30"/>
      <c r="C128" s="29" t="str">
        <f>IF('12 - Device_Configuration'!H128="","",'12 - Device_Configuration'!H128)</f>
        <v>LIJ - OR</v>
      </c>
      <c r="D128" s="29" t="str">
        <f>IF('12 - Device_Configuration'!AE128="","",'12 - Device_Configuration'!AE128)</f>
        <v/>
      </c>
      <c r="E128" s="29" t="str">
        <f>IF('12 - Device_Configuration'!AF128="","",'12 - Device_Configuration'!AF128)</f>
        <v/>
      </c>
      <c r="F128" s="29" t="str">
        <f>IF('12 - Device_Configuration'!AG128="","",'12 - Device_Configuration'!AG128)</f>
        <v/>
      </c>
      <c r="G128" s="29" t="str">
        <f>IF('12 - Device_Configuration'!AH128="","",'12 - Device_Configuration'!AH128)</f>
        <v/>
      </c>
      <c r="H128" s="29" t="str">
        <f>IF('12 - Device_Configuration'!A128="","",'12 - Device_Configuration'!A128)</f>
        <v>Cybernet</v>
      </c>
      <c r="I128" s="29" t="str">
        <f>IF('12 - Device_Configuration'!AI128="","",'12 - Device_Configuration'!AI128)</f>
        <v/>
      </c>
      <c r="J128" s="29" t="str">
        <f>IF('12 - Device_Configuration'!AJ128="","",'12 - Device_Configuration'!AJ128)</f>
        <v/>
      </c>
      <c r="K128" s="29" t="str">
        <f>IF('12 - Device_Configuration'!AA128="","",'12 - Device_Configuration'!AA128)</f>
        <v/>
      </c>
      <c r="L128" s="29" t="str">
        <f>IF('12 - Device_Configuration'!I128="","",'12 - Device_Configuration'!I128)</f>
        <v/>
      </c>
      <c r="M128" s="30"/>
      <c r="N128" s="29" t="str">
        <f>IF('12 - Device_Configuration'!J128="","",'12 - Device_Configuration'!J128)</f>
        <v>Yes</v>
      </c>
      <c r="O128" s="29" t="str">
        <f>IF('12 - Device_Configuration'!K128="","",'12 - Device_Configuration'!K128)</f>
        <v>No</v>
      </c>
      <c r="P128" s="29" t="str">
        <f>IF('12 - Device_Configuration'!L128="","",'12 - Device_Configuration'!L128)</f>
        <v>No</v>
      </c>
      <c r="Q128" s="30"/>
      <c r="R128" s="29" t="str">
        <f>IF('12 - Device_Configuration'!AY128="","",'12 - Device_Configuration'!AY128)</f>
        <v/>
      </c>
      <c r="S128" s="29" t="str">
        <f>IF('12 - Device_Configuration'!AX128="","",'12 - Device_Configuration'!AX128)</f>
        <v/>
      </c>
      <c r="T128" s="29" t="str">
        <f>IF('12 - Device_Configuration'!AV128="","",'12 - Device_Configuration'!AV128)</f>
        <v/>
      </c>
      <c r="U128" s="29" t="str">
        <f>IF('12 - Device_Configuration'!AW128="","",'12 - Device_Configuration'!AW128)</f>
        <v/>
      </c>
      <c r="V128" s="29" t="str">
        <f>IF('12 - Device_Configuration'!BA128="","",'12 - Device_Configuration'!BA128)</f>
        <v/>
      </c>
      <c r="W128" s="29" t="str">
        <f>IF('12 - Device_Configuration'!BC128="","",'12 - Device_Configuration'!BC128)</f>
        <v/>
      </c>
      <c r="X128" s="29" t="str">
        <f>IF('12 - Device_Configuration'!BK128="","",'12 - Device_Configuration'!BK128)</f>
        <v/>
      </c>
      <c r="Y128" s="29" t="str">
        <f>IF('12 - Device_Configuration'!BB128="","",'12 - Device_Configuration'!BB128)</f>
        <v/>
      </c>
      <c r="Z128" s="29" t="str">
        <f>IF('12 - Device_Configuration'!P128="","",'12 - Device_Configuration'!P128)</f>
        <v/>
      </c>
      <c r="AA128" s="29" t="str">
        <f>IF('12 - Device_Configuration'!Q128="","",'12 - Device_Configuration'!Q128)</f>
        <v/>
      </c>
    </row>
    <row r="129" spans="1:27">
      <c r="A129" s="30"/>
      <c r="B129" s="30"/>
      <c r="C129" s="29" t="str">
        <f>IF('12 - Device_Configuration'!H129="","",'12 - Device_Configuration'!H129)</f>
        <v>LIJ - OR</v>
      </c>
      <c r="D129" s="29" t="str">
        <f>IF('12 - Device_Configuration'!AE129="","",'12 - Device_Configuration'!AE129)</f>
        <v/>
      </c>
      <c r="E129" s="29" t="str">
        <f>IF('12 - Device_Configuration'!AF129="","",'12 - Device_Configuration'!AF129)</f>
        <v/>
      </c>
      <c r="F129" s="29" t="str">
        <f>IF('12 - Device_Configuration'!AG129="","",'12 - Device_Configuration'!AG129)</f>
        <v/>
      </c>
      <c r="G129" s="29" t="str">
        <f>IF('12 - Device_Configuration'!AH129="","",'12 - Device_Configuration'!AH129)</f>
        <v/>
      </c>
      <c r="H129" s="29" t="str">
        <f>IF('12 - Device_Configuration'!A129="","",'12 - Device_Configuration'!A129)</f>
        <v>Cybernet</v>
      </c>
      <c r="I129" s="29" t="str">
        <f>IF('12 - Device_Configuration'!AI129="","",'12 - Device_Configuration'!AI129)</f>
        <v/>
      </c>
      <c r="J129" s="29" t="str">
        <f>IF('12 - Device_Configuration'!AJ129="","",'12 - Device_Configuration'!AJ129)</f>
        <v/>
      </c>
      <c r="K129" s="29" t="str">
        <f>IF('12 - Device_Configuration'!AA129="","",'12 - Device_Configuration'!AA129)</f>
        <v/>
      </c>
      <c r="L129" s="29" t="str">
        <f>IF('12 - Device_Configuration'!I129="","",'12 - Device_Configuration'!I129)</f>
        <v/>
      </c>
      <c r="M129" s="30"/>
      <c r="N129" s="29" t="str">
        <f>IF('12 - Device_Configuration'!J129="","",'12 - Device_Configuration'!J129)</f>
        <v>Yes</v>
      </c>
      <c r="O129" s="29" t="str">
        <f>IF('12 - Device_Configuration'!K129="","",'12 - Device_Configuration'!K129)</f>
        <v>No</v>
      </c>
      <c r="P129" s="29" t="str">
        <f>IF('12 - Device_Configuration'!L129="","",'12 - Device_Configuration'!L129)</f>
        <v>No</v>
      </c>
      <c r="Q129" s="30"/>
      <c r="R129" s="29" t="str">
        <f>IF('12 - Device_Configuration'!AY129="","",'12 - Device_Configuration'!AY129)</f>
        <v/>
      </c>
      <c r="S129" s="29" t="str">
        <f>IF('12 - Device_Configuration'!AX129="","",'12 - Device_Configuration'!AX129)</f>
        <v/>
      </c>
      <c r="T129" s="29" t="str">
        <f>IF('12 - Device_Configuration'!AV129="","",'12 - Device_Configuration'!AV129)</f>
        <v/>
      </c>
      <c r="U129" s="29" t="str">
        <f>IF('12 - Device_Configuration'!AW129="","",'12 - Device_Configuration'!AW129)</f>
        <v/>
      </c>
      <c r="V129" s="29" t="str">
        <f>IF('12 - Device_Configuration'!BA129="","",'12 - Device_Configuration'!BA129)</f>
        <v/>
      </c>
      <c r="W129" s="29" t="str">
        <f>IF('12 - Device_Configuration'!BC129="","",'12 - Device_Configuration'!BC129)</f>
        <v/>
      </c>
      <c r="X129" s="29" t="str">
        <f>IF('12 - Device_Configuration'!BK129="","",'12 - Device_Configuration'!BK129)</f>
        <v/>
      </c>
      <c r="Y129" s="29" t="str">
        <f>IF('12 - Device_Configuration'!BB129="","",'12 - Device_Configuration'!BB129)</f>
        <v/>
      </c>
      <c r="Z129" s="29" t="str">
        <f>IF('12 - Device_Configuration'!P129="","",'12 - Device_Configuration'!P129)</f>
        <v/>
      </c>
      <c r="AA129" s="29" t="str">
        <f>IF('12 - Device_Configuration'!Q129="","",'12 - Device_Configuration'!Q129)</f>
        <v/>
      </c>
    </row>
    <row r="130" spans="1:27">
      <c r="A130" s="30"/>
      <c r="B130" s="30"/>
      <c r="C130" s="29" t="str">
        <f>IF('12 - Device_Configuration'!H130="","",'12 - Device_Configuration'!H130)</f>
        <v>LIJ - OR</v>
      </c>
      <c r="D130" s="29" t="str">
        <f>IF('12 - Device_Configuration'!AE130="","",'12 - Device_Configuration'!AE130)</f>
        <v/>
      </c>
      <c r="E130" s="29" t="str">
        <f>IF('12 - Device_Configuration'!AF130="","",'12 - Device_Configuration'!AF130)</f>
        <v/>
      </c>
      <c r="F130" s="29" t="str">
        <f>IF('12 - Device_Configuration'!AG130="","",'12 - Device_Configuration'!AG130)</f>
        <v/>
      </c>
      <c r="G130" s="29" t="str">
        <f>IF('12 - Device_Configuration'!AH130="","",'12 - Device_Configuration'!AH130)</f>
        <v/>
      </c>
      <c r="H130" s="29" t="str">
        <f>IF('12 - Device_Configuration'!A130="","",'12 - Device_Configuration'!A130)</f>
        <v>Cybernet</v>
      </c>
      <c r="I130" s="29" t="str">
        <f>IF('12 - Device_Configuration'!AI130="","",'12 - Device_Configuration'!AI130)</f>
        <v/>
      </c>
      <c r="J130" s="29" t="str">
        <f>IF('12 - Device_Configuration'!AJ130="","",'12 - Device_Configuration'!AJ130)</f>
        <v/>
      </c>
      <c r="K130" s="29" t="str">
        <f>IF('12 - Device_Configuration'!AA130="","",'12 - Device_Configuration'!AA130)</f>
        <v/>
      </c>
      <c r="L130" s="29" t="str">
        <f>IF('12 - Device_Configuration'!I130="","",'12 - Device_Configuration'!I130)</f>
        <v/>
      </c>
      <c r="M130" s="30"/>
      <c r="N130" s="29" t="str">
        <f>IF('12 - Device_Configuration'!J130="","",'12 - Device_Configuration'!J130)</f>
        <v>Yes</v>
      </c>
      <c r="O130" s="29" t="str">
        <f>IF('12 - Device_Configuration'!K130="","",'12 - Device_Configuration'!K130)</f>
        <v>No</v>
      </c>
      <c r="P130" s="29" t="str">
        <f>IF('12 - Device_Configuration'!L130="","",'12 - Device_Configuration'!L130)</f>
        <v>No</v>
      </c>
      <c r="Q130" s="30"/>
      <c r="R130" s="29" t="str">
        <f>IF('12 - Device_Configuration'!AY130="","",'12 - Device_Configuration'!AY130)</f>
        <v/>
      </c>
      <c r="S130" s="29" t="str">
        <f>IF('12 - Device_Configuration'!AX130="","",'12 - Device_Configuration'!AX130)</f>
        <v/>
      </c>
      <c r="T130" s="29" t="str">
        <f>IF('12 - Device_Configuration'!AV130="","",'12 - Device_Configuration'!AV130)</f>
        <v/>
      </c>
      <c r="U130" s="29" t="str">
        <f>IF('12 - Device_Configuration'!AW130="","",'12 - Device_Configuration'!AW130)</f>
        <v/>
      </c>
      <c r="V130" s="29" t="str">
        <f>IF('12 - Device_Configuration'!BA130="","",'12 - Device_Configuration'!BA130)</f>
        <v/>
      </c>
      <c r="W130" s="29" t="str">
        <f>IF('12 - Device_Configuration'!BC130="","",'12 - Device_Configuration'!BC130)</f>
        <v/>
      </c>
      <c r="X130" s="29" t="str">
        <f>IF('12 - Device_Configuration'!BK130="","",'12 - Device_Configuration'!BK130)</f>
        <v/>
      </c>
      <c r="Y130" s="29" t="str">
        <f>IF('12 - Device_Configuration'!BB130="","",'12 - Device_Configuration'!BB130)</f>
        <v/>
      </c>
      <c r="Z130" s="29" t="str">
        <f>IF('12 - Device_Configuration'!P130="","",'12 - Device_Configuration'!P130)</f>
        <v/>
      </c>
      <c r="AA130" s="29" t="str">
        <f>IF('12 - Device_Configuration'!Q130="","",'12 - Device_Configuration'!Q130)</f>
        <v/>
      </c>
    </row>
    <row r="131" spans="1:27">
      <c r="A131" s="30"/>
      <c r="B131" s="30"/>
      <c r="C131" s="29" t="str">
        <f>IF('12 - Device_Configuration'!H131="","",'12 - Device_Configuration'!H131)</f>
        <v>LIJ - OR</v>
      </c>
      <c r="D131" s="29" t="str">
        <f>IF('12 - Device_Configuration'!AE131="","",'12 - Device_Configuration'!AE131)</f>
        <v/>
      </c>
      <c r="E131" s="29" t="str">
        <f>IF('12 - Device_Configuration'!AF131="","",'12 - Device_Configuration'!AF131)</f>
        <v/>
      </c>
      <c r="F131" s="29" t="str">
        <f>IF('12 - Device_Configuration'!AG131="","",'12 - Device_Configuration'!AG131)</f>
        <v/>
      </c>
      <c r="G131" s="29" t="str">
        <f>IF('12 - Device_Configuration'!AH131="","",'12 - Device_Configuration'!AH131)</f>
        <v/>
      </c>
      <c r="H131" s="29" t="str">
        <f>IF('12 - Device_Configuration'!A131="","",'12 - Device_Configuration'!A131)</f>
        <v>Cybernet</v>
      </c>
      <c r="I131" s="29" t="str">
        <f>IF('12 - Device_Configuration'!AI131="","",'12 - Device_Configuration'!AI131)</f>
        <v/>
      </c>
      <c r="J131" s="29" t="str">
        <f>IF('12 - Device_Configuration'!AJ131="","",'12 - Device_Configuration'!AJ131)</f>
        <v/>
      </c>
      <c r="K131" s="29" t="str">
        <f>IF('12 - Device_Configuration'!AA131="","",'12 - Device_Configuration'!AA131)</f>
        <v/>
      </c>
      <c r="L131" s="29" t="str">
        <f>IF('12 - Device_Configuration'!I131="","",'12 - Device_Configuration'!I131)</f>
        <v/>
      </c>
      <c r="M131" s="30"/>
      <c r="N131" s="29" t="str">
        <f>IF('12 - Device_Configuration'!J131="","",'12 - Device_Configuration'!J131)</f>
        <v>Yes</v>
      </c>
      <c r="O131" s="29" t="str">
        <f>IF('12 - Device_Configuration'!K131="","",'12 - Device_Configuration'!K131)</f>
        <v>No</v>
      </c>
      <c r="P131" s="29" t="str">
        <f>IF('12 - Device_Configuration'!L131="","",'12 - Device_Configuration'!L131)</f>
        <v>No</v>
      </c>
      <c r="Q131" s="30"/>
      <c r="R131" s="29" t="str">
        <f>IF('12 - Device_Configuration'!AY131="","",'12 - Device_Configuration'!AY131)</f>
        <v/>
      </c>
      <c r="S131" s="29" t="str">
        <f>IF('12 - Device_Configuration'!AX131="","",'12 - Device_Configuration'!AX131)</f>
        <v/>
      </c>
      <c r="T131" s="29" t="str">
        <f>IF('12 - Device_Configuration'!AV131="","",'12 - Device_Configuration'!AV131)</f>
        <v/>
      </c>
      <c r="U131" s="29" t="str">
        <f>IF('12 - Device_Configuration'!AW131="","",'12 - Device_Configuration'!AW131)</f>
        <v/>
      </c>
      <c r="V131" s="29" t="str">
        <f>IF('12 - Device_Configuration'!BA131="","",'12 - Device_Configuration'!BA131)</f>
        <v/>
      </c>
      <c r="W131" s="29" t="str">
        <f>IF('12 - Device_Configuration'!BC131="","",'12 - Device_Configuration'!BC131)</f>
        <v/>
      </c>
      <c r="X131" s="29" t="str">
        <f>IF('12 - Device_Configuration'!BK131="","",'12 - Device_Configuration'!BK131)</f>
        <v/>
      </c>
      <c r="Y131" s="29" t="str">
        <f>IF('12 - Device_Configuration'!BB131="","",'12 - Device_Configuration'!BB131)</f>
        <v/>
      </c>
      <c r="Z131" s="29" t="str">
        <f>IF('12 - Device_Configuration'!P131="","",'12 - Device_Configuration'!P131)</f>
        <v/>
      </c>
      <c r="AA131" s="29" t="str">
        <f>IF('12 - Device_Configuration'!Q131="","",'12 - Device_Configuration'!Q131)</f>
        <v/>
      </c>
    </row>
    <row r="132" spans="1:27">
      <c r="A132" s="30"/>
      <c r="B132" s="30"/>
      <c r="C132" s="29" t="str">
        <f>IF('12 - Device_Configuration'!H132="","",'12 - Device_Configuration'!H132)</f>
        <v>LIJ - OR</v>
      </c>
      <c r="D132" s="29" t="str">
        <f>IF('12 - Device_Configuration'!AE132="","",'12 - Device_Configuration'!AE132)</f>
        <v/>
      </c>
      <c r="E132" s="29" t="str">
        <f>IF('12 - Device_Configuration'!AF132="","",'12 - Device_Configuration'!AF132)</f>
        <v/>
      </c>
      <c r="F132" s="29" t="str">
        <f>IF('12 - Device_Configuration'!AG132="","",'12 - Device_Configuration'!AG132)</f>
        <v/>
      </c>
      <c r="G132" s="29" t="str">
        <f>IF('12 - Device_Configuration'!AH132="","",'12 - Device_Configuration'!AH132)</f>
        <v/>
      </c>
      <c r="H132" s="29" t="str">
        <f>IF('12 - Device_Configuration'!A132="","",'12 - Device_Configuration'!A132)</f>
        <v>Cybernet</v>
      </c>
      <c r="I132" s="29" t="str">
        <f>IF('12 - Device_Configuration'!AI132="","",'12 - Device_Configuration'!AI132)</f>
        <v/>
      </c>
      <c r="J132" s="29" t="str">
        <f>IF('12 - Device_Configuration'!AJ132="","",'12 - Device_Configuration'!AJ132)</f>
        <v/>
      </c>
      <c r="K132" s="29" t="str">
        <f>IF('12 - Device_Configuration'!AA132="","",'12 - Device_Configuration'!AA132)</f>
        <v/>
      </c>
      <c r="L132" s="29" t="str">
        <f>IF('12 - Device_Configuration'!I132="","",'12 - Device_Configuration'!I132)</f>
        <v/>
      </c>
      <c r="M132" s="30"/>
      <c r="N132" s="29" t="str">
        <f>IF('12 - Device_Configuration'!J132="","",'12 - Device_Configuration'!J132)</f>
        <v>Yes</v>
      </c>
      <c r="O132" s="29" t="str">
        <f>IF('12 - Device_Configuration'!K132="","",'12 - Device_Configuration'!K132)</f>
        <v>No</v>
      </c>
      <c r="P132" s="29" t="str">
        <f>IF('12 - Device_Configuration'!L132="","",'12 - Device_Configuration'!L132)</f>
        <v>No</v>
      </c>
      <c r="Q132" s="30"/>
      <c r="R132" s="29" t="str">
        <f>IF('12 - Device_Configuration'!AY132="","",'12 - Device_Configuration'!AY132)</f>
        <v/>
      </c>
      <c r="S132" s="29" t="str">
        <f>IF('12 - Device_Configuration'!AX132="","",'12 - Device_Configuration'!AX132)</f>
        <v/>
      </c>
      <c r="T132" s="29" t="str">
        <f>IF('12 - Device_Configuration'!AV132="","",'12 - Device_Configuration'!AV132)</f>
        <v/>
      </c>
      <c r="U132" s="29" t="str">
        <f>IF('12 - Device_Configuration'!AW132="","",'12 - Device_Configuration'!AW132)</f>
        <v/>
      </c>
      <c r="V132" s="29" t="str">
        <f>IF('12 - Device_Configuration'!BA132="","",'12 - Device_Configuration'!BA132)</f>
        <v/>
      </c>
      <c r="W132" s="29" t="str">
        <f>IF('12 - Device_Configuration'!BC132="","",'12 - Device_Configuration'!BC132)</f>
        <v/>
      </c>
      <c r="X132" s="29" t="str">
        <f>IF('12 - Device_Configuration'!BK132="","",'12 - Device_Configuration'!BK132)</f>
        <v/>
      </c>
      <c r="Y132" s="29" t="str">
        <f>IF('12 - Device_Configuration'!BB132="","",'12 - Device_Configuration'!BB132)</f>
        <v/>
      </c>
      <c r="Z132" s="29" t="str">
        <f>IF('12 - Device_Configuration'!P132="","",'12 - Device_Configuration'!P132)</f>
        <v/>
      </c>
      <c r="AA132" s="29" t="str">
        <f>IF('12 - Device_Configuration'!Q132="","",'12 - Device_Configuration'!Q132)</f>
        <v/>
      </c>
    </row>
    <row r="133" spans="1:27">
      <c r="A133" s="30"/>
      <c r="B133" s="30"/>
      <c r="C133" s="29" t="str">
        <f>IF('12 - Device_Configuration'!H133="","",'12 - Device_Configuration'!H133)</f>
        <v>LIJ - OR</v>
      </c>
      <c r="D133" s="29" t="str">
        <f>IF('12 - Device_Configuration'!AE133="","",'12 - Device_Configuration'!AE133)</f>
        <v/>
      </c>
      <c r="E133" s="29" t="str">
        <f>IF('12 - Device_Configuration'!AF133="","",'12 - Device_Configuration'!AF133)</f>
        <v/>
      </c>
      <c r="F133" s="29" t="str">
        <f>IF('12 - Device_Configuration'!AG133="","",'12 - Device_Configuration'!AG133)</f>
        <v/>
      </c>
      <c r="G133" s="29" t="str">
        <f>IF('12 - Device_Configuration'!AH133="","",'12 - Device_Configuration'!AH133)</f>
        <v/>
      </c>
      <c r="H133" s="29" t="str">
        <f>IF('12 - Device_Configuration'!A133="","",'12 - Device_Configuration'!A133)</f>
        <v>Cybernet</v>
      </c>
      <c r="I133" s="29" t="str">
        <f>IF('12 - Device_Configuration'!AI133="","",'12 - Device_Configuration'!AI133)</f>
        <v/>
      </c>
      <c r="J133" s="29" t="str">
        <f>IF('12 - Device_Configuration'!AJ133="","",'12 - Device_Configuration'!AJ133)</f>
        <v/>
      </c>
      <c r="K133" s="29" t="str">
        <f>IF('12 - Device_Configuration'!AA133="","",'12 - Device_Configuration'!AA133)</f>
        <v/>
      </c>
      <c r="L133" s="29" t="str">
        <f>IF('12 - Device_Configuration'!I133="","",'12 - Device_Configuration'!I133)</f>
        <v/>
      </c>
      <c r="M133" s="30"/>
      <c r="N133" s="29" t="str">
        <f>IF('12 - Device_Configuration'!J133="","",'12 - Device_Configuration'!J133)</f>
        <v>Yes</v>
      </c>
      <c r="O133" s="29" t="str">
        <f>IF('12 - Device_Configuration'!K133="","",'12 - Device_Configuration'!K133)</f>
        <v>No</v>
      </c>
      <c r="P133" s="29" t="str">
        <f>IF('12 - Device_Configuration'!L133="","",'12 - Device_Configuration'!L133)</f>
        <v>No</v>
      </c>
      <c r="Q133" s="30"/>
      <c r="R133" s="29" t="str">
        <f>IF('12 - Device_Configuration'!AY133="","",'12 - Device_Configuration'!AY133)</f>
        <v/>
      </c>
      <c r="S133" s="29" t="str">
        <f>IF('12 - Device_Configuration'!AX133="","",'12 - Device_Configuration'!AX133)</f>
        <v/>
      </c>
      <c r="T133" s="29" t="str">
        <f>IF('12 - Device_Configuration'!AV133="","",'12 - Device_Configuration'!AV133)</f>
        <v/>
      </c>
      <c r="U133" s="29" t="str">
        <f>IF('12 - Device_Configuration'!AW133="","",'12 - Device_Configuration'!AW133)</f>
        <v/>
      </c>
      <c r="V133" s="29" t="str">
        <f>IF('12 - Device_Configuration'!BA133="","",'12 - Device_Configuration'!BA133)</f>
        <v/>
      </c>
      <c r="W133" s="29" t="str">
        <f>IF('12 - Device_Configuration'!BC133="","",'12 - Device_Configuration'!BC133)</f>
        <v/>
      </c>
      <c r="X133" s="29" t="str">
        <f>IF('12 - Device_Configuration'!BK133="","",'12 - Device_Configuration'!BK133)</f>
        <v/>
      </c>
      <c r="Y133" s="29" t="str">
        <f>IF('12 - Device_Configuration'!BB133="","",'12 - Device_Configuration'!BB133)</f>
        <v/>
      </c>
      <c r="Z133" s="29" t="str">
        <f>IF('12 - Device_Configuration'!P133="","",'12 - Device_Configuration'!P133)</f>
        <v/>
      </c>
      <c r="AA133" s="29" t="str">
        <f>IF('12 - Device_Configuration'!Q133="","",'12 - Device_Configuration'!Q133)</f>
        <v/>
      </c>
    </row>
    <row r="134" spans="1:27">
      <c r="A134" s="30"/>
      <c r="B134" s="30"/>
      <c r="C134" s="29" t="str">
        <f>IF('12 - Device_Configuration'!H134="","",'12 - Device_Configuration'!H134)</f>
        <v>LIJ - OR</v>
      </c>
      <c r="D134" s="29" t="str">
        <f>IF('12 - Device_Configuration'!AE134="","",'12 - Device_Configuration'!AE134)</f>
        <v/>
      </c>
      <c r="E134" s="29" t="str">
        <f>IF('12 - Device_Configuration'!AF134="","",'12 - Device_Configuration'!AF134)</f>
        <v/>
      </c>
      <c r="F134" s="29" t="str">
        <f>IF('12 - Device_Configuration'!AG134="","",'12 - Device_Configuration'!AG134)</f>
        <v/>
      </c>
      <c r="G134" s="29" t="str">
        <f>IF('12 - Device_Configuration'!AH134="","",'12 - Device_Configuration'!AH134)</f>
        <v/>
      </c>
      <c r="H134" s="29" t="str">
        <f>IF('12 - Device_Configuration'!A134="","",'12 - Device_Configuration'!A134)</f>
        <v>Cybernet</v>
      </c>
      <c r="I134" s="29" t="str">
        <f>IF('12 - Device_Configuration'!AI134="","",'12 - Device_Configuration'!AI134)</f>
        <v/>
      </c>
      <c r="J134" s="29" t="str">
        <f>IF('12 - Device_Configuration'!AJ134="","",'12 - Device_Configuration'!AJ134)</f>
        <v/>
      </c>
      <c r="K134" s="29" t="str">
        <f>IF('12 - Device_Configuration'!AA134="","",'12 - Device_Configuration'!AA134)</f>
        <v/>
      </c>
      <c r="L134" s="29" t="str">
        <f>IF('12 - Device_Configuration'!I134="","",'12 - Device_Configuration'!I134)</f>
        <v/>
      </c>
      <c r="M134" s="30"/>
      <c r="N134" s="29" t="str">
        <f>IF('12 - Device_Configuration'!J134="","",'12 - Device_Configuration'!J134)</f>
        <v>Yes</v>
      </c>
      <c r="O134" s="29" t="str">
        <f>IF('12 - Device_Configuration'!K134="","",'12 - Device_Configuration'!K134)</f>
        <v>No</v>
      </c>
      <c r="P134" s="29" t="str">
        <f>IF('12 - Device_Configuration'!L134="","",'12 - Device_Configuration'!L134)</f>
        <v>No</v>
      </c>
      <c r="Q134" s="30"/>
      <c r="R134" s="29" t="str">
        <f>IF('12 - Device_Configuration'!AY134="","",'12 - Device_Configuration'!AY134)</f>
        <v/>
      </c>
      <c r="S134" s="29" t="str">
        <f>IF('12 - Device_Configuration'!AX134="","",'12 - Device_Configuration'!AX134)</f>
        <v/>
      </c>
      <c r="T134" s="29" t="str">
        <f>IF('12 - Device_Configuration'!AV134="","",'12 - Device_Configuration'!AV134)</f>
        <v/>
      </c>
      <c r="U134" s="29" t="str">
        <f>IF('12 - Device_Configuration'!AW134="","",'12 - Device_Configuration'!AW134)</f>
        <v/>
      </c>
      <c r="V134" s="29" t="str">
        <f>IF('12 - Device_Configuration'!BA134="","",'12 - Device_Configuration'!BA134)</f>
        <v/>
      </c>
      <c r="W134" s="29" t="str">
        <f>IF('12 - Device_Configuration'!BC134="","",'12 - Device_Configuration'!BC134)</f>
        <v/>
      </c>
      <c r="X134" s="29" t="str">
        <f>IF('12 - Device_Configuration'!BK134="","",'12 - Device_Configuration'!BK134)</f>
        <v/>
      </c>
      <c r="Y134" s="29" t="str">
        <f>IF('12 - Device_Configuration'!BB134="","",'12 - Device_Configuration'!BB134)</f>
        <v/>
      </c>
      <c r="Z134" s="29" t="str">
        <f>IF('12 - Device_Configuration'!P134="","",'12 - Device_Configuration'!P134)</f>
        <v/>
      </c>
      <c r="AA134" s="29" t="str">
        <f>IF('12 - Device_Configuration'!Q134="","",'12 - Device_Configuration'!Q134)</f>
        <v/>
      </c>
    </row>
    <row r="135" spans="1:27">
      <c r="A135" s="30"/>
      <c r="B135" s="30"/>
      <c r="C135" s="29" t="str">
        <f>IF('12 - Device_Configuration'!H135="","",'12 - Device_Configuration'!H135)</f>
        <v>LIJ - OR</v>
      </c>
      <c r="D135" s="29" t="str">
        <f>IF('12 - Device_Configuration'!AE135="","",'12 - Device_Configuration'!AE135)</f>
        <v/>
      </c>
      <c r="E135" s="29" t="str">
        <f>IF('12 - Device_Configuration'!AF135="","",'12 - Device_Configuration'!AF135)</f>
        <v/>
      </c>
      <c r="F135" s="29" t="str">
        <f>IF('12 - Device_Configuration'!AG135="","",'12 - Device_Configuration'!AG135)</f>
        <v/>
      </c>
      <c r="G135" s="29" t="str">
        <f>IF('12 - Device_Configuration'!AH135="","",'12 - Device_Configuration'!AH135)</f>
        <v/>
      </c>
      <c r="H135" s="29" t="str">
        <f>IF('12 - Device_Configuration'!A135="","",'12 - Device_Configuration'!A135)</f>
        <v>Cybernet</v>
      </c>
      <c r="I135" s="29" t="str">
        <f>IF('12 - Device_Configuration'!AI135="","",'12 - Device_Configuration'!AI135)</f>
        <v/>
      </c>
      <c r="J135" s="29" t="str">
        <f>IF('12 - Device_Configuration'!AJ135="","",'12 - Device_Configuration'!AJ135)</f>
        <v/>
      </c>
      <c r="K135" s="29" t="str">
        <f>IF('12 - Device_Configuration'!AA135="","",'12 - Device_Configuration'!AA135)</f>
        <v/>
      </c>
      <c r="L135" s="29" t="str">
        <f>IF('12 - Device_Configuration'!I135="","",'12 - Device_Configuration'!I135)</f>
        <v/>
      </c>
      <c r="M135" s="30"/>
      <c r="N135" s="29" t="str">
        <f>IF('12 - Device_Configuration'!J135="","",'12 - Device_Configuration'!J135)</f>
        <v>Yes</v>
      </c>
      <c r="O135" s="29" t="str">
        <f>IF('12 - Device_Configuration'!K135="","",'12 - Device_Configuration'!K135)</f>
        <v>No</v>
      </c>
      <c r="P135" s="29" t="str">
        <f>IF('12 - Device_Configuration'!L135="","",'12 - Device_Configuration'!L135)</f>
        <v>No</v>
      </c>
      <c r="Q135" s="30"/>
      <c r="R135" s="29" t="str">
        <f>IF('12 - Device_Configuration'!AY135="","",'12 - Device_Configuration'!AY135)</f>
        <v/>
      </c>
      <c r="S135" s="29" t="str">
        <f>IF('12 - Device_Configuration'!AX135="","",'12 - Device_Configuration'!AX135)</f>
        <v/>
      </c>
      <c r="T135" s="29" t="str">
        <f>IF('12 - Device_Configuration'!AV135="","",'12 - Device_Configuration'!AV135)</f>
        <v/>
      </c>
      <c r="U135" s="29" t="str">
        <f>IF('12 - Device_Configuration'!AW135="","",'12 - Device_Configuration'!AW135)</f>
        <v/>
      </c>
      <c r="V135" s="29" t="str">
        <f>IF('12 - Device_Configuration'!BA135="","",'12 - Device_Configuration'!BA135)</f>
        <v/>
      </c>
      <c r="W135" s="29" t="str">
        <f>IF('12 - Device_Configuration'!BC135="","",'12 - Device_Configuration'!BC135)</f>
        <v/>
      </c>
      <c r="X135" s="29" t="str">
        <f>IF('12 - Device_Configuration'!BK135="","",'12 - Device_Configuration'!BK135)</f>
        <v/>
      </c>
      <c r="Y135" s="29" t="str">
        <f>IF('12 - Device_Configuration'!BB135="","",'12 - Device_Configuration'!BB135)</f>
        <v/>
      </c>
      <c r="Z135" s="29" t="str">
        <f>IF('12 - Device_Configuration'!P135="","",'12 - Device_Configuration'!P135)</f>
        <v/>
      </c>
      <c r="AA135" s="29" t="str">
        <f>IF('12 - Device_Configuration'!Q135="","",'12 - Device_Configuration'!Q135)</f>
        <v/>
      </c>
    </row>
    <row r="136" spans="1:27">
      <c r="A136" s="30"/>
      <c r="B136" s="30"/>
      <c r="C136" s="29" t="str">
        <f>IF('12 - Device_Configuration'!H136="","",'12 - Device_Configuration'!H136)</f>
        <v>LIJ - OR</v>
      </c>
      <c r="D136" s="29" t="str">
        <f>IF('12 - Device_Configuration'!AE136="","",'12 - Device_Configuration'!AE136)</f>
        <v/>
      </c>
      <c r="E136" s="29" t="str">
        <f>IF('12 - Device_Configuration'!AF136="","",'12 - Device_Configuration'!AF136)</f>
        <v/>
      </c>
      <c r="F136" s="29" t="str">
        <f>IF('12 - Device_Configuration'!AG136="","",'12 - Device_Configuration'!AG136)</f>
        <v/>
      </c>
      <c r="G136" s="29" t="str">
        <f>IF('12 - Device_Configuration'!AH136="","",'12 - Device_Configuration'!AH136)</f>
        <v/>
      </c>
      <c r="H136" s="29" t="str">
        <f>IF('12 - Device_Configuration'!A136="","",'12 - Device_Configuration'!A136)</f>
        <v>Cybernet</v>
      </c>
      <c r="I136" s="29" t="str">
        <f>IF('12 - Device_Configuration'!AI136="","",'12 - Device_Configuration'!AI136)</f>
        <v/>
      </c>
      <c r="J136" s="29" t="str">
        <f>IF('12 - Device_Configuration'!AJ136="","",'12 - Device_Configuration'!AJ136)</f>
        <v/>
      </c>
      <c r="K136" s="29" t="str">
        <f>IF('12 - Device_Configuration'!AA136="","",'12 - Device_Configuration'!AA136)</f>
        <v/>
      </c>
      <c r="L136" s="29" t="str">
        <f>IF('12 - Device_Configuration'!I136="","",'12 - Device_Configuration'!I136)</f>
        <v/>
      </c>
      <c r="M136" s="30"/>
      <c r="N136" s="29" t="str">
        <f>IF('12 - Device_Configuration'!J136="","",'12 - Device_Configuration'!J136)</f>
        <v>Yes</v>
      </c>
      <c r="O136" s="29" t="str">
        <f>IF('12 - Device_Configuration'!K136="","",'12 - Device_Configuration'!K136)</f>
        <v>No</v>
      </c>
      <c r="P136" s="29" t="str">
        <f>IF('12 - Device_Configuration'!L136="","",'12 - Device_Configuration'!L136)</f>
        <v>No</v>
      </c>
      <c r="Q136" s="30"/>
      <c r="R136" s="29" t="str">
        <f>IF('12 - Device_Configuration'!AY136="","",'12 - Device_Configuration'!AY136)</f>
        <v/>
      </c>
      <c r="S136" s="29" t="str">
        <f>IF('12 - Device_Configuration'!AX136="","",'12 - Device_Configuration'!AX136)</f>
        <v/>
      </c>
      <c r="T136" s="29" t="str">
        <f>IF('12 - Device_Configuration'!AV136="","",'12 - Device_Configuration'!AV136)</f>
        <v/>
      </c>
      <c r="U136" s="29" t="str">
        <f>IF('12 - Device_Configuration'!AW136="","",'12 - Device_Configuration'!AW136)</f>
        <v/>
      </c>
      <c r="V136" s="29" t="str">
        <f>IF('12 - Device_Configuration'!BA136="","",'12 - Device_Configuration'!BA136)</f>
        <v/>
      </c>
      <c r="W136" s="29" t="str">
        <f>IF('12 - Device_Configuration'!BC136="","",'12 - Device_Configuration'!BC136)</f>
        <v/>
      </c>
      <c r="X136" s="29" t="str">
        <f>IF('12 - Device_Configuration'!BK136="","",'12 - Device_Configuration'!BK136)</f>
        <v/>
      </c>
      <c r="Y136" s="29" t="str">
        <f>IF('12 - Device_Configuration'!BB136="","",'12 - Device_Configuration'!BB136)</f>
        <v/>
      </c>
      <c r="Z136" s="29" t="str">
        <f>IF('12 - Device_Configuration'!P136="","",'12 - Device_Configuration'!P136)</f>
        <v/>
      </c>
      <c r="AA136" s="29" t="str">
        <f>IF('12 - Device_Configuration'!Q136="","",'12 - Device_Configuration'!Q136)</f>
        <v/>
      </c>
    </row>
    <row r="137" spans="1:27">
      <c r="A137" s="30"/>
      <c r="B137" s="30"/>
      <c r="C137" s="29" t="str">
        <f>IF('12 - Device_Configuration'!H137="","",'12 - Device_Configuration'!H137)</f>
        <v>LIJ - OR</v>
      </c>
      <c r="D137" s="29" t="str">
        <f>IF('12 - Device_Configuration'!AE137="","",'12 - Device_Configuration'!AE137)</f>
        <v/>
      </c>
      <c r="E137" s="29" t="str">
        <f>IF('12 - Device_Configuration'!AF137="","",'12 - Device_Configuration'!AF137)</f>
        <v/>
      </c>
      <c r="F137" s="29" t="str">
        <f>IF('12 - Device_Configuration'!AG137="","",'12 - Device_Configuration'!AG137)</f>
        <v/>
      </c>
      <c r="G137" s="29" t="str">
        <f>IF('12 - Device_Configuration'!AH137="","",'12 - Device_Configuration'!AH137)</f>
        <v/>
      </c>
      <c r="H137" s="29" t="str">
        <f>IF('12 - Device_Configuration'!A137="","",'12 - Device_Configuration'!A137)</f>
        <v>Cybernet</v>
      </c>
      <c r="I137" s="29" t="str">
        <f>IF('12 - Device_Configuration'!AI137="","",'12 - Device_Configuration'!AI137)</f>
        <v/>
      </c>
      <c r="J137" s="29" t="str">
        <f>IF('12 - Device_Configuration'!AJ137="","",'12 - Device_Configuration'!AJ137)</f>
        <v/>
      </c>
      <c r="K137" s="29" t="str">
        <f>IF('12 - Device_Configuration'!AA137="","",'12 - Device_Configuration'!AA137)</f>
        <v/>
      </c>
      <c r="L137" s="29" t="str">
        <f>IF('12 - Device_Configuration'!I137="","",'12 - Device_Configuration'!I137)</f>
        <v/>
      </c>
      <c r="M137" s="30"/>
      <c r="N137" s="29" t="str">
        <f>IF('12 - Device_Configuration'!J137="","",'12 - Device_Configuration'!J137)</f>
        <v>Yes</v>
      </c>
      <c r="O137" s="29" t="str">
        <f>IF('12 - Device_Configuration'!K137="","",'12 - Device_Configuration'!K137)</f>
        <v>No</v>
      </c>
      <c r="P137" s="29" t="str">
        <f>IF('12 - Device_Configuration'!L137="","",'12 - Device_Configuration'!L137)</f>
        <v>No</v>
      </c>
      <c r="Q137" s="30"/>
      <c r="R137" s="29" t="str">
        <f>IF('12 - Device_Configuration'!AY137="","",'12 - Device_Configuration'!AY137)</f>
        <v/>
      </c>
      <c r="S137" s="29" t="str">
        <f>IF('12 - Device_Configuration'!AX137="","",'12 - Device_Configuration'!AX137)</f>
        <v/>
      </c>
      <c r="T137" s="29" t="str">
        <f>IF('12 - Device_Configuration'!AV137="","",'12 - Device_Configuration'!AV137)</f>
        <v/>
      </c>
      <c r="U137" s="29" t="str">
        <f>IF('12 - Device_Configuration'!AW137="","",'12 - Device_Configuration'!AW137)</f>
        <v/>
      </c>
      <c r="V137" s="29" t="str">
        <f>IF('12 - Device_Configuration'!BA137="","",'12 - Device_Configuration'!BA137)</f>
        <v/>
      </c>
      <c r="W137" s="29" t="str">
        <f>IF('12 - Device_Configuration'!BC137="","",'12 - Device_Configuration'!BC137)</f>
        <v/>
      </c>
      <c r="X137" s="29" t="str">
        <f>IF('12 - Device_Configuration'!BK137="","",'12 - Device_Configuration'!BK137)</f>
        <v/>
      </c>
      <c r="Y137" s="29" t="str">
        <f>IF('12 - Device_Configuration'!BB137="","",'12 - Device_Configuration'!BB137)</f>
        <v/>
      </c>
      <c r="Z137" s="29" t="str">
        <f>IF('12 - Device_Configuration'!P137="","",'12 - Device_Configuration'!P137)</f>
        <v/>
      </c>
      <c r="AA137" s="29" t="str">
        <f>IF('12 - Device_Configuration'!Q137="","",'12 - Device_Configuration'!Q137)</f>
        <v/>
      </c>
    </row>
    <row r="138" spans="1:27">
      <c r="A138" s="30"/>
      <c r="B138" s="30"/>
      <c r="C138" s="29" t="str">
        <f>IF('12 - Device_Configuration'!H139="","",'12 - Device_Configuration'!H139)</f>
        <v>LIJVS</v>
      </c>
      <c r="D138" s="29" t="str">
        <f>IF('12 - Device_Configuration'!AE139="","",'12 - Device_Configuration'!AE139)</f>
        <v>Endoscopy Suite</v>
      </c>
      <c r="E138" s="29" t="str">
        <f>IF('12 - Device_Configuration'!AF139="","",'12 - Device_Configuration'!AF139)</f>
        <v>1-C-2</v>
      </c>
      <c r="F138" s="29" t="str">
        <f>IF('12 - Device_Configuration'!AG139="","",'12 - Device_Configuration'!AG139)</f>
        <v/>
      </c>
      <c r="G138" s="29" t="str">
        <f>IF('12 - Device_Configuration'!AH139="","",'12 - Device_Configuration'!AH139)</f>
        <v/>
      </c>
      <c r="H138" s="29" t="str">
        <f>IF('12 - Device_Configuration'!A139="","",'12 - Device_Configuration'!A139)</f>
        <v>Peripherals</v>
      </c>
      <c r="I138" s="29" t="str">
        <f>IF('12 - Device_Configuration'!AI139="","",'12 - Device_Configuration'!AI139)</f>
        <v>Mindray A5 - EJ-57023077</v>
      </c>
      <c r="J138" s="29" t="str">
        <f>IF('12 - Device_Configuration'!AJ139="","",'12 - Device_Configuration'!AJ139)</f>
        <v/>
      </c>
      <c r="K138" s="29" t="str">
        <f>IF('12 - Device_Configuration'!AA139="","",'12 - Device_Configuration'!AA139)</f>
        <v>Anesthesia Machine</v>
      </c>
      <c r="L138" s="29" t="str">
        <f>IF('12 - Device_Configuration'!I139="","",'12 - Device_Configuration'!I139)</f>
        <v/>
      </c>
      <c r="M138" s="30"/>
      <c r="N138" s="29" t="str">
        <f>IF('12 - Device_Configuration'!J139="","",'12 - Device_Configuration'!J139)</f>
        <v/>
      </c>
      <c r="O138" s="29" t="str">
        <f>IF('12 - Device_Configuration'!K139="","",'12 - Device_Configuration'!K139)</f>
        <v/>
      </c>
      <c r="P138" s="29" t="str">
        <f>IF('12 - Device_Configuration'!L139="","",'12 - Device_Configuration'!L139)</f>
        <v/>
      </c>
      <c r="Q138" s="30"/>
      <c r="R138" s="29" t="str">
        <f>IF('12 - Device_Configuration'!AY139="","",'12 - Device_Configuration'!AY139)</f>
        <v/>
      </c>
      <c r="S138" s="29" t="str">
        <f>IF('12 - Device_Configuration'!AX139="","",'12 - Device_Configuration'!AX139)</f>
        <v/>
      </c>
      <c r="T138" s="29" t="str">
        <f>IF('12 - Device_Configuration'!AV139="","",'12 - Device_Configuration'!AV139)</f>
        <v/>
      </c>
      <c r="U138" s="29" t="str">
        <f>IF('12 - Device_Configuration'!AW139="","",'12 - Device_Configuration'!AW139)</f>
        <v/>
      </c>
      <c r="V138" s="29" t="str">
        <f>IF('12 - Device_Configuration'!BA139="","",'12 - Device_Configuration'!BA139)</f>
        <v>Yes</v>
      </c>
      <c r="W138" s="29" t="str">
        <f>IF('12 - Device_Configuration'!BC139="","",'12 - Device_Configuration'!BC139)</f>
        <v/>
      </c>
      <c r="X138" s="29" t="str">
        <f>IF('12 - Device_Configuration'!BK139="","",'12 - Device_Configuration'!BK139)</f>
        <v>Power Cable, Battery, Firmware Download, Device ID, Epic Beans Relay</v>
      </c>
      <c r="Y138" s="29" t="str">
        <f>IF('12 - Device_Configuration'!BB139="","",'12 - Device_Configuration'!BB139)</f>
        <v>ran AL</v>
      </c>
      <c r="Z138" s="29" t="str">
        <f>IF('12 - Device_Configuration'!P139="","",'12 - Device_Configuration'!P139)</f>
        <v/>
      </c>
      <c r="AA138" s="29" t="str">
        <f>IF('12 - Device_Configuration'!Q139="","",'12 - Device_Configuration'!Q139)</f>
        <v/>
      </c>
    </row>
    <row r="139" spans="1:27">
      <c r="A139" s="30"/>
      <c r="B139" s="30"/>
      <c r="C139" s="29" t="str">
        <f>IF('12 - Device_Configuration'!H140="","",'12 - Device_Configuration'!H140)</f>
        <v>LIJVS</v>
      </c>
      <c r="D139" s="29" t="str">
        <f>IF('12 - Device_Configuration'!AE140="","",'12 - Device_Configuration'!AE140)</f>
        <v>OR</v>
      </c>
      <c r="E139" s="29" t="str">
        <f>IF('12 - Device_Configuration'!AF140="","",'12 - Device_Configuration'!AF140)</f>
        <v>OR 7</v>
      </c>
      <c r="F139" s="29" t="str">
        <f>IF('12 - Device_Configuration'!AG140="","",'12 - Device_Configuration'!AG140)</f>
        <v/>
      </c>
      <c r="G139" s="29" t="str">
        <f>IF('12 - Device_Configuration'!AH140="","",'12 - Device_Configuration'!AH140)</f>
        <v/>
      </c>
      <c r="H139" s="29" t="str">
        <f>IF('12 - Device_Configuration'!A140="","",'12 - Device_Configuration'!A140)</f>
        <v>Peripherals</v>
      </c>
      <c r="I139" s="29" t="str">
        <f>IF('12 - Device_Configuration'!AI140="","",'12 - Device_Configuration'!AI140)</f>
        <v>Drager Apollo</v>
      </c>
      <c r="J139" s="29" t="str">
        <f>IF('12 - Device_Configuration'!AJ140="","",'12 - Device_Configuration'!AJ140)</f>
        <v/>
      </c>
      <c r="K139" s="29" t="str">
        <f>IF('12 - Device_Configuration'!AA140="","",'12 - Device_Configuration'!AA140)</f>
        <v>Anesthesia Machine</v>
      </c>
      <c r="L139" s="29" t="str">
        <f>IF('12 - Device_Configuration'!I140="","",'12 - Device_Configuration'!I140)</f>
        <v/>
      </c>
      <c r="M139" s="30"/>
      <c r="N139" s="29" t="str">
        <f>IF('12 - Device_Configuration'!J140="","",'12 - Device_Configuration'!J140)</f>
        <v/>
      </c>
      <c r="O139" s="29" t="str">
        <f>IF('12 - Device_Configuration'!K140="","",'12 - Device_Configuration'!K140)</f>
        <v/>
      </c>
      <c r="P139" s="29" t="str">
        <f>IF('12 - Device_Configuration'!L140="","",'12 - Device_Configuration'!L140)</f>
        <v/>
      </c>
      <c r="Q139" s="30"/>
      <c r="R139" s="29" t="str">
        <f>IF('12 - Device_Configuration'!AY140="","",'12 - Device_Configuration'!AY140)</f>
        <v/>
      </c>
      <c r="S139" s="29" t="str">
        <f>IF('12 - Device_Configuration'!AX140="","",'12 - Device_Configuration'!AX140)</f>
        <v/>
      </c>
      <c r="T139" s="29" t="str">
        <f>IF('12 - Device_Configuration'!AV140="","",'12 - Device_Configuration'!AV140)</f>
        <v/>
      </c>
      <c r="U139" s="29" t="str">
        <f>IF('12 - Device_Configuration'!AW140="","",'12 - Device_Configuration'!AW140)</f>
        <v/>
      </c>
      <c r="V139" s="29" t="str">
        <f>IF('12 - Device_Configuration'!BA140="","",'12 - Device_Configuration'!BA140)</f>
        <v>Yes</v>
      </c>
      <c r="W139" s="29" t="str">
        <f>IF('12 - Device_Configuration'!BC140="","",'12 - Device_Configuration'!BC140)</f>
        <v/>
      </c>
      <c r="X139" s="29" t="str">
        <f>IF('12 - Device_Configuration'!BK140="","",'12 - Device_Configuration'!BK140)</f>
        <v>Power Cable, Battery, Firmware Download, Device ID, Epic Beans Relay</v>
      </c>
      <c r="Y139" s="29" t="str">
        <f>IF('12 - Device_Configuration'!BB140="","",'12 - Device_Configuration'!BB140)</f>
        <v>ran AL</v>
      </c>
      <c r="Z139" s="29" t="str">
        <f>IF('12 - Device_Configuration'!P140="","",'12 - Device_Configuration'!P140)</f>
        <v/>
      </c>
      <c r="AA139" s="29" t="str">
        <f>IF('12 - Device_Configuration'!Q140="","",'12 - Device_Configuration'!Q140)</f>
        <v/>
      </c>
    </row>
    <row r="140" spans="1:27">
      <c r="A140" s="30"/>
      <c r="B140" s="30"/>
      <c r="C140" s="29" t="str">
        <f>IF('12 - Device_Configuration'!H141="","",'12 - Device_Configuration'!H141)</f>
        <v>LIJVS</v>
      </c>
      <c r="D140" s="29" t="str">
        <f>IF('12 - Device_Configuration'!AE141="","",'12 - Device_Configuration'!AE141)</f>
        <v>OR</v>
      </c>
      <c r="E140" s="29" t="str">
        <f>IF('12 - Device_Configuration'!AF141="","",'12 - Device_Configuration'!AF141)</f>
        <v>OR 1</v>
      </c>
      <c r="F140" s="29" t="str">
        <f>IF('12 - Device_Configuration'!AG141="","",'12 - Device_Configuration'!AG141)</f>
        <v/>
      </c>
      <c r="G140" s="29" t="str">
        <f>IF('12 - Device_Configuration'!AH141="","",'12 - Device_Configuration'!AH141)</f>
        <v/>
      </c>
      <c r="H140" s="29" t="str">
        <f>IF('12 - Device_Configuration'!A141="","",'12 - Device_Configuration'!A141)</f>
        <v>Peripherals</v>
      </c>
      <c r="I140" s="29" t="str">
        <f>IF('12 - Device_Configuration'!AI141="","",'12 - Device_Configuration'!AI141)</f>
        <v>Drager Apollo</v>
      </c>
      <c r="J140" s="29" t="str">
        <f>IF('12 - Device_Configuration'!AJ141="","",'12 - Device_Configuration'!AJ141)</f>
        <v/>
      </c>
      <c r="K140" s="29" t="str">
        <f>IF('12 - Device_Configuration'!AA141="","",'12 - Device_Configuration'!AA141)</f>
        <v>Anesthesia Machine</v>
      </c>
      <c r="L140" s="29" t="str">
        <f>IF('12 - Device_Configuration'!I141="","",'12 - Device_Configuration'!I141)</f>
        <v/>
      </c>
      <c r="M140" s="30"/>
      <c r="N140" s="29" t="str">
        <f>IF('12 - Device_Configuration'!J141="","",'12 - Device_Configuration'!J141)</f>
        <v/>
      </c>
      <c r="O140" s="29" t="str">
        <f>IF('12 - Device_Configuration'!K141="","",'12 - Device_Configuration'!K141)</f>
        <v/>
      </c>
      <c r="P140" s="29" t="str">
        <f>IF('12 - Device_Configuration'!L141="","",'12 - Device_Configuration'!L141)</f>
        <v/>
      </c>
      <c r="Q140" s="30"/>
      <c r="R140" s="29" t="str">
        <f>IF('12 - Device_Configuration'!AY141="","",'12 - Device_Configuration'!AY141)</f>
        <v/>
      </c>
      <c r="S140" s="29" t="str">
        <f>IF('12 - Device_Configuration'!AX141="","",'12 - Device_Configuration'!AX141)</f>
        <v/>
      </c>
      <c r="T140" s="29" t="str">
        <f>IF('12 - Device_Configuration'!AV141="","",'12 - Device_Configuration'!AV141)</f>
        <v/>
      </c>
      <c r="U140" s="29" t="str">
        <f>IF('12 - Device_Configuration'!AW141="","",'12 - Device_Configuration'!AW141)</f>
        <v/>
      </c>
      <c r="V140" s="29" t="str">
        <f>IF('12 - Device_Configuration'!BA141="","",'12 - Device_Configuration'!BA141)</f>
        <v>Yes</v>
      </c>
      <c r="W140" s="29" t="str">
        <f>IF('12 - Device_Configuration'!BC141="","",'12 - Device_Configuration'!BC141)</f>
        <v/>
      </c>
      <c r="X140" s="29" t="str">
        <f>IF('12 - Device_Configuration'!BK141="","",'12 - Device_Configuration'!BK141)</f>
        <v>Power Cable, Battery, Firmware Download, Device ID, Epic Beans Relay</v>
      </c>
      <c r="Y140" s="29" t="str">
        <f>IF('12 - Device_Configuration'!BB141="","",'12 - Device_Configuration'!BB141)</f>
        <v>ALREADY HAD A BADGE SCANNER INSTALLED / RAN AL</v>
      </c>
      <c r="Z140" s="29" t="str">
        <f>IF('12 - Device_Configuration'!P141="","",'12 - Device_Configuration'!P141)</f>
        <v/>
      </c>
      <c r="AA140" s="29" t="str">
        <f>IF('12 - Device_Configuration'!Q141="","",'12 - Device_Configuration'!Q141)</f>
        <v/>
      </c>
    </row>
    <row r="141" spans="1:27">
      <c r="A141" s="30"/>
      <c r="B141" s="30"/>
      <c r="C141" s="29" t="str">
        <f>IF('12 - Device_Configuration'!H142="","",'12 - Device_Configuration'!H142)</f>
        <v>LIJVS</v>
      </c>
      <c r="D141" s="29" t="str">
        <f>IF('12 - Device_Configuration'!AE142="","",'12 - Device_Configuration'!AE142)</f>
        <v>OR</v>
      </c>
      <c r="E141" s="29" t="str">
        <f>IF('12 - Device_Configuration'!AF142="","",'12 - Device_Configuration'!AF142)</f>
        <v>OR 2</v>
      </c>
      <c r="F141" s="29" t="str">
        <f>IF('12 - Device_Configuration'!AG142="","",'12 - Device_Configuration'!AG142)</f>
        <v/>
      </c>
      <c r="G141" s="29" t="str">
        <f>IF('12 - Device_Configuration'!AH142="","",'12 - Device_Configuration'!AH142)</f>
        <v/>
      </c>
      <c r="H141" s="29" t="str">
        <f>IF('12 - Device_Configuration'!A142="","",'12 - Device_Configuration'!A142)</f>
        <v>Peripherals</v>
      </c>
      <c r="I141" s="29" t="str">
        <f>IF('12 - Device_Configuration'!AI142="","",'12 - Device_Configuration'!AI142)</f>
        <v>Drager Atlan</v>
      </c>
      <c r="J141" s="29" t="str">
        <f>IF('12 - Device_Configuration'!AJ142="","",'12 - Device_Configuration'!AJ142)</f>
        <v/>
      </c>
      <c r="K141" s="29" t="str">
        <f>IF('12 - Device_Configuration'!AA142="","",'12 - Device_Configuration'!AA142)</f>
        <v>Anesthesia Machine</v>
      </c>
      <c r="L141" s="29" t="str">
        <f>IF('12 - Device_Configuration'!I142="","",'12 - Device_Configuration'!I142)</f>
        <v/>
      </c>
      <c r="M141" s="30"/>
      <c r="N141" s="29" t="str">
        <f>IF('12 - Device_Configuration'!J142="","",'12 - Device_Configuration'!J142)</f>
        <v/>
      </c>
      <c r="O141" s="29" t="str">
        <f>IF('12 - Device_Configuration'!K142="","",'12 - Device_Configuration'!K142)</f>
        <v/>
      </c>
      <c r="P141" s="29" t="str">
        <f>IF('12 - Device_Configuration'!L142="","",'12 - Device_Configuration'!L142)</f>
        <v/>
      </c>
      <c r="Q141" s="30"/>
      <c r="R141" s="29" t="str">
        <f>IF('12 - Device_Configuration'!AY142="","",'12 - Device_Configuration'!AY142)</f>
        <v/>
      </c>
      <c r="S141" s="29" t="str">
        <f>IF('12 - Device_Configuration'!AX142="","",'12 - Device_Configuration'!AX142)</f>
        <v/>
      </c>
      <c r="T141" s="29" t="str">
        <f>IF('12 - Device_Configuration'!AV142="","",'12 - Device_Configuration'!AV142)</f>
        <v/>
      </c>
      <c r="U141" s="29" t="str">
        <f>IF('12 - Device_Configuration'!AW142="","",'12 - Device_Configuration'!AW142)</f>
        <v/>
      </c>
      <c r="V141" s="29" t="str">
        <f>IF('12 - Device_Configuration'!BA142="","",'12 - Device_Configuration'!BA142)</f>
        <v>Yes</v>
      </c>
      <c r="W141" s="29" t="str">
        <f>IF('12 - Device_Configuration'!BC142="","",'12 - Device_Configuration'!BC142)</f>
        <v/>
      </c>
      <c r="X141" s="29" t="str">
        <f>IF('12 - Device_Configuration'!BK142="","",'12 - Device_Configuration'!BK142)</f>
        <v>Power Cable, Battery, Firmware Download, Device ID, Epic Beans Relay</v>
      </c>
      <c r="Y141" s="29" t="str">
        <f>IF('12 - Device_Configuration'!BB142="","",'12 - Device_Configuration'!BB142)</f>
        <v>ALREADY HAD A BADGE SCANNER INSTALLED / imprivata installed, so cant run  AL / DIDNT PROGRAM SCANNER</v>
      </c>
      <c r="Z141" s="29" t="str">
        <f>IF('12 - Device_Configuration'!P142="","",'12 - Device_Configuration'!P142)</f>
        <v/>
      </c>
      <c r="AA141" s="29" t="str">
        <f>IF('12 - Device_Configuration'!Q142="","",'12 - Device_Configuration'!Q142)</f>
        <v/>
      </c>
    </row>
    <row r="142" spans="1:27">
      <c r="A142" s="30"/>
      <c r="B142" s="30"/>
      <c r="C142" s="29" t="str">
        <f>IF('12 - Device_Configuration'!H143="","",'12 - Device_Configuration'!H143)</f>
        <v>LIJVS</v>
      </c>
      <c r="D142" s="29" t="str">
        <f>IF('12 - Device_Configuration'!AE143="","",'12 - Device_Configuration'!AE143)</f>
        <v>OR</v>
      </c>
      <c r="E142" s="29" t="str">
        <f>IF('12 - Device_Configuration'!AF143="","",'12 - Device_Configuration'!AF143)</f>
        <v>OR 5</v>
      </c>
      <c r="F142" s="29" t="str">
        <f>IF('12 - Device_Configuration'!AG143="","",'12 - Device_Configuration'!AG143)</f>
        <v/>
      </c>
      <c r="G142" s="29" t="str">
        <f>IF('12 - Device_Configuration'!AH143="","",'12 - Device_Configuration'!AH143)</f>
        <v/>
      </c>
      <c r="H142" s="29" t="str">
        <f>IF('12 - Device_Configuration'!A143="","",'12 - Device_Configuration'!A143)</f>
        <v>Peripherals</v>
      </c>
      <c r="I142" s="29" t="str">
        <f>IF('12 - Device_Configuration'!AI143="","",'12 - Device_Configuration'!AI143)</f>
        <v>Drager Atlan</v>
      </c>
      <c r="J142" s="29" t="str">
        <f>IF('12 - Device_Configuration'!AJ143="","",'12 - Device_Configuration'!AJ143)</f>
        <v/>
      </c>
      <c r="K142" s="29" t="str">
        <f>IF('12 - Device_Configuration'!AA143="","",'12 - Device_Configuration'!AA143)</f>
        <v>Anesthesia Machine</v>
      </c>
      <c r="L142" s="29" t="str">
        <f>IF('12 - Device_Configuration'!I143="","",'12 - Device_Configuration'!I143)</f>
        <v/>
      </c>
      <c r="M142" s="30"/>
      <c r="N142" s="29" t="str">
        <f>IF('12 - Device_Configuration'!J143="","",'12 - Device_Configuration'!J143)</f>
        <v/>
      </c>
      <c r="O142" s="29" t="str">
        <f>IF('12 - Device_Configuration'!K143="","",'12 - Device_Configuration'!K143)</f>
        <v/>
      </c>
      <c r="P142" s="29" t="str">
        <f>IF('12 - Device_Configuration'!L143="","",'12 - Device_Configuration'!L143)</f>
        <v/>
      </c>
      <c r="Q142" s="30"/>
      <c r="R142" s="29" t="str">
        <f>IF('12 - Device_Configuration'!AY143="","",'12 - Device_Configuration'!AY143)</f>
        <v/>
      </c>
      <c r="S142" s="29" t="str">
        <f>IF('12 - Device_Configuration'!AX143="","",'12 - Device_Configuration'!AX143)</f>
        <v/>
      </c>
      <c r="T142" s="29" t="str">
        <f>IF('12 - Device_Configuration'!AV143="","",'12 - Device_Configuration'!AV143)</f>
        <v/>
      </c>
      <c r="U142" s="29" t="str">
        <f>IF('12 - Device_Configuration'!AW143="","",'12 - Device_Configuration'!AW143)</f>
        <v/>
      </c>
      <c r="V142" s="29" t="str">
        <f>IF('12 - Device_Configuration'!BA143="","",'12 - Device_Configuration'!BA143)</f>
        <v>Yes</v>
      </c>
      <c r="W142" s="29" t="str">
        <f>IF('12 - Device_Configuration'!BC143="","",'12 - Device_Configuration'!BC143)</f>
        <v/>
      </c>
      <c r="X142" s="29" t="str">
        <f>IF('12 - Device_Configuration'!BK143="","",'12 - Device_Configuration'!BK143)</f>
        <v>Power Cable, Battery, Firmware Download, Device ID, Epic Beans Relay</v>
      </c>
      <c r="Y142" s="29" t="str">
        <f>IF('12 - Device_Configuration'!BB143="","",'12 - Device_Configuration'!BB143)</f>
        <v>RAN AL / DIDNT PROGRAM SCANNER</v>
      </c>
      <c r="Z142" s="29" t="str">
        <f>IF('12 - Device_Configuration'!P143="","",'12 - Device_Configuration'!P143)</f>
        <v/>
      </c>
      <c r="AA142" s="29" t="str">
        <f>IF('12 - Device_Configuration'!Q143="","",'12 - Device_Configuration'!Q143)</f>
        <v/>
      </c>
    </row>
    <row r="143" spans="1:27">
      <c r="A143" s="30"/>
      <c r="B143" s="30"/>
      <c r="C143" s="29" t="str">
        <f>IF('12 - Device_Configuration'!H144="","",'12 - Device_Configuration'!H144)</f>
        <v>LIJVS</v>
      </c>
      <c r="D143" s="29" t="str">
        <f>IF('12 - Device_Configuration'!AE144="","",'12 - Device_Configuration'!AE144)</f>
        <v>OR</v>
      </c>
      <c r="E143" s="29" t="str">
        <f>IF('12 - Device_Configuration'!AF144="","",'12 - Device_Configuration'!AF144)</f>
        <v>OR 6</v>
      </c>
      <c r="F143" s="29" t="str">
        <f>IF('12 - Device_Configuration'!AG144="","",'12 - Device_Configuration'!AG144)</f>
        <v/>
      </c>
      <c r="G143" s="29" t="str">
        <f>IF('12 - Device_Configuration'!AH144="","",'12 - Device_Configuration'!AH144)</f>
        <v/>
      </c>
      <c r="H143" s="29" t="str">
        <f>IF('12 - Device_Configuration'!A144="","",'12 - Device_Configuration'!A144)</f>
        <v>Peripherals</v>
      </c>
      <c r="I143" s="29" t="str">
        <f>IF('12 - Device_Configuration'!AI144="","",'12 - Device_Configuration'!AI144)</f>
        <v>MINDRAY A5</v>
      </c>
      <c r="J143" s="29" t="str">
        <f>IF('12 - Device_Configuration'!AJ144="","",'12 - Device_Configuration'!AJ144)</f>
        <v/>
      </c>
      <c r="K143" s="29" t="str">
        <f>IF('12 - Device_Configuration'!AA144="","",'12 - Device_Configuration'!AA144)</f>
        <v>Anesthesia Machine</v>
      </c>
      <c r="L143" s="29" t="str">
        <f>IF('12 - Device_Configuration'!I144="","",'12 - Device_Configuration'!I144)</f>
        <v/>
      </c>
      <c r="M143" s="30"/>
      <c r="N143" s="29" t="str">
        <f>IF('12 - Device_Configuration'!J144="","",'12 - Device_Configuration'!J144)</f>
        <v/>
      </c>
      <c r="O143" s="29" t="str">
        <f>IF('12 - Device_Configuration'!K144="","",'12 - Device_Configuration'!K144)</f>
        <v/>
      </c>
      <c r="P143" s="29" t="str">
        <f>IF('12 - Device_Configuration'!L144="","",'12 - Device_Configuration'!L144)</f>
        <v/>
      </c>
      <c r="Q143" s="30"/>
      <c r="R143" s="29" t="str">
        <f>IF('12 - Device_Configuration'!AY144="","",'12 - Device_Configuration'!AY144)</f>
        <v/>
      </c>
      <c r="S143" s="29" t="str">
        <f>IF('12 - Device_Configuration'!AX144="","",'12 - Device_Configuration'!AX144)</f>
        <v/>
      </c>
      <c r="T143" s="29" t="str">
        <f>IF('12 - Device_Configuration'!AV144="","",'12 - Device_Configuration'!AV144)</f>
        <v/>
      </c>
      <c r="U143" s="29" t="str">
        <f>IF('12 - Device_Configuration'!AW144="","",'12 - Device_Configuration'!AW144)</f>
        <v/>
      </c>
      <c r="V143" s="29" t="str">
        <f>IF('12 - Device_Configuration'!BA144="","",'12 - Device_Configuration'!BA144)</f>
        <v>Yes</v>
      </c>
      <c r="W143" s="29" t="str">
        <f>IF('12 - Device_Configuration'!BC144="","",'12 - Device_Configuration'!BC144)</f>
        <v/>
      </c>
      <c r="X143" s="29" t="str">
        <f>IF('12 - Device_Configuration'!BK144="","",'12 - Device_Configuration'!BK144)</f>
        <v>Power Cable, Battery, Firmware Download, Device ID, Epic Beans Relay</v>
      </c>
      <c r="Y143" s="29" t="str">
        <f>IF('12 - Device_Configuration'!BB144="","",'12 - Device_Configuration'!BB144)</f>
        <v>ALREADY HAS BADGE SCANNER / SCANNER PROGRAMMED / RAN AL</v>
      </c>
      <c r="Z143" s="29" t="str">
        <f>IF('12 - Device_Configuration'!P144="","",'12 - Device_Configuration'!P144)</f>
        <v/>
      </c>
      <c r="AA143" s="29" t="str">
        <f>IF('12 - Device_Configuration'!Q144="","",'12 - Device_Configuration'!Q144)</f>
        <v/>
      </c>
    </row>
    <row r="144" spans="1:27">
      <c r="A144" s="30"/>
      <c r="B144" s="30"/>
      <c r="C144" s="29" t="str">
        <f>IF('12 - Device_Configuration'!H145="","",'12 - Device_Configuration'!H145)</f>
        <v>LIJVS</v>
      </c>
      <c r="D144" s="29" t="str">
        <f>IF('12 - Device_Configuration'!AE145="","",'12 - Device_Configuration'!AE145)</f>
        <v>OR</v>
      </c>
      <c r="E144" s="29" t="str">
        <f>IF('12 - Device_Configuration'!AF145="","",'12 - Device_Configuration'!AF145)</f>
        <v>OR 3</v>
      </c>
      <c r="F144" s="29" t="str">
        <f>IF('12 - Device_Configuration'!AG145="","",'12 - Device_Configuration'!AG145)</f>
        <v/>
      </c>
      <c r="G144" s="29" t="str">
        <f>IF('12 - Device_Configuration'!AH145="","",'12 - Device_Configuration'!AH145)</f>
        <v/>
      </c>
      <c r="H144" s="29" t="str">
        <f>IF('12 - Device_Configuration'!A145="","",'12 - Device_Configuration'!A145)</f>
        <v>Peripherals</v>
      </c>
      <c r="I144" s="29" t="str">
        <f>IF('12 - Device_Configuration'!AI145="","",'12 - Device_Configuration'!AI145)</f>
        <v>Drager Apollo</v>
      </c>
      <c r="J144" s="29" t="str">
        <f>IF('12 - Device_Configuration'!AJ145="","",'12 - Device_Configuration'!AJ145)</f>
        <v/>
      </c>
      <c r="K144" s="29" t="str">
        <f>IF('12 - Device_Configuration'!AA145="","",'12 - Device_Configuration'!AA145)</f>
        <v>Anesthesia Machine</v>
      </c>
      <c r="L144" s="29" t="str">
        <f>IF('12 - Device_Configuration'!I145="","",'12 - Device_Configuration'!I145)</f>
        <v/>
      </c>
      <c r="M144" s="30"/>
      <c r="N144" s="29" t="str">
        <f>IF('12 - Device_Configuration'!J145="","",'12 - Device_Configuration'!J145)</f>
        <v/>
      </c>
      <c r="O144" s="29" t="str">
        <f>IF('12 - Device_Configuration'!K145="","",'12 - Device_Configuration'!K145)</f>
        <v/>
      </c>
      <c r="P144" s="29" t="str">
        <f>IF('12 - Device_Configuration'!L145="","",'12 - Device_Configuration'!L145)</f>
        <v/>
      </c>
      <c r="Q144" s="30"/>
      <c r="R144" s="29" t="str">
        <f>IF('12 - Device_Configuration'!AY145="","",'12 - Device_Configuration'!AY145)</f>
        <v/>
      </c>
      <c r="S144" s="29" t="str">
        <f>IF('12 - Device_Configuration'!AX145="","",'12 - Device_Configuration'!AX145)</f>
        <v/>
      </c>
      <c r="T144" s="29" t="str">
        <f>IF('12 - Device_Configuration'!AV145="","",'12 - Device_Configuration'!AV145)</f>
        <v/>
      </c>
      <c r="U144" s="29" t="str">
        <f>IF('12 - Device_Configuration'!AW145="","",'12 - Device_Configuration'!AW145)</f>
        <v/>
      </c>
      <c r="V144" s="29" t="str">
        <f>IF('12 - Device_Configuration'!BA145="","",'12 - Device_Configuration'!BA145)</f>
        <v>Yes</v>
      </c>
      <c r="W144" s="29" t="str">
        <f>IF('12 - Device_Configuration'!BC145="","",'12 - Device_Configuration'!BC145)</f>
        <v/>
      </c>
      <c r="X144" s="29" t="str">
        <f>IF('12 - Device_Configuration'!BK145="","",'12 - Device_Configuration'!BK145)</f>
        <v>Power Cable, Battery, Firmware Download, Device ID, Epic Beans Relay</v>
      </c>
      <c r="Y144" s="29" t="str">
        <f>IF('12 - Device_Configuration'!BB145="","",'12 - Device_Configuration'!BB145)</f>
        <v>RAN AL / DIDNT PROGRAM SCANNER</v>
      </c>
      <c r="Z144" s="29" t="str">
        <f>IF('12 - Device_Configuration'!P145="","",'12 - Device_Configuration'!P145)</f>
        <v/>
      </c>
      <c r="AA144" s="29" t="str">
        <f>IF('12 - Device_Configuration'!Q145="","",'12 - Device_Configuration'!Q145)</f>
        <v/>
      </c>
    </row>
    <row r="145" spans="1:27">
      <c r="A145" s="30"/>
      <c r="B145" s="30"/>
      <c r="C145" s="29" t="str">
        <f>IF('12 - Device_Configuration'!H146="","",'12 - Device_Configuration'!H146)</f>
        <v>LIJVS</v>
      </c>
      <c r="D145" s="29" t="str">
        <f>IF('12 - Device_Configuration'!AE146="","",'12 - Device_Configuration'!AE146)</f>
        <v/>
      </c>
      <c r="E145" s="29" t="str">
        <f>IF('12 - Device_Configuration'!AF146="","",'12 - Device_Configuration'!AF146)</f>
        <v/>
      </c>
      <c r="F145" s="29" t="str">
        <f>IF('12 - Device_Configuration'!AG146="","",'12 - Device_Configuration'!AG146)</f>
        <v/>
      </c>
      <c r="G145" s="29" t="str">
        <f>IF('12 - Device_Configuration'!AH146="","",'12 - Device_Configuration'!AH146)</f>
        <v/>
      </c>
      <c r="H145" s="29" t="str">
        <f>IF('12 - Device_Configuration'!A146="","",'12 - Device_Configuration'!A146)</f>
        <v>Peripherals</v>
      </c>
      <c r="I145" s="29" t="str">
        <f>IF('12 - Device_Configuration'!AI146="","",'12 - Device_Configuration'!AI146)</f>
        <v/>
      </c>
      <c r="J145" s="29" t="str">
        <f>IF('12 - Device_Configuration'!AJ146="","",'12 - Device_Configuration'!AJ146)</f>
        <v/>
      </c>
      <c r="K145" s="29" t="str">
        <f>IF('12 - Device_Configuration'!AA146="","",'12 - Device_Configuration'!AA146)</f>
        <v>Anesthesia Machine</v>
      </c>
      <c r="L145" s="29" t="str">
        <f>IF('12 - Device_Configuration'!I146="","",'12 - Device_Configuration'!I146)</f>
        <v/>
      </c>
      <c r="M145" s="30"/>
      <c r="N145" s="29" t="str">
        <f>IF('12 - Device_Configuration'!J146="","",'12 - Device_Configuration'!J146)</f>
        <v/>
      </c>
      <c r="O145" s="29" t="str">
        <f>IF('12 - Device_Configuration'!K146="","",'12 - Device_Configuration'!K146)</f>
        <v/>
      </c>
      <c r="P145" s="29" t="str">
        <f>IF('12 - Device_Configuration'!L146="","",'12 - Device_Configuration'!L146)</f>
        <v/>
      </c>
      <c r="Q145" s="30"/>
      <c r="R145" s="29" t="str">
        <f>IF('12 - Device_Configuration'!AY146="","",'12 - Device_Configuration'!AY146)</f>
        <v/>
      </c>
      <c r="S145" s="29" t="str">
        <f>IF('12 - Device_Configuration'!AX146="","",'12 - Device_Configuration'!AX146)</f>
        <v/>
      </c>
      <c r="T145" s="29" t="str">
        <f>IF('12 - Device_Configuration'!AV146="","",'12 - Device_Configuration'!AV146)</f>
        <v/>
      </c>
      <c r="U145" s="29" t="str">
        <f>IF('12 - Device_Configuration'!AW146="","",'12 - Device_Configuration'!AW146)</f>
        <v/>
      </c>
      <c r="V145" s="29" t="str">
        <f>IF('12 - Device_Configuration'!BA146="","",'12 - Device_Configuration'!BA146)</f>
        <v>Yes</v>
      </c>
      <c r="W145" s="29" t="str">
        <f>IF('12 - Device_Configuration'!BC146="","",'12 - Device_Configuration'!BC146)</f>
        <v/>
      </c>
      <c r="X145" s="29" t="str">
        <f>IF('12 - Device_Configuration'!BK146="","",'12 - Device_Configuration'!BK146)</f>
        <v/>
      </c>
      <c r="Y145" s="29" t="str">
        <f>IF('12 - Device_Configuration'!BB146="","",'12 - Device_Configuration'!BB146)</f>
        <v/>
      </c>
      <c r="Z145" s="29" t="str">
        <f>IF('12 - Device_Configuration'!P146="","",'12 - Device_Configuration'!P146)</f>
        <v/>
      </c>
      <c r="AA145" s="29" t="str">
        <f>IF('12 - Device_Configuration'!Q146="","",'12 - Device_Configuration'!Q146)</f>
        <v/>
      </c>
    </row>
    <row r="146" spans="1:27">
      <c r="A146" s="30"/>
      <c r="B146" s="30"/>
      <c r="C146" s="29" t="str">
        <f>IF('12 - Device_Configuration'!H147="","",'12 - Device_Configuration'!H147)</f>
        <v>LIJVS</v>
      </c>
      <c r="D146" s="29" t="str">
        <f>IF('12 - Device_Configuration'!AE147="","",'12 - Device_Configuration'!AE147)</f>
        <v/>
      </c>
      <c r="E146" s="29" t="str">
        <f>IF('12 - Device_Configuration'!AF147="","",'12 - Device_Configuration'!AF147)</f>
        <v/>
      </c>
      <c r="F146" s="29" t="str">
        <f>IF('12 - Device_Configuration'!AG147="","",'12 - Device_Configuration'!AG147)</f>
        <v/>
      </c>
      <c r="G146" s="29" t="str">
        <f>IF('12 - Device_Configuration'!AH147="","",'12 - Device_Configuration'!AH147)</f>
        <v/>
      </c>
      <c r="H146" s="29" t="str">
        <f>IF('12 - Device_Configuration'!A147="","",'12 - Device_Configuration'!A147)</f>
        <v>Peripherals</v>
      </c>
      <c r="I146" s="29" t="str">
        <f>IF('12 - Device_Configuration'!AI147="","",'12 - Device_Configuration'!AI147)</f>
        <v/>
      </c>
      <c r="J146" s="29" t="str">
        <f>IF('12 - Device_Configuration'!AJ147="","",'12 - Device_Configuration'!AJ147)</f>
        <v/>
      </c>
      <c r="K146" s="29" t="str">
        <f>IF('12 - Device_Configuration'!AA147="","",'12 - Device_Configuration'!AA147)</f>
        <v>Anesthesia Machine</v>
      </c>
      <c r="L146" s="29" t="str">
        <f>IF('12 - Device_Configuration'!I147="","",'12 - Device_Configuration'!I147)</f>
        <v/>
      </c>
      <c r="M146" s="30"/>
      <c r="N146" s="29" t="str">
        <f>IF('12 - Device_Configuration'!J147="","",'12 - Device_Configuration'!J147)</f>
        <v/>
      </c>
      <c r="O146" s="29" t="str">
        <f>IF('12 - Device_Configuration'!K147="","",'12 - Device_Configuration'!K147)</f>
        <v/>
      </c>
      <c r="P146" s="29" t="str">
        <f>IF('12 - Device_Configuration'!L147="","",'12 - Device_Configuration'!L147)</f>
        <v/>
      </c>
      <c r="Q146" s="30"/>
      <c r="R146" s="29" t="str">
        <f>IF('12 - Device_Configuration'!AY147="","",'12 - Device_Configuration'!AY147)</f>
        <v/>
      </c>
      <c r="S146" s="29" t="str">
        <f>IF('12 - Device_Configuration'!AX147="","",'12 - Device_Configuration'!AX147)</f>
        <v/>
      </c>
      <c r="T146" s="29" t="str">
        <f>IF('12 - Device_Configuration'!AV147="","",'12 - Device_Configuration'!AV147)</f>
        <v/>
      </c>
      <c r="U146" s="29" t="str">
        <f>IF('12 - Device_Configuration'!AW147="","",'12 - Device_Configuration'!AW147)</f>
        <v/>
      </c>
      <c r="V146" s="29" t="str">
        <f>IF('12 - Device_Configuration'!BA147="","",'12 - Device_Configuration'!BA147)</f>
        <v>Yes</v>
      </c>
      <c r="W146" s="29" t="str">
        <f>IF('12 - Device_Configuration'!BC147="","",'12 - Device_Configuration'!BC147)</f>
        <v/>
      </c>
      <c r="X146" s="29" t="str">
        <f>IF('12 - Device_Configuration'!BK147="","",'12 - Device_Configuration'!BK147)</f>
        <v/>
      </c>
      <c r="Y146" s="29" t="str">
        <f>IF('12 - Device_Configuration'!BB147="","",'12 - Device_Configuration'!BB147)</f>
        <v/>
      </c>
      <c r="Z146" s="29" t="str">
        <f>IF('12 - Device_Configuration'!P147="","",'12 - Device_Configuration'!P147)</f>
        <v/>
      </c>
      <c r="AA146" s="29" t="str">
        <f>IF('12 - Device_Configuration'!Q147="","",'12 - Device_Configuration'!Q147)</f>
        <v/>
      </c>
    </row>
    <row r="147" spans="1:27">
      <c r="A147" s="30"/>
      <c r="B147" s="30"/>
      <c r="C147" s="29" t="str">
        <f>IF('12 - Device_Configuration'!H148="","",'12 - Device_Configuration'!H148)</f>
        <v>LIJVS</v>
      </c>
      <c r="D147" s="29" t="str">
        <f>IF('12 - Device_Configuration'!AE148="","",'12 - Device_Configuration'!AE148)</f>
        <v/>
      </c>
      <c r="E147" s="29" t="str">
        <f>IF('12 - Device_Configuration'!AF148="","",'12 - Device_Configuration'!AF148)</f>
        <v/>
      </c>
      <c r="F147" s="29" t="str">
        <f>IF('12 - Device_Configuration'!AG148="","",'12 - Device_Configuration'!AG148)</f>
        <v/>
      </c>
      <c r="G147" s="29" t="str">
        <f>IF('12 - Device_Configuration'!AH148="","",'12 - Device_Configuration'!AH148)</f>
        <v/>
      </c>
      <c r="H147" s="29" t="str">
        <f>IF('12 - Device_Configuration'!A148="","",'12 - Device_Configuration'!A148)</f>
        <v>Peripherals</v>
      </c>
      <c r="I147" s="29" t="str">
        <f>IF('12 - Device_Configuration'!AI148="","",'12 - Device_Configuration'!AI148)</f>
        <v/>
      </c>
      <c r="J147" s="29" t="str">
        <f>IF('12 - Device_Configuration'!AJ148="","",'12 - Device_Configuration'!AJ148)</f>
        <v/>
      </c>
      <c r="K147" s="29" t="str">
        <f>IF('12 - Device_Configuration'!AA148="","",'12 - Device_Configuration'!AA148)</f>
        <v>Anesthesia Machine</v>
      </c>
      <c r="L147" s="29" t="str">
        <f>IF('12 - Device_Configuration'!I148="","",'12 - Device_Configuration'!I148)</f>
        <v/>
      </c>
      <c r="M147" s="30"/>
      <c r="N147" s="29" t="str">
        <f>IF('12 - Device_Configuration'!J148="","",'12 - Device_Configuration'!J148)</f>
        <v/>
      </c>
      <c r="O147" s="29" t="str">
        <f>IF('12 - Device_Configuration'!K148="","",'12 - Device_Configuration'!K148)</f>
        <v/>
      </c>
      <c r="P147" s="29" t="str">
        <f>IF('12 - Device_Configuration'!L148="","",'12 - Device_Configuration'!L148)</f>
        <v/>
      </c>
      <c r="Q147" s="30"/>
      <c r="R147" s="29" t="str">
        <f>IF('12 - Device_Configuration'!AY148="","",'12 - Device_Configuration'!AY148)</f>
        <v/>
      </c>
      <c r="S147" s="29" t="str">
        <f>IF('12 - Device_Configuration'!AX148="","",'12 - Device_Configuration'!AX148)</f>
        <v/>
      </c>
      <c r="T147" s="29" t="str">
        <f>IF('12 - Device_Configuration'!AV148="","",'12 - Device_Configuration'!AV148)</f>
        <v/>
      </c>
      <c r="U147" s="29" t="str">
        <f>IF('12 - Device_Configuration'!AW148="","",'12 - Device_Configuration'!AW148)</f>
        <v/>
      </c>
      <c r="V147" s="29" t="str">
        <f>IF('12 - Device_Configuration'!BA148="","",'12 - Device_Configuration'!BA148)</f>
        <v>Yes</v>
      </c>
      <c r="W147" s="29" t="str">
        <f>IF('12 - Device_Configuration'!BC148="","",'12 - Device_Configuration'!BC148)</f>
        <v/>
      </c>
      <c r="X147" s="29" t="str">
        <f>IF('12 - Device_Configuration'!BK148="","",'12 - Device_Configuration'!BK148)</f>
        <v/>
      </c>
      <c r="Y147" s="29" t="str">
        <f>IF('12 - Device_Configuration'!BB148="","",'12 - Device_Configuration'!BB148)</f>
        <v/>
      </c>
      <c r="Z147" s="29" t="str">
        <f>IF('12 - Device_Configuration'!P148="","",'12 - Device_Configuration'!P148)</f>
        <v/>
      </c>
      <c r="AA147" s="29" t="str">
        <f>IF('12 - Device_Configuration'!Q148="","",'12 - Device_Configuration'!Q148)</f>
        <v/>
      </c>
    </row>
    <row r="148" spans="1:27">
      <c r="A148" s="30"/>
      <c r="B148" s="30"/>
      <c r="C148" s="29" t="str">
        <f>IF('12 - Device_Configuration'!H149="","",'12 - Device_Configuration'!H149)</f>
        <v/>
      </c>
      <c r="D148" s="29" t="str">
        <f>IF('12 - Device_Configuration'!AE149="","",'12 - Device_Configuration'!AE149)</f>
        <v/>
      </c>
      <c r="E148" s="29" t="str">
        <f>IF('12 - Device_Configuration'!AF149="","",'12 - Device_Configuration'!AF149)</f>
        <v/>
      </c>
      <c r="F148" s="29" t="str">
        <f>IF('12 - Device_Configuration'!AG149="","",'12 - Device_Configuration'!AG149)</f>
        <v/>
      </c>
      <c r="G148" s="29" t="str">
        <f>IF('12 - Device_Configuration'!AH149="","",'12 - Device_Configuration'!AH149)</f>
        <v/>
      </c>
      <c r="H148" s="29" t="str">
        <f>IF('12 - Device_Configuration'!A149="","",'12 - Device_Configuration'!A149)</f>
        <v/>
      </c>
      <c r="I148" s="29" t="str">
        <f>IF('12 - Device_Configuration'!AI149="","",'12 - Device_Configuration'!AI149)</f>
        <v/>
      </c>
      <c r="J148" s="29" t="str">
        <f>IF('12 - Device_Configuration'!AJ149="","",'12 - Device_Configuration'!AJ149)</f>
        <v/>
      </c>
      <c r="K148" s="29" t="str">
        <f>IF('12 - Device_Configuration'!AA149="","",'12 - Device_Configuration'!AA149)</f>
        <v/>
      </c>
      <c r="L148" s="29" t="str">
        <f>IF('12 - Device_Configuration'!I149="","",'12 - Device_Configuration'!I149)</f>
        <v/>
      </c>
      <c r="M148" s="30"/>
      <c r="N148" s="29" t="str">
        <f>IF('12 - Device_Configuration'!J149="","",'12 - Device_Configuration'!J149)</f>
        <v/>
      </c>
      <c r="O148" s="29" t="str">
        <f>IF('12 - Device_Configuration'!K149="","",'12 - Device_Configuration'!K149)</f>
        <v/>
      </c>
      <c r="P148" s="29" t="str">
        <f>IF('12 - Device_Configuration'!L149="","",'12 - Device_Configuration'!L149)</f>
        <v/>
      </c>
      <c r="Q148" s="30"/>
      <c r="R148" s="29" t="str">
        <f>IF('12 - Device_Configuration'!AY149="","",'12 - Device_Configuration'!AY149)</f>
        <v/>
      </c>
      <c r="S148" s="29" t="str">
        <f>IF('12 - Device_Configuration'!AX149="","",'12 - Device_Configuration'!AX149)</f>
        <v/>
      </c>
      <c r="T148" s="29" t="str">
        <f>IF('12 - Device_Configuration'!AV149="","",'12 - Device_Configuration'!AV149)</f>
        <v/>
      </c>
      <c r="U148" s="29" t="str">
        <f>IF('12 - Device_Configuration'!AW149="","",'12 - Device_Configuration'!AW149)</f>
        <v/>
      </c>
      <c r="V148" s="29" t="str">
        <f>IF('12 - Device_Configuration'!BA149="","",'12 - Device_Configuration'!BA149)</f>
        <v/>
      </c>
      <c r="W148" s="29" t="str">
        <f>IF('12 - Device_Configuration'!BC149="","",'12 - Device_Configuration'!BC149)</f>
        <v/>
      </c>
      <c r="X148" s="29" t="str">
        <f>IF('12 - Device_Configuration'!BK149="","",'12 - Device_Configuration'!BK149)</f>
        <v/>
      </c>
      <c r="Y148" s="29" t="str">
        <f>IF('12 - Device_Configuration'!BB149="","",'12 - Device_Configuration'!BB149)</f>
        <v/>
      </c>
      <c r="Z148" s="29" t="str">
        <f>IF('12 - Device_Configuration'!P149="","",'12 - Device_Configuration'!P149)</f>
        <v/>
      </c>
      <c r="AA148" s="29" t="str">
        <f>IF('12 - Device_Configuration'!Q149="","",'12 - Device_Configuration'!Q149)</f>
        <v/>
      </c>
    </row>
    <row r="149" spans="1:27">
      <c r="A149" s="30"/>
      <c r="B149" s="30"/>
      <c r="C149" s="29" t="str">
        <f>IF('12 - Device_Configuration'!H150="","",'12 - Device_Configuration'!H150)</f>
        <v/>
      </c>
      <c r="D149" s="29" t="str">
        <f>IF('12 - Device_Configuration'!AE150="","",'12 - Device_Configuration'!AE150)</f>
        <v/>
      </c>
      <c r="E149" s="29" t="str">
        <f>IF('12 - Device_Configuration'!AF150="","",'12 - Device_Configuration'!AF150)</f>
        <v/>
      </c>
      <c r="F149" s="29" t="str">
        <f>IF('12 - Device_Configuration'!AG150="","",'12 - Device_Configuration'!AG150)</f>
        <v/>
      </c>
      <c r="G149" s="29" t="str">
        <f>IF('12 - Device_Configuration'!AH150="","",'12 - Device_Configuration'!AH150)</f>
        <v/>
      </c>
      <c r="H149" s="29" t="str">
        <f>IF('12 - Device_Configuration'!A150="","",'12 - Device_Configuration'!A150)</f>
        <v/>
      </c>
      <c r="I149" s="29" t="str">
        <f>IF('12 - Device_Configuration'!AI150="","",'12 - Device_Configuration'!AI150)</f>
        <v/>
      </c>
      <c r="J149" s="29" t="str">
        <f>IF('12 - Device_Configuration'!AJ150="","",'12 - Device_Configuration'!AJ150)</f>
        <v/>
      </c>
      <c r="K149" s="29" t="str">
        <f>IF('12 - Device_Configuration'!AA150="","",'12 - Device_Configuration'!AA150)</f>
        <v/>
      </c>
      <c r="L149" s="29" t="str">
        <f>IF('12 - Device_Configuration'!I150="","",'12 - Device_Configuration'!I150)</f>
        <v/>
      </c>
      <c r="M149" s="30"/>
      <c r="N149" s="29" t="str">
        <f>IF('12 - Device_Configuration'!J150="","",'12 - Device_Configuration'!J150)</f>
        <v/>
      </c>
      <c r="O149" s="29" t="str">
        <f>IF('12 - Device_Configuration'!K150="","",'12 - Device_Configuration'!K150)</f>
        <v/>
      </c>
      <c r="P149" s="29" t="str">
        <f>IF('12 - Device_Configuration'!L150="","",'12 - Device_Configuration'!L150)</f>
        <v/>
      </c>
      <c r="Q149" s="30"/>
      <c r="R149" s="29" t="str">
        <f>IF('12 - Device_Configuration'!AY150="","",'12 - Device_Configuration'!AY150)</f>
        <v/>
      </c>
      <c r="S149" s="29" t="str">
        <f>IF('12 - Device_Configuration'!AX150="","",'12 - Device_Configuration'!AX150)</f>
        <v/>
      </c>
      <c r="T149" s="29" t="str">
        <f>IF('12 - Device_Configuration'!AV150="","",'12 - Device_Configuration'!AV150)</f>
        <v/>
      </c>
      <c r="U149" s="29" t="str">
        <f>IF('12 - Device_Configuration'!AW150="","",'12 - Device_Configuration'!AW150)</f>
        <v/>
      </c>
      <c r="V149" s="29" t="str">
        <f>IF('12 - Device_Configuration'!BA150="","",'12 - Device_Configuration'!BA150)</f>
        <v/>
      </c>
      <c r="W149" s="29" t="str">
        <f>IF('12 - Device_Configuration'!BC150="","",'12 - Device_Configuration'!BC150)</f>
        <v/>
      </c>
      <c r="X149" s="29" t="str">
        <f>IF('12 - Device_Configuration'!BK150="","",'12 - Device_Configuration'!BK150)</f>
        <v/>
      </c>
      <c r="Y149" s="29" t="str">
        <f>IF('12 - Device_Configuration'!BB150="","",'12 - Device_Configuration'!BB150)</f>
        <v/>
      </c>
      <c r="Z149" s="29" t="str">
        <f>IF('12 - Device_Configuration'!P150="","",'12 - Device_Configuration'!P150)</f>
        <v/>
      </c>
      <c r="AA149" s="29" t="str">
        <f>IF('12 - Device_Configuration'!Q150="","",'12 - Device_Configuration'!Q150)</f>
        <v/>
      </c>
    </row>
    <row r="150" spans="1:27">
      <c r="A150" s="30"/>
      <c r="B150" s="30"/>
      <c r="C150" s="29" t="str">
        <f>IF('12 - Device_Configuration'!H151="","",'12 - Device_Configuration'!H151)</f>
        <v/>
      </c>
      <c r="D150" s="29" t="str">
        <f>IF('12 - Device_Configuration'!AE151="","",'12 - Device_Configuration'!AE151)</f>
        <v/>
      </c>
      <c r="E150" s="29" t="str">
        <f>IF('12 - Device_Configuration'!AF151="","",'12 - Device_Configuration'!AF151)</f>
        <v/>
      </c>
      <c r="F150" s="29" t="str">
        <f>IF('12 - Device_Configuration'!AG151="","",'12 - Device_Configuration'!AG151)</f>
        <v/>
      </c>
      <c r="G150" s="29" t="str">
        <f>IF('12 - Device_Configuration'!AH151="","",'12 - Device_Configuration'!AH151)</f>
        <v/>
      </c>
      <c r="H150" s="29" t="str">
        <f>IF('12 - Device_Configuration'!A151="","",'12 - Device_Configuration'!A151)</f>
        <v/>
      </c>
      <c r="I150" s="29" t="str">
        <f>IF('12 - Device_Configuration'!AI151="","",'12 - Device_Configuration'!AI151)</f>
        <v/>
      </c>
      <c r="J150" s="29" t="str">
        <f>IF('12 - Device_Configuration'!AJ151="","",'12 - Device_Configuration'!AJ151)</f>
        <v/>
      </c>
      <c r="K150" s="29" t="str">
        <f>IF('12 - Device_Configuration'!AA151="","",'12 - Device_Configuration'!AA151)</f>
        <v/>
      </c>
      <c r="L150" s="29" t="str">
        <f>IF('12 - Device_Configuration'!I151="","",'12 - Device_Configuration'!I151)</f>
        <v/>
      </c>
      <c r="M150" s="30"/>
      <c r="N150" s="29" t="str">
        <f>IF('12 - Device_Configuration'!J151="","",'12 - Device_Configuration'!J151)</f>
        <v/>
      </c>
      <c r="O150" s="29" t="str">
        <f>IF('12 - Device_Configuration'!K151="","",'12 - Device_Configuration'!K151)</f>
        <v/>
      </c>
      <c r="P150" s="29" t="str">
        <f>IF('12 - Device_Configuration'!L151="","",'12 - Device_Configuration'!L151)</f>
        <v/>
      </c>
      <c r="Q150" s="30"/>
      <c r="R150" s="29" t="str">
        <f>IF('12 - Device_Configuration'!AY151="","",'12 - Device_Configuration'!AY151)</f>
        <v/>
      </c>
      <c r="S150" s="29" t="str">
        <f>IF('12 - Device_Configuration'!AX151="","",'12 - Device_Configuration'!AX151)</f>
        <v/>
      </c>
      <c r="T150" s="29" t="str">
        <f>IF('12 - Device_Configuration'!AV151="","",'12 - Device_Configuration'!AV151)</f>
        <v/>
      </c>
      <c r="U150" s="29" t="str">
        <f>IF('12 - Device_Configuration'!AW151="","",'12 - Device_Configuration'!AW151)</f>
        <v/>
      </c>
      <c r="V150" s="29" t="str">
        <f>IF('12 - Device_Configuration'!BA151="","",'12 - Device_Configuration'!BA151)</f>
        <v/>
      </c>
      <c r="W150" s="29" t="str">
        <f>IF('12 - Device_Configuration'!BC151="","",'12 - Device_Configuration'!BC151)</f>
        <v/>
      </c>
      <c r="X150" s="29" t="str">
        <f>IF('12 - Device_Configuration'!BK151="","",'12 - Device_Configuration'!BK151)</f>
        <v/>
      </c>
      <c r="Y150" s="29" t="str">
        <f>IF('12 - Device_Configuration'!BB151="","",'12 - Device_Configuration'!BB151)</f>
        <v/>
      </c>
      <c r="Z150" s="29" t="str">
        <f>IF('12 - Device_Configuration'!P151="","",'12 - Device_Configuration'!P151)</f>
        <v/>
      </c>
      <c r="AA150" s="29" t="str">
        <f>IF('12 - Device_Configuration'!Q151="","",'12 - Device_Configuration'!Q151)</f>
        <v/>
      </c>
    </row>
    <row r="151" spans="1:27">
      <c r="A151" s="30"/>
      <c r="B151" s="30"/>
      <c r="C151" s="29" t="str">
        <f>IF('12 - Device_Configuration'!H152="","",'12 - Device_Configuration'!H152)</f>
        <v/>
      </c>
      <c r="D151" s="29" t="str">
        <f>IF('12 - Device_Configuration'!AE152="","",'12 - Device_Configuration'!AE152)</f>
        <v/>
      </c>
      <c r="E151" s="29" t="str">
        <f>IF('12 - Device_Configuration'!AF152="","",'12 - Device_Configuration'!AF152)</f>
        <v/>
      </c>
      <c r="F151" s="29" t="str">
        <f>IF('12 - Device_Configuration'!AG152="","",'12 - Device_Configuration'!AG152)</f>
        <v/>
      </c>
      <c r="G151" s="29" t="str">
        <f>IF('12 - Device_Configuration'!AH152="","",'12 - Device_Configuration'!AH152)</f>
        <v/>
      </c>
      <c r="H151" s="29" t="str">
        <f>IF('12 - Device_Configuration'!A152="","",'12 - Device_Configuration'!A152)</f>
        <v/>
      </c>
      <c r="I151" s="29" t="str">
        <f>IF('12 - Device_Configuration'!AI152="","",'12 - Device_Configuration'!AI152)</f>
        <v/>
      </c>
      <c r="J151" s="29" t="str">
        <f>IF('12 - Device_Configuration'!AJ152="","",'12 - Device_Configuration'!AJ152)</f>
        <v/>
      </c>
      <c r="K151" s="29" t="str">
        <f>IF('12 - Device_Configuration'!AA152="","",'12 - Device_Configuration'!AA152)</f>
        <v/>
      </c>
      <c r="L151" s="29" t="str">
        <f>IF('12 - Device_Configuration'!I152="","",'12 - Device_Configuration'!I152)</f>
        <v/>
      </c>
      <c r="M151" s="30"/>
      <c r="N151" s="29" t="str">
        <f>IF('12 - Device_Configuration'!J152="","",'12 - Device_Configuration'!J152)</f>
        <v/>
      </c>
      <c r="O151" s="29" t="str">
        <f>IF('12 - Device_Configuration'!K152="","",'12 - Device_Configuration'!K152)</f>
        <v/>
      </c>
      <c r="P151" s="29" t="str">
        <f>IF('12 - Device_Configuration'!L152="","",'12 - Device_Configuration'!L152)</f>
        <v/>
      </c>
      <c r="Q151" s="30"/>
      <c r="R151" s="29" t="str">
        <f>IF('12 - Device_Configuration'!AY152="","",'12 - Device_Configuration'!AY152)</f>
        <v/>
      </c>
      <c r="S151" s="29" t="str">
        <f>IF('12 - Device_Configuration'!AX152="","",'12 - Device_Configuration'!AX152)</f>
        <v/>
      </c>
      <c r="T151" s="29" t="str">
        <f>IF('12 - Device_Configuration'!AV152="","",'12 - Device_Configuration'!AV152)</f>
        <v/>
      </c>
      <c r="U151" s="29" t="str">
        <f>IF('12 - Device_Configuration'!AW152="","",'12 - Device_Configuration'!AW152)</f>
        <v/>
      </c>
      <c r="V151" s="29" t="str">
        <f>IF('12 - Device_Configuration'!BA152="","",'12 - Device_Configuration'!BA152)</f>
        <v/>
      </c>
      <c r="W151" s="29" t="str">
        <f>IF('12 - Device_Configuration'!BC152="","",'12 - Device_Configuration'!BC152)</f>
        <v/>
      </c>
      <c r="X151" s="29" t="str">
        <f>IF('12 - Device_Configuration'!BK152="","",'12 - Device_Configuration'!BK152)</f>
        <v/>
      </c>
      <c r="Y151" s="29" t="str">
        <f>IF('12 - Device_Configuration'!BB152="","",'12 - Device_Configuration'!BB152)</f>
        <v/>
      </c>
      <c r="Z151" s="29" t="str">
        <f>IF('12 - Device_Configuration'!P152="","",'12 - Device_Configuration'!P152)</f>
        <v/>
      </c>
      <c r="AA151" s="29" t="str">
        <f>IF('12 - Device_Configuration'!Q152="","",'12 - Device_Configuration'!Q152)</f>
        <v/>
      </c>
    </row>
    <row r="152" spans="1:27">
      <c r="A152" s="30"/>
      <c r="B152" s="30"/>
      <c r="C152" s="29" t="str">
        <f>IF('12 - Device_Configuration'!H153="","",'12 - Device_Configuration'!H153)</f>
        <v/>
      </c>
      <c r="D152" s="29" t="str">
        <f>IF('12 - Device_Configuration'!AE153="","",'12 - Device_Configuration'!AE153)</f>
        <v/>
      </c>
      <c r="E152" s="29" t="str">
        <f>IF('12 - Device_Configuration'!AF153="","",'12 - Device_Configuration'!AF153)</f>
        <v/>
      </c>
      <c r="F152" s="29" t="str">
        <f>IF('12 - Device_Configuration'!AG153="","",'12 - Device_Configuration'!AG153)</f>
        <v/>
      </c>
      <c r="G152" s="29" t="str">
        <f>IF('12 - Device_Configuration'!AH153="","",'12 - Device_Configuration'!AH153)</f>
        <v/>
      </c>
      <c r="H152" s="29" t="str">
        <f>IF('12 - Device_Configuration'!A153="","",'12 - Device_Configuration'!A153)</f>
        <v/>
      </c>
      <c r="I152" s="29" t="str">
        <f>IF('12 - Device_Configuration'!AI153="","",'12 - Device_Configuration'!AI153)</f>
        <v/>
      </c>
      <c r="J152" s="29" t="str">
        <f>IF('12 - Device_Configuration'!AJ153="","",'12 - Device_Configuration'!AJ153)</f>
        <v/>
      </c>
      <c r="K152" s="29" t="str">
        <f>IF('12 - Device_Configuration'!AA153="","",'12 - Device_Configuration'!AA153)</f>
        <v/>
      </c>
      <c r="L152" s="29" t="str">
        <f>IF('12 - Device_Configuration'!I153="","",'12 - Device_Configuration'!I153)</f>
        <v/>
      </c>
      <c r="M152" s="30"/>
      <c r="N152" s="29" t="str">
        <f>IF('12 - Device_Configuration'!J153="","",'12 - Device_Configuration'!J153)</f>
        <v/>
      </c>
      <c r="O152" s="29" t="str">
        <f>IF('12 - Device_Configuration'!K153="","",'12 - Device_Configuration'!K153)</f>
        <v/>
      </c>
      <c r="P152" s="29" t="str">
        <f>IF('12 - Device_Configuration'!L153="","",'12 - Device_Configuration'!L153)</f>
        <v/>
      </c>
      <c r="Q152" s="30"/>
      <c r="R152" s="29" t="str">
        <f>IF('12 - Device_Configuration'!AY153="","",'12 - Device_Configuration'!AY153)</f>
        <v/>
      </c>
      <c r="S152" s="29" t="str">
        <f>IF('12 - Device_Configuration'!AX153="","",'12 - Device_Configuration'!AX153)</f>
        <v/>
      </c>
      <c r="T152" s="29" t="str">
        <f>IF('12 - Device_Configuration'!AV153="","",'12 - Device_Configuration'!AV153)</f>
        <v/>
      </c>
      <c r="U152" s="29" t="str">
        <f>IF('12 - Device_Configuration'!AW153="","",'12 - Device_Configuration'!AW153)</f>
        <v/>
      </c>
      <c r="V152" s="29" t="str">
        <f>IF('12 - Device_Configuration'!BA153="","",'12 - Device_Configuration'!BA153)</f>
        <v/>
      </c>
      <c r="W152" s="29" t="str">
        <f>IF('12 - Device_Configuration'!BC153="","",'12 - Device_Configuration'!BC153)</f>
        <v/>
      </c>
      <c r="X152" s="29" t="str">
        <f>IF('12 - Device_Configuration'!BK153="","",'12 - Device_Configuration'!BK153)</f>
        <v/>
      </c>
      <c r="Y152" s="29" t="str">
        <f>IF('12 - Device_Configuration'!BB153="","",'12 - Device_Configuration'!BB153)</f>
        <v/>
      </c>
      <c r="Z152" s="29" t="str">
        <f>IF('12 - Device_Configuration'!P153="","",'12 - Device_Configuration'!P153)</f>
        <v/>
      </c>
      <c r="AA152" s="29" t="str">
        <f>IF('12 - Device_Configuration'!Q153="","",'12 - Device_Configuration'!Q153)</f>
        <v/>
      </c>
    </row>
    <row r="153" spans="1:27">
      <c r="A153" s="30"/>
      <c r="B153" s="30"/>
      <c r="C153" s="29" t="str">
        <f>IF('12 - Device_Configuration'!H154="","",'12 - Device_Configuration'!H154)</f>
        <v/>
      </c>
      <c r="D153" s="29" t="str">
        <f>IF('12 - Device_Configuration'!AE154="","",'12 - Device_Configuration'!AE154)</f>
        <v/>
      </c>
      <c r="E153" s="29" t="str">
        <f>IF('12 - Device_Configuration'!AF154="","",'12 - Device_Configuration'!AF154)</f>
        <v/>
      </c>
      <c r="F153" s="29" t="str">
        <f>IF('12 - Device_Configuration'!AG154="","",'12 - Device_Configuration'!AG154)</f>
        <v/>
      </c>
      <c r="G153" s="29" t="str">
        <f>IF('12 - Device_Configuration'!AH154="","",'12 - Device_Configuration'!AH154)</f>
        <v/>
      </c>
      <c r="H153" s="29" t="str">
        <f>IF('12 - Device_Configuration'!A154="","",'12 - Device_Configuration'!A154)</f>
        <v/>
      </c>
      <c r="I153" s="29" t="str">
        <f>IF('12 - Device_Configuration'!AI154="","",'12 - Device_Configuration'!AI154)</f>
        <v/>
      </c>
      <c r="J153" s="29" t="str">
        <f>IF('12 - Device_Configuration'!AJ154="","",'12 - Device_Configuration'!AJ154)</f>
        <v/>
      </c>
      <c r="K153" s="29" t="str">
        <f>IF('12 - Device_Configuration'!AA154="","",'12 - Device_Configuration'!AA154)</f>
        <v/>
      </c>
      <c r="L153" s="29" t="str">
        <f>IF('12 - Device_Configuration'!I154="","",'12 - Device_Configuration'!I154)</f>
        <v/>
      </c>
      <c r="M153" s="30"/>
      <c r="N153" s="29" t="str">
        <f>IF('12 - Device_Configuration'!J154="","",'12 - Device_Configuration'!J154)</f>
        <v/>
      </c>
      <c r="O153" s="29" t="str">
        <f>IF('12 - Device_Configuration'!K154="","",'12 - Device_Configuration'!K154)</f>
        <v/>
      </c>
      <c r="P153" s="29" t="str">
        <f>IF('12 - Device_Configuration'!L154="","",'12 - Device_Configuration'!L154)</f>
        <v/>
      </c>
      <c r="Q153" s="30"/>
      <c r="R153" s="29" t="str">
        <f>IF('12 - Device_Configuration'!AY154="","",'12 - Device_Configuration'!AY154)</f>
        <v/>
      </c>
      <c r="S153" s="29" t="str">
        <f>IF('12 - Device_Configuration'!AX154="","",'12 - Device_Configuration'!AX154)</f>
        <v/>
      </c>
      <c r="T153" s="29" t="str">
        <f>IF('12 - Device_Configuration'!AV154="","",'12 - Device_Configuration'!AV154)</f>
        <v/>
      </c>
      <c r="U153" s="29" t="str">
        <f>IF('12 - Device_Configuration'!AW154="","",'12 - Device_Configuration'!AW154)</f>
        <v/>
      </c>
      <c r="V153" s="29" t="str">
        <f>IF('12 - Device_Configuration'!BA154="","",'12 - Device_Configuration'!BA154)</f>
        <v/>
      </c>
      <c r="W153" s="29" t="str">
        <f>IF('12 - Device_Configuration'!BC154="","",'12 - Device_Configuration'!BC154)</f>
        <v/>
      </c>
      <c r="X153" s="29" t="str">
        <f>IF('12 - Device_Configuration'!BK154="","",'12 - Device_Configuration'!BK154)</f>
        <v/>
      </c>
      <c r="Y153" s="29" t="str">
        <f>IF('12 - Device_Configuration'!BB154="","",'12 - Device_Configuration'!BB154)</f>
        <v/>
      </c>
      <c r="Z153" s="29" t="str">
        <f>IF('12 - Device_Configuration'!P154="","",'12 - Device_Configuration'!P154)</f>
        <v/>
      </c>
      <c r="AA153" s="29" t="str">
        <f>IF('12 - Device_Configuration'!Q154="","",'12 - Device_Configuration'!Q154)</f>
        <v/>
      </c>
    </row>
    <row r="154" spans="1:27">
      <c r="A154" s="30"/>
      <c r="B154" s="30"/>
      <c r="C154" s="29" t="str">
        <f>IF('12 - Device_Configuration'!H155="","",'12 - Device_Configuration'!H155)</f>
        <v/>
      </c>
      <c r="D154" s="29" t="str">
        <f>IF('12 - Device_Configuration'!AE155="","",'12 - Device_Configuration'!AE155)</f>
        <v/>
      </c>
      <c r="E154" s="29" t="str">
        <f>IF('12 - Device_Configuration'!AF155="","",'12 - Device_Configuration'!AF155)</f>
        <v/>
      </c>
      <c r="F154" s="29" t="str">
        <f>IF('12 - Device_Configuration'!AG155="","",'12 - Device_Configuration'!AG155)</f>
        <v/>
      </c>
      <c r="G154" s="29" t="str">
        <f>IF('12 - Device_Configuration'!AH155="","",'12 - Device_Configuration'!AH155)</f>
        <v/>
      </c>
      <c r="H154" s="29" t="str">
        <f>IF('12 - Device_Configuration'!A155="","",'12 - Device_Configuration'!A155)</f>
        <v/>
      </c>
      <c r="I154" s="29" t="str">
        <f>IF('12 - Device_Configuration'!AI155="","",'12 - Device_Configuration'!AI155)</f>
        <v/>
      </c>
      <c r="J154" s="29" t="str">
        <f>IF('12 - Device_Configuration'!AJ155="","",'12 - Device_Configuration'!AJ155)</f>
        <v/>
      </c>
      <c r="K154" s="29" t="str">
        <f>IF('12 - Device_Configuration'!AA155="","",'12 - Device_Configuration'!AA155)</f>
        <v/>
      </c>
      <c r="L154" s="29" t="str">
        <f>IF('12 - Device_Configuration'!I155="","",'12 - Device_Configuration'!I155)</f>
        <v/>
      </c>
      <c r="M154" s="30"/>
      <c r="N154" s="29" t="str">
        <f>IF('12 - Device_Configuration'!J155="","",'12 - Device_Configuration'!J155)</f>
        <v/>
      </c>
      <c r="O154" s="29" t="str">
        <f>IF('12 - Device_Configuration'!K155="","",'12 - Device_Configuration'!K155)</f>
        <v/>
      </c>
      <c r="P154" s="29" t="str">
        <f>IF('12 - Device_Configuration'!L155="","",'12 - Device_Configuration'!L155)</f>
        <v/>
      </c>
      <c r="Q154" s="30"/>
      <c r="R154" s="29" t="str">
        <f>IF('12 - Device_Configuration'!AY155="","",'12 - Device_Configuration'!AY155)</f>
        <v/>
      </c>
      <c r="S154" s="29" t="str">
        <f>IF('12 - Device_Configuration'!AX155="","",'12 - Device_Configuration'!AX155)</f>
        <v/>
      </c>
      <c r="T154" s="29" t="str">
        <f>IF('12 - Device_Configuration'!AV155="","",'12 - Device_Configuration'!AV155)</f>
        <v/>
      </c>
      <c r="U154" s="29" t="str">
        <f>IF('12 - Device_Configuration'!AW155="","",'12 - Device_Configuration'!AW155)</f>
        <v/>
      </c>
      <c r="V154" s="29" t="str">
        <f>IF('12 - Device_Configuration'!BA155="","",'12 - Device_Configuration'!BA155)</f>
        <v/>
      </c>
      <c r="W154" s="29" t="str">
        <f>IF('12 - Device_Configuration'!BC155="","",'12 - Device_Configuration'!BC155)</f>
        <v/>
      </c>
      <c r="X154" s="29" t="str">
        <f>IF('12 - Device_Configuration'!BK155="","",'12 - Device_Configuration'!BK155)</f>
        <v/>
      </c>
      <c r="Y154" s="29" t="str">
        <f>IF('12 - Device_Configuration'!BB155="","",'12 - Device_Configuration'!BB155)</f>
        <v/>
      </c>
      <c r="Z154" s="29" t="str">
        <f>IF('12 - Device_Configuration'!P155="","",'12 - Device_Configuration'!P155)</f>
        <v/>
      </c>
      <c r="AA154" s="29" t="str">
        <f>IF('12 - Device_Configuration'!Q155="","",'12 - Device_Configuration'!Q155)</f>
        <v/>
      </c>
    </row>
    <row r="155" spans="1:27">
      <c r="A155" s="30"/>
      <c r="B155" s="30"/>
      <c r="C155" s="29" t="str">
        <f>IF('12 - Device_Configuration'!H156="","",'12 - Device_Configuration'!H156)</f>
        <v/>
      </c>
      <c r="D155" s="29" t="str">
        <f>IF('12 - Device_Configuration'!AE156="","",'12 - Device_Configuration'!AE156)</f>
        <v/>
      </c>
      <c r="E155" s="29" t="str">
        <f>IF('12 - Device_Configuration'!AF156="","",'12 - Device_Configuration'!AF156)</f>
        <v/>
      </c>
      <c r="F155" s="29" t="str">
        <f>IF('12 - Device_Configuration'!AG156="","",'12 - Device_Configuration'!AG156)</f>
        <v/>
      </c>
      <c r="G155" s="29" t="str">
        <f>IF('12 - Device_Configuration'!AH156="","",'12 - Device_Configuration'!AH156)</f>
        <v/>
      </c>
      <c r="H155" s="29" t="str">
        <f>IF('12 - Device_Configuration'!A156="","",'12 - Device_Configuration'!A156)</f>
        <v/>
      </c>
      <c r="I155" s="29" t="str">
        <f>IF('12 - Device_Configuration'!AI156="","",'12 - Device_Configuration'!AI156)</f>
        <v/>
      </c>
      <c r="J155" s="29" t="str">
        <f>IF('12 - Device_Configuration'!AJ156="","",'12 - Device_Configuration'!AJ156)</f>
        <v/>
      </c>
      <c r="K155" s="29" t="str">
        <f>IF('12 - Device_Configuration'!AA156="","",'12 - Device_Configuration'!AA156)</f>
        <v/>
      </c>
      <c r="L155" s="29" t="str">
        <f>IF('12 - Device_Configuration'!I156="","",'12 - Device_Configuration'!I156)</f>
        <v/>
      </c>
      <c r="M155" s="30"/>
      <c r="N155" s="29" t="str">
        <f>IF('12 - Device_Configuration'!J156="","",'12 - Device_Configuration'!J156)</f>
        <v/>
      </c>
      <c r="O155" s="29" t="str">
        <f>IF('12 - Device_Configuration'!K156="","",'12 - Device_Configuration'!K156)</f>
        <v/>
      </c>
      <c r="P155" s="29" t="str">
        <f>IF('12 - Device_Configuration'!L156="","",'12 - Device_Configuration'!L156)</f>
        <v/>
      </c>
      <c r="Q155" s="30"/>
      <c r="R155" s="29" t="str">
        <f>IF('12 - Device_Configuration'!AY156="","",'12 - Device_Configuration'!AY156)</f>
        <v/>
      </c>
      <c r="S155" s="29" t="str">
        <f>IF('12 - Device_Configuration'!AX156="","",'12 - Device_Configuration'!AX156)</f>
        <v/>
      </c>
      <c r="T155" s="29" t="str">
        <f>IF('12 - Device_Configuration'!AV156="","",'12 - Device_Configuration'!AV156)</f>
        <v/>
      </c>
      <c r="U155" s="29" t="str">
        <f>IF('12 - Device_Configuration'!AW156="","",'12 - Device_Configuration'!AW156)</f>
        <v/>
      </c>
      <c r="V155" s="29" t="str">
        <f>IF('12 - Device_Configuration'!BA156="","",'12 - Device_Configuration'!BA156)</f>
        <v/>
      </c>
      <c r="W155" s="29" t="str">
        <f>IF('12 - Device_Configuration'!BC156="","",'12 - Device_Configuration'!BC156)</f>
        <v/>
      </c>
      <c r="X155" s="29" t="str">
        <f>IF('12 - Device_Configuration'!BK156="","",'12 - Device_Configuration'!BK156)</f>
        <v/>
      </c>
      <c r="Y155" s="29" t="str">
        <f>IF('12 - Device_Configuration'!BB156="","",'12 - Device_Configuration'!BB156)</f>
        <v/>
      </c>
      <c r="Z155" s="29" t="str">
        <f>IF('12 - Device_Configuration'!P156="","",'12 - Device_Configuration'!P156)</f>
        <v/>
      </c>
      <c r="AA155" s="29" t="str">
        <f>IF('12 - Device_Configuration'!Q156="","",'12 - Device_Configuration'!Q156)</f>
        <v/>
      </c>
    </row>
    <row r="156" spans="1:27">
      <c r="A156" s="30"/>
      <c r="B156" s="30"/>
      <c r="C156" s="29" t="str">
        <f>IF('12 - Device_Configuration'!H157="","",'12 - Device_Configuration'!H157)</f>
        <v/>
      </c>
      <c r="D156" s="29" t="str">
        <f>IF('12 - Device_Configuration'!AE157="","",'12 - Device_Configuration'!AE157)</f>
        <v/>
      </c>
      <c r="E156" s="29" t="str">
        <f>IF('12 - Device_Configuration'!AF157="","",'12 - Device_Configuration'!AF157)</f>
        <v/>
      </c>
      <c r="F156" s="29" t="str">
        <f>IF('12 - Device_Configuration'!AG157="","",'12 - Device_Configuration'!AG157)</f>
        <v/>
      </c>
      <c r="G156" s="29" t="str">
        <f>IF('12 - Device_Configuration'!AH157="","",'12 - Device_Configuration'!AH157)</f>
        <v/>
      </c>
      <c r="H156" s="29" t="str">
        <f>IF('12 - Device_Configuration'!A157="","",'12 - Device_Configuration'!A157)</f>
        <v/>
      </c>
      <c r="I156" s="29" t="str">
        <f>IF('12 - Device_Configuration'!AI157="","",'12 - Device_Configuration'!AI157)</f>
        <v/>
      </c>
      <c r="J156" s="29" t="str">
        <f>IF('12 - Device_Configuration'!AJ157="","",'12 - Device_Configuration'!AJ157)</f>
        <v/>
      </c>
      <c r="K156" s="29" t="str">
        <f>IF('12 - Device_Configuration'!AA157="","",'12 - Device_Configuration'!AA157)</f>
        <v/>
      </c>
      <c r="L156" s="29" t="str">
        <f>IF('12 - Device_Configuration'!I157="","",'12 - Device_Configuration'!I157)</f>
        <v/>
      </c>
      <c r="M156" s="30"/>
      <c r="N156" s="29" t="str">
        <f>IF('12 - Device_Configuration'!J157="","",'12 - Device_Configuration'!J157)</f>
        <v/>
      </c>
      <c r="O156" s="29" t="str">
        <f>IF('12 - Device_Configuration'!K157="","",'12 - Device_Configuration'!K157)</f>
        <v/>
      </c>
      <c r="P156" s="29" t="str">
        <f>IF('12 - Device_Configuration'!L157="","",'12 - Device_Configuration'!L157)</f>
        <v/>
      </c>
      <c r="Q156" s="30"/>
      <c r="R156" s="29" t="str">
        <f>IF('12 - Device_Configuration'!AY157="","",'12 - Device_Configuration'!AY157)</f>
        <v/>
      </c>
      <c r="S156" s="29" t="str">
        <f>IF('12 - Device_Configuration'!AX157="","",'12 - Device_Configuration'!AX157)</f>
        <v/>
      </c>
      <c r="T156" s="29" t="str">
        <f>IF('12 - Device_Configuration'!AV157="","",'12 - Device_Configuration'!AV157)</f>
        <v/>
      </c>
      <c r="U156" s="29" t="str">
        <f>IF('12 - Device_Configuration'!AW157="","",'12 - Device_Configuration'!AW157)</f>
        <v/>
      </c>
      <c r="V156" s="29" t="str">
        <f>IF('12 - Device_Configuration'!BA157="","",'12 - Device_Configuration'!BA157)</f>
        <v/>
      </c>
      <c r="W156" s="29" t="str">
        <f>IF('12 - Device_Configuration'!BC157="","",'12 - Device_Configuration'!BC157)</f>
        <v/>
      </c>
      <c r="X156" s="29" t="str">
        <f>IF('12 - Device_Configuration'!BK157="","",'12 - Device_Configuration'!BK157)</f>
        <v/>
      </c>
      <c r="Y156" s="29" t="str">
        <f>IF('12 - Device_Configuration'!BB157="","",'12 - Device_Configuration'!BB157)</f>
        <v/>
      </c>
      <c r="Z156" s="29" t="str">
        <f>IF('12 - Device_Configuration'!P157="","",'12 - Device_Configuration'!P157)</f>
        <v/>
      </c>
      <c r="AA156" s="29" t="str">
        <f>IF('12 - Device_Configuration'!Q157="","",'12 - Device_Configuration'!Q157)</f>
        <v/>
      </c>
    </row>
    <row r="157" spans="1:27">
      <c r="A157" s="30"/>
      <c r="B157" s="30"/>
      <c r="C157" s="29" t="str">
        <f>IF('12 - Device_Configuration'!H158="","",'12 - Device_Configuration'!H158)</f>
        <v/>
      </c>
      <c r="D157" s="29" t="str">
        <f>IF('12 - Device_Configuration'!AE158="","",'12 - Device_Configuration'!AE158)</f>
        <v/>
      </c>
      <c r="E157" s="29" t="str">
        <f>IF('12 - Device_Configuration'!AF158="","",'12 - Device_Configuration'!AF158)</f>
        <v/>
      </c>
      <c r="F157" s="29" t="str">
        <f>IF('12 - Device_Configuration'!AG158="","",'12 - Device_Configuration'!AG158)</f>
        <v/>
      </c>
      <c r="G157" s="29" t="str">
        <f>IF('12 - Device_Configuration'!AH158="","",'12 - Device_Configuration'!AH158)</f>
        <v/>
      </c>
      <c r="H157" s="29" t="str">
        <f>IF('12 - Device_Configuration'!A158="","",'12 - Device_Configuration'!A158)</f>
        <v/>
      </c>
      <c r="I157" s="29" t="str">
        <f>IF('12 - Device_Configuration'!AI158="","",'12 - Device_Configuration'!AI158)</f>
        <v/>
      </c>
      <c r="J157" s="29" t="str">
        <f>IF('12 - Device_Configuration'!AJ158="","",'12 - Device_Configuration'!AJ158)</f>
        <v/>
      </c>
      <c r="K157" s="29" t="str">
        <f>IF('12 - Device_Configuration'!AA158="","",'12 - Device_Configuration'!AA158)</f>
        <v/>
      </c>
      <c r="L157" s="29" t="str">
        <f>IF('12 - Device_Configuration'!I158="","",'12 - Device_Configuration'!I158)</f>
        <v/>
      </c>
      <c r="M157" s="30"/>
      <c r="N157" s="29" t="str">
        <f>IF('12 - Device_Configuration'!J158="","",'12 - Device_Configuration'!J158)</f>
        <v/>
      </c>
      <c r="O157" s="29" t="str">
        <f>IF('12 - Device_Configuration'!K158="","",'12 - Device_Configuration'!K158)</f>
        <v/>
      </c>
      <c r="P157" s="29" t="str">
        <f>IF('12 - Device_Configuration'!L158="","",'12 - Device_Configuration'!L158)</f>
        <v/>
      </c>
      <c r="Q157" s="30"/>
      <c r="R157" s="29" t="str">
        <f>IF('12 - Device_Configuration'!AY158="","",'12 - Device_Configuration'!AY158)</f>
        <v/>
      </c>
      <c r="S157" s="29" t="str">
        <f>IF('12 - Device_Configuration'!AX158="","",'12 - Device_Configuration'!AX158)</f>
        <v/>
      </c>
      <c r="T157" s="29" t="str">
        <f>IF('12 - Device_Configuration'!AV158="","",'12 - Device_Configuration'!AV158)</f>
        <v/>
      </c>
      <c r="U157" s="29" t="str">
        <f>IF('12 - Device_Configuration'!AW158="","",'12 - Device_Configuration'!AW158)</f>
        <v/>
      </c>
      <c r="V157" s="29" t="str">
        <f>IF('12 - Device_Configuration'!BA158="","",'12 - Device_Configuration'!BA158)</f>
        <v/>
      </c>
      <c r="W157" s="29" t="str">
        <f>IF('12 - Device_Configuration'!BC158="","",'12 - Device_Configuration'!BC158)</f>
        <v/>
      </c>
      <c r="X157" s="29" t="str">
        <f>IF('12 - Device_Configuration'!BK158="","",'12 - Device_Configuration'!BK158)</f>
        <v/>
      </c>
      <c r="Y157" s="29" t="str">
        <f>IF('12 - Device_Configuration'!BB158="","",'12 - Device_Configuration'!BB158)</f>
        <v/>
      </c>
      <c r="Z157" s="29" t="str">
        <f>IF('12 - Device_Configuration'!P158="","",'12 - Device_Configuration'!P158)</f>
        <v/>
      </c>
      <c r="AA157" s="29" t="str">
        <f>IF('12 - Device_Configuration'!Q158="","",'12 - Device_Configuration'!Q158)</f>
        <v/>
      </c>
    </row>
    <row r="158" spans="1:27">
      <c r="A158" s="30"/>
      <c r="B158" s="30"/>
      <c r="C158" s="29" t="str">
        <f>IF('12 - Device_Configuration'!H159="","",'12 - Device_Configuration'!H159)</f>
        <v/>
      </c>
      <c r="D158" s="29" t="str">
        <f>IF('12 - Device_Configuration'!AE159="","",'12 - Device_Configuration'!AE159)</f>
        <v/>
      </c>
      <c r="E158" s="29" t="str">
        <f>IF('12 - Device_Configuration'!AF159="","",'12 - Device_Configuration'!AF159)</f>
        <v/>
      </c>
      <c r="F158" s="29" t="str">
        <f>IF('12 - Device_Configuration'!AG159="","",'12 - Device_Configuration'!AG159)</f>
        <v/>
      </c>
      <c r="G158" s="29" t="str">
        <f>IF('12 - Device_Configuration'!AH159="","",'12 - Device_Configuration'!AH159)</f>
        <v/>
      </c>
      <c r="H158" s="29" t="str">
        <f>IF('12 - Device_Configuration'!A159="","",'12 - Device_Configuration'!A159)</f>
        <v/>
      </c>
      <c r="I158" s="29" t="str">
        <f>IF('12 - Device_Configuration'!AI159="","",'12 - Device_Configuration'!AI159)</f>
        <v/>
      </c>
      <c r="J158" s="29" t="str">
        <f>IF('12 - Device_Configuration'!AJ159="","",'12 - Device_Configuration'!AJ159)</f>
        <v/>
      </c>
      <c r="K158" s="29" t="str">
        <f>IF('12 - Device_Configuration'!AA159="","",'12 - Device_Configuration'!AA159)</f>
        <v/>
      </c>
      <c r="L158" s="29" t="str">
        <f>IF('12 - Device_Configuration'!I159="","",'12 - Device_Configuration'!I159)</f>
        <v/>
      </c>
      <c r="M158" s="30"/>
      <c r="N158" s="29" t="str">
        <f>IF('12 - Device_Configuration'!J159="","",'12 - Device_Configuration'!J159)</f>
        <v/>
      </c>
      <c r="O158" s="29" t="str">
        <f>IF('12 - Device_Configuration'!K159="","",'12 - Device_Configuration'!K159)</f>
        <v/>
      </c>
      <c r="P158" s="29" t="str">
        <f>IF('12 - Device_Configuration'!L159="","",'12 - Device_Configuration'!L159)</f>
        <v/>
      </c>
      <c r="Q158" s="30"/>
      <c r="R158" s="29" t="str">
        <f>IF('12 - Device_Configuration'!AY159="","",'12 - Device_Configuration'!AY159)</f>
        <v/>
      </c>
      <c r="S158" s="29" t="str">
        <f>IF('12 - Device_Configuration'!AX159="","",'12 - Device_Configuration'!AX159)</f>
        <v/>
      </c>
      <c r="T158" s="29" t="str">
        <f>IF('12 - Device_Configuration'!AV159="","",'12 - Device_Configuration'!AV159)</f>
        <v/>
      </c>
      <c r="U158" s="29" t="str">
        <f>IF('12 - Device_Configuration'!AW159="","",'12 - Device_Configuration'!AW159)</f>
        <v/>
      </c>
      <c r="V158" s="29" t="str">
        <f>IF('12 - Device_Configuration'!BA159="","",'12 - Device_Configuration'!BA159)</f>
        <v/>
      </c>
      <c r="W158" s="29" t="str">
        <f>IF('12 - Device_Configuration'!BC159="","",'12 - Device_Configuration'!BC159)</f>
        <v/>
      </c>
      <c r="X158" s="29" t="str">
        <f>IF('12 - Device_Configuration'!BK159="","",'12 - Device_Configuration'!BK159)</f>
        <v/>
      </c>
      <c r="Y158" s="29" t="str">
        <f>IF('12 - Device_Configuration'!BB159="","",'12 - Device_Configuration'!BB159)</f>
        <v/>
      </c>
      <c r="Z158" s="29" t="str">
        <f>IF('12 - Device_Configuration'!P159="","",'12 - Device_Configuration'!P159)</f>
        <v/>
      </c>
      <c r="AA158" s="29" t="str">
        <f>IF('12 - Device_Configuration'!Q159="","",'12 - Device_Configuration'!Q159)</f>
        <v/>
      </c>
    </row>
    <row r="159" spans="1:27">
      <c r="A159" s="30"/>
      <c r="B159" s="30"/>
      <c r="C159" s="29" t="str">
        <f>IF('12 - Device_Configuration'!H160="","",'12 - Device_Configuration'!H160)</f>
        <v/>
      </c>
      <c r="D159" s="29" t="str">
        <f>IF('12 - Device_Configuration'!AE160="","",'12 - Device_Configuration'!AE160)</f>
        <v/>
      </c>
      <c r="E159" s="29" t="str">
        <f>IF('12 - Device_Configuration'!AF160="","",'12 - Device_Configuration'!AF160)</f>
        <v/>
      </c>
      <c r="F159" s="29" t="str">
        <f>IF('12 - Device_Configuration'!AG160="","",'12 - Device_Configuration'!AG160)</f>
        <v/>
      </c>
      <c r="G159" s="29" t="str">
        <f>IF('12 - Device_Configuration'!AH160="","",'12 - Device_Configuration'!AH160)</f>
        <v/>
      </c>
      <c r="H159" s="29" t="str">
        <f>IF('12 - Device_Configuration'!A160="","",'12 - Device_Configuration'!A160)</f>
        <v/>
      </c>
      <c r="I159" s="29" t="str">
        <f>IF('12 - Device_Configuration'!AI160="","",'12 - Device_Configuration'!AI160)</f>
        <v/>
      </c>
      <c r="J159" s="29" t="str">
        <f>IF('12 - Device_Configuration'!AJ160="","",'12 - Device_Configuration'!AJ160)</f>
        <v/>
      </c>
      <c r="K159" s="29" t="str">
        <f>IF('12 - Device_Configuration'!AA160="","",'12 - Device_Configuration'!AA160)</f>
        <v/>
      </c>
      <c r="L159" s="29" t="str">
        <f>IF('12 - Device_Configuration'!I160="","",'12 - Device_Configuration'!I160)</f>
        <v/>
      </c>
      <c r="M159" s="30"/>
      <c r="N159" s="29" t="str">
        <f>IF('12 - Device_Configuration'!J160="","",'12 - Device_Configuration'!J160)</f>
        <v/>
      </c>
      <c r="O159" s="29" t="str">
        <f>IF('12 - Device_Configuration'!K160="","",'12 - Device_Configuration'!K160)</f>
        <v/>
      </c>
      <c r="P159" s="29" t="str">
        <f>IF('12 - Device_Configuration'!L160="","",'12 - Device_Configuration'!L160)</f>
        <v/>
      </c>
      <c r="Q159" s="30"/>
      <c r="R159" s="29" t="str">
        <f>IF('12 - Device_Configuration'!AY160="","",'12 - Device_Configuration'!AY160)</f>
        <v/>
      </c>
      <c r="S159" s="29" t="str">
        <f>IF('12 - Device_Configuration'!AX160="","",'12 - Device_Configuration'!AX160)</f>
        <v/>
      </c>
      <c r="T159" s="29" t="str">
        <f>IF('12 - Device_Configuration'!AV160="","",'12 - Device_Configuration'!AV160)</f>
        <v/>
      </c>
      <c r="U159" s="29" t="str">
        <f>IF('12 - Device_Configuration'!AW160="","",'12 - Device_Configuration'!AW160)</f>
        <v/>
      </c>
      <c r="V159" s="29" t="str">
        <f>IF('12 - Device_Configuration'!BA160="","",'12 - Device_Configuration'!BA160)</f>
        <v/>
      </c>
      <c r="W159" s="29" t="str">
        <f>IF('12 - Device_Configuration'!BC160="","",'12 - Device_Configuration'!BC160)</f>
        <v/>
      </c>
      <c r="X159" s="29" t="str">
        <f>IF('12 - Device_Configuration'!BK160="","",'12 - Device_Configuration'!BK160)</f>
        <v/>
      </c>
      <c r="Y159" s="29" t="str">
        <f>IF('12 - Device_Configuration'!BB160="","",'12 - Device_Configuration'!BB160)</f>
        <v/>
      </c>
      <c r="Z159" s="29" t="str">
        <f>IF('12 - Device_Configuration'!P160="","",'12 - Device_Configuration'!P160)</f>
        <v/>
      </c>
      <c r="AA159" s="29" t="str">
        <f>IF('12 - Device_Configuration'!Q160="","",'12 - Device_Configuration'!Q160)</f>
        <v/>
      </c>
    </row>
    <row r="160" spans="1:27">
      <c r="A160" s="30"/>
      <c r="B160" s="30"/>
      <c r="C160" s="29" t="str">
        <f>IF('12 - Device_Configuration'!H161="","",'12 - Device_Configuration'!H161)</f>
        <v/>
      </c>
      <c r="D160" s="29" t="str">
        <f>IF('12 - Device_Configuration'!AE161="","",'12 - Device_Configuration'!AE161)</f>
        <v/>
      </c>
      <c r="E160" s="29" t="str">
        <f>IF('12 - Device_Configuration'!AF161="","",'12 - Device_Configuration'!AF161)</f>
        <v/>
      </c>
      <c r="F160" s="29" t="str">
        <f>IF('12 - Device_Configuration'!AG161="","",'12 - Device_Configuration'!AG161)</f>
        <v/>
      </c>
      <c r="G160" s="29" t="str">
        <f>IF('12 - Device_Configuration'!AH161="","",'12 - Device_Configuration'!AH161)</f>
        <v/>
      </c>
      <c r="H160" s="29" t="str">
        <f>IF('12 - Device_Configuration'!A161="","",'12 - Device_Configuration'!A161)</f>
        <v/>
      </c>
      <c r="I160" s="29" t="str">
        <f>IF('12 - Device_Configuration'!AI161="","",'12 - Device_Configuration'!AI161)</f>
        <v/>
      </c>
      <c r="J160" s="29" t="str">
        <f>IF('12 - Device_Configuration'!AJ161="","",'12 - Device_Configuration'!AJ161)</f>
        <v/>
      </c>
      <c r="K160" s="29" t="str">
        <f>IF('12 - Device_Configuration'!AA161="","",'12 - Device_Configuration'!AA161)</f>
        <v/>
      </c>
      <c r="L160" s="29" t="str">
        <f>IF('12 - Device_Configuration'!I161="","",'12 - Device_Configuration'!I161)</f>
        <v/>
      </c>
      <c r="M160" s="30"/>
      <c r="N160" s="29" t="str">
        <f>IF('12 - Device_Configuration'!J161="","",'12 - Device_Configuration'!J161)</f>
        <v/>
      </c>
      <c r="O160" s="29" t="str">
        <f>IF('12 - Device_Configuration'!K161="","",'12 - Device_Configuration'!K161)</f>
        <v/>
      </c>
      <c r="P160" s="29" t="str">
        <f>IF('12 - Device_Configuration'!L161="","",'12 - Device_Configuration'!L161)</f>
        <v/>
      </c>
      <c r="Q160" s="30"/>
      <c r="R160" s="29" t="str">
        <f>IF('12 - Device_Configuration'!AY161="","",'12 - Device_Configuration'!AY161)</f>
        <v/>
      </c>
      <c r="S160" s="29" t="str">
        <f>IF('12 - Device_Configuration'!AX161="","",'12 - Device_Configuration'!AX161)</f>
        <v/>
      </c>
      <c r="T160" s="29" t="str">
        <f>IF('12 - Device_Configuration'!AV161="","",'12 - Device_Configuration'!AV161)</f>
        <v/>
      </c>
      <c r="U160" s="29" t="str">
        <f>IF('12 - Device_Configuration'!AW161="","",'12 - Device_Configuration'!AW161)</f>
        <v/>
      </c>
      <c r="V160" s="29" t="str">
        <f>IF('12 - Device_Configuration'!BA161="","",'12 - Device_Configuration'!BA161)</f>
        <v/>
      </c>
      <c r="W160" s="29" t="str">
        <f>IF('12 - Device_Configuration'!BC161="","",'12 - Device_Configuration'!BC161)</f>
        <v/>
      </c>
      <c r="X160" s="29" t="str">
        <f>IF('12 - Device_Configuration'!BK161="","",'12 - Device_Configuration'!BK161)</f>
        <v/>
      </c>
      <c r="Y160" s="29" t="str">
        <f>IF('12 - Device_Configuration'!BB161="","",'12 - Device_Configuration'!BB161)</f>
        <v/>
      </c>
      <c r="Z160" s="29" t="str">
        <f>IF('12 - Device_Configuration'!P161="","",'12 - Device_Configuration'!P161)</f>
        <v/>
      </c>
      <c r="AA160" s="29" t="str">
        <f>IF('12 - Device_Configuration'!Q161="","",'12 - Device_Configuration'!Q161)</f>
        <v/>
      </c>
    </row>
    <row r="161" spans="1:27">
      <c r="A161" s="30"/>
      <c r="B161" s="30"/>
      <c r="C161" s="29" t="str">
        <f>IF('12 - Device_Configuration'!H162="","",'12 - Device_Configuration'!H162)</f>
        <v/>
      </c>
      <c r="D161" s="29" t="str">
        <f>IF('12 - Device_Configuration'!AE162="","",'12 - Device_Configuration'!AE162)</f>
        <v/>
      </c>
      <c r="E161" s="29" t="str">
        <f>IF('12 - Device_Configuration'!AF162="","",'12 - Device_Configuration'!AF162)</f>
        <v/>
      </c>
      <c r="F161" s="29" t="str">
        <f>IF('12 - Device_Configuration'!AG162="","",'12 - Device_Configuration'!AG162)</f>
        <v/>
      </c>
      <c r="G161" s="29" t="str">
        <f>IF('12 - Device_Configuration'!AH162="","",'12 - Device_Configuration'!AH162)</f>
        <v/>
      </c>
      <c r="H161" s="29" t="str">
        <f>IF('12 - Device_Configuration'!A162="","",'12 - Device_Configuration'!A162)</f>
        <v/>
      </c>
      <c r="I161" s="29" t="str">
        <f>IF('12 - Device_Configuration'!AI162="","",'12 - Device_Configuration'!AI162)</f>
        <v/>
      </c>
      <c r="J161" s="29" t="str">
        <f>IF('12 - Device_Configuration'!AJ162="","",'12 - Device_Configuration'!AJ162)</f>
        <v/>
      </c>
      <c r="K161" s="29" t="str">
        <f>IF('12 - Device_Configuration'!AA162="","",'12 - Device_Configuration'!AA162)</f>
        <v/>
      </c>
      <c r="L161" s="29" t="str">
        <f>IF('12 - Device_Configuration'!I162="","",'12 - Device_Configuration'!I162)</f>
        <v/>
      </c>
      <c r="M161" s="30"/>
      <c r="N161" s="29" t="str">
        <f>IF('12 - Device_Configuration'!J162="","",'12 - Device_Configuration'!J162)</f>
        <v/>
      </c>
      <c r="O161" s="29" t="str">
        <f>IF('12 - Device_Configuration'!K162="","",'12 - Device_Configuration'!K162)</f>
        <v/>
      </c>
      <c r="P161" s="29" t="str">
        <f>IF('12 - Device_Configuration'!L162="","",'12 - Device_Configuration'!L162)</f>
        <v/>
      </c>
      <c r="Q161" s="30"/>
      <c r="R161" s="29" t="str">
        <f>IF('12 - Device_Configuration'!AY162="","",'12 - Device_Configuration'!AY162)</f>
        <v/>
      </c>
      <c r="S161" s="29" t="str">
        <f>IF('12 - Device_Configuration'!AX162="","",'12 - Device_Configuration'!AX162)</f>
        <v/>
      </c>
      <c r="T161" s="29" t="str">
        <f>IF('12 - Device_Configuration'!AV162="","",'12 - Device_Configuration'!AV162)</f>
        <v/>
      </c>
      <c r="U161" s="29" t="str">
        <f>IF('12 - Device_Configuration'!AW162="","",'12 - Device_Configuration'!AW162)</f>
        <v/>
      </c>
      <c r="V161" s="29" t="str">
        <f>IF('12 - Device_Configuration'!BA162="","",'12 - Device_Configuration'!BA162)</f>
        <v/>
      </c>
      <c r="W161" s="29" t="str">
        <f>IF('12 - Device_Configuration'!BC162="","",'12 - Device_Configuration'!BC162)</f>
        <v/>
      </c>
      <c r="X161" s="29" t="str">
        <f>IF('12 - Device_Configuration'!BK162="","",'12 - Device_Configuration'!BK162)</f>
        <v/>
      </c>
      <c r="Y161" s="29" t="str">
        <f>IF('12 - Device_Configuration'!BB162="","",'12 - Device_Configuration'!BB162)</f>
        <v/>
      </c>
      <c r="Z161" s="29" t="str">
        <f>IF('12 - Device_Configuration'!P162="","",'12 - Device_Configuration'!P162)</f>
        <v/>
      </c>
      <c r="AA161" s="29" t="str">
        <f>IF('12 - Device_Configuration'!Q162="","",'12 - Device_Configuration'!Q162)</f>
        <v/>
      </c>
    </row>
    <row r="162" spans="1:27">
      <c r="A162" s="30"/>
      <c r="B162" s="30"/>
      <c r="C162" s="29" t="str">
        <f>IF('12 - Device_Configuration'!H163="","",'12 - Device_Configuration'!H163)</f>
        <v/>
      </c>
      <c r="D162" s="29" t="str">
        <f>IF('12 - Device_Configuration'!AE163="","",'12 - Device_Configuration'!AE163)</f>
        <v/>
      </c>
      <c r="E162" s="29" t="str">
        <f>IF('12 - Device_Configuration'!AF163="","",'12 - Device_Configuration'!AF163)</f>
        <v/>
      </c>
      <c r="F162" s="29" t="str">
        <f>IF('12 - Device_Configuration'!AG163="","",'12 - Device_Configuration'!AG163)</f>
        <v/>
      </c>
      <c r="G162" s="29" t="str">
        <f>IF('12 - Device_Configuration'!AH163="","",'12 - Device_Configuration'!AH163)</f>
        <v/>
      </c>
      <c r="H162" s="29" t="str">
        <f>IF('12 - Device_Configuration'!A163="","",'12 - Device_Configuration'!A163)</f>
        <v/>
      </c>
      <c r="I162" s="29" t="str">
        <f>IF('12 - Device_Configuration'!AI163="","",'12 - Device_Configuration'!AI163)</f>
        <v/>
      </c>
      <c r="J162" s="29" t="str">
        <f>IF('12 - Device_Configuration'!AJ163="","",'12 - Device_Configuration'!AJ163)</f>
        <v/>
      </c>
      <c r="K162" s="29" t="str">
        <f>IF('12 - Device_Configuration'!AA163="","",'12 - Device_Configuration'!AA163)</f>
        <v/>
      </c>
      <c r="L162" s="29" t="str">
        <f>IF('12 - Device_Configuration'!I163="","",'12 - Device_Configuration'!I163)</f>
        <v/>
      </c>
      <c r="M162" s="30"/>
      <c r="N162" s="29" t="str">
        <f>IF('12 - Device_Configuration'!J163="","",'12 - Device_Configuration'!J163)</f>
        <v/>
      </c>
      <c r="O162" s="29" t="str">
        <f>IF('12 - Device_Configuration'!K163="","",'12 - Device_Configuration'!K163)</f>
        <v/>
      </c>
      <c r="P162" s="29" t="str">
        <f>IF('12 - Device_Configuration'!L163="","",'12 - Device_Configuration'!L163)</f>
        <v/>
      </c>
      <c r="Q162" s="30"/>
      <c r="R162" s="29" t="str">
        <f>IF('12 - Device_Configuration'!AY163="","",'12 - Device_Configuration'!AY163)</f>
        <v/>
      </c>
      <c r="S162" s="29" t="str">
        <f>IF('12 - Device_Configuration'!AX163="","",'12 - Device_Configuration'!AX163)</f>
        <v/>
      </c>
      <c r="T162" s="29" t="str">
        <f>IF('12 - Device_Configuration'!AV163="","",'12 - Device_Configuration'!AV163)</f>
        <v/>
      </c>
      <c r="U162" s="29" t="str">
        <f>IF('12 - Device_Configuration'!AW163="","",'12 - Device_Configuration'!AW163)</f>
        <v/>
      </c>
      <c r="V162" s="29" t="str">
        <f>IF('12 - Device_Configuration'!BA163="","",'12 - Device_Configuration'!BA163)</f>
        <v/>
      </c>
      <c r="W162" s="29" t="str">
        <f>IF('12 - Device_Configuration'!BC163="","",'12 - Device_Configuration'!BC163)</f>
        <v/>
      </c>
      <c r="X162" s="29" t="str">
        <f>IF('12 - Device_Configuration'!BK163="","",'12 - Device_Configuration'!BK163)</f>
        <v/>
      </c>
      <c r="Y162" s="29" t="str">
        <f>IF('12 - Device_Configuration'!BB163="","",'12 - Device_Configuration'!BB163)</f>
        <v/>
      </c>
      <c r="Z162" s="29" t="str">
        <f>IF('12 - Device_Configuration'!P163="","",'12 - Device_Configuration'!P163)</f>
        <v/>
      </c>
      <c r="AA162" s="29" t="str">
        <f>IF('12 - Device_Configuration'!Q163="","",'12 - Device_Configuration'!Q163)</f>
        <v/>
      </c>
    </row>
    <row r="163" spans="1:27">
      <c r="A163" s="30"/>
      <c r="B163" s="30"/>
      <c r="C163" s="29" t="str">
        <f>IF('12 - Device_Configuration'!H164="","",'12 - Device_Configuration'!H164)</f>
        <v/>
      </c>
      <c r="D163" s="29" t="str">
        <f>IF('12 - Device_Configuration'!AE164="","",'12 - Device_Configuration'!AE164)</f>
        <v/>
      </c>
      <c r="E163" s="29" t="str">
        <f>IF('12 - Device_Configuration'!AF164="","",'12 - Device_Configuration'!AF164)</f>
        <v/>
      </c>
      <c r="F163" s="29" t="str">
        <f>IF('12 - Device_Configuration'!AG164="","",'12 - Device_Configuration'!AG164)</f>
        <v/>
      </c>
      <c r="G163" s="29" t="str">
        <f>IF('12 - Device_Configuration'!AH164="","",'12 - Device_Configuration'!AH164)</f>
        <v/>
      </c>
      <c r="H163" s="29" t="str">
        <f>IF('12 - Device_Configuration'!A164="","",'12 - Device_Configuration'!A164)</f>
        <v/>
      </c>
      <c r="I163" s="29" t="str">
        <f>IF('12 - Device_Configuration'!AI164="","",'12 - Device_Configuration'!AI164)</f>
        <v/>
      </c>
      <c r="J163" s="29" t="str">
        <f>IF('12 - Device_Configuration'!AJ164="","",'12 - Device_Configuration'!AJ164)</f>
        <v/>
      </c>
      <c r="K163" s="29" t="str">
        <f>IF('12 - Device_Configuration'!AA164="","",'12 - Device_Configuration'!AA164)</f>
        <v/>
      </c>
      <c r="L163" s="29" t="str">
        <f>IF('12 - Device_Configuration'!I164="","",'12 - Device_Configuration'!I164)</f>
        <v/>
      </c>
      <c r="M163" s="30"/>
      <c r="N163" s="29" t="str">
        <f>IF('12 - Device_Configuration'!J164="","",'12 - Device_Configuration'!J164)</f>
        <v/>
      </c>
      <c r="O163" s="29" t="str">
        <f>IF('12 - Device_Configuration'!K164="","",'12 - Device_Configuration'!K164)</f>
        <v/>
      </c>
      <c r="P163" s="29" t="str">
        <f>IF('12 - Device_Configuration'!L164="","",'12 - Device_Configuration'!L164)</f>
        <v/>
      </c>
      <c r="Q163" s="30"/>
      <c r="R163" s="29" t="str">
        <f>IF('12 - Device_Configuration'!AY164="","",'12 - Device_Configuration'!AY164)</f>
        <v/>
      </c>
      <c r="S163" s="29" t="str">
        <f>IF('12 - Device_Configuration'!AX164="","",'12 - Device_Configuration'!AX164)</f>
        <v/>
      </c>
      <c r="T163" s="29" t="str">
        <f>IF('12 - Device_Configuration'!AV164="","",'12 - Device_Configuration'!AV164)</f>
        <v/>
      </c>
      <c r="U163" s="29" t="str">
        <f>IF('12 - Device_Configuration'!AW164="","",'12 - Device_Configuration'!AW164)</f>
        <v/>
      </c>
      <c r="V163" s="29" t="str">
        <f>IF('12 - Device_Configuration'!BA164="","",'12 - Device_Configuration'!BA164)</f>
        <v/>
      </c>
      <c r="W163" s="29" t="str">
        <f>IF('12 - Device_Configuration'!BC164="","",'12 - Device_Configuration'!BC164)</f>
        <v/>
      </c>
      <c r="X163" s="29" t="str">
        <f>IF('12 - Device_Configuration'!BK164="","",'12 - Device_Configuration'!BK164)</f>
        <v/>
      </c>
      <c r="Y163" s="29" t="str">
        <f>IF('12 - Device_Configuration'!BB164="","",'12 - Device_Configuration'!BB164)</f>
        <v/>
      </c>
      <c r="Z163" s="29" t="str">
        <f>IF('12 - Device_Configuration'!P164="","",'12 - Device_Configuration'!P164)</f>
        <v/>
      </c>
      <c r="AA163" s="29" t="str">
        <f>IF('12 - Device_Configuration'!Q164="","",'12 - Device_Configuration'!Q164)</f>
        <v/>
      </c>
    </row>
    <row r="164" spans="1:27">
      <c r="A164" s="30"/>
      <c r="B164" s="30"/>
      <c r="C164" s="29" t="str">
        <f>IF('12 - Device_Configuration'!H165="","",'12 - Device_Configuration'!H165)</f>
        <v/>
      </c>
      <c r="D164" s="29" t="str">
        <f>IF('12 - Device_Configuration'!AE165="","",'12 - Device_Configuration'!AE165)</f>
        <v/>
      </c>
      <c r="E164" s="29" t="str">
        <f>IF('12 - Device_Configuration'!AF165="","",'12 - Device_Configuration'!AF165)</f>
        <v/>
      </c>
      <c r="F164" s="29" t="str">
        <f>IF('12 - Device_Configuration'!AG165="","",'12 - Device_Configuration'!AG165)</f>
        <v/>
      </c>
      <c r="G164" s="29" t="str">
        <f>IF('12 - Device_Configuration'!AH165="","",'12 - Device_Configuration'!AH165)</f>
        <v/>
      </c>
      <c r="H164" s="29" t="str">
        <f>IF('12 - Device_Configuration'!A165="","",'12 - Device_Configuration'!A165)</f>
        <v/>
      </c>
      <c r="I164" s="29" t="str">
        <f>IF('12 - Device_Configuration'!AI165="","",'12 - Device_Configuration'!AI165)</f>
        <v/>
      </c>
      <c r="J164" s="29" t="str">
        <f>IF('12 - Device_Configuration'!AJ165="","",'12 - Device_Configuration'!AJ165)</f>
        <v/>
      </c>
      <c r="K164" s="29" t="str">
        <f>IF('12 - Device_Configuration'!AA165="","",'12 - Device_Configuration'!AA165)</f>
        <v/>
      </c>
      <c r="L164" s="29" t="str">
        <f>IF('12 - Device_Configuration'!I165="","",'12 - Device_Configuration'!I165)</f>
        <v/>
      </c>
      <c r="M164" s="30"/>
      <c r="N164" s="29" t="str">
        <f>IF('12 - Device_Configuration'!J165="","",'12 - Device_Configuration'!J165)</f>
        <v/>
      </c>
      <c r="O164" s="29" t="str">
        <f>IF('12 - Device_Configuration'!K165="","",'12 - Device_Configuration'!K165)</f>
        <v/>
      </c>
      <c r="P164" s="29" t="str">
        <f>IF('12 - Device_Configuration'!L165="","",'12 - Device_Configuration'!L165)</f>
        <v/>
      </c>
      <c r="Q164" s="30"/>
      <c r="R164" s="29" t="str">
        <f>IF('12 - Device_Configuration'!AY165="","",'12 - Device_Configuration'!AY165)</f>
        <v/>
      </c>
      <c r="S164" s="29" t="str">
        <f>IF('12 - Device_Configuration'!AX165="","",'12 - Device_Configuration'!AX165)</f>
        <v/>
      </c>
      <c r="T164" s="29" t="str">
        <f>IF('12 - Device_Configuration'!AV165="","",'12 - Device_Configuration'!AV165)</f>
        <v/>
      </c>
      <c r="U164" s="29" t="str">
        <f>IF('12 - Device_Configuration'!AW165="","",'12 - Device_Configuration'!AW165)</f>
        <v/>
      </c>
      <c r="V164" s="29" t="str">
        <f>IF('12 - Device_Configuration'!BA165="","",'12 - Device_Configuration'!BA165)</f>
        <v/>
      </c>
      <c r="W164" s="29" t="str">
        <f>IF('12 - Device_Configuration'!BC165="","",'12 - Device_Configuration'!BC165)</f>
        <v/>
      </c>
      <c r="X164" s="29" t="str">
        <f>IF('12 - Device_Configuration'!BK165="","",'12 - Device_Configuration'!BK165)</f>
        <v/>
      </c>
      <c r="Y164" s="29" t="str">
        <f>IF('12 - Device_Configuration'!BB165="","",'12 - Device_Configuration'!BB165)</f>
        <v/>
      </c>
      <c r="Z164" s="29" t="str">
        <f>IF('12 - Device_Configuration'!P165="","",'12 - Device_Configuration'!P165)</f>
        <v/>
      </c>
      <c r="AA164" s="29" t="str">
        <f>IF('12 - Device_Configuration'!Q165="","",'12 - Device_Configuration'!Q165)</f>
        <v/>
      </c>
    </row>
    <row r="165" spans="1:27">
      <c r="A165" s="30"/>
      <c r="B165" s="30"/>
      <c r="C165" s="29" t="str">
        <f>IF('12 - Device_Configuration'!H166="","",'12 - Device_Configuration'!H166)</f>
        <v/>
      </c>
      <c r="D165" s="29" t="str">
        <f>IF('12 - Device_Configuration'!AE166="","",'12 - Device_Configuration'!AE166)</f>
        <v/>
      </c>
      <c r="E165" s="29" t="str">
        <f>IF('12 - Device_Configuration'!AF166="","",'12 - Device_Configuration'!AF166)</f>
        <v/>
      </c>
      <c r="F165" s="29" t="str">
        <f>IF('12 - Device_Configuration'!AG166="","",'12 - Device_Configuration'!AG166)</f>
        <v/>
      </c>
      <c r="G165" s="29" t="str">
        <f>IF('12 - Device_Configuration'!AH166="","",'12 - Device_Configuration'!AH166)</f>
        <v/>
      </c>
      <c r="H165" s="29" t="str">
        <f>IF('12 - Device_Configuration'!A166="","",'12 - Device_Configuration'!A166)</f>
        <v/>
      </c>
      <c r="I165" s="29" t="str">
        <f>IF('12 - Device_Configuration'!AI166="","",'12 - Device_Configuration'!AI166)</f>
        <v/>
      </c>
      <c r="J165" s="29" t="str">
        <f>IF('12 - Device_Configuration'!AJ166="","",'12 - Device_Configuration'!AJ166)</f>
        <v/>
      </c>
      <c r="K165" s="29" t="str">
        <f>IF('12 - Device_Configuration'!AA166="","",'12 - Device_Configuration'!AA166)</f>
        <v/>
      </c>
      <c r="L165" s="29" t="str">
        <f>IF('12 - Device_Configuration'!I166="","",'12 - Device_Configuration'!I166)</f>
        <v/>
      </c>
      <c r="M165" s="30"/>
      <c r="N165" s="29" t="str">
        <f>IF('12 - Device_Configuration'!J166="","",'12 - Device_Configuration'!J166)</f>
        <v/>
      </c>
      <c r="O165" s="29" t="str">
        <f>IF('12 - Device_Configuration'!K166="","",'12 - Device_Configuration'!K166)</f>
        <v/>
      </c>
      <c r="P165" s="29" t="str">
        <f>IF('12 - Device_Configuration'!L166="","",'12 - Device_Configuration'!L166)</f>
        <v/>
      </c>
      <c r="Q165" s="30"/>
      <c r="R165" s="29" t="str">
        <f>IF('12 - Device_Configuration'!AY166="","",'12 - Device_Configuration'!AY166)</f>
        <v/>
      </c>
      <c r="S165" s="29" t="str">
        <f>IF('12 - Device_Configuration'!AX166="","",'12 - Device_Configuration'!AX166)</f>
        <v/>
      </c>
      <c r="T165" s="29" t="str">
        <f>IF('12 - Device_Configuration'!AV166="","",'12 - Device_Configuration'!AV166)</f>
        <v/>
      </c>
      <c r="U165" s="29" t="str">
        <f>IF('12 - Device_Configuration'!AW166="","",'12 - Device_Configuration'!AW166)</f>
        <v/>
      </c>
      <c r="V165" s="29" t="str">
        <f>IF('12 - Device_Configuration'!BA166="","",'12 - Device_Configuration'!BA166)</f>
        <v/>
      </c>
      <c r="W165" s="29" t="str">
        <f>IF('12 - Device_Configuration'!BC166="","",'12 - Device_Configuration'!BC166)</f>
        <v/>
      </c>
      <c r="X165" s="29" t="str">
        <f>IF('12 - Device_Configuration'!BK166="","",'12 - Device_Configuration'!BK166)</f>
        <v/>
      </c>
      <c r="Y165" s="29" t="str">
        <f>IF('12 - Device_Configuration'!BB166="","",'12 - Device_Configuration'!BB166)</f>
        <v/>
      </c>
      <c r="Z165" s="29" t="str">
        <f>IF('12 - Device_Configuration'!P166="","",'12 - Device_Configuration'!P166)</f>
        <v/>
      </c>
      <c r="AA165" s="29" t="str">
        <f>IF('12 - Device_Configuration'!Q166="","",'12 - Device_Configuration'!Q166)</f>
        <v/>
      </c>
    </row>
    <row r="166" spans="1:27">
      <c r="A166" s="30"/>
      <c r="B166" s="30"/>
      <c r="C166" s="29" t="str">
        <f>IF('12 - Device_Configuration'!H167="","",'12 - Device_Configuration'!H167)</f>
        <v/>
      </c>
      <c r="D166" s="29" t="str">
        <f>IF('12 - Device_Configuration'!AE167="","",'12 - Device_Configuration'!AE167)</f>
        <v/>
      </c>
      <c r="E166" s="29" t="str">
        <f>IF('12 - Device_Configuration'!AF167="","",'12 - Device_Configuration'!AF167)</f>
        <v/>
      </c>
      <c r="F166" s="29" t="str">
        <f>IF('12 - Device_Configuration'!AG167="","",'12 - Device_Configuration'!AG167)</f>
        <v/>
      </c>
      <c r="G166" s="29" t="str">
        <f>IF('12 - Device_Configuration'!AH167="","",'12 - Device_Configuration'!AH167)</f>
        <v/>
      </c>
      <c r="H166" s="29" t="str">
        <f>IF('12 - Device_Configuration'!A167="","",'12 - Device_Configuration'!A167)</f>
        <v/>
      </c>
      <c r="I166" s="29" t="str">
        <f>IF('12 - Device_Configuration'!AI167="","",'12 - Device_Configuration'!AI167)</f>
        <v/>
      </c>
      <c r="J166" s="29" t="str">
        <f>IF('12 - Device_Configuration'!AJ167="","",'12 - Device_Configuration'!AJ167)</f>
        <v/>
      </c>
      <c r="K166" s="29" t="str">
        <f>IF('12 - Device_Configuration'!AA167="","",'12 - Device_Configuration'!AA167)</f>
        <v/>
      </c>
      <c r="L166" s="29" t="str">
        <f>IF('12 - Device_Configuration'!I167="","",'12 - Device_Configuration'!I167)</f>
        <v/>
      </c>
      <c r="M166" s="30"/>
      <c r="N166" s="29" t="str">
        <f>IF('12 - Device_Configuration'!J167="","",'12 - Device_Configuration'!J167)</f>
        <v/>
      </c>
      <c r="O166" s="29" t="str">
        <f>IF('12 - Device_Configuration'!K167="","",'12 - Device_Configuration'!K167)</f>
        <v/>
      </c>
      <c r="P166" s="29" t="str">
        <f>IF('12 - Device_Configuration'!L167="","",'12 - Device_Configuration'!L167)</f>
        <v/>
      </c>
      <c r="Q166" s="30"/>
      <c r="R166" s="29" t="str">
        <f>IF('12 - Device_Configuration'!AY167="","",'12 - Device_Configuration'!AY167)</f>
        <v/>
      </c>
      <c r="S166" s="29" t="str">
        <f>IF('12 - Device_Configuration'!AX167="","",'12 - Device_Configuration'!AX167)</f>
        <v/>
      </c>
      <c r="T166" s="29" t="str">
        <f>IF('12 - Device_Configuration'!AV167="","",'12 - Device_Configuration'!AV167)</f>
        <v/>
      </c>
      <c r="U166" s="29" t="str">
        <f>IF('12 - Device_Configuration'!AW167="","",'12 - Device_Configuration'!AW167)</f>
        <v/>
      </c>
      <c r="V166" s="29" t="str">
        <f>IF('12 - Device_Configuration'!BA167="","",'12 - Device_Configuration'!BA167)</f>
        <v/>
      </c>
      <c r="W166" s="29" t="str">
        <f>IF('12 - Device_Configuration'!BC167="","",'12 - Device_Configuration'!BC167)</f>
        <v/>
      </c>
      <c r="X166" s="29" t="str">
        <f>IF('12 - Device_Configuration'!BK167="","",'12 - Device_Configuration'!BK167)</f>
        <v/>
      </c>
      <c r="Y166" s="29" t="str">
        <f>IF('12 - Device_Configuration'!BB167="","",'12 - Device_Configuration'!BB167)</f>
        <v/>
      </c>
      <c r="Z166" s="29" t="str">
        <f>IF('12 - Device_Configuration'!P167="","",'12 - Device_Configuration'!P167)</f>
        <v/>
      </c>
      <c r="AA166" s="29" t="str">
        <f>IF('12 - Device_Configuration'!Q167="","",'12 - Device_Configuration'!Q167)</f>
        <v/>
      </c>
    </row>
    <row r="167" spans="1:27">
      <c r="A167" s="30"/>
      <c r="B167" s="30"/>
      <c r="C167" s="29" t="str">
        <f>IF('12 - Device_Configuration'!H168="","",'12 - Device_Configuration'!H168)</f>
        <v/>
      </c>
      <c r="D167" s="29" t="str">
        <f>IF('12 - Device_Configuration'!AE168="","",'12 - Device_Configuration'!AE168)</f>
        <v/>
      </c>
      <c r="E167" s="29" t="str">
        <f>IF('12 - Device_Configuration'!AF168="","",'12 - Device_Configuration'!AF168)</f>
        <v/>
      </c>
      <c r="F167" s="29" t="str">
        <f>IF('12 - Device_Configuration'!AG168="","",'12 - Device_Configuration'!AG168)</f>
        <v/>
      </c>
      <c r="G167" s="29" t="str">
        <f>IF('12 - Device_Configuration'!AH168="","",'12 - Device_Configuration'!AH168)</f>
        <v/>
      </c>
      <c r="H167" s="29" t="str">
        <f>IF('12 - Device_Configuration'!A168="","",'12 - Device_Configuration'!A168)</f>
        <v/>
      </c>
      <c r="I167" s="29" t="str">
        <f>IF('12 - Device_Configuration'!AI168="","",'12 - Device_Configuration'!AI168)</f>
        <v/>
      </c>
      <c r="J167" s="29" t="str">
        <f>IF('12 - Device_Configuration'!AJ168="","",'12 - Device_Configuration'!AJ168)</f>
        <v/>
      </c>
      <c r="K167" s="29" t="str">
        <f>IF('12 - Device_Configuration'!AA168="","",'12 - Device_Configuration'!AA168)</f>
        <v/>
      </c>
      <c r="L167" s="29" t="str">
        <f>IF('12 - Device_Configuration'!I168="","",'12 - Device_Configuration'!I168)</f>
        <v/>
      </c>
      <c r="M167" s="30"/>
      <c r="N167" s="29" t="str">
        <f>IF('12 - Device_Configuration'!J168="","",'12 - Device_Configuration'!J168)</f>
        <v/>
      </c>
      <c r="O167" s="29" t="str">
        <f>IF('12 - Device_Configuration'!K168="","",'12 - Device_Configuration'!K168)</f>
        <v/>
      </c>
      <c r="P167" s="29" t="str">
        <f>IF('12 - Device_Configuration'!L168="","",'12 - Device_Configuration'!L168)</f>
        <v/>
      </c>
      <c r="Q167" s="30"/>
      <c r="R167" s="29" t="str">
        <f>IF('12 - Device_Configuration'!AY168="","",'12 - Device_Configuration'!AY168)</f>
        <v/>
      </c>
      <c r="S167" s="29" t="str">
        <f>IF('12 - Device_Configuration'!AX168="","",'12 - Device_Configuration'!AX168)</f>
        <v/>
      </c>
      <c r="T167" s="29" t="str">
        <f>IF('12 - Device_Configuration'!AV168="","",'12 - Device_Configuration'!AV168)</f>
        <v/>
      </c>
      <c r="U167" s="29" t="str">
        <f>IF('12 - Device_Configuration'!AW168="","",'12 - Device_Configuration'!AW168)</f>
        <v/>
      </c>
      <c r="V167" s="29" t="str">
        <f>IF('12 - Device_Configuration'!BA168="","",'12 - Device_Configuration'!BA168)</f>
        <v/>
      </c>
      <c r="W167" s="29" t="str">
        <f>IF('12 - Device_Configuration'!BC168="","",'12 - Device_Configuration'!BC168)</f>
        <v/>
      </c>
      <c r="X167" s="29" t="str">
        <f>IF('12 - Device_Configuration'!BK168="","",'12 - Device_Configuration'!BK168)</f>
        <v/>
      </c>
      <c r="Y167" s="29" t="str">
        <f>IF('12 - Device_Configuration'!BB168="","",'12 - Device_Configuration'!BB168)</f>
        <v/>
      </c>
      <c r="Z167" s="29" t="str">
        <f>IF('12 - Device_Configuration'!P168="","",'12 - Device_Configuration'!P168)</f>
        <v/>
      </c>
      <c r="AA167" s="29" t="str">
        <f>IF('12 - Device_Configuration'!Q168="","",'12 - Device_Configuration'!Q168)</f>
        <v/>
      </c>
    </row>
    <row r="168" spans="1:27">
      <c r="A168" s="30"/>
      <c r="B168" s="30"/>
      <c r="C168" s="29" t="str">
        <f>IF('12 - Device_Configuration'!H169="","",'12 - Device_Configuration'!H169)</f>
        <v/>
      </c>
      <c r="D168" s="29" t="str">
        <f>IF('12 - Device_Configuration'!AE169="","",'12 - Device_Configuration'!AE169)</f>
        <v/>
      </c>
      <c r="E168" s="29" t="str">
        <f>IF('12 - Device_Configuration'!AF169="","",'12 - Device_Configuration'!AF169)</f>
        <v/>
      </c>
      <c r="F168" s="29" t="str">
        <f>IF('12 - Device_Configuration'!AG169="","",'12 - Device_Configuration'!AG169)</f>
        <v/>
      </c>
      <c r="G168" s="29" t="str">
        <f>IF('12 - Device_Configuration'!AH169="","",'12 - Device_Configuration'!AH169)</f>
        <v/>
      </c>
      <c r="H168" s="29" t="str">
        <f>IF('12 - Device_Configuration'!A169="","",'12 - Device_Configuration'!A169)</f>
        <v/>
      </c>
      <c r="I168" s="29" t="str">
        <f>IF('12 - Device_Configuration'!AI169="","",'12 - Device_Configuration'!AI169)</f>
        <v/>
      </c>
      <c r="J168" s="29" t="str">
        <f>IF('12 - Device_Configuration'!AJ169="","",'12 - Device_Configuration'!AJ169)</f>
        <v/>
      </c>
      <c r="K168" s="29" t="str">
        <f>IF('12 - Device_Configuration'!AA169="","",'12 - Device_Configuration'!AA169)</f>
        <v/>
      </c>
      <c r="L168" s="29" t="str">
        <f>IF('12 - Device_Configuration'!I169="","",'12 - Device_Configuration'!I169)</f>
        <v/>
      </c>
      <c r="M168" s="30"/>
      <c r="N168" s="29" t="str">
        <f>IF('12 - Device_Configuration'!J169="","",'12 - Device_Configuration'!J169)</f>
        <v/>
      </c>
      <c r="O168" s="29" t="str">
        <f>IF('12 - Device_Configuration'!K169="","",'12 - Device_Configuration'!K169)</f>
        <v/>
      </c>
      <c r="P168" s="29" t="str">
        <f>IF('12 - Device_Configuration'!L169="","",'12 - Device_Configuration'!L169)</f>
        <v/>
      </c>
      <c r="Q168" s="30"/>
      <c r="R168" s="29" t="str">
        <f>IF('12 - Device_Configuration'!AY169="","",'12 - Device_Configuration'!AY169)</f>
        <v/>
      </c>
      <c r="S168" s="29" t="str">
        <f>IF('12 - Device_Configuration'!AX169="","",'12 - Device_Configuration'!AX169)</f>
        <v/>
      </c>
      <c r="T168" s="29" t="str">
        <f>IF('12 - Device_Configuration'!AV169="","",'12 - Device_Configuration'!AV169)</f>
        <v/>
      </c>
      <c r="U168" s="29" t="str">
        <f>IF('12 - Device_Configuration'!AW169="","",'12 - Device_Configuration'!AW169)</f>
        <v/>
      </c>
      <c r="V168" s="29" t="str">
        <f>IF('12 - Device_Configuration'!BA169="","",'12 - Device_Configuration'!BA169)</f>
        <v/>
      </c>
      <c r="W168" s="29" t="str">
        <f>IF('12 - Device_Configuration'!BC169="","",'12 - Device_Configuration'!BC169)</f>
        <v/>
      </c>
      <c r="X168" s="29" t="str">
        <f>IF('12 - Device_Configuration'!BK169="","",'12 - Device_Configuration'!BK169)</f>
        <v/>
      </c>
      <c r="Y168" s="29" t="str">
        <f>IF('12 - Device_Configuration'!BB169="","",'12 - Device_Configuration'!BB169)</f>
        <v/>
      </c>
      <c r="Z168" s="29" t="str">
        <f>IF('12 - Device_Configuration'!P169="","",'12 - Device_Configuration'!P169)</f>
        <v/>
      </c>
      <c r="AA168" s="29" t="str">
        <f>IF('12 - Device_Configuration'!Q169="","",'12 - Device_Configuration'!Q169)</f>
        <v/>
      </c>
    </row>
    <row r="169" spans="1:27">
      <c r="A169" s="30"/>
      <c r="B169" s="30"/>
      <c r="C169" s="29" t="str">
        <f>IF('12 - Device_Configuration'!H170="","",'12 - Device_Configuration'!H170)</f>
        <v/>
      </c>
      <c r="D169" s="29" t="str">
        <f>IF('12 - Device_Configuration'!AE170="","",'12 - Device_Configuration'!AE170)</f>
        <v/>
      </c>
      <c r="E169" s="29" t="str">
        <f>IF('12 - Device_Configuration'!AF170="","",'12 - Device_Configuration'!AF170)</f>
        <v/>
      </c>
      <c r="F169" s="29" t="str">
        <f>IF('12 - Device_Configuration'!AG170="","",'12 - Device_Configuration'!AG170)</f>
        <v/>
      </c>
      <c r="G169" s="29" t="str">
        <f>IF('12 - Device_Configuration'!AH170="","",'12 - Device_Configuration'!AH170)</f>
        <v/>
      </c>
      <c r="H169" s="29" t="str">
        <f>IF('12 - Device_Configuration'!A170="","",'12 - Device_Configuration'!A170)</f>
        <v/>
      </c>
      <c r="I169" s="29" t="str">
        <f>IF('12 - Device_Configuration'!AI170="","",'12 - Device_Configuration'!AI170)</f>
        <v/>
      </c>
      <c r="J169" s="29" t="str">
        <f>IF('12 - Device_Configuration'!AJ170="","",'12 - Device_Configuration'!AJ170)</f>
        <v/>
      </c>
      <c r="K169" s="29" t="str">
        <f>IF('12 - Device_Configuration'!AA170="","",'12 - Device_Configuration'!AA170)</f>
        <v/>
      </c>
      <c r="L169" s="29" t="str">
        <f>IF('12 - Device_Configuration'!I170="","",'12 - Device_Configuration'!I170)</f>
        <v/>
      </c>
      <c r="M169" s="30"/>
      <c r="N169" s="29" t="str">
        <f>IF('12 - Device_Configuration'!J170="","",'12 - Device_Configuration'!J170)</f>
        <v/>
      </c>
      <c r="O169" s="29" t="str">
        <f>IF('12 - Device_Configuration'!K170="","",'12 - Device_Configuration'!K170)</f>
        <v/>
      </c>
      <c r="P169" s="29" t="str">
        <f>IF('12 - Device_Configuration'!L170="","",'12 - Device_Configuration'!L170)</f>
        <v/>
      </c>
      <c r="Q169" s="30"/>
      <c r="R169" s="29" t="str">
        <f>IF('12 - Device_Configuration'!AY170="","",'12 - Device_Configuration'!AY170)</f>
        <v/>
      </c>
      <c r="S169" s="29" t="str">
        <f>IF('12 - Device_Configuration'!AX170="","",'12 - Device_Configuration'!AX170)</f>
        <v/>
      </c>
      <c r="T169" s="29" t="str">
        <f>IF('12 - Device_Configuration'!AV170="","",'12 - Device_Configuration'!AV170)</f>
        <v/>
      </c>
      <c r="U169" s="29" t="str">
        <f>IF('12 - Device_Configuration'!AW170="","",'12 - Device_Configuration'!AW170)</f>
        <v/>
      </c>
      <c r="V169" s="29" t="str">
        <f>IF('12 - Device_Configuration'!BA170="","",'12 - Device_Configuration'!BA170)</f>
        <v/>
      </c>
      <c r="W169" s="29" t="str">
        <f>IF('12 - Device_Configuration'!BC170="","",'12 - Device_Configuration'!BC170)</f>
        <v/>
      </c>
      <c r="X169" s="29" t="str">
        <f>IF('12 - Device_Configuration'!BK170="","",'12 - Device_Configuration'!BK170)</f>
        <v/>
      </c>
      <c r="Y169" s="29" t="str">
        <f>IF('12 - Device_Configuration'!BB170="","",'12 - Device_Configuration'!BB170)</f>
        <v/>
      </c>
      <c r="Z169" s="29" t="str">
        <f>IF('12 - Device_Configuration'!P170="","",'12 - Device_Configuration'!P170)</f>
        <v/>
      </c>
      <c r="AA169" s="29" t="str">
        <f>IF('12 - Device_Configuration'!Q170="","",'12 - Device_Configuration'!Q170)</f>
        <v/>
      </c>
    </row>
    <row r="170" spans="1:27">
      <c r="A170" s="30"/>
      <c r="B170" s="30"/>
      <c r="C170" s="29" t="str">
        <f>IF('12 - Device_Configuration'!H171="","",'12 - Device_Configuration'!H171)</f>
        <v/>
      </c>
      <c r="D170" s="29" t="str">
        <f>IF('12 - Device_Configuration'!AE171="","",'12 - Device_Configuration'!AE171)</f>
        <v/>
      </c>
      <c r="E170" s="29" t="str">
        <f>IF('12 - Device_Configuration'!AF171="","",'12 - Device_Configuration'!AF171)</f>
        <v/>
      </c>
      <c r="F170" s="29" t="str">
        <f>IF('12 - Device_Configuration'!AG171="","",'12 - Device_Configuration'!AG171)</f>
        <v/>
      </c>
      <c r="G170" s="29" t="str">
        <f>IF('12 - Device_Configuration'!AH171="","",'12 - Device_Configuration'!AH171)</f>
        <v/>
      </c>
      <c r="H170" s="29" t="str">
        <f>IF('12 - Device_Configuration'!A171="","",'12 - Device_Configuration'!A171)</f>
        <v/>
      </c>
      <c r="I170" s="29" t="str">
        <f>IF('12 - Device_Configuration'!AI171="","",'12 - Device_Configuration'!AI171)</f>
        <v/>
      </c>
      <c r="J170" s="29" t="str">
        <f>IF('12 - Device_Configuration'!AJ171="","",'12 - Device_Configuration'!AJ171)</f>
        <v/>
      </c>
      <c r="K170" s="29" t="str">
        <f>IF('12 - Device_Configuration'!AA171="","",'12 - Device_Configuration'!AA171)</f>
        <v/>
      </c>
      <c r="L170" s="29" t="str">
        <f>IF('12 - Device_Configuration'!I171="","",'12 - Device_Configuration'!I171)</f>
        <v/>
      </c>
      <c r="M170" s="30"/>
      <c r="N170" s="29" t="str">
        <f>IF('12 - Device_Configuration'!J171="","",'12 - Device_Configuration'!J171)</f>
        <v/>
      </c>
      <c r="O170" s="29" t="str">
        <f>IF('12 - Device_Configuration'!K171="","",'12 - Device_Configuration'!K171)</f>
        <v/>
      </c>
      <c r="P170" s="29" t="str">
        <f>IF('12 - Device_Configuration'!L171="","",'12 - Device_Configuration'!L171)</f>
        <v/>
      </c>
      <c r="Q170" s="30"/>
      <c r="R170" s="29" t="str">
        <f>IF('12 - Device_Configuration'!AY171="","",'12 - Device_Configuration'!AY171)</f>
        <v/>
      </c>
      <c r="S170" s="29" t="str">
        <f>IF('12 - Device_Configuration'!AX171="","",'12 - Device_Configuration'!AX171)</f>
        <v/>
      </c>
      <c r="T170" s="29" t="str">
        <f>IF('12 - Device_Configuration'!AV171="","",'12 - Device_Configuration'!AV171)</f>
        <v/>
      </c>
      <c r="U170" s="29" t="str">
        <f>IF('12 - Device_Configuration'!AW171="","",'12 - Device_Configuration'!AW171)</f>
        <v/>
      </c>
      <c r="V170" s="29" t="str">
        <f>IF('12 - Device_Configuration'!BA171="","",'12 - Device_Configuration'!BA171)</f>
        <v/>
      </c>
      <c r="W170" s="29" t="str">
        <f>IF('12 - Device_Configuration'!BC171="","",'12 - Device_Configuration'!BC171)</f>
        <v/>
      </c>
      <c r="X170" s="29" t="str">
        <f>IF('12 - Device_Configuration'!BK171="","",'12 - Device_Configuration'!BK171)</f>
        <v/>
      </c>
      <c r="Y170" s="29" t="str">
        <f>IF('12 - Device_Configuration'!BB171="","",'12 - Device_Configuration'!BB171)</f>
        <v/>
      </c>
      <c r="Z170" s="29" t="str">
        <f>IF('12 - Device_Configuration'!P171="","",'12 - Device_Configuration'!P171)</f>
        <v/>
      </c>
      <c r="AA170" s="29" t="str">
        <f>IF('12 - Device_Configuration'!Q171="","",'12 - Device_Configuration'!Q171)</f>
        <v/>
      </c>
    </row>
    <row r="171" spans="1:27">
      <c r="A171" s="30"/>
      <c r="B171" s="30"/>
      <c r="C171" s="29" t="str">
        <f>IF('12 - Device_Configuration'!H172="","",'12 - Device_Configuration'!H172)</f>
        <v/>
      </c>
      <c r="D171" s="29" t="str">
        <f>IF('12 - Device_Configuration'!AE172="","",'12 - Device_Configuration'!AE172)</f>
        <v/>
      </c>
      <c r="E171" s="29" t="str">
        <f>IF('12 - Device_Configuration'!AF172="","",'12 - Device_Configuration'!AF172)</f>
        <v/>
      </c>
      <c r="F171" s="29" t="str">
        <f>IF('12 - Device_Configuration'!AG172="","",'12 - Device_Configuration'!AG172)</f>
        <v/>
      </c>
      <c r="G171" s="29" t="str">
        <f>IF('12 - Device_Configuration'!AH172="","",'12 - Device_Configuration'!AH172)</f>
        <v/>
      </c>
      <c r="H171" s="29" t="str">
        <f>IF('12 - Device_Configuration'!A172="","",'12 - Device_Configuration'!A172)</f>
        <v/>
      </c>
      <c r="I171" s="29" t="str">
        <f>IF('12 - Device_Configuration'!AI172="","",'12 - Device_Configuration'!AI172)</f>
        <v/>
      </c>
      <c r="J171" s="29" t="str">
        <f>IF('12 - Device_Configuration'!AJ172="","",'12 - Device_Configuration'!AJ172)</f>
        <v/>
      </c>
      <c r="K171" s="29" t="str">
        <f>IF('12 - Device_Configuration'!AA172="","",'12 - Device_Configuration'!AA172)</f>
        <v/>
      </c>
      <c r="L171" s="29" t="str">
        <f>IF('12 - Device_Configuration'!I172="","",'12 - Device_Configuration'!I172)</f>
        <v/>
      </c>
      <c r="M171" s="30"/>
      <c r="N171" s="29" t="str">
        <f>IF('12 - Device_Configuration'!J172="","",'12 - Device_Configuration'!J172)</f>
        <v/>
      </c>
      <c r="O171" s="29" t="str">
        <f>IF('12 - Device_Configuration'!K172="","",'12 - Device_Configuration'!K172)</f>
        <v/>
      </c>
      <c r="P171" s="29" t="str">
        <f>IF('12 - Device_Configuration'!L172="","",'12 - Device_Configuration'!L172)</f>
        <v/>
      </c>
      <c r="Q171" s="30"/>
      <c r="R171" s="29" t="str">
        <f>IF('12 - Device_Configuration'!AY172="","",'12 - Device_Configuration'!AY172)</f>
        <v/>
      </c>
      <c r="S171" s="29" t="str">
        <f>IF('12 - Device_Configuration'!AX172="","",'12 - Device_Configuration'!AX172)</f>
        <v/>
      </c>
      <c r="T171" s="29" t="str">
        <f>IF('12 - Device_Configuration'!AV172="","",'12 - Device_Configuration'!AV172)</f>
        <v/>
      </c>
      <c r="U171" s="29" t="str">
        <f>IF('12 - Device_Configuration'!AW172="","",'12 - Device_Configuration'!AW172)</f>
        <v/>
      </c>
      <c r="V171" s="29" t="str">
        <f>IF('12 - Device_Configuration'!BA172="","",'12 - Device_Configuration'!BA172)</f>
        <v/>
      </c>
      <c r="W171" s="29" t="str">
        <f>IF('12 - Device_Configuration'!BC172="","",'12 - Device_Configuration'!BC172)</f>
        <v/>
      </c>
      <c r="X171" s="29" t="str">
        <f>IF('12 - Device_Configuration'!BK172="","",'12 - Device_Configuration'!BK172)</f>
        <v/>
      </c>
      <c r="Y171" s="29" t="str">
        <f>IF('12 - Device_Configuration'!BB172="","",'12 - Device_Configuration'!BB172)</f>
        <v/>
      </c>
      <c r="Z171" s="29" t="str">
        <f>IF('12 - Device_Configuration'!P172="","",'12 - Device_Configuration'!P172)</f>
        <v/>
      </c>
      <c r="AA171" s="29" t="str">
        <f>IF('12 - Device_Configuration'!Q172="","",'12 - Device_Configuration'!Q172)</f>
        <v/>
      </c>
    </row>
    <row r="172" spans="1:27">
      <c r="A172" s="30"/>
      <c r="B172" s="30"/>
      <c r="C172" s="29" t="str">
        <f>IF('12 - Device_Configuration'!H173="","",'12 - Device_Configuration'!H173)</f>
        <v/>
      </c>
      <c r="D172" s="29" t="str">
        <f>IF('12 - Device_Configuration'!AE173="","",'12 - Device_Configuration'!AE173)</f>
        <v/>
      </c>
      <c r="E172" s="29" t="str">
        <f>IF('12 - Device_Configuration'!AF173="","",'12 - Device_Configuration'!AF173)</f>
        <v/>
      </c>
      <c r="F172" s="29" t="str">
        <f>IF('12 - Device_Configuration'!AG173="","",'12 - Device_Configuration'!AG173)</f>
        <v/>
      </c>
      <c r="G172" s="29" t="str">
        <f>IF('12 - Device_Configuration'!AH173="","",'12 - Device_Configuration'!AH173)</f>
        <v/>
      </c>
      <c r="H172" s="29" t="str">
        <f>IF('12 - Device_Configuration'!A173="","",'12 - Device_Configuration'!A173)</f>
        <v/>
      </c>
      <c r="I172" s="29" t="str">
        <f>IF('12 - Device_Configuration'!AI173="","",'12 - Device_Configuration'!AI173)</f>
        <v/>
      </c>
      <c r="J172" s="29" t="str">
        <f>IF('12 - Device_Configuration'!AJ173="","",'12 - Device_Configuration'!AJ173)</f>
        <v/>
      </c>
      <c r="K172" s="29" t="str">
        <f>IF('12 - Device_Configuration'!AA173="","",'12 - Device_Configuration'!AA173)</f>
        <v/>
      </c>
      <c r="L172" s="29" t="str">
        <f>IF('12 - Device_Configuration'!I173="","",'12 - Device_Configuration'!I173)</f>
        <v/>
      </c>
      <c r="M172" s="30"/>
      <c r="N172" s="29" t="str">
        <f>IF('12 - Device_Configuration'!J173="","",'12 - Device_Configuration'!J173)</f>
        <v/>
      </c>
      <c r="O172" s="29" t="str">
        <f>IF('12 - Device_Configuration'!K173="","",'12 - Device_Configuration'!K173)</f>
        <v/>
      </c>
      <c r="P172" s="29" t="str">
        <f>IF('12 - Device_Configuration'!L173="","",'12 - Device_Configuration'!L173)</f>
        <v/>
      </c>
      <c r="Q172" s="30"/>
      <c r="R172" s="29" t="str">
        <f>IF('12 - Device_Configuration'!AY173="","",'12 - Device_Configuration'!AY173)</f>
        <v/>
      </c>
      <c r="S172" s="29" t="str">
        <f>IF('12 - Device_Configuration'!AX173="","",'12 - Device_Configuration'!AX173)</f>
        <v/>
      </c>
      <c r="T172" s="29" t="str">
        <f>IF('12 - Device_Configuration'!AV173="","",'12 - Device_Configuration'!AV173)</f>
        <v/>
      </c>
      <c r="U172" s="29" t="str">
        <f>IF('12 - Device_Configuration'!AW173="","",'12 - Device_Configuration'!AW173)</f>
        <v/>
      </c>
      <c r="V172" s="29" t="str">
        <f>IF('12 - Device_Configuration'!BA173="","",'12 - Device_Configuration'!BA173)</f>
        <v/>
      </c>
      <c r="W172" s="29" t="str">
        <f>IF('12 - Device_Configuration'!BC173="","",'12 - Device_Configuration'!BC173)</f>
        <v/>
      </c>
      <c r="X172" s="29" t="str">
        <f>IF('12 - Device_Configuration'!BK173="","",'12 - Device_Configuration'!BK173)</f>
        <v/>
      </c>
      <c r="Y172" s="29" t="str">
        <f>IF('12 - Device_Configuration'!BB173="","",'12 - Device_Configuration'!BB173)</f>
        <v/>
      </c>
      <c r="Z172" s="29" t="str">
        <f>IF('12 - Device_Configuration'!P173="","",'12 - Device_Configuration'!P173)</f>
        <v/>
      </c>
      <c r="AA172" s="29" t="str">
        <f>IF('12 - Device_Configuration'!Q173="","",'12 - Device_Configuration'!Q173)</f>
        <v/>
      </c>
    </row>
    <row r="173" spans="1:27">
      <c r="A173" s="30"/>
      <c r="B173" s="30"/>
      <c r="C173" s="29" t="str">
        <f>IF('12 - Device_Configuration'!H174="","",'12 - Device_Configuration'!H174)</f>
        <v/>
      </c>
      <c r="D173" s="29" t="str">
        <f>IF('12 - Device_Configuration'!AE174="","",'12 - Device_Configuration'!AE174)</f>
        <v/>
      </c>
      <c r="E173" s="29" t="str">
        <f>IF('12 - Device_Configuration'!AF174="","",'12 - Device_Configuration'!AF174)</f>
        <v/>
      </c>
      <c r="F173" s="29" t="str">
        <f>IF('12 - Device_Configuration'!AG174="","",'12 - Device_Configuration'!AG174)</f>
        <v/>
      </c>
      <c r="G173" s="29" t="str">
        <f>IF('12 - Device_Configuration'!AH174="","",'12 - Device_Configuration'!AH174)</f>
        <v/>
      </c>
      <c r="H173" s="29" t="str">
        <f>IF('12 - Device_Configuration'!A174="","",'12 - Device_Configuration'!A174)</f>
        <v/>
      </c>
      <c r="I173" s="29" t="str">
        <f>IF('12 - Device_Configuration'!AI174="","",'12 - Device_Configuration'!AI174)</f>
        <v/>
      </c>
      <c r="J173" s="29" t="str">
        <f>IF('12 - Device_Configuration'!AJ174="","",'12 - Device_Configuration'!AJ174)</f>
        <v/>
      </c>
      <c r="K173" s="29" t="str">
        <f>IF('12 - Device_Configuration'!AA174="","",'12 - Device_Configuration'!AA174)</f>
        <v/>
      </c>
      <c r="L173" s="29" t="str">
        <f>IF('12 - Device_Configuration'!I174="","",'12 - Device_Configuration'!I174)</f>
        <v/>
      </c>
      <c r="M173" s="30"/>
      <c r="N173" s="29" t="str">
        <f>IF('12 - Device_Configuration'!J174="","",'12 - Device_Configuration'!J174)</f>
        <v/>
      </c>
      <c r="O173" s="29" t="str">
        <f>IF('12 - Device_Configuration'!K174="","",'12 - Device_Configuration'!K174)</f>
        <v/>
      </c>
      <c r="P173" s="29" t="str">
        <f>IF('12 - Device_Configuration'!L174="","",'12 - Device_Configuration'!L174)</f>
        <v/>
      </c>
      <c r="Q173" s="30"/>
      <c r="R173" s="29" t="str">
        <f>IF('12 - Device_Configuration'!AY174="","",'12 - Device_Configuration'!AY174)</f>
        <v/>
      </c>
      <c r="S173" s="29" t="str">
        <f>IF('12 - Device_Configuration'!AX174="","",'12 - Device_Configuration'!AX174)</f>
        <v/>
      </c>
      <c r="T173" s="29" t="str">
        <f>IF('12 - Device_Configuration'!AV174="","",'12 - Device_Configuration'!AV174)</f>
        <v/>
      </c>
      <c r="U173" s="29" t="str">
        <f>IF('12 - Device_Configuration'!AW174="","",'12 - Device_Configuration'!AW174)</f>
        <v/>
      </c>
      <c r="V173" s="29" t="str">
        <f>IF('12 - Device_Configuration'!BA174="","",'12 - Device_Configuration'!BA174)</f>
        <v/>
      </c>
      <c r="W173" s="29" t="str">
        <f>IF('12 - Device_Configuration'!BC174="","",'12 - Device_Configuration'!BC174)</f>
        <v/>
      </c>
      <c r="X173" s="29" t="str">
        <f>IF('12 - Device_Configuration'!BK174="","",'12 - Device_Configuration'!BK174)</f>
        <v/>
      </c>
      <c r="Y173" s="29" t="str">
        <f>IF('12 - Device_Configuration'!BB174="","",'12 - Device_Configuration'!BB174)</f>
        <v/>
      </c>
      <c r="Z173" s="29" t="str">
        <f>IF('12 - Device_Configuration'!P174="","",'12 - Device_Configuration'!P174)</f>
        <v/>
      </c>
      <c r="AA173" s="29" t="str">
        <f>IF('12 - Device_Configuration'!Q174="","",'12 - Device_Configuration'!Q174)</f>
        <v/>
      </c>
    </row>
    <row r="174" spans="1:27">
      <c r="A174" s="30"/>
      <c r="B174" s="30"/>
      <c r="C174" s="29" t="str">
        <f>IF('12 - Device_Configuration'!H175="","",'12 - Device_Configuration'!H175)</f>
        <v/>
      </c>
      <c r="D174" s="29" t="str">
        <f>IF('12 - Device_Configuration'!AE175="","",'12 - Device_Configuration'!AE175)</f>
        <v/>
      </c>
      <c r="E174" s="29" t="str">
        <f>IF('12 - Device_Configuration'!AF175="","",'12 - Device_Configuration'!AF175)</f>
        <v/>
      </c>
      <c r="F174" s="29" t="str">
        <f>IF('12 - Device_Configuration'!AG175="","",'12 - Device_Configuration'!AG175)</f>
        <v/>
      </c>
      <c r="G174" s="29" t="str">
        <f>IF('12 - Device_Configuration'!AH175="","",'12 - Device_Configuration'!AH175)</f>
        <v/>
      </c>
      <c r="H174" s="29" t="str">
        <f>IF('12 - Device_Configuration'!A175="","",'12 - Device_Configuration'!A175)</f>
        <v/>
      </c>
      <c r="I174" s="29" t="str">
        <f>IF('12 - Device_Configuration'!AI175="","",'12 - Device_Configuration'!AI175)</f>
        <v/>
      </c>
      <c r="J174" s="29" t="str">
        <f>IF('12 - Device_Configuration'!AJ175="","",'12 - Device_Configuration'!AJ175)</f>
        <v/>
      </c>
      <c r="K174" s="29" t="str">
        <f>IF('12 - Device_Configuration'!AA175="","",'12 - Device_Configuration'!AA175)</f>
        <v/>
      </c>
      <c r="L174" s="29" t="str">
        <f>IF('12 - Device_Configuration'!I175="","",'12 - Device_Configuration'!I175)</f>
        <v/>
      </c>
      <c r="M174" s="30"/>
      <c r="N174" s="29" t="str">
        <f>IF('12 - Device_Configuration'!J175="","",'12 - Device_Configuration'!J175)</f>
        <v/>
      </c>
      <c r="O174" s="29" t="str">
        <f>IF('12 - Device_Configuration'!K175="","",'12 - Device_Configuration'!K175)</f>
        <v/>
      </c>
      <c r="P174" s="29" t="str">
        <f>IF('12 - Device_Configuration'!L175="","",'12 - Device_Configuration'!L175)</f>
        <v/>
      </c>
      <c r="Q174" s="30"/>
      <c r="R174" s="29" t="str">
        <f>IF('12 - Device_Configuration'!AY175="","",'12 - Device_Configuration'!AY175)</f>
        <v/>
      </c>
      <c r="S174" s="29" t="str">
        <f>IF('12 - Device_Configuration'!AX175="","",'12 - Device_Configuration'!AX175)</f>
        <v/>
      </c>
      <c r="T174" s="29" t="str">
        <f>IF('12 - Device_Configuration'!AV175="","",'12 - Device_Configuration'!AV175)</f>
        <v/>
      </c>
      <c r="U174" s="29" t="str">
        <f>IF('12 - Device_Configuration'!AW175="","",'12 - Device_Configuration'!AW175)</f>
        <v/>
      </c>
      <c r="V174" s="29" t="str">
        <f>IF('12 - Device_Configuration'!BA175="","",'12 - Device_Configuration'!BA175)</f>
        <v/>
      </c>
      <c r="W174" s="29" t="str">
        <f>IF('12 - Device_Configuration'!BC175="","",'12 - Device_Configuration'!BC175)</f>
        <v/>
      </c>
      <c r="X174" s="29" t="str">
        <f>IF('12 - Device_Configuration'!BK175="","",'12 - Device_Configuration'!BK175)</f>
        <v/>
      </c>
      <c r="Y174" s="29" t="str">
        <f>IF('12 - Device_Configuration'!BB175="","",'12 - Device_Configuration'!BB175)</f>
        <v/>
      </c>
      <c r="Z174" s="29" t="str">
        <f>IF('12 - Device_Configuration'!P175="","",'12 - Device_Configuration'!P175)</f>
        <v/>
      </c>
      <c r="AA174" s="29" t="str">
        <f>IF('12 - Device_Configuration'!Q175="","",'12 - Device_Configuration'!Q175)</f>
        <v/>
      </c>
    </row>
    <row r="175" spans="1:27">
      <c r="A175" s="30"/>
      <c r="B175" s="30"/>
      <c r="C175" s="29" t="str">
        <f>IF('12 - Device_Configuration'!H176="","",'12 - Device_Configuration'!H176)</f>
        <v/>
      </c>
      <c r="D175" s="29" t="str">
        <f>IF('12 - Device_Configuration'!AE176="","",'12 - Device_Configuration'!AE176)</f>
        <v/>
      </c>
      <c r="E175" s="29" t="str">
        <f>IF('12 - Device_Configuration'!AF176="","",'12 - Device_Configuration'!AF176)</f>
        <v/>
      </c>
      <c r="F175" s="29" t="str">
        <f>IF('12 - Device_Configuration'!AG176="","",'12 - Device_Configuration'!AG176)</f>
        <v/>
      </c>
      <c r="G175" s="29" t="str">
        <f>IF('12 - Device_Configuration'!AH176="","",'12 - Device_Configuration'!AH176)</f>
        <v/>
      </c>
      <c r="H175" s="29" t="str">
        <f>IF('12 - Device_Configuration'!A176="","",'12 - Device_Configuration'!A176)</f>
        <v/>
      </c>
      <c r="I175" s="29" t="str">
        <f>IF('12 - Device_Configuration'!AI176="","",'12 - Device_Configuration'!AI176)</f>
        <v/>
      </c>
      <c r="J175" s="29" t="str">
        <f>IF('12 - Device_Configuration'!AJ176="","",'12 - Device_Configuration'!AJ176)</f>
        <v/>
      </c>
      <c r="K175" s="29" t="str">
        <f>IF('12 - Device_Configuration'!AA176="","",'12 - Device_Configuration'!AA176)</f>
        <v/>
      </c>
      <c r="L175" s="29" t="str">
        <f>IF('12 - Device_Configuration'!I176="","",'12 - Device_Configuration'!I176)</f>
        <v/>
      </c>
      <c r="M175" s="30"/>
      <c r="N175" s="29" t="str">
        <f>IF('12 - Device_Configuration'!J176="","",'12 - Device_Configuration'!J176)</f>
        <v/>
      </c>
      <c r="O175" s="29" t="str">
        <f>IF('12 - Device_Configuration'!K176="","",'12 - Device_Configuration'!K176)</f>
        <v/>
      </c>
      <c r="P175" s="29" t="str">
        <f>IF('12 - Device_Configuration'!L176="","",'12 - Device_Configuration'!L176)</f>
        <v/>
      </c>
      <c r="Q175" s="30"/>
      <c r="R175" s="29" t="str">
        <f>IF('12 - Device_Configuration'!AY176="","",'12 - Device_Configuration'!AY176)</f>
        <v/>
      </c>
      <c r="S175" s="29" t="str">
        <f>IF('12 - Device_Configuration'!AX176="","",'12 - Device_Configuration'!AX176)</f>
        <v/>
      </c>
      <c r="T175" s="29" t="str">
        <f>IF('12 - Device_Configuration'!AV176="","",'12 - Device_Configuration'!AV176)</f>
        <v/>
      </c>
      <c r="U175" s="29" t="str">
        <f>IF('12 - Device_Configuration'!AW176="","",'12 - Device_Configuration'!AW176)</f>
        <v/>
      </c>
      <c r="V175" s="29" t="str">
        <f>IF('12 - Device_Configuration'!BA176="","",'12 - Device_Configuration'!BA176)</f>
        <v/>
      </c>
      <c r="W175" s="29" t="str">
        <f>IF('12 - Device_Configuration'!BC176="","",'12 - Device_Configuration'!BC176)</f>
        <v/>
      </c>
      <c r="X175" s="29" t="str">
        <f>IF('12 - Device_Configuration'!BK176="","",'12 - Device_Configuration'!BK176)</f>
        <v/>
      </c>
      <c r="Y175" s="29" t="str">
        <f>IF('12 - Device_Configuration'!BB176="","",'12 - Device_Configuration'!BB176)</f>
        <v/>
      </c>
      <c r="Z175" s="29" t="str">
        <f>IF('12 - Device_Configuration'!P176="","",'12 - Device_Configuration'!P176)</f>
        <v/>
      </c>
      <c r="AA175" s="29" t="str">
        <f>IF('12 - Device_Configuration'!Q176="","",'12 - Device_Configuration'!Q176)</f>
        <v/>
      </c>
    </row>
    <row r="176" spans="1:27">
      <c r="A176" s="30"/>
      <c r="B176" s="30"/>
      <c r="C176" s="29" t="str">
        <f>IF('12 - Device_Configuration'!H177="","",'12 - Device_Configuration'!H177)</f>
        <v/>
      </c>
      <c r="D176" s="29" t="str">
        <f>IF('12 - Device_Configuration'!AE177="","",'12 - Device_Configuration'!AE177)</f>
        <v/>
      </c>
      <c r="E176" s="29" t="str">
        <f>IF('12 - Device_Configuration'!AF177="","",'12 - Device_Configuration'!AF177)</f>
        <v/>
      </c>
      <c r="F176" s="29" t="str">
        <f>IF('12 - Device_Configuration'!AG177="","",'12 - Device_Configuration'!AG177)</f>
        <v/>
      </c>
      <c r="G176" s="29" t="str">
        <f>IF('12 - Device_Configuration'!AH177="","",'12 - Device_Configuration'!AH177)</f>
        <v/>
      </c>
      <c r="H176" s="29" t="str">
        <f>IF('12 - Device_Configuration'!A177="","",'12 - Device_Configuration'!A177)</f>
        <v/>
      </c>
      <c r="I176" s="29" t="str">
        <f>IF('12 - Device_Configuration'!AI177="","",'12 - Device_Configuration'!AI177)</f>
        <v/>
      </c>
      <c r="J176" s="29" t="str">
        <f>IF('12 - Device_Configuration'!AJ177="","",'12 - Device_Configuration'!AJ177)</f>
        <v/>
      </c>
      <c r="K176" s="29" t="str">
        <f>IF('12 - Device_Configuration'!AA177="","",'12 - Device_Configuration'!AA177)</f>
        <v/>
      </c>
      <c r="L176" s="29" t="str">
        <f>IF('12 - Device_Configuration'!I177="","",'12 - Device_Configuration'!I177)</f>
        <v/>
      </c>
      <c r="M176" s="30"/>
      <c r="N176" s="29" t="str">
        <f>IF('12 - Device_Configuration'!J177="","",'12 - Device_Configuration'!J177)</f>
        <v/>
      </c>
      <c r="O176" s="29" t="str">
        <f>IF('12 - Device_Configuration'!K177="","",'12 - Device_Configuration'!K177)</f>
        <v/>
      </c>
      <c r="P176" s="29" t="str">
        <f>IF('12 - Device_Configuration'!L177="","",'12 - Device_Configuration'!L177)</f>
        <v/>
      </c>
      <c r="Q176" s="30"/>
      <c r="R176" s="29" t="str">
        <f>IF('12 - Device_Configuration'!AY177="","",'12 - Device_Configuration'!AY177)</f>
        <v/>
      </c>
      <c r="S176" s="29" t="str">
        <f>IF('12 - Device_Configuration'!AX177="","",'12 - Device_Configuration'!AX177)</f>
        <v/>
      </c>
      <c r="T176" s="29" t="str">
        <f>IF('12 - Device_Configuration'!AV177="","",'12 - Device_Configuration'!AV177)</f>
        <v/>
      </c>
      <c r="U176" s="29" t="str">
        <f>IF('12 - Device_Configuration'!AW177="","",'12 - Device_Configuration'!AW177)</f>
        <v/>
      </c>
      <c r="V176" s="29" t="str">
        <f>IF('12 - Device_Configuration'!BA177="","",'12 - Device_Configuration'!BA177)</f>
        <v/>
      </c>
      <c r="W176" s="29" t="str">
        <f>IF('12 - Device_Configuration'!BC177="","",'12 - Device_Configuration'!BC177)</f>
        <v/>
      </c>
      <c r="X176" s="29" t="str">
        <f>IF('12 - Device_Configuration'!BK177="","",'12 - Device_Configuration'!BK177)</f>
        <v/>
      </c>
      <c r="Y176" s="29" t="str">
        <f>IF('12 - Device_Configuration'!BB177="","",'12 - Device_Configuration'!BB177)</f>
        <v/>
      </c>
      <c r="Z176" s="29" t="str">
        <f>IF('12 - Device_Configuration'!P177="","",'12 - Device_Configuration'!P177)</f>
        <v/>
      </c>
      <c r="AA176" s="29" t="str">
        <f>IF('12 - Device_Configuration'!Q177="","",'12 - Device_Configuration'!Q177)</f>
        <v/>
      </c>
    </row>
    <row r="177" spans="1:27">
      <c r="A177" s="30"/>
      <c r="B177" s="30"/>
      <c r="C177" s="29" t="str">
        <f>IF('12 - Device_Configuration'!H178="","",'12 - Device_Configuration'!H178)</f>
        <v/>
      </c>
      <c r="D177" s="29" t="str">
        <f>IF('12 - Device_Configuration'!AE178="","",'12 - Device_Configuration'!AE178)</f>
        <v/>
      </c>
      <c r="E177" s="29" t="str">
        <f>IF('12 - Device_Configuration'!AF178="","",'12 - Device_Configuration'!AF178)</f>
        <v/>
      </c>
      <c r="F177" s="29" t="str">
        <f>IF('12 - Device_Configuration'!AG178="","",'12 - Device_Configuration'!AG178)</f>
        <v/>
      </c>
      <c r="G177" s="29" t="str">
        <f>IF('12 - Device_Configuration'!AH178="","",'12 - Device_Configuration'!AH178)</f>
        <v/>
      </c>
      <c r="H177" s="29" t="str">
        <f>IF('12 - Device_Configuration'!A178="","",'12 - Device_Configuration'!A178)</f>
        <v/>
      </c>
      <c r="I177" s="29" t="str">
        <f>IF('12 - Device_Configuration'!AI178="","",'12 - Device_Configuration'!AI178)</f>
        <v/>
      </c>
      <c r="J177" s="29" t="str">
        <f>IF('12 - Device_Configuration'!AJ178="","",'12 - Device_Configuration'!AJ178)</f>
        <v/>
      </c>
      <c r="K177" s="29" t="str">
        <f>IF('12 - Device_Configuration'!AA178="","",'12 - Device_Configuration'!AA178)</f>
        <v/>
      </c>
      <c r="L177" s="29" t="str">
        <f>IF('12 - Device_Configuration'!I178="","",'12 - Device_Configuration'!I178)</f>
        <v/>
      </c>
      <c r="M177" s="30"/>
      <c r="N177" s="29" t="str">
        <f>IF('12 - Device_Configuration'!J178="","",'12 - Device_Configuration'!J178)</f>
        <v/>
      </c>
      <c r="O177" s="29" t="str">
        <f>IF('12 - Device_Configuration'!K178="","",'12 - Device_Configuration'!K178)</f>
        <v/>
      </c>
      <c r="P177" s="29" t="str">
        <f>IF('12 - Device_Configuration'!L178="","",'12 - Device_Configuration'!L178)</f>
        <v/>
      </c>
      <c r="Q177" s="30"/>
      <c r="R177" s="29" t="str">
        <f>IF('12 - Device_Configuration'!AY178="","",'12 - Device_Configuration'!AY178)</f>
        <v/>
      </c>
      <c r="S177" s="29" t="str">
        <f>IF('12 - Device_Configuration'!AX178="","",'12 - Device_Configuration'!AX178)</f>
        <v/>
      </c>
      <c r="T177" s="29" t="str">
        <f>IF('12 - Device_Configuration'!AV178="","",'12 - Device_Configuration'!AV178)</f>
        <v/>
      </c>
      <c r="U177" s="29" t="str">
        <f>IF('12 - Device_Configuration'!AW178="","",'12 - Device_Configuration'!AW178)</f>
        <v/>
      </c>
      <c r="V177" s="29" t="str">
        <f>IF('12 - Device_Configuration'!BA178="","",'12 - Device_Configuration'!BA178)</f>
        <v/>
      </c>
      <c r="W177" s="29" t="str">
        <f>IF('12 - Device_Configuration'!BC178="","",'12 - Device_Configuration'!BC178)</f>
        <v/>
      </c>
      <c r="X177" s="29" t="str">
        <f>IF('12 - Device_Configuration'!BK178="","",'12 - Device_Configuration'!BK178)</f>
        <v/>
      </c>
      <c r="Y177" s="29" t="str">
        <f>IF('12 - Device_Configuration'!BB178="","",'12 - Device_Configuration'!BB178)</f>
        <v/>
      </c>
      <c r="Z177" s="29" t="str">
        <f>IF('12 - Device_Configuration'!P178="","",'12 - Device_Configuration'!P178)</f>
        <v/>
      </c>
      <c r="AA177" s="29" t="str">
        <f>IF('12 - Device_Configuration'!Q178="","",'12 - Device_Configuration'!Q178)</f>
        <v/>
      </c>
    </row>
    <row r="178" spans="1:27">
      <c r="A178" s="30"/>
      <c r="B178" s="30"/>
      <c r="C178" s="29" t="str">
        <f>IF('12 - Device_Configuration'!H179="","",'12 - Device_Configuration'!H179)</f>
        <v/>
      </c>
      <c r="D178" s="29" t="str">
        <f>IF('12 - Device_Configuration'!AE179="","",'12 - Device_Configuration'!AE179)</f>
        <v/>
      </c>
      <c r="E178" s="29" t="str">
        <f>IF('12 - Device_Configuration'!AF179="","",'12 - Device_Configuration'!AF179)</f>
        <v/>
      </c>
      <c r="F178" s="29" t="str">
        <f>IF('12 - Device_Configuration'!AG179="","",'12 - Device_Configuration'!AG179)</f>
        <v/>
      </c>
      <c r="G178" s="29" t="str">
        <f>IF('12 - Device_Configuration'!AH179="","",'12 - Device_Configuration'!AH179)</f>
        <v/>
      </c>
      <c r="H178" s="29" t="str">
        <f>IF('12 - Device_Configuration'!A179="","",'12 - Device_Configuration'!A179)</f>
        <v/>
      </c>
      <c r="I178" s="29" t="str">
        <f>IF('12 - Device_Configuration'!AI179="","",'12 - Device_Configuration'!AI179)</f>
        <v/>
      </c>
      <c r="J178" s="29" t="str">
        <f>IF('12 - Device_Configuration'!AJ179="","",'12 - Device_Configuration'!AJ179)</f>
        <v/>
      </c>
      <c r="K178" s="29" t="str">
        <f>IF('12 - Device_Configuration'!AA179="","",'12 - Device_Configuration'!AA179)</f>
        <v/>
      </c>
      <c r="L178" s="29" t="str">
        <f>IF('12 - Device_Configuration'!I179="","",'12 - Device_Configuration'!I179)</f>
        <v/>
      </c>
      <c r="M178" s="30"/>
      <c r="N178" s="29" t="str">
        <f>IF('12 - Device_Configuration'!J179="","",'12 - Device_Configuration'!J179)</f>
        <v/>
      </c>
      <c r="O178" s="29" t="str">
        <f>IF('12 - Device_Configuration'!K179="","",'12 - Device_Configuration'!K179)</f>
        <v/>
      </c>
      <c r="P178" s="29" t="str">
        <f>IF('12 - Device_Configuration'!L179="","",'12 - Device_Configuration'!L179)</f>
        <v/>
      </c>
      <c r="Q178" s="30"/>
      <c r="R178" s="29" t="str">
        <f>IF('12 - Device_Configuration'!AY179="","",'12 - Device_Configuration'!AY179)</f>
        <v/>
      </c>
      <c r="S178" s="29" t="str">
        <f>IF('12 - Device_Configuration'!AX179="","",'12 - Device_Configuration'!AX179)</f>
        <v/>
      </c>
      <c r="T178" s="29" t="str">
        <f>IF('12 - Device_Configuration'!AV179="","",'12 - Device_Configuration'!AV179)</f>
        <v/>
      </c>
      <c r="U178" s="29" t="str">
        <f>IF('12 - Device_Configuration'!AW179="","",'12 - Device_Configuration'!AW179)</f>
        <v/>
      </c>
      <c r="V178" s="29" t="str">
        <f>IF('12 - Device_Configuration'!BA179="","",'12 - Device_Configuration'!BA179)</f>
        <v/>
      </c>
      <c r="W178" s="29" t="str">
        <f>IF('12 - Device_Configuration'!BC179="","",'12 - Device_Configuration'!BC179)</f>
        <v/>
      </c>
      <c r="X178" s="29" t="str">
        <f>IF('12 - Device_Configuration'!BK179="","",'12 - Device_Configuration'!BK179)</f>
        <v/>
      </c>
      <c r="Y178" s="29" t="str">
        <f>IF('12 - Device_Configuration'!BB179="","",'12 - Device_Configuration'!BB179)</f>
        <v/>
      </c>
      <c r="Z178" s="29" t="str">
        <f>IF('12 - Device_Configuration'!P179="","",'12 - Device_Configuration'!P179)</f>
        <v/>
      </c>
      <c r="AA178" s="29" t="str">
        <f>IF('12 - Device_Configuration'!Q179="","",'12 - Device_Configuration'!Q179)</f>
        <v/>
      </c>
    </row>
    <row r="179" spans="1:27">
      <c r="A179" s="30"/>
      <c r="B179" s="30"/>
      <c r="C179" s="29" t="str">
        <f>IF('12 - Device_Configuration'!H180="","",'12 - Device_Configuration'!H180)</f>
        <v/>
      </c>
      <c r="D179" s="29" t="str">
        <f>IF('12 - Device_Configuration'!AE180="","",'12 - Device_Configuration'!AE180)</f>
        <v/>
      </c>
      <c r="E179" s="29" t="str">
        <f>IF('12 - Device_Configuration'!AF180="","",'12 - Device_Configuration'!AF180)</f>
        <v/>
      </c>
      <c r="F179" s="29" t="str">
        <f>IF('12 - Device_Configuration'!AG180="","",'12 - Device_Configuration'!AG180)</f>
        <v/>
      </c>
      <c r="G179" s="29" t="str">
        <f>IF('12 - Device_Configuration'!AH180="","",'12 - Device_Configuration'!AH180)</f>
        <v/>
      </c>
      <c r="H179" s="29" t="str">
        <f>IF('12 - Device_Configuration'!A180="","",'12 - Device_Configuration'!A180)</f>
        <v/>
      </c>
      <c r="I179" s="29" t="str">
        <f>IF('12 - Device_Configuration'!AI180="","",'12 - Device_Configuration'!AI180)</f>
        <v/>
      </c>
      <c r="J179" s="29" t="str">
        <f>IF('12 - Device_Configuration'!AJ180="","",'12 - Device_Configuration'!AJ180)</f>
        <v/>
      </c>
      <c r="K179" s="29" t="str">
        <f>IF('12 - Device_Configuration'!AA180="","",'12 - Device_Configuration'!AA180)</f>
        <v/>
      </c>
      <c r="L179" s="29" t="str">
        <f>IF('12 - Device_Configuration'!I180="","",'12 - Device_Configuration'!I180)</f>
        <v/>
      </c>
      <c r="M179" s="30"/>
      <c r="N179" s="29" t="str">
        <f>IF('12 - Device_Configuration'!J180="","",'12 - Device_Configuration'!J180)</f>
        <v/>
      </c>
      <c r="O179" s="29" t="str">
        <f>IF('12 - Device_Configuration'!K180="","",'12 - Device_Configuration'!K180)</f>
        <v/>
      </c>
      <c r="P179" s="29" t="str">
        <f>IF('12 - Device_Configuration'!L180="","",'12 - Device_Configuration'!L180)</f>
        <v/>
      </c>
      <c r="Q179" s="30"/>
      <c r="R179" s="29" t="str">
        <f>IF('12 - Device_Configuration'!AY180="","",'12 - Device_Configuration'!AY180)</f>
        <v/>
      </c>
      <c r="S179" s="29" t="str">
        <f>IF('12 - Device_Configuration'!AX180="","",'12 - Device_Configuration'!AX180)</f>
        <v/>
      </c>
      <c r="T179" s="29" t="str">
        <f>IF('12 - Device_Configuration'!AV180="","",'12 - Device_Configuration'!AV180)</f>
        <v/>
      </c>
      <c r="U179" s="29" t="str">
        <f>IF('12 - Device_Configuration'!AW180="","",'12 - Device_Configuration'!AW180)</f>
        <v/>
      </c>
      <c r="V179" s="29" t="str">
        <f>IF('12 - Device_Configuration'!BA180="","",'12 - Device_Configuration'!BA180)</f>
        <v/>
      </c>
      <c r="W179" s="29" t="str">
        <f>IF('12 - Device_Configuration'!BC180="","",'12 - Device_Configuration'!BC180)</f>
        <v/>
      </c>
      <c r="X179" s="29" t="str">
        <f>IF('12 - Device_Configuration'!BK180="","",'12 - Device_Configuration'!BK180)</f>
        <v/>
      </c>
      <c r="Y179" s="29" t="str">
        <f>IF('12 - Device_Configuration'!BB180="","",'12 - Device_Configuration'!BB180)</f>
        <v/>
      </c>
      <c r="Z179" s="29" t="str">
        <f>IF('12 - Device_Configuration'!P180="","",'12 - Device_Configuration'!P180)</f>
        <v/>
      </c>
      <c r="AA179" s="29" t="str">
        <f>IF('12 - Device_Configuration'!Q180="","",'12 - Device_Configuration'!Q180)</f>
        <v/>
      </c>
    </row>
    <row r="180" spans="1:27">
      <c r="A180" s="30"/>
      <c r="B180" s="30"/>
      <c r="C180" s="29" t="str">
        <f>IF('12 - Device_Configuration'!H181="","",'12 - Device_Configuration'!H181)</f>
        <v/>
      </c>
      <c r="D180" s="29" t="str">
        <f>IF('12 - Device_Configuration'!AE181="","",'12 - Device_Configuration'!AE181)</f>
        <v/>
      </c>
      <c r="E180" s="29" t="str">
        <f>IF('12 - Device_Configuration'!AF181="","",'12 - Device_Configuration'!AF181)</f>
        <v/>
      </c>
      <c r="F180" s="29" t="str">
        <f>IF('12 - Device_Configuration'!AG181="","",'12 - Device_Configuration'!AG181)</f>
        <v/>
      </c>
      <c r="G180" s="29" t="str">
        <f>IF('12 - Device_Configuration'!AH181="","",'12 - Device_Configuration'!AH181)</f>
        <v/>
      </c>
      <c r="H180" s="29" t="str">
        <f>IF('12 - Device_Configuration'!A181="","",'12 - Device_Configuration'!A181)</f>
        <v/>
      </c>
      <c r="I180" s="29" t="str">
        <f>IF('12 - Device_Configuration'!AI181="","",'12 - Device_Configuration'!AI181)</f>
        <v/>
      </c>
      <c r="J180" s="29" t="str">
        <f>IF('12 - Device_Configuration'!AJ181="","",'12 - Device_Configuration'!AJ181)</f>
        <v/>
      </c>
      <c r="K180" s="29" t="str">
        <f>IF('12 - Device_Configuration'!AA181="","",'12 - Device_Configuration'!AA181)</f>
        <v/>
      </c>
      <c r="L180" s="29" t="str">
        <f>IF('12 - Device_Configuration'!I181="","",'12 - Device_Configuration'!I181)</f>
        <v/>
      </c>
      <c r="M180" s="30"/>
      <c r="N180" s="29" t="str">
        <f>IF('12 - Device_Configuration'!J181="","",'12 - Device_Configuration'!J181)</f>
        <v/>
      </c>
      <c r="O180" s="29" t="str">
        <f>IF('12 - Device_Configuration'!K181="","",'12 - Device_Configuration'!K181)</f>
        <v/>
      </c>
      <c r="P180" s="29" t="str">
        <f>IF('12 - Device_Configuration'!L181="","",'12 - Device_Configuration'!L181)</f>
        <v/>
      </c>
      <c r="Q180" s="30"/>
      <c r="R180" s="29" t="str">
        <f>IF('12 - Device_Configuration'!AY181="","",'12 - Device_Configuration'!AY181)</f>
        <v/>
      </c>
      <c r="S180" s="29" t="str">
        <f>IF('12 - Device_Configuration'!AX181="","",'12 - Device_Configuration'!AX181)</f>
        <v/>
      </c>
      <c r="T180" s="29" t="str">
        <f>IF('12 - Device_Configuration'!AV181="","",'12 - Device_Configuration'!AV181)</f>
        <v/>
      </c>
      <c r="U180" s="29" t="str">
        <f>IF('12 - Device_Configuration'!AW181="","",'12 - Device_Configuration'!AW181)</f>
        <v/>
      </c>
      <c r="V180" s="29" t="str">
        <f>IF('12 - Device_Configuration'!BA181="","",'12 - Device_Configuration'!BA181)</f>
        <v/>
      </c>
      <c r="W180" s="29" t="str">
        <f>IF('12 - Device_Configuration'!BC181="","",'12 - Device_Configuration'!BC181)</f>
        <v/>
      </c>
      <c r="X180" s="29" t="str">
        <f>IF('12 - Device_Configuration'!BK181="","",'12 - Device_Configuration'!BK181)</f>
        <v/>
      </c>
      <c r="Y180" s="29" t="str">
        <f>IF('12 - Device_Configuration'!BB181="","",'12 - Device_Configuration'!BB181)</f>
        <v/>
      </c>
      <c r="Z180" s="29" t="str">
        <f>IF('12 - Device_Configuration'!P181="","",'12 - Device_Configuration'!P181)</f>
        <v/>
      </c>
      <c r="AA180" s="29" t="str">
        <f>IF('12 - Device_Configuration'!Q181="","",'12 - Device_Configuration'!Q181)</f>
        <v/>
      </c>
    </row>
    <row r="181" spans="1:27">
      <c r="A181" s="30"/>
      <c r="B181" s="30"/>
      <c r="C181" s="29" t="str">
        <f>IF('12 - Device_Configuration'!H182="","",'12 - Device_Configuration'!H182)</f>
        <v/>
      </c>
      <c r="D181" s="29" t="str">
        <f>IF('12 - Device_Configuration'!AE182="","",'12 - Device_Configuration'!AE182)</f>
        <v/>
      </c>
      <c r="E181" s="29" t="str">
        <f>IF('12 - Device_Configuration'!AF182="","",'12 - Device_Configuration'!AF182)</f>
        <v/>
      </c>
      <c r="F181" s="29" t="str">
        <f>IF('12 - Device_Configuration'!AG182="","",'12 - Device_Configuration'!AG182)</f>
        <v/>
      </c>
      <c r="G181" s="29" t="str">
        <f>IF('12 - Device_Configuration'!AH182="","",'12 - Device_Configuration'!AH182)</f>
        <v/>
      </c>
      <c r="H181" s="29" t="str">
        <f>IF('12 - Device_Configuration'!A182="","",'12 - Device_Configuration'!A182)</f>
        <v/>
      </c>
      <c r="I181" s="29" t="str">
        <f>IF('12 - Device_Configuration'!AI182="","",'12 - Device_Configuration'!AI182)</f>
        <v/>
      </c>
      <c r="J181" s="29" t="str">
        <f>IF('12 - Device_Configuration'!AJ182="","",'12 - Device_Configuration'!AJ182)</f>
        <v/>
      </c>
      <c r="K181" s="29" t="str">
        <f>IF('12 - Device_Configuration'!AA182="","",'12 - Device_Configuration'!AA182)</f>
        <v/>
      </c>
      <c r="L181" s="29" t="str">
        <f>IF('12 - Device_Configuration'!I182="","",'12 - Device_Configuration'!I182)</f>
        <v/>
      </c>
      <c r="M181" s="30"/>
      <c r="N181" s="29" t="str">
        <f>IF('12 - Device_Configuration'!J182="","",'12 - Device_Configuration'!J182)</f>
        <v/>
      </c>
      <c r="O181" s="29" t="str">
        <f>IF('12 - Device_Configuration'!K182="","",'12 - Device_Configuration'!K182)</f>
        <v/>
      </c>
      <c r="P181" s="29" t="str">
        <f>IF('12 - Device_Configuration'!L182="","",'12 - Device_Configuration'!L182)</f>
        <v/>
      </c>
      <c r="Q181" s="30"/>
      <c r="R181" s="29" t="str">
        <f>IF('12 - Device_Configuration'!AY182="","",'12 - Device_Configuration'!AY182)</f>
        <v/>
      </c>
      <c r="S181" s="29" t="str">
        <f>IF('12 - Device_Configuration'!AX182="","",'12 - Device_Configuration'!AX182)</f>
        <v/>
      </c>
      <c r="T181" s="29" t="str">
        <f>IF('12 - Device_Configuration'!AV182="","",'12 - Device_Configuration'!AV182)</f>
        <v/>
      </c>
      <c r="U181" s="29" t="str">
        <f>IF('12 - Device_Configuration'!AW182="","",'12 - Device_Configuration'!AW182)</f>
        <v/>
      </c>
      <c r="V181" s="29" t="str">
        <f>IF('12 - Device_Configuration'!BA182="","",'12 - Device_Configuration'!BA182)</f>
        <v/>
      </c>
      <c r="W181" s="29" t="str">
        <f>IF('12 - Device_Configuration'!BC182="","",'12 - Device_Configuration'!BC182)</f>
        <v/>
      </c>
      <c r="X181" s="29" t="str">
        <f>IF('12 - Device_Configuration'!BK182="","",'12 - Device_Configuration'!BK182)</f>
        <v/>
      </c>
      <c r="Y181" s="29" t="str">
        <f>IF('12 - Device_Configuration'!BB182="","",'12 - Device_Configuration'!BB182)</f>
        <v/>
      </c>
      <c r="Z181" s="29" t="str">
        <f>IF('12 - Device_Configuration'!P182="","",'12 - Device_Configuration'!P182)</f>
        <v/>
      </c>
      <c r="AA181" s="29" t="str">
        <f>IF('12 - Device_Configuration'!Q182="","",'12 - Device_Configuration'!Q182)</f>
        <v/>
      </c>
    </row>
    <row r="182" spans="1:27">
      <c r="A182" s="30"/>
      <c r="B182" s="30"/>
      <c r="C182" s="29" t="str">
        <f>IF('12 - Device_Configuration'!H183="","",'12 - Device_Configuration'!H183)</f>
        <v/>
      </c>
      <c r="D182" s="29" t="str">
        <f>IF('12 - Device_Configuration'!AE183="","",'12 - Device_Configuration'!AE183)</f>
        <v/>
      </c>
      <c r="E182" s="29" t="str">
        <f>IF('12 - Device_Configuration'!AF183="","",'12 - Device_Configuration'!AF183)</f>
        <v/>
      </c>
      <c r="F182" s="29" t="str">
        <f>IF('12 - Device_Configuration'!AG183="","",'12 - Device_Configuration'!AG183)</f>
        <v/>
      </c>
      <c r="G182" s="29" t="str">
        <f>IF('12 - Device_Configuration'!AH183="","",'12 - Device_Configuration'!AH183)</f>
        <v/>
      </c>
      <c r="H182" s="29" t="str">
        <f>IF('12 - Device_Configuration'!A183="","",'12 - Device_Configuration'!A183)</f>
        <v/>
      </c>
      <c r="I182" s="29" t="str">
        <f>IF('12 - Device_Configuration'!AI183="","",'12 - Device_Configuration'!AI183)</f>
        <v/>
      </c>
      <c r="J182" s="29" t="str">
        <f>IF('12 - Device_Configuration'!AJ183="","",'12 - Device_Configuration'!AJ183)</f>
        <v/>
      </c>
      <c r="K182" s="29" t="str">
        <f>IF('12 - Device_Configuration'!AA183="","",'12 - Device_Configuration'!AA183)</f>
        <v/>
      </c>
      <c r="L182" s="29" t="str">
        <f>IF('12 - Device_Configuration'!I183="","",'12 - Device_Configuration'!I183)</f>
        <v/>
      </c>
      <c r="M182" s="30"/>
      <c r="N182" s="29" t="str">
        <f>IF('12 - Device_Configuration'!J183="","",'12 - Device_Configuration'!J183)</f>
        <v/>
      </c>
      <c r="O182" s="29" t="str">
        <f>IF('12 - Device_Configuration'!K183="","",'12 - Device_Configuration'!K183)</f>
        <v/>
      </c>
      <c r="P182" s="29" t="str">
        <f>IF('12 - Device_Configuration'!L183="","",'12 - Device_Configuration'!L183)</f>
        <v/>
      </c>
      <c r="Q182" s="30"/>
      <c r="R182" s="29" t="str">
        <f>IF('12 - Device_Configuration'!AY183="","",'12 - Device_Configuration'!AY183)</f>
        <v/>
      </c>
      <c r="S182" s="29" t="str">
        <f>IF('12 - Device_Configuration'!AX183="","",'12 - Device_Configuration'!AX183)</f>
        <v/>
      </c>
      <c r="T182" s="29" t="str">
        <f>IF('12 - Device_Configuration'!AV183="","",'12 - Device_Configuration'!AV183)</f>
        <v/>
      </c>
      <c r="U182" s="29" t="str">
        <f>IF('12 - Device_Configuration'!AW183="","",'12 - Device_Configuration'!AW183)</f>
        <v/>
      </c>
      <c r="V182" s="29" t="str">
        <f>IF('12 - Device_Configuration'!BA183="","",'12 - Device_Configuration'!BA183)</f>
        <v/>
      </c>
      <c r="W182" s="29" t="str">
        <f>IF('12 - Device_Configuration'!BC183="","",'12 - Device_Configuration'!BC183)</f>
        <v/>
      </c>
      <c r="X182" s="29" t="str">
        <f>IF('12 - Device_Configuration'!BK183="","",'12 - Device_Configuration'!BK183)</f>
        <v/>
      </c>
      <c r="Y182" s="29" t="str">
        <f>IF('12 - Device_Configuration'!BB183="","",'12 - Device_Configuration'!BB183)</f>
        <v/>
      </c>
      <c r="Z182" s="29" t="str">
        <f>IF('12 - Device_Configuration'!P183="","",'12 - Device_Configuration'!P183)</f>
        <v/>
      </c>
      <c r="AA182" s="29" t="str">
        <f>IF('12 - Device_Configuration'!Q183="","",'12 - Device_Configuration'!Q183)</f>
        <v/>
      </c>
    </row>
    <row r="183" spans="1:27">
      <c r="A183" s="30"/>
      <c r="B183" s="30"/>
      <c r="C183" s="29" t="str">
        <f>IF('12 - Device_Configuration'!H184="","",'12 - Device_Configuration'!H184)</f>
        <v/>
      </c>
      <c r="D183" s="29" t="str">
        <f>IF('12 - Device_Configuration'!AE184="","",'12 - Device_Configuration'!AE184)</f>
        <v/>
      </c>
      <c r="E183" s="29" t="str">
        <f>IF('12 - Device_Configuration'!AF184="","",'12 - Device_Configuration'!AF184)</f>
        <v/>
      </c>
      <c r="F183" s="29" t="str">
        <f>IF('12 - Device_Configuration'!AG184="","",'12 - Device_Configuration'!AG184)</f>
        <v/>
      </c>
      <c r="G183" s="29" t="str">
        <f>IF('12 - Device_Configuration'!AH184="","",'12 - Device_Configuration'!AH184)</f>
        <v/>
      </c>
      <c r="H183" s="29" t="str">
        <f>IF('12 - Device_Configuration'!A184="","",'12 - Device_Configuration'!A184)</f>
        <v/>
      </c>
      <c r="I183" s="29" t="str">
        <f>IF('12 - Device_Configuration'!AI184="","",'12 - Device_Configuration'!AI184)</f>
        <v/>
      </c>
      <c r="J183" s="29" t="str">
        <f>IF('12 - Device_Configuration'!AJ184="","",'12 - Device_Configuration'!AJ184)</f>
        <v/>
      </c>
      <c r="K183" s="29" t="str">
        <f>IF('12 - Device_Configuration'!AA184="","",'12 - Device_Configuration'!AA184)</f>
        <v/>
      </c>
      <c r="L183" s="29" t="str">
        <f>IF('12 - Device_Configuration'!I184="","",'12 - Device_Configuration'!I184)</f>
        <v/>
      </c>
      <c r="M183" s="30"/>
      <c r="N183" s="29" t="str">
        <f>IF('12 - Device_Configuration'!J184="","",'12 - Device_Configuration'!J184)</f>
        <v/>
      </c>
      <c r="O183" s="29" t="str">
        <f>IF('12 - Device_Configuration'!K184="","",'12 - Device_Configuration'!K184)</f>
        <v/>
      </c>
      <c r="P183" s="29" t="str">
        <f>IF('12 - Device_Configuration'!L184="","",'12 - Device_Configuration'!L184)</f>
        <v/>
      </c>
      <c r="Q183" s="30"/>
      <c r="R183" s="29" t="str">
        <f>IF('12 - Device_Configuration'!AY184="","",'12 - Device_Configuration'!AY184)</f>
        <v/>
      </c>
      <c r="S183" s="29" t="str">
        <f>IF('12 - Device_Configuration'!AX184="","",'12 - Device_Configuration'!AX184)</f>
        <v/>
      </c>
      <c r="T183" s="29" t="str">
        <f>IF('12 - Device_Configuration'!AV184="","",'12 - Device_Configuration'!AV184)</f>
        <v/>
      </c>
      <c r="U183" s="29" t="str">
        <f>IF('12 - Device_Configuration'!AW184="","",'12 - Device_Configuration'!AW184)</f>
        <v/>
      </c>
      <c r="V183" s="29" t="str">
        <f>IF('12 - Device_Configuration'!BA184="","",'12 - Device_Configuration'!BA184)</f>
        <v/>
      </c>
      <c r="W183" s="29" t="str">
        <f>IF('12 - Device_Configuration'!BC184="","",'12 - Device_Configuration'!BC184)</f>
        <v/>
      </c>
      <c r="X183" s="29" t="str">
        <f>IF('12 - Device_Configuration'!BK184="","",'12 - Device_Configuration'!BK184)</f>
        <v/>
      </c>
      <c r="Y183" s="29" t="str">
        <f>IF('12 - Device_Configuration'!BB184="","",'12 - Device_Configuration'!BB184)</f>
        <v/>
      </c>
      <c r="Z183" s="29" t="str">
        <f>IF('12 - Device_Configuration'!P184="","",'12 - Device_Configuration'!P184)</f>
        <v/>
      </c>
      <c r="AA183" s="29" t="str">
        <f>IF('12 - Device_Configuration'!Q184="","",'12 - Device_Configuration'!Q184)</f>
        <v/>
      </c>
    </row>
    <row r="184" spans="1:27">
      <c r="A184" s="30"/>
      <c r="B184" s="30"/>
      <c r="C184" s="29" t="str">
        <f>IF('12 - Device_Configuration'!H185="","",'12 - Device_Configuration'!H185)</f>
        <v/>
      </c>
      <c r="D184" s="29" t="str">
        <f>IF('12 - Device_Configuration'!AE185="","",'12 - Device_Configuration'!AE185)</f>
        <v/>
      </c>
      <c r="E184" s="29" t="str">
        <f>IF('12 - Device_Configuration'!AF185="","",'12 - Device_Configuration'!AF185)</f>
        <v/>
      </c>
      <c r="F184" s="29" t="str">
        <f>IF('12 - Device_Configuration'!AG185="","",'12 - Device_Configuration'!AG185)</f>
        <v/>
      </c>
      <c r="G184" s="29" t="str">
        <f>IF('12 - Device_Configuration'!AH185="","",'12 - Device_Configuration'!AH185)</f>
        <v/>
      </c>
      <c r="H184" s="29" t="str">
        <f>IF('12 - Device_Configuration'!A185="","",'12 - Device_Configuration'!A185)</f>
        <v/>
      </c>
      <c r="I184" s="29" t="str">
        <f>IF('12 - Device_Configuration'!AI185="","",'12 - Device_Configuration'!AI185)</f>
        <v/>
      </c>
      <c r="J184" s="29" t="str">
        <f>IF('12 - Device_Configuration'!AJ185="","",'12 - Device_Configuration'!AJ185)</f>
        <v/>
      </c>
      <c r="K184" s="29" t="str">
        <f>IF('12 - Device_Configuration'!AA185="","",'12 - Device_Configuration'!AA185)</f>
        <v/>
      </c>
      <c r="L184" s="29" t="str">
        <f>IF('12 - Device_Configuration'!I185="","",'12 - Device_Configuration'!I185)</f>
        <v/>
      </c>
      <c r="M184" s="30"/>
      <c r="N184" s="29" t="str">
        <f>IF('12 - Device_Configuration'!J185="","",'12 - Device_Configuration'!J185)</f>
        <v/>
      </c>
      <c r="O184" s="29" t="str">
        <f>IF('12 - Device_Configuration'!K185="","",'12 - Device_Configuration'!K185)</f>
        <v/>
      </c>
      <c r="P184" s="29" t="str">
        <f>IF('12 - Device_Configuration'!L185="","",'12 - Device_Configuration'!L185)</f>
        <v/>
      </c>
      <c r="Q184" s="30"/>
      <c r="R184" s="29" t="str">
        <f>IF('12 - Device_Configuration'!AY185="","",'12 - Device_Configuration'!AY185)</f>
        <v/>
      </c>
      <c r="S184" s="29" t="str">
        <f>IF('12 - Device_Configuration'!AX185="","",'12 - Device_Configuration'!AX185)</f>
        <v/>
      </c>
      <c r="T184" s="29" t="str">
        <f>IF('12 - Device_Configuration'!AV185="","",'12 - Device_Configuration'!AV185)</f>
        <v/>
      </c>
      <c r="U184" s="29" t="str">
        <f>IF('12 - Device_Configuration'!AW185="","",'12 - Device_Configuration'!AW185)</f>
        <v/>
      </c>
      <c r="V184" s="29" t="str">
        <f>IF('12 - Device_Configuration'!BA185="","",'12 - Device_Configuration'!BA185)</f>
        <v/>
      </c>
      <c r="W184" s="29" t="str">
        <f>IF('12 - Device_Configuration'!BC185="","",'12 - Device_Configuration'!BC185)</f>
        <v/>
      </c>
      <c r="X184" s="29" t="str">
        <f>IF('12 - Device_Configuration'!BK185="","",'12 - Device_Configuration'!BK185)</f>
        <v/>
      </c>
      <c r="Y184" s="29" t="str">
        <f>IF('12 - Device_Configuration'!BB185="","",'12 - Device_Configuration'!BB185)</f>
        <v/>
      </c>
      <c r="Z184" s="29" t="str">
        <f>IF('12 - Device_Configuration'!P185="","",'12 - Device_Configuration'!P185)</f>
        <v/>
      </c>
      <c r="AA184" s="29" t="str">
        <f>IF('12 - Device_Configuration'!Q185="","",'12 - Device_Configuration'!Q185)</f>
        <v/>
      </c>
    </row>
    <row r="185" spans="1:27">
      <c r="A185" s="30"/>
      <c r="B185" s="30"/>
      <c r="C185" s="29" t="str">
        <f>IF('12 - Device_Configuration'!H186="","",'12 - Device_Configuration'!H186)</f>
        <v/>
      </c>
      <c r="D185" s="29" t="str">
        <f>IF('12 - Device_Configuration'!AE186="","",'12 - Device_Configuration'!AE186)</f>
        <v/>
      </c>
      <c r="E185" s="29" t="str">
        <f>IF('12 - Device_Configuration'!AF186="","",'12 - Device_Configuration'!AF186)</f>
        <v/>
      </c>
      <c r="F185" s="29" t="str">
        <f>IF('12 - Device_Configuration'!AG186="","",'12 - Device_Configuration'!AG186)</f>
        <v/>
      </c>
      <c r="G185" s="29" t="str">
        <f>IF('12 - Device_Configuration'!AH186="","",'12 - Device_Configuration'!AH186)</f>
        <v/>
      </c>
      <c r="H185" s="29" t="str">
        <f>IF('12 - Device_Configuration'!A186="","",'12 - Device_Configuration'!A186)</f>
        <v/>
      </c>
      <c r="I185" s="29" t="str">
        <f>IF('12 - Device_Configuration'!AI186="","",'12 - Device_Configuration'!AI186)</f>
        <v/>
      </c>
      <c r="J185" s="29" t="str">
        <f>IF('12 - Device_Configuration'!AJ186="","",'12 - Device_Configuration'!AJ186)</f>
        <v/>
      </c>
      <c r="K185" s="29" t="str">
        <f>IF('12 - Device_Configuration'!AA186="","",'12 - Device_Configuration'!AA186)</f>
        <v/>
      </c>
      <c r="L185" s="29" t="str">
        <f>IF('12 - Device_Configuration'!I186="","",'12 - Device_Configuration'!I186)</f>
        <v/>
      </c>
      <c r="M185" s="30"/>
      <c r="N185" s="29" t="str">
        <f>IF('12 - Device_Configuration'!J186="","",'12 - Device_Configuration'!J186)</f>
        <v/>
      </c>
      <c r="O185" s="29" t="str">
        <f>IF('12 - Device_Configuration'!K186="","",'12 - Device_Configuration'!K186)</f>
        <v/>
      </c>
      <c r="P185" s="29" t="str">
        <f>IF('12 - Device_Configuration'!L186="","",'12 - Device_Configuration'!L186)</f>
        <v/>
      </c>
      <c r="Q185" s="30"/>
      <c r="R185" s="29" t="str">
        <f>IF('12 - Device_Configuration'!AY186="","",'12 - Device_Configuration'!AY186)</f>
        <v/>
      </c>
      <c r="S185" s="29" t="str">
        <f>IF('12 - Device_Configuration'!AX186="","",'12 - Device_Configuration'!AX186)</f>
        <v/>
      </c>
      <c r="T185" s="29" t="str">
        <f>IF('12 - Device_Configuration'!AV186="","",'12 - Device_Configuration'!AV186)</f>
        <v/>
      </c>
      <c r="U185" s="29" t="str">
        <f>IF('12 - Device_Configuration'!AW186="","",'12 - Device_Configuration'!AW186)</f>
        <v/>
      </c>
      <c r="V185" s="29" t="str">
        <f>IF('12 - Device_Configuration'!BA186="","",'12 - Device_Configuration'!BA186)</f>
        <v/>
      </c>
      <c r="W185" s="29" t="str">
        <f>IF('12 - Device_Configuration'!BC186="","",'12 - Device_Configuration'!BC186)</f>
        <v/>
      </c>
      <c r="X185" s="29" t="str">
        <f>IF('12 - Device_Configuration'!BK186="","",'12 - Device_Configuration'!BK186)</f>
        <v/>
      </c>
      <c r="Y185" s="29" t="str">
        <f>IF('12 - Device_Configuration'!BB186="","",'12 - Device_Configuration'!BB186)</f>
        <v/>
      </c>
      <c r="Z185" s="29" t="str">
        <f>IF('12 - Device_Configuration'!P186="","",'12 - Device_Configuration'!P186)</f>
        <v/>
      </c>
      <c r="AA185" s="29" t="str">
        <f>IF('12 - Device_Configuration'!Q186="","",'12 - Device_Configuration'!Q186)</f>
        <v/>
      </c>
    </row>
    <row r="186" spans="1:27">
      <c r="A186" s="30"/>
      <c r="B186" s="30"/>
      <c r="C186" s="29" t="str">
        <f>IF('12 - Device_Configuration'!H187="","",'12 - Device_Configuration'!H187)</f>
        <v/>
      </c>
      <c r="D186" s="29" t="str">
        <f>IF('12 - Device_Configuration'!AE187="","",'12 - Device_Configuration'!AE187)</f>
        <v/>
      </c>
      <c r="E186" s="29" t="str">
        <f>IF('12 - Device_Configuration'!AF187="","",'12 - Device_Configuration'!AF187)</f>
        <v/>
      </c>
      <c r="F186" s="29" t="str">
        <f>IF('12 - Device_Configuration'!AG187="","",'12 - Device_Configuration'!AG187)</f>
        <v/>
      </c>
      <c r="G186" s="29" t="str">
        <f>IF('12 - Device_Configuration'!AH187="","",'12 - Device_Configuration'!AH187)</f>
        <v/>
      </c>
      <c r="H186" s="29" t="str">
        <f>IF('12 - Device_Configuration'!A187="","",'12 - Device_Configuration'!A187)</f>
        <v/>
      </c>
      <c r="I186" s="29" t="str">
        <f>IF('12 - Device_Configuration'!AI187="","",'12 - Device_Configuration'!AI187)</f>
        <v/>
      </c>
      <c r="J186" s="29" t="str">
        <f>IF('12 - Device_Configuration'!AJ187="","",'12 - Device_Configuration'!AJ187)</f>
        <v/>
      </c>
      <c r="K186" s="29" t="str">
        <f>IF('12 - Device_Configuration'!AA187="","",'12 - Device_Configuration'!AA187)</f>
        <v/>
      </c>
      <c r="L186" s="29" t="str">
        <f>IF('12 - Device_Configuration'!I187="","",'12 - Device_Configuration'!I187)</f>
        <v/>
      </c>
      <c r="M186" s="30"/>
      <c r="N186" s="29" t="str">
        <f>IF('12 - Device_Configuration'!J187="","",'12 - Device_Configuration'!J187)</f>
        <v/>
      </c>
      <c r="O186" s="29" t="str">
        <f>IF('12 - Device_Configuration'!K187="","",'12 - Device_Configuration'!K187)</f>
        <v/>
      </c>
      <c r="P186" s="29" t="str">
        <f>IF('12 - Device_Configuration'!L187="","",'12 - Device_Configuration'!L187)</f>
        <v/>
      </c>
      <c r="Q186" s="30"/>
      <c r="R186" s="29" t="str">
        <f>IF('12 - Device_Configuration'!AY187="","",'12 - Device_Configuration'!AY187)</f>
        <v/>
      </c>
      <c r="S186" s="29" t="str">
        <f>IF('12 - Device_Configuration'!AX187="","",'12 - Device_Configuration'!AX187)</f>
        <v/>
      </c>
      <c r="T186" s="29" t="str">
        <f>IF('12 - Device_Configuration'!AV187="","",'12 - Device_Configuration'!AV187)</f>
        <v/>
      </c>
      <c r="U186" s="29" t="str">
        <f>IF('12 - Device_Configuration'!AW187="","",'12 - Device_Configuration'!AW187)</f>
        <v/>
      </c>
      <c r="V186" s="29" t="str">
        <f>IF('12 - Device_Configuration'!BA187="","",'12 - Device_Configuration'!BA187)</f>
        <v/>
      </c>
      <c r="W186" s="29" t="str">
        <f>IF('12 - Device_Configuration'!BC187="","",'12 - Device_Configuration'!BC187)</f>
        <v/>
      </c>
      <c r="X186" s="29" t="str">
        <f>IF('12 - Device_Configuration'!BK187="","",'12 - Device_Configuration'!BK187)</f>
        <v/>
      </c>
      <c r="Y186" s="29" t="str">
        <f>IF('12 - Device_Configuration'!BB187="","",'12 - Device_Configuration'!BB187)</f>
        <v/>
      </c>
      <c r="Z186" s="29" t="str">
        <f>IF('12 - Device_Configuration'!P187="","",'12 - Device_Configuration'!P187)</f>
        <v/>
      </c>
      <c r="AA186" s="29" t="str">
        <f>IF('12 - Device_Configuration'!Q187="","",'12 - Device_Configuration'!Q187)</f>
        <v/>
      </c>
    </row>
    <row r="187" spans="1:27">
      <c r="A187" s="30"/>
      <c r="B187" s="30"/>
      <c r="C187" s="29" t="str">
        <f>IF('12 - Device_Configuration'!H188="","",'12 - Device_Configuration'!H188)</f>
        <v/>
      </c>
      <c r="D187" s="29" t="str">
        <f>IF('12 - Device_Configuration'!AE188="","",'12 - Device_Configuration'!AE188)</f>
        <v/>
      </c>
      <c r="E187" s="29" t="str">
        <f>IF('12 - Device_Configuration'!AF188="","",'12 - Device_Configuration'!AF188)</f>
        <v/>
      </c>
      <c r="F187" s="29" t="str">
        <f>IF('12 - Device_Configuration'!AG188="","",'12 - Device_Configuration'!AG188)</f>
        <v/>
      </c>
      <c r="G187" s="29" t="str">
        <f>IF('12 - Device_Configuration'!AH188="","",'12 - Device_Configuration'!AH188)</f>
        <v/>
      </c>
      <c r="H187" s="29" t="str">
        <f>IF('12 - Device_Configuration'!A188="","",'12 - Device_Configuration'!A188)</f>
        <v/>
      </c>
      <c r="I187" s="29" t="str">
        <f>IF('12 - Device_Configuration'!AI188="","",'12 - Device_Configuration'!AI188)</f>
        <v/>
      </c>
      <c r="J187" s="29" t="str">
        <f>IF('12 - Device_Configuration'!AJ188="","",'12 - Device_Configuration'!AJ188)</f>
        <v/>
      </c>
      <c r="K187" s="29" t="str">
        <f>IF('12 - Device_Configuration'!AA188="","",'12 - Device_Configuration'!AA188)</f>
        <v/>
      </c>
      <c r="L187" s="29" t="str">
        <f>IF('12 - Device_Configuration'!I188="","",'12 - Device_Configuration'!I188)</f>
        <v/>
      </c>
      <c r="M187" s="30"/>
      <c r="N187" s="29" t="str">
        <f>IF('12 - Device_Configuration'!J188="","",'12 - Device_Configuration'!J188)</f>
        <v/>
      </c>
      <c r="O187" s="29" t="str">
        <f>IF('12 - Device_Configuration'!K188="","",'12 - Device_Configuration'!K188)</f>
        <v/>
      </c>
      <c r="P187" s="29" t="str">
        <f>IF('12 - Device_Configuration'!L188="","",'12 - Device_Configuration'!L188)</f>
        <v/>
      </c>
      <c r="Q187" s="30"/>
      <c r="R187" s="29" t="str">
        <f>IF('12 - Device_Configuration'!AY188="","",'12 - Device_Configuration'!AY188)</f>
        <v/>
      </c>
      <c r="S187" s="29" t="str">
        <f>IF('12 - Device_Configuration'!AX188="","",'12 - Device_Configuration'!AX188)</f>
        <v/>
      </c>
      <c r="T187" s="29" t="str">
        <f>IF('12 - Device_Configuration'!AV188="","",'12 - Device_Configuration'!AV188)</f>
        <v/>
      </c>
      <c r="U187" s="29" t="str">
        <f>IF('12 - Device_Configuration'!AW188="","",'12 - Device_Configuration'!AW188)</f>
        <v/>
      </c>
      <c r="V187" s="29" t="str">
        <f>IF('12 - Device_Configuration'!BA188="","",'12 - Device_Configuration'!BA188)</f>
        <v/>
      </c>
      <c r="W187" s="29" t="str">
        <f>IF('12 - Device_Configuration'!BC188="","",'12 - Device_Configuration'!BC188)</f>
        <v/>
      </c>
      <c r="X187" s="29" t="str">
        <f>IF('12 - Device_Configuration'!BK188="","",'12 - Device_Configuration'!BK188)</f>
        <v/>
      </c>
      <c r="Y187" s="29" t="str">
        <f>IF('12 - Device_Configuration'!BB188="","",'12 - Device_Configuration'!BB188)</f>
        <v/>
      </c>
      <c r="Z187" s="29" t="str">
        <f>IF('12 - Device_Configuration'!P188="","",'12 - Device_Configuration'!P188)</f>
        <v/>
      </c>
      <c r="AA187" s="29" t="str">
        <f>IF('12 - Device_Configuration'!Q188="","",'12 - Device_Configuration'!Q188)</f>
        <v/>
      </c>
    </row>
    <row r="188" spans="1:27">
      <c r="A188" s="30"/>
      <c r="B188" s="30"/>
      <c r="C188" s="29" t="str">
        <f>IF('12 - Device_Configuration'!H189="","",'12 - Device_Configuration'!H189)</f>
        <v/>
      </c>
      <c r="D188" s="29" t="str">
        <f>IF('12 - Device_Configuration'!AE189="","",'12 - Device_Configuration'!AE189)</f>
        <v/>
      </c>
      <c r="E188" s="29" t="str">
        <f>IF('12 - Device_Configuration'!AF189="","",'12 - Device_Configuration'!AF189)</f>
        <v/>
      </c>
      <c r="F188" s="29" t="str">
        <f>IF('12 - Device_Configuration'!AG189="","",'12 - Device_Configuration'!AG189)</f>
        <v/>
      </c>
      <c r="G188" s="29" t="str">
        <f>IF('12 - Device_Configuration'!AH189="","",'12 - Device_Configuration'!AH189)</f>
        <v/>
      </c>
      <c r="H188" s="29" t="str">
        <f>IF('12 - Device_Configuration'!A189="","",'12 - Device_Configuration'!A189)</f>
        <v/>
      </c>
      <c r="I188" s="29" t="str">
        <f>IF('12 - Device_Configuration'!AI189="","",'12 - Device_Configuration'!AI189)</f>
        <v/>
      </c>
      <c r="J188" s="29" t="str">
        <f>IF('12 - Device_Configuration'!AJ189="","",'12 - Device_Configuration'!AJ189)</f>
        <v/>
      </c>
      <c r="K188" s="29" t="str">
        <f>IF('12 - Device_Configuration'!AA189="","",'12 - Device_Configuration'!AA189)</f>
        <v/>
      </c>
      <c r="L188" s="29" t="str">
        <f>IF('12 - Device_Configuration'!I189="","",'12 - Device_Configuration'!I189)</f>
        <v/>
      </c>
      <c r="M188" s="30"/>
      <c r="N188" s="29" t="str">
        <f>IF('12 - Device_Configuration'!J189="","",'12 - Device_Configuration'!J189)</f>
        <v/>
      </c>
      <c r="O188" s="29" t="str">
        <f>IF('12 - Device_Configuration'!K189="","",'12 - Device_Configuration'!K189)</f>
        <v/>
      </c>
      <c r="P188" s="29" t="str">
        <f>IF('12 - Device_Configuration'!L189="","",'12 - Device_Configuration'!L189)</f>
        <v/>
      </c>
      <c r="Q188" s="30"/>
      <c r="R188" s="29" t="str">
        <f>IF('12 - Device_Configuration'!AY189="","",'12 - Device_Configuration'!AY189)</f>
        <v/>
      </c>
      <c r="S188" s="29" t="str">
        <f>IF('12 - Device_Configuration'!AX189="","",'12 - Device_Configuration'!AX189)</f>
        <v/>
      </c>
      <c r="T188" s="29" t="str">
        <f>IF('12 - Device_Configuration'!AV189="","",'12 - Device_Configuration'!AV189)</f>
        <v/>
      </c>
      <c r="U188" s="29" t="str">
        <f>IF('12 - Device_Configuration'!AW189="","",'12 - Device_Configuration'!AW189)</f>
        <v/>
      </c>
      <c r="V188" s="29" t="str">
        <f>IF('12 - Device_Configuration'!BA189="","",'12 - Device_Configuration'!BA189)</f>
        <v/>
      </c>
      <c r="W188" s="29" t="str">
        <f>IF('12 - Device_Configuration'!BC189="","",'12 - Device_Configuration'!BC189)</f>
        <v/>
      </c>
      <c r="X188" s="29" t="str">
        <f>IF('12 - Device_Configuration'!BK189="","",'12 - Device_Configuration'!BK189)</f>
        <v/>
      </c>
      <c r="Y188" s="29" t="str">
        <f>IF('12 - Device_Configuration'!BB189="","",'12 - Device_Configuration'!BB189)</f>
        <v/>
      </c>
      <c r="Z188" s="29" t="str">
        <f>IF('12 - Device_Configuration'!P189="","",'12 - Device_Configuration'!P189)</f>
        <v/>
      </c>
      <c r="AA188" s="29" t="str">
        <f>IF('12 - Device_Configuration'!Q189="","",'12 - Device_Configuration'!Q189)</f>
        <v/>
      </c>
    </row>
    <row r="189" spans="1:27">
      <c r="A189" s="30"/>
      <c r="B189" s="30"/>
      <c r="C189" s="29" t="str">
        <f>IF('12 - Device_Configuration'!H190="","",'12 - Device_Configuration'!H190)</f>
        <v/>
      </c>
      <c r="D189" s="29" t="str">
        <f>IF('12 - Device_Configuration'!AE190="","",'12 - Device_Configuration'!AE190)</f>
        <v/>
      </c>
      <c r="E189" s="29" t="str">
        <f>IF('12 - Device_Configuration'!AF190="","",'12 - Device_Configuration'!AF190)</f>
        <v/>
      </c>
      <c r="F189" s="29" t="str">
        <f>IF('12 - Device_Configuration'!AG190="","",'12 - Device_Configuration'!AG190)</f>
        <v/>
      </c>
      <c r="G189" s="29" t="str">
        <f>IF('12 - Device_Configuration'!AH190="","",'12 - Device_Configuration'!AH190)</f>
        <v/>
      </c>
      <c r="H189" s="29" t="str">
        <f>IF('12 - Device_Configuration'!A190="","",'12 - Device_Configuration'!A190)</f>
        <v/>
      </c>
      <c r="I189" s="29" t="str">
        <f>IF('12 - Device_Configuration'!AI190="","",'12 - Device_Configuration'!AI190)</f>
        <v/>
      </c>
      <c r="J189" s="29" t="str">
        <f>IF('12 - Device_Configuration'!AJ190="","",'12 - Device_Configuration'!AJ190)</f>
        <v/>
      </c>
      <c r="K189" s="29" t="str">
        <f>IF('12 - Device_Configuration'!AA190="","",'12 - Device_Configuration'!AA190)</f>
        <v/>
      </c>
      <c r="L189" s="29" t="str">
        <f>IF('12 - Device_Configuration'!I190="","",'12 - Device_Configuration'!I190)</f>
        <v/>
      </c>
      <c r="M189" s="30"/>
      <c r="N189" s="29" t="str">
        <f>IF('12 - Device_Configuration'!J190="","",'12 - Device_Configuration'!J190)</f>
        <v/>
      </c>
      <c r="O189" s="29" t="str">
        <f>IF('12 - Device_Configuration'!K190="","",'12 - Device_Configuration'!K190)</f>
        <v/>
      </c>
      <c r="P189" s="29" t="str">
        <f>IF('12 - Device_Configuration'!L190="","",'12 - Device_Configuration'!L190)</f>
        <v/>
      </c>
      <c r="Q189" s="30"/>
      <c r="R189" s="29" t="str">
        <f>IF('12 - Device_Configuration'!AY190="","",'12 - Device_Configuration'!AY190)</f>
        <v/>
      </c>
      <c r="S189" s="29" t="str">
        <f>IF('12 - Device_Configuration'!AX190="","",'12 - Device_Configuration'!AX190)</f>
        <v/>
      </c>
      <c r="T189" s="29" t="str">
        <f>IF('12 - Device_Configuration'!AV190="","",'12 - Device_Configuration'!AV190)</f>
        <v/>
      </c>
      <c r="U189" s="29" t="str">
        <f>IF('12 - Device_Configuration'!AW190="","",'12 - Device_Configuration'!AW190)</f>
        <v/>
      </c>
      <c r="V189" s="29" t="str">
        <f>IF('12 - Device_Configuration'!BA190="","",'12 - Device_Configuration'!BA190)</f>
        <v/>
      </c>
      <c r="W189" s="29" t="str">
        <f>IF('12 - Device_Configuration'!BC190="","",'12 - Device_Configuration'!BC190)</f>
        <v/>
      </c>
      <c r="X189" s="29" t="str">
        <f>IF('12 - Device_Configuration'!BK190="","",'12 - Device_Configuration'!BK190)</f>
        <v/>
      </c>
      <c r="Y189" s="29" t="str">
        <f>IF('12 - Device_Configuration'!BB190="","",'12 - Device_Configuration'!BB190)</f>
        <v/>
      </c>
      <c r="Z189" s="29" t="str">
        <f>IF('12 - Device_Configuration'!P190="","",'12 - Device_Configuration'!P190)</f>
        <v/>
      </c>
      <c r="AA189" s="29" t="str">
        <f>IF('12 - Device_Configuration'!Q190="","",'12 - Device_Configuration'!Q190)</f>
        <v/>
      </c>
    </row>
    <row r="190" spans="1:27">
      <c r="A190" s="30"/>
      <c r="B190" s="30"/>
      <c r="C190" s="29" t="str">
        <f>IF('12 - Device_Configuration'!H191="","",'12 - Device_Configuration'!H191)</f>
        <v/>
      </c>
      <c r="D190" s="29" t="str">
        <f>IF('12 - Device_Configuration'!AE191="","",'12 - Device_Configuration'!AE191)</f>
        <v/>
      </c>
      <c r="E190" s="29" t="str">
        <f>IF('12 - Device_Configuration'!AF191="","",'12 - Device_Configuration'!AF191)</f>
        <v/>
      </c>
      <c r="F190" s="29" t="str">
        <f>IF('12 - Device_Configuration'!AG191="","",'12 - Device_Configuration'!AG191)</f>
        <v/>
      </c>
      <c r="G190" s="29" t="str">
        <f>IF('12 - Device_Configuration'!AH191="","",'12 - Device_Configuration'!AH191)</f>
        <v/>
      </c>
      <c r="H190" s="29" t="str">
        <f>IF('12 - Device_Configuration'!A191="","",'12 - Device_Configuration'!A191)</f>
        <v/>
      </c>
      <c r="I190" s="29" t="str">
        <f>IF('12 - Device_Configuration'!AI191="","",'12 - Device_Configuration'!AI191)</f>
        <v/>
      </c>
      <c r="J190" s="29" t="str">
        <f>IF('12 - Device_Configuration'!AJ191="","",'12 - Device_Configuration'!AJ191)</f>
        <v/>
      </c>
      <c r="K190" s="29" t="str">
        <f>IF('12 - Device_Configuration'!AA191="","",'12 - Device_Configuration'!AA191)</f>
        <v/>
      </c>
      <c r="L190" s="29" t="str">
        <f>IF('12 - Device_Configuration'!I191="","",'12 - Device_Configuration'!I191)</f>
        <v/>
      </c>
      <c r="M190" s="30"/>
      <c r="N190" s="29" t="str">
        <f>IF('12 - Device_Configuration'!J191="","",'12 - Device_Configuration'!J191)</f>
        <v/>
      </c>
      <c r="O190" s="29" t="str">
        <f>IF('12 - Device_Configuration'!K191="","",'12 - Device_Configuration'!K191)</f>
        <v/>
      </c>
      <c r="P190" s="29" t="str">
        <f>IF('12 - Device_Configuration'!L191="","",'12 - Device_Configuration'!L191)</f>
        <v/>
      </c>
      <c r="Q190" s="30"/>
      <c r="R190" s="29" t="str">
        <f>IF('12 - Device_Configuration'!AY191="","",'12 - Device_Configuration'!AY191)</f>
        <v/>
      </c>
      <c r="S190" s="29" t="str">
        <f>IF('12 - Device_Configuration'!AX191="","",'12 - Device_Configuration'!AX191)</f>
        <v/>
      </c>
      <c r="T190" s="29" t="str">
        <f>IF('12 - Device_Configuration'!AV191="","",'12 - Device_Configuration'!AV191)</f>
        <v/>
      </c>
      <c r="U190" s="29" t="str">
        <f>IF('12 - Device_Configuration'!AW191="","",'12 - Device_Configuration'!AW191)</f>
        <v/>
      </c>
      <c r="V190" s="29" t="str">
        <f>IF('12 - Device_Configuration'!BA191="","",'12 - Device_Configuration'!BA191)</f>
        <v/>
      </c>
      <c r="W190" s="29" t="str">
        <f>IF('12 - Device_Configuration'!BC191="","",'12 - Device_Configuration'!BC191)</f>
        <v/>
      </c>
      <c r="X190" s="29" t="str">
        <f>IF('12 - Device_Configuration'!BK191="","",'12 - Device_Configuration'!BK191)</f>
        <v/>
      </c>
      <c r="Y190" s="29" t="str">
        <f>IF('12 - Device_Configuration'!BB191="","",'12 - Device_Configuration'!BB191)</f>
        <v/>
      </c>
      <c r="Z190" s="29" t="str">
        <f>IF('12 - Device_Configuration'!P191="","",'12 - Device_Configuration'!P191)</f>
        <v/>
      </c>
      <c r="AA190" s="29" t="str">
        <f>IF('12 - Device_Configuration'!Q191="","",'12 - Device_Configuration'!Q191)</f>
        <v/>
      </c>
    </row>
    <row r="191" spans="1:27">
      <c r="A191" s="30"/>
      <c r="B191" s="30"/>
      <c r="C191" s="29" t="str">
        <f>IF('12 - Device_Configuration'!H192="","",'12 - Device_Configuration'!H192)</f>
        <v/>
      </c>
      <c r="D191" s="29" t="str">
        <f>IF('12 - Device_Configuration'!AE192="","",'12 - Device_Configuration'!AE192)</f>
        <v/>
      </c>
      <c r="E191" s="29" t="str">
        <f>IF('12 - Device_Configuration'!AF192="","",'12 - Device_Configuration'!AF192)</f>
        <v/>
      </c>
      <c r="F191" s="29" t="str">
        <f>IF('12 - Device_Configuration'!AG192="","",'12 - Device_Configuration'!AG192)</f>
        <v/>
      </c>
      <c r="G191" s="29" t="str">
        <f>IF('12 - Device_Configuration'!AH192="","",'12 - Device_Configuration'!AH192)</f>
        <v/>
      </c>
      <c r="H191" s="29" t="str">
        <f>IF('12 - Device_Configuration'!A192="","",'12 - Device_Configuration'!A192)</f>
        <v/>
      </c>
      <c r="I191" s="29" t="str">
        <f>IF('12 - Device_Configuration'!AI192="","",'12 - Device_Configuration'!AI192)</f>
        <v/>
      </c>
      <c r="J191" s="29" t="str">
        <f>IF('12 - Device_Configuration'!AJ192="","",'12 - Device_Configuration'!AJ192)</f>
        <v/>
      </c>
      <c r="K191" s="29" t="str">
        <f>IF('12 - Device_Configuration'!AA192="","",'12 - Device_Configuration'!AA192)</f>
        <v/>
      </c>
      <c r="L191" s="29" t="str">
        <f>IF('12 - Device_Configuration'!I192="","",'12 - Device_Configuration'!I192)</f>
        <v/>
      </c>
      <c r="M191" s="30"/>
      <c r="N191" s="29" t="str">
        <f>IF('12 - Device_Configuration'!J192="","",'12 - Device_Configuration'!J192)</f>
        <v/>
      </c>
      <c r="O191" s="29" t="str">
        <f>IF('12 - Device_Configuration'!K192="","",'12 - Device_Configuration'!K192)</f>
        <v/>
      </c>
      <c r="P191" s="29" t="str">
        <f>IF('12 - Device_Configuration'!L192="","",'12 - Device_Configuration'!L192)</f>
        <v/>
      </c>
      <c r="Q191" s="30"/>
      <c r="R191" s="29" t="str">
        <f>IF('12 - Device_Configuration'!AY192="","",'12 - Device_Configuration'!AY192)</f>
        <v/>
      </c>
      <c r="S191" s="29" t="str">
        <f>IF('12 - Device_Configuration'!AX192="","",'12 - Device_Configuration'!AX192)</f>
        <v/>
      </c>
      <c r="T191" s="29" t="str">
        <f>IF('12 - Device_Configuration'!AV192="","",'12 - Device_Configuration'!AV192)</f>
        <v/>
      </c>
      <c r="U191" s="29" t="str">
        <f>IF('12 - Device_Configuration'!AW192="","",'12 - Device_Configuration'!AW192)</f>
        <v/>
      </c>
      <c r="V191" s="29" t="str">
        <f>IF('12 - Device_Configuration'!BA192="","",'12 - Device_Configuration'!BA192)</f>
        <v/>
      </c>
      <c r="W191" s="29" t="str">
        <f>IF('12 - Device_Configuration'!BC192="","",'12 - Device_Configuration'!BC192)</f>
        <v/>
      </c>
      <c r="X191" s="29" t="str">
        <f>IF('12 - Device_Configuration'!BK192="","",'12 - Device_Configuration'!BK192)</f>
        <v/>
      </c>
      <c r="Y191" s="29" t="str">
        <f>IF('12 - Device_Configuration'!BB192="","",'12 - Device_Configuration'!BB192)</f>
        <v/>
      </c>
      <c r="Z191" s="29" t="str">
        <f>IF('12 - Device_Configuration'!P192="","",'12 - Device_Configuration'!P192)</f>
        <v/>
      </c>
      <c r="AA191" s="29" t="str">
        <f>IF('12 - Device_Configuration'!Q192="","",'12 - Device_Configuration'!Q192)</f>
        <v/>
      </c>
    </row>
    <row r="192" spans="1:27">
      <c r="A192" s="30"/>
      <c r="B192" s="30"/>
      <c r="C192" s="29" t="str">
        <f>IF('12 - Device_Configuration'!H193="","",'12 - Device_Configuration'!H193)</f>
        <v/>
      </c>
      <c r="D192" s="29" t="str">
        <f>IF('12 - Device_Configuration'!AE193="","",'12 - Device_Configuration'!AE193)</f>
        <v/>
      </c>
      <c r="E192" s="29" t="str">
        <f>IF('12 - Device_Configuration'!AF193="","",'12 - Device_Configuration'!AF193)</f>
        <v/>
      </c>
      <c r="F192" s="29" t="str">
        <f>IF('12 - Device_Configuration'!AG193="","",'12 - Device_Configuration'!AG193)</f>
        <v/>
      </c>
      <c r="G192" s="29" t="str">
        <f>IF('12 - Device_Configuration'!AH193="","",'12 - Device_Configuration'!AH193)</f>
        <v/>
      </c>
      <c r="H192" s="29" t="str">
        <f>IF('12 - Device_Configuration'!A193="","",'12 - Device_Configuration'!A193)</f>
        <v/>
      </c>
      <c r="I192" s="29" t="str">
        <f>IF('12 - Device_Configuration'!AI193="","",'12 - Device_Configuration'!AI193)</f>
        <v/>
      </c>
      <c r="J192" s="29" t="str">
        <f>IF('12 - Device_Configuration'!AJ193="","",'12 - Device_Configuration'!AJ193)</f>
        <v/>
      </c>
      <c r="K192" s="29" t="str">
        <f>IF('12 - Device_Configuration'!AA193="","",'12 - Device_Configuration'!AA193)</f>
        <v/>
      </c>
      <c r="L192" s="29" t="str">
        <f>IF('12 - Device_Configuration'!I193="","",'12 - Device_Configuration'!I193)</f>
        <v/>
      </c>
      <c r="M192" s="30"/>
      <c r="N192" s="29" t="str">
        <f>IF('12 - Device_Configuration'!J193="","",'12 - Device_Configuration'!J193)</f>
        <v/>
      </c>
      <c r="O192" s="29" t="str">
        <f>IF('12 - Device_Configuration'!K193="","",'12 - Device_Configuration'!K193)</f>
        <v/>
      </c>
      <c r="P192" s="29" t="str">
        <f>IF('12 - Device_Configuration'!L193="","",'12 - Device_Configuration'!L193)</f>
        <v/>
      </c>
      <c r="Q192" s="30"/>
      <c r="R192" s="29" t="str">
        <f>IF('12 - Device_Configuration'!AY193="","",'12 - Device_Configuration'!AY193)</f>
        <v/>
      </c>
      <c r="S192" s="29" t="str">
        <f>IF('12 - Device_Configuration'!AX193="","",'12 - Device_Configuration'!AX193)</f>
        <v/>
      </c>
      <c r="T192" s="29" t="str">
        <f>IF('12 - Device_Configuration'!AV193="","",'12 - Device_Configuration'!AV193)</f>
        <v/>
      </c>
      <c r="U192" s="29" t="str">
        <f>IF('12 - Device_Configuration'!AW193="","",'12 - Device_Configuration'!AW193)</f>
        <v/>
      </c>
      <c r="V192" s="29" t="str">
        <f>IF('12 - Device_Configuration'!BA193="","",'12 - Device_Configuration'!BA193)</f>
        <v/>
      </c>
      <c r="W192" s="29" t="str">
        <f>IF('12 - Device_Configuration'!BC193="","",'12 - Device_Configuration'!BC193)</f>
        <v/>
      </c>
      <c r="X192" s="29" t="str">
        <f>IF('12 - Device_Configuration'!BK193="","",'12 - Device_Configuration'!BK193)</f>
        <v/>
      </c>
      <c r="Y192" s="29" t="str">
        <f>IF('12 - Device_Configuration'!BB193="","",'12 - Device_Configuration'!BB193)</f>
        <v/>
      </c>
      <c r="Z192" s="29" t="str">
        <f>IF('12 - Device_Configuration'!P193="","",'12 - Device_Configuration'!P193)</f>
        <v/>
      </c>
      <c r="AA192" s="29" t="str">
        <f>IF('12 - Device_Configuration'!Q193="","",'12 - Device_Configuration'!Q193)</f>
        <v/>
      </c>
    </row>
    <row r="193" spans="1:27">
      <c r="A193" s="30"/>
      <c r="B193" s="30"/>
      <c r="C193" s="29" t="str">
        <f>IF('12 - Device_Configuration'!H194="","",'12 - Device_Configuration'!H194)</f>
        <v/>
      </c>
      <c r="D193" s="29" t="str">
        <f>IF('12 - Device_Configuration'!AE194="","",'12 - Device_Configuration'!AE194)</f>
        <v/>
      </c>
      <c r="E193" s="29" t="str">
        <f>IF('12 - Device_Configuration'!AF194="","",'12 - Device_Configuration'!AF194)</f>
        <v/>
      </c>
      <c r="F193" s="29" t="str">
        <f>IF('12 - Device_Configuration'!AG194="","",'12 - Device_Configuration'!AG194)</f>
        <v/>
      </c>
      <c r="G193" s="29" t="str">
        <f>IF('12 - Device_Configuration'!AH194="","",'12 - Device_Configuration'!AH194)</f>
        <v/>
      </c>
      <c r="H193" s="29" t="str">
        <f>IF('12 - Device_Configuration'!A194="","",'12 - Device_Configuration'!A194)</f>
        <v/>
      </c>
      <c r="I193" s="29" t="str">
        <f>IF('12 - Device_Configuration'!AI194="","",'12 - Device_Configuration'!AI194)</f>
        <v/>
      </c>
      <c r="J193" s="29" t="str">
        <f>IF('12 - Device_Configuration'!AJ194="","",'12 - Device_Configuration'!AJ194)</f>
        <v/>
      </c>
      <c r="K193" s="29" t="str">
        <f>IF('12 - Device_Configuration'!AA194="","",'12 - Device_Configuration'!AA194)</f>
        <v/>
      </c>
      <c r="L193" s="29" t="str">
        <f>IF('12 - Device_Configuration'!I194="","",'12 - Device_Configuration'!I194)</f>
        <v/>
      </c>
      <c r="M193" s="30"/>
      <c r="N193" s="29" t="str">
        <f>IF('12 - Device_Configuration'!J194="","",'12 - Device_Configuration'!J194)</f>
        <v/>
      </c>
      <c r="O193" s="29" t="str">
        <f>IF('12 - Device_Configuration'!K194="","",'12 - Device_Configuration'!K194)</f>
        <v/>
      </c>
      <c r="P193" s="29" t="str">
        <f>IF('12 - Device_Configuration'!L194="","",'12 - Device_Configuration'!L194)</f>
        <v/>
      </c>
      <c r="Q193" s="30"/>
      <c r="R193" s="29" t="str">
        <f>IF('12 - Device_Configuration'!AY194="","",'12 - Device_Configuration'!AY194)</f>
        <v/>
      </c>
      <c r="S193" s="29" t="str">
        <f>IF('12 - Device_Configuration'!AX194="","",'12 - Device_Configuration'!AX194)</f>
        <v/>
      </c>
      <c r="T193" s="29" t="str">
        <f>IF('12 - Device_Configuration'!AV194="","",'12 - Device_Configuration'!AV194)</f>
        <v/>
      </c>
      <c r="U193" s="29" t="str">
        <f>IF('12 - Device_Configuration'!AW194="","",'12 - Device_Configuration'!AW194)</f>
        <v/>
      </c>
      <c r="V193" s="29" t="str">
        <f>IF('12 - Device_Configuration'!BA194="","",'12 - Device_Configuration'!BA194)</f>
        <v/>
      </c>
      <c r="W193" s="29" t="str">
        <f>IF('12 - Device_Configuration'!BC194="","",'12 - Device_Configuration'!BC194)</f>
        <v/>
      </c>
      <c r="X193" s="29" t="str">
        <f>IF('12 - Device_Configuration'!BK194="","",'12 - Device_Configuration'!BK194)</f>
        <v/>
      </c>
      <c r="Y193" s="29" t="str">
        <f>IF('12 - Device_Configuration'!BB194="","",'12 - Device_Configuration'!BB194)</f>
        <v/>
      </c>
      <c r="Z193" s="29" t="str">
        <f>IF('12 - Device_Configuration'!P194="","",'12 - Device_Configuration'!P194)</f>
        <v/>
      </c>
      <c r="AA193" s="29" t="str">
        <f>IF('12 - Device_Configuration'!Q194="","",'12 - Device_Configuration'!Q194)</f>
        <v/>
      </c>
    </row>
    <row r="194" spans="1:27">
      <c r="A194" s="30"/>
      <c r="B194" s="30"/>
      <c r="C194" s="29" t="str">
        <f>IF('12 - Device_Configuration'!H195="","",'12 - Device_Configuration'!H195)</f>
        <v/>
      </c>
      <c r="D194" s="29" t="str">
        <f>IF('12 - Device_Configuration'!AE195="","",'12 - Device_Configuration'!AE195)</f>
        <v/>
      </c>
      <c r="E194" s="29" t="str">
        <f>IF('12 - Device_Configuration'!AF195="","",'12 - Device_Configuration'!AF195)</f>
        <v/>
      </c>
      <c r="F194" s="29" t="str">
        <f>IF('12 - Device_Configuration'!AG195="","",'12 - Device_Configuration'!AG195)</f>
        <v/>
      </c>
      <c r="G194" s="29" t="str">
        <f>IF('12 - Device_Configuration'!AH195="","",'12 - Device_Configuration'!AH195)</f>
        <v/>
      </c>
      <c r="H194" s="29" t="str">
        <f>IF('12 - Device_Configuration'!A195="","",'12 - Device_Configuration'!A195)</f>
        <v/>
      </c>
      <c r="I194" s="29" t="str">
        <f>IF('12 - Device_Configuration'!AI195="","",'12 - Device_Configuration'!AI195)</f>
        <v/>
      </c>
      <c r="J194" s="29" t="str">
        <f>IF('12 - Device_Configuration'!AJ195="","",'12 - Device_Configuration'!AJ195)</f>
        <v/>
      </c>
      <c r="K194" s="29" t="str">
        <f>IF('12 - Device_Configuration'!AA195="","",'12 - Device_Configuration'!AA195)</f>
        <v/>
      </c>
      <c r="L194" s="29" t="str">
        <f>IF('12 - Device_Configuration'!I195="","",'12 - Device_Configuration'!I195)</f>
        <v/>
      </c>
      <c r="M194" s="30"/>
      <c r="N194" s="29" t="str">
        <f>IF('12 - Device_Configuration'!J195="","",'12 - Device_Configuration'!J195)</f>
        <v/>
      </c>
      <c r="O194" s="29" t="str">
        <f>IF('12 - Device_Configuration'!K195="","",'12 - Device_Configuration'!K195)</f>
        <v/>
      </c>
      <c r="P194" s="29" t="str">
        <f>IF('12 - Device_Configuration'!L195="","",'12 - Device_Configuration'!L195)</f>
        <v/>
      </c>
      <c r="Q194" s="30"/>
      <c r="R194" s="29" t="str">
        <f>IF('12 - Device_Configuration'!AY195="","",'12 - Device_Configuration'!AY195)</f>
        <v/>
      </c>
      <c r="S194" s="29" t="str">
        <f>IF('12 - Device_Configuration'!AX195="","",'12 - Device_Configuration'!AX195)</f>
        <v/>
      </c>
      <c r="T194" s="29" t="str">
        <f>IF('12 - Device_Configuration'!AV195="","",'12 - Device_Configuration'!AV195)</f>
        <v/>
      </c>
      <c r="U194" s="29" t="str">
        <f>IF('12 - Device_Configuration'!AW195="","",'12 - Device_Configuration'!AW195)</f>
        <v/>
      </c>
      <c r="V194" s="29" t="str">
        <f>IF('12 - Device_Configuration'!BA195="","",'12 - Device_Configuration'!BA195)</f>
        <v/>
      </c>
      <c r="W194" s="29" t="str">
        <f>IF('12 - Device_Configuration'!BC195="","",'12 - Device_Configuration'!BC195)</f>
        <v/>
      </c>
      <c r="X194" s="29" t="str">
        <f>IF('12 - Device_Configuration'!BK195="","",'12 - Device_Configuration'!BK195)</f>
        <v/>
      </c>
      <c r="Y194" s="29" t="str">
        <f>IF('12 - Device_Configuration'!BB195="","",'12 - Device_Configuration'!BB195)</f>
        <v/>
      </c>
      <c r="Z194" s="29" t="str">
        <f>IF('12 - Device_Configuration'!P195="","",'12 - Device_Configuration'!P195)</f>
        <v/>
      </c>
      <c r="AA194" s="29" t="str">
        <f>IF('12 - Device_Configuration'!Q195="","",'12 - Device_Configuration'!Q195)</f>
        <v/>
      </c>
    </row>
    <row r="195" spans="1:27">
      <c r="A195" s="30"/>
      <c r="B195" s="30"/>
      <c r="C195" s="29" t="str">
        <f>IF('12 - Device_Configuration'!H196="","",'12 - Device_Configuration'!H196)</f>
        <v/>
      </c>
      <c r="D195" s="29" t="str">
        <f>IF('12 - Device_Configuration'!AE196="","",'12 - Device_Configuration'!AE196)</f>
        <v/>
      </c>
      <c r="E195" s="29" t="str">
        <f>IF('12 - Device_Configuration'!AF196="","",'12 - Device_Configuration'!AF196)</f>
        <v/>
      </c>
      <c r="F195" s="29" t="str">
        <f>IF('12 - Device_Configuration'!AG196="","",'12 - Device_Configuration'!AG196)</f>
        <v/>
      </c>
      <c r="G195" s="29" t="str">
        <f>IF('12 - Device_Configuration'!AH196="","",'12 - Device_Configuration'!AH196)</f>
        <v/>
      </c>
      <c r="H195" s="29" t="str">
        <f>IF('12 - Device_Configuration'!A196="","",'12 - Device_Configuration'!A196)</f>
        <v/>
      </c>
      <c r="I195" s="29" t="str">
        <f>IF('12 - Device_Configuration'!AI196="","",'12 - Device_Configuration'!AI196)</f>
        <v/>
      </c>
      <c r="J195" s="29" t="str">
        <f>IF('12 - Device_Configuration'!AJ196="","",'12 - Device_Configuration'!AJ196)</f>
        <v/>
      </c>
      <c r="K195" s="29" t="str">
        <f>IF('12 - Device_Configuration'!AA196="","",'12 - Device_Configuration'!AA196)</f>
        <v/>
      </c>
      <c r="L195" s="29" t="str">
        <f>IF('12 - Device_Configuration'!I196="","",'12 - Device_Configuration'!I196)</f>
        <v/>
      </c>
      <c r="M195" s="30"/>
      <c r="N195" s="29" t="str">
        <f>IF('12 - Device_Configuration'!J196="","",'12 - Device_Configuration'!J196)</f>
        <v/>
      </c>
      <c r="O195" s="29" t="str">
        <f>IF('12 - Device_Configuration'!K196="","",'12 - Device_Configuration'!K196)</f>
        <v/>
      </c>
      <c r="P195" s="29" t="str">
        <f>IF('12 - Device_Configuration'!L196="","",'12 - Device_Configuration'!L196)</f>
        <v/>
      </c>
      <c r="Q195" s="30"/>
      <c r="R195" s="29" t="str">
        <f>IF('12 - Device_Configuration'!AY196="","",'12 - Device_Configuration'!AY196)</f>
        <v/>
      </c>
      <c r="S195" s="29" t="str">
        <f>IF('12 - Device_Configuration'!AX196="","",'12 - Device_Configuration'!AX196)</f>
        <v/>
      </c>
      <c r="T195" s="29" t="str">
        <f>IF('12 - Device_Configuration'!AV196="","",'12 - Device_Configuration'!AV196)</f>
        <v/>
      </c>
      <c r="U195" s="29" t="str">
        <f>IF('12 - Device_Configuration'!AW196="","",'12 - Device_Configuration'!AW196)</f>
        <v/>
      </c>
      <c r="V195" s="29" t="str">
        <f>IF('12 - Device_Configuration'!BA196="","",'12 - Device_Configuration'!BA196)</f>
        <v/>
      </c>
      <c r="W195" s="29" t="str">
        <f>IF('12 - Device_Configuration'!BC196="","",'12 - Device_Configuration'!BC196)</f>
        <v/>
      </c>
      <c r="X195" s="29" t="str">
        <f>IF('12 - Device_Configuration'!BK196="","",'12 - Device_Configuration'!BK196)</f>
        <v/>
      </c>
      <c r="Y195" s="29" t="str">
        <f>IF('12 - Device_Configuration'!BB196="","",'12 - Device_Configuration'!BB196)</f>
        <v/>
      </c>
      <c r="Z195" s="29" t="str">
        <f>IF('12 - Device_Configuration'!P196="","",'12 - Device_Configuration'!P196)</f>
        <v/>
      </c>
      <c r="AA195" s="29" t="str">
        <f>IF('12 - Device_Configuration'!Q196="","",'12 - Device_Configuration'!Q196)</f>
        <v/>
      </c>
    </row>
    <row r="196" spans="1:27">
      <c r="A196" s="30"/>
      <c r="B196" s="30"/>
      <c r="C196" s="29" t="str">
        <f>IF('12 - Device_Configuration'!H197="","",'12 - Device_Configuration'!H197)</f>
        <v/>
      </c>
      <c r="D196" s="29" t="str">
        <f>IF('12 - Device_Configuration'!AE197="","",'12 - Device_Configuration'!AE197)</f>
        <v/>
      </c>
      <c r="E196" s="29" t="str">
        <f>IF('12 - Device_Configuration'!AF197="","",'12 - Device_Configuration'!AF197)</f>
        <v/>
      </c>
      <c r="F196" s="29" t="str">
        <f>IF('12 - Device_Configuration'!AG197="","",'12 - Device_Configuration'!AG197)</f>
        <v/>
      </c>
      <c r="G196" s="29" t="str">
        <f>IF('12 - Device_Configuration'!AH197="","",'12 - Device_Configuration'!AH197)</f>
        <v/>
      </c>
      <c r="H196" s="29" t="str">
        <f>IF('12 - Device_Configuration'!A197="","",'12 - Device_Configuration'!A197)</f>
        <v/>
      </c>
      <c r="I196" s="29" t="str">
        <f>IF('12 - Device_Configuration'!AI197="","",'12 - Device_Configuration'!AI197)</f>
        <v/>
      </c>
      <c r="J196" s="29" t="str">
        <f>IF('12 - Device_Configuration'!AJ197="","",'12 - Device_Configuration'!AJ197)</f>
        <v/>
      </c>
      <c r="K196" s="29" t="str">
        <f>IF('12 - Device_Configuration'!AA197="","",'12 - Device_Configuration'!AA197)</f>
        <v/>
      </c>
      <c r="L196" s="29" t="str">
        <f>IF('12 - Device_Configuration'!I197="","",'12 - Device_Configuration'!I197)</f>
        <v/>
      </c>
      <c r="M196" s="30"/>
      <c r="N196" s="29" t="str">
        <f>IF('12 - Device_Configuration'!J197="","",'12 - Device_Configuration'!J197)</f>
        <v/>
      </c>
      <c r="O196" s="29" t="str">
        <f>IF('12 - Device_Configuration'!K197="","",'12 - Device_Configuration'!K197)</f>
        <v/>
      </c>
      <c r="P196" s="29" t="str">
        <f>IF('12 - Device_Configuration'!L197="","",'12 - Device_Configuration'!L197)</f>
        <v/>
      </c>
      <c r="Q196" s="30"/>
      <c r="R196" s="29" t="str">
        <f>IF('12 - Device_Configuration'!AY197="","",'12 - Device_Configuration'!AY197)</f>
        <v/>
      </c>
      <c r="S196" s="29" t="str">
        <f>IF('12 - Device_Configuration'!AX197="","",'12 - Device_Configuration'!AX197)</f>
        <v/>
      </c>
      <c r="T196" s="29" t="str">
        <f>IF('12 - Device_Configuration'!AV197="","",'12 - Device_Configuration'!AV197)</f>
        <v/>
      </c>
      <c r="U196" s="29" t="str">
        <f>IF('12 - Device_Configuration'!AW197="","",'12 - Device_Configuration'!AW197)</f>
        <v/>
      </c>
      <c r="V196" s="29" t="str">
        <f>IF('12 - Device_Configuration'!BA197="","",'12 - Device_Configuration'!BA197)</f>
        <v/>
      </c>
      <c r="W196" s="29" t="str">
        <f>IF('12 - Device_Configuration'!BC197="","",'12 - Device_Configuration'!BC197)</f>
        <v/>
      </c>
      <c r="X196" s="29" t="str">
        <f>IF('12 - Device_Configuration'!BK197="","",'12 - Device_Configuration'!BK197)</f>
        <v/>
      </c>
      <c r="Y196" s="29" t="str">
        <f>IF('12 - Device_Configuration'!BB197="","",'12 - Device_Configuration'!BB197)</f>
        <v/>
      </c>
      <c r="Z196" s="29" t="str">
        <f>IF('12 - Device_Configuration'!P197="","",'12 - Device_Configuration'!P197)</f>
        <v/>
      </c>
      <c r="AA196" s="29" t="str">
        <f>IF('12 - Device_Configuration'!Q197="","",'12 - Device_Configuration'!Q197)</f>
        <v/>
      </c>
    </row>
    <row r="197" spans="1:27">
      <c r="A197" s="30"/>
      <c r="B197" s="30"/>
      <c r="C197" s="29" t="str">
        <f>IF('12 - Device_Configuration'!H198="","",'12 - Device_Configuration'!H198)</f>
        <v/>
      </c>
      <c r="D197" s="29" t="str">
        <f>IF('12 - Device_Configuration'!AE198="","",'12 - Device_Configuration'!AE198)</f>
        <v/>
      </c>
      <c r="E197" s="29" t="str">
        <f>IF('12 - Device_Configuration'!AF198="","",'12 - Device_Configuration'!AF198)</f>
        <v/>
      </c>
      <c r="F197" s="29" t="str">
        <f>IF('12 - Device_Configuration'!AG198="","",'12 - Device_Configuration'!AG198)</f>
        <v/>
      </c>
      <c r="G197" s="29" t="str">
        <f>IF('12 - Device_Configuration'!AH198="","",'12 - Device_Configuration'!AH198)</f>
        <v/>
      </c>
      <c r="H197" s="29" t="str">
        <f>IF('12 - Device_Configuration'!A198="","",'12 - Device_Configuration'!A198)</f>
        <v/>
      </c>
      <c r="I197" s="29" t="str">
        <f>IF('12 - Device_Configuration'!AI198="","",'12 - Device_Configuration'!AI198)</f>
        <v/>
      </c>
      <c r="J197" s="29" t="str">
        <f>IF('12 - Device_Configuration'!AJ198="","",'12 - Device_Configuration'!AJ198)</f>
        <v/>
      </c>
      <c r="K197" s="29" t="str">
        <f>IF('12 - Device_Configuration'!AA198="","",'12 - Device_Configuration'!AA198)</f>
        <v/>
      </c>
      <c r="L197" s="29" t="str">
        <f>IF('12 - Device_Configuration'!I198="","",'12 - Device_Configuration'!I198)</f>
        <v/>
      </c>
      <c r="M197" s="30"/>
      <c r="N197" s="29" t="str">
        <f>IF('12 - Device_Configuration'!J198="","",'12 - Device_Configuration'!J198)</f>
        <v/>
      </c>
      <c r="O197" s="29" t="str">
        <f>IF('12 - Device_Configuration'!K198="","",'12 - Device_Configuration'!K198)</f>
        <v/>
      </c>
      <c r="P197" s="29" t="str">
        <f>IF('12 - Device_Configuration'!L198="","",'12 - Device_Configuration'!L198)</f>
        <v/>
      </c>
      <c r="Q197" s="30"/>
      <c r="R197" s="29" t="str">
        <f>IF('12 - Device_Configuration'!AY198="","",'12 - Device_Configuration'!AY198)</f>
        <v/>
      </c>
      <c r="S197" s="29" t="str">
        <f>IF('12 - Device_Configuration'!AX198="","",'12 - Device_Configuration'!AX198)</f>
        <v/>
      </c>
      <c r="T197" s="29" t="str">
        <f>IF('12 - Device_Configuration'!AV198="","",'12 - Device_Configuration'!AV198)</f>
        <v/>
      </c>
      <c r="U197" s="29" t="str">
        <f>IF('12 - Device_Configuration'!AW198="","",'12 - Device_Configuration'!AW198)</f>
        <v/>
      </c>
      <c r="V197" s="29" t="str">
        <f>IF('12 - Device_Configuration'!BA198="","",'12 - Device_Configuration'!BA198)</f>
        <v/>
      </c>
      <c r="W197" s="29" t="str">
        <f>IF('12 - Device_Configuration'!BC198="","",'12 - Device_Configuration'!BC198)</f>
        <v/>
      </c>
      <c r="X197" s="29" t="str">
        <f>IF('12 - Device_Configuration'!BK198="","",'12 - Device_Configuration'!BK198)</f>
        <v/>
      </c>
      <c r="Y197" s="29" t="str">
        <f>IF('12 - Device_Configuration'!BB198="","",'12 - Device_Configuration'!BB198)</f>
        <v/>
      </c>
      <c r="Z197" s="29" t="str">
        <f>IF('12 - Device_Configuration'!P198="","",'12 - Device_Configuration'!P198)</f>
        <v/>
      </c>
      <c r="AA197" s="29" t="str">
        <f>IF('12 - Device_Configuration'!Q198="","",'12 - Device_Configuration'!Q198)</f>
        <v/>
      </c>
    </row>
    <row r="198" spans="1:27">
      <c r="A198" s="30"/>
      <c r="B198" s="30"/>
      <c r="C198" s="29" t="str">
        <f>IF('12 - Device_Configuration'!H199="","",'12 - Device_Configuration'!H199)</f>
        <v/>
      </c>
      <c r="D198" s="29" t="str">
        <f>IF('12 - Device_Configuration'!AE199="","",'12 - Device_Configuration'!AE199)</f>
        <v/>
      </c>
      <c r="E198" s="29" t="str">
        <f>IF('12 - Device_Configuration'!AF199="","",'12 - Device_Configuration'!AF199)</f>
        <v/>
      </c>
      <c r="F198" s="29" t="str">
        <f>IF('12 - Device_Configuration'!AG199="","",'12 - Device_Configuration'!AG199)</f>
        <v/>
      </c>
      <c r="G198" s="29" t="str">
        <f>IF('12 - Device_Configuration'!AH199="","",'12 - Device_Configuration'!AH199)</f>
        <v/>
      </c>
      <c r="H198" s="29" t="str">
        <f>IF('12 - Device_Configuration'!A199="","",'12 - Device_Configuration'!A199)</f>
        <v/>
      </c>
      <c r="I198" s="29" t="str">
        <f>IF('12 - Device_Configuration'!AI199="","",'12 - Device_Configuration'!AI199)</f>
        <v/>
      </c>
      <c r="J198" s="29" t="str">
        <f>IF('12 - Device_Configuration'!AJ199="","",'12 - Device_Configuration'!AJ199)</f>
        <v/>
      </c>
      <c r="K198" s="29" t="str">
        <f>IF('12 - Device_Configuration'!AA199="","",'12 - Device_Configuration'!AA199)</f>
        <v/>
      </c>
      <c r="L198" s="29" t="str">
        <f>IF('12 - Device_Configuration'!I199="","",'12 - Device_Configuration'!I199)</f>
        <v/>
      </c>
      <c r="M198" s="30"/>
      <c r="N198" s="29" t="str">
        <f>IF('12 - Device_Configuration'!J199="","",'12 - Device_Configuration'!J199)</f>
        <v/>
      </c>
      <c r="O198" s="29" t="str">
        <f>IF('12 - Device_Configuration'!K199="","",'12 - Device_Configuration'!K199)</f>
        <v/>
      </c>
      <c r="P198" s="29" t="str">
        <f>IF('12 - Device_Configuration'!L199="","",'12 - Device_Configuration'!L199)</f>
        <v/>
      </c>
      <c r="Q198" s="30"/>
      <c r="R198" s="29" t="str">
        <f>IF('12 - Device_Configuration'!AY199="","",'12 - Device_Configuration'!AY199)</f>
        <v/>
      </c>
      <c r="S198" s="29" t="str">
        <f>IF('12 - Device_Configuration'!AX199="","",'12 - Device_Configuration'!AX199)</f>
        <v/>
      </c>
      <c r="T198" s="29" t="str">
        <f>IF('12 - Device_Configuration'!AV199="","",'12 - Device_Configuration'!AV199)</f>
        <v/>
      </c>
      <c r="U198" s="29" t="str">
        <f>IF('12 - Device_Configuration'!AW199="","",'12 - Device_Configuration'!AW199)</f>
        <v/>
      </c>
      <c r="V198" s="29" t="str">
        <f>IF('12 - Device_Configuration'!BA199="","",'12 - Device_Configuration'!BA199)</f>
        <v/>
      </c>
      <c r="W198" s="29" t="str">
        <f>IF('12 - Device_Configuration'!BC199="","",'12 - Device_Configuration'!BC199)</f>
        <v/>
      </c>
      <c r="X198" s="29" t="str">
        <f>IF('12 - Device_Configuration'!BK199="","",'12 - Device_Configuration'!BK199)</f>
        <v/>
      </c>
      <c r="Y198" s="29" t="str">
        <f>IF('12 - Device_Configuration'!BB199="","",'12 - Device_Configuration'!BB199)</f>
        <v/>
      </c>
      <c r="Z198" s="29" t="str">
        <f>IF('12 - Device_Configuration'!P199="","",'12 - Device_Configuration'!P199)</f>
        <v/>
      </c>
      <c r="AA198" s="29" t="str">
        <f>IF('12 - Device_Configuration'!Q199="","",'12 - Device_Configuration'!Q199)</f>
        <v/>
      </c>
    </row>
    <row r="199" spans="1:27">
      <c r="A199" s="30"/>
      <c r="B199" s="30"/>
      <c r="C199" s="29" t="str">
        <f>IF('12 - Device_Configuration'!H200="","",'12 - Device_Configuration'!H200)</f>
        <v/>
      </c>
      <c r="D199" s="29" t="str">
        <f>IF('12 - Device_Configuration'!AE200="","",'12 - Device_Configuration'!AE200)</f>
        <v/>
      </c>
      <c r="E199" s="29" t="str">
        <f>IF('12 - Device_Configuration'!AF200="","",'12 - Device_Configuration'!AF200)</f>
        <v/>
      </c>
      <c r="F199" s="29" t="str">
        <f>IF('12 - Device_Configuration'!AG200="","",'12 - Device_Configuration'!AG200)</f>
        <v/>
      </c>
      <c r="G199" s="29" t="str">
        <f>IF('12 - Device_Configuration'!AH200="","",'12 - Device_Configuration'!AH200)</f>
        <v/>
      </c>
      <c r="H199" s="29" t="str">
        <f>IF('12 - Device_Configuration'!A200="","",'12 - Device_Configuration'!A200)</f>
        <v/>
      </c>
      <c r="I199" s="29" t="str">
        <f>IF('12 - Device_Configuration'!AI200="","",'12 - Device_Configuration'!AI200)</f>
        <v/>
      </c>
      <c r="J199" s="29" t="str">
        <f>IF('12 - Device_Configuration'!AJ200="","",'12 - Device_Configuration'!AJ200)</f>
        <v/>
      </c>
      <c r="K199" s="29" t="str">
        <f>IF('12 - Device_Configuration'!AA200="","",'12 - Device_Configuration'!AA200)</f>
        <v/>
      </c>
      <c r="L199" s="29" t="str">
        <f>IF('12 - Device_Configuration'!I200="","",'12 - Device_Configuration'!I200)</f>
        <v/>
      </c>
      <c r="M199" s="30"/>
      <c r="N199" s="29" t="str">
        <f>IF('12 - Device_Configuration'!J200="","",'12 - Device_Configuration'!J200)</f>
        <v/>
      </c>
      <c r="O199" s="29" t="str">
        <f>IF('12 - Device_Configuration'!K200="","",'12 - Device_Configuration'!K200)</f>
        <v/>
      </c>
      <c r="P199" s="29" t="str">
        <f>IF('12 - Device_Configuration'!L200="","",'12 - Device_Configuration'!L200)</f>
        <v/>
      </c>
      <c r="Q199" s="30"/>
      <c r="R199" s="29" t="str">
        <f>IF('12 - Device_Configuration'!AY200="","",'12 - Device_Configuration'!AY200)</f>
        <v/>
      </c>
      <c r="S199" s="29" t="str">
        <f>IF('12 - Device_Configuration'!AX200="","",'12 - Device_Configuration'!AX200)</f>
        <v/>
      </c>
      <c r="T199" s="29" t="str">
        <f>IF('12 - Device_Configuration'!AV200="","",'12 - Device_Configuration'!AV200)</f>
        <v/>
      </c>
      <c r="U199" s="29" t="str">
        <f>IF('12 - Device_Configuration'!AW200="","",'12 - Device_Configuration'!AW200)</f>
        <v/>
      </c>
      <c r="V199" s="29" t="str">
        <f>IF('12 - Device_Configuration'!BA200="","",'12 - Device_Configuration'!BA200)</f>
        <v/>
      </c>
      <c r="W199" s="29" t="str">
        <f>IF('12 - Device_Configuration'!BC200="","",'12 - Device_Configuration'!BC200)</f>
        <v/>
      </c>
      <c r="X199" s="29" t="str">
        <f>IF('12 - Device_Configuration'!BK200="","",'12 - Device_Configuration'!BK200)</f>
        <v/>
      </c>
      <c r="Y199" s="29" t="str">
        <f>IF('12 - Device_Configuration'!BB200="","",'12 - Device_Configuration'!BB200)</f>
        <v/>
      </c>
      <c r="Z199" s="29" t="str">
        <f>IF('12 - Device_Configuration'!P200="","",'12 - Device_Configuration'!P200)</f>
        <v/>
      </c>
      <c r="AA199" s="29" t="str">
        <f>IF('12 - Device_Configuration'!Q200="","",'12 - Device_Configuration'!Q200)</f>
        <v/>
      </c>
    </row>
    <row r="200" spans="1:27">
      <c r="A200" s="30"/>
      <c r="B200" s="30"/>
      <c r="C200" s="29" t="str">
        <f>IF('12 - Device_Configuration'!H201="","",'12 - Device_Configuration'!H201)</f>
        <v/>
      </c>
      <c r="D200" s="29" t="str">
        <f>IF('12 - Device_Configuration'!AE201="","",'12 - Device_Configuration'!AE201)</f>
        <v/>
      </c>
      <c r="E200" s="29" t="str">
        <f>IF('12 - Device_Configuration'!AF201="","",'12 - Device_Configuration'!AF201)</f>
        <v/>
      </c>
      <c r="F200" s="29" t="str">
        <f>IF('12 - Device_Configuration'!AG201="","",'12 - Device_Configuration'!AG201)</f>
        <v/>
      </c>
      <c r="G200" s="29" t="str">
        <f>IF('12 - Device_Configuration'!AH201="","",'12 - Device_Configuration'!AH201)</f>
        <v/>
      </c>
      <c r="H200" s="29" t="str">
        <f>IF('12 - Device_Configuration'!A201="","",'12 - Device_Configuration'!A201)</f>
        <v/>
      </c>
      <c r="I200" s="29" t="str">
        <f>IF('12 - Device_Configuration'!AI201="","",'12 - Device_Configuration'!AI201)</f>
        <v/>
      </c>
      <c r="J200" s="29" t="str">
        <f>IF('12 - Device_Configuration'!AJ201="","",'12 - Device_Configuration'!AJ201)</f>
        <v/>
      </c>
      <c r="K200" s="29" t="str">
        <f>IF('12 - Device_Configuration'!AA201="","",'12 - Device_Configuration'!AA201)</f>
        <v/>
      </c>
      <c r="L200" s="29" t="str">
        <f>IF('12 - Device_Configuration'!I201="","",'12 - Device_Configuration'!I201)</f>
        <v/>
      </c>
      <c r="M200" s="30"/>
      <c r="N200" s="29" t="str">
        <f>IF('12 - Device_Configuration'!J201="","",'12 - Device_Configuration'!J201)</f>
        <v/>
      </c>
      <c r="O200" s="29" t="str">
        <f>IF('12 - Device_Configuration'!K201="","",'12 - Device_Configuration'!K201)</f>
        <v/>
      </c>
      <c r="P200" s="29" t="str">
        <f>IF('12 - Device_Configuration'!L201="","",'12 - Device_Configuration'!L201)</f>
        <v/>
      </c>
      <c r="Q200" s="30"/>
      <c r="R200" s="29" t="str">
        <f>IF('12 - Device_Configuration'!AY201="","",'12 - Device_Configuration'!AY201)</f>
        <v/>
      </c>
      <c r="S200" s="29" t="str">
        <f>IF('12 - Device_Configuration'!AX201="","",'12 - Device_Configuration'!AX201)</f>
        <v/>
      </c>
      <c r="T200" s="29" t="str">
        <f>IF('12 - Device_Configuration'!AV201="","",'12 - Device_Configuration'!AV201)</f>
        <v/>
      </c>
      <c r="U200" s="29" t="str">
        <f>IF('12 - Device_Configuration'!AW201="","",'12 - Device_Configuration'!AW201)</f>
        <v/>
      </c>
      <c r="V200" s="29" t="str">
        <f>IF('12 - Device_Configuration'!BA201="","",'12 - Device_Configuration'!BA201)</f>
        <v/>
      </c>
      <c r="W200" s="29" t="str">
        <f>IF('12 - Device_Configuration'!BC201="","",'12 - Device_Configuration'!BC201)</f>
        <v/>
      </c>
      <c r="X200" s="29" t="str">
        <f>IF('12 - Device_Configuration'!BK201="","",'12 - Device_Configuration'!BK201)</f>
        <v/>
      </c>
      <c r="Y200" s="29" t="str">
        <f>IF('12 - Device_Configuration'!BB201="","",'12 - Device_Configuration'!BB201)</f>
        <v/>
      </c>
      <c r="Z200" s="29" t="str">
        <f>IF('12 - Device_Configuration'!P201="","",'12 - Device_Configuration'!P201)</f>
        <v/>
      </c>
      <c r="AA200" s="29" t="str">
        <f>IF('12 - Device_Configuration'!Q201="","",'12 - Device_Configuration'!Q201)</f>
        <v/>
      </c>
    </row>
    <row r="201" spans="1:27">
      <c r="A201" s="30"/>
      <c r="B201" s="30"/>
      <c r="C201" s="29" t="str">
        <f>IF('12 - Device_Configuration'!H202="","",'12 - Device_Configuration'!H202)</f>
        <v/>
      </c>
      <c r="D201" s="29" t="str">
        <f>IF('12 - Device_Configuration'!AE202="","",'12 - Device_Configuration'!AE202)</f>
        <v/>
      </c>
      <c r="E201" s="29" t="str">
        <f>IF('12 - Device_Configuration'!AF202="","",'12 - Device_Configuration'!AF202)</f>
        <v/>
      </c>
      <c r="F201" s="29" t="str">
        <f>IF('12 - Device_Configuration'!AG202="","",'12 - Device_Configuration'!AG202)</f>
        <v/>
      </c>
      <c r="G201" s="29" t="str">
        <f>IF('12 - Device_Configuration'!AH202="","",'12 - Device_Configuration'!AH202)</f>
        <v/>
      </c>
      <c r="H201" s="29" t="str">
        <f>IF('12 - Device_Configuration'!A202="","",'12 - Device_Configuration'!A202)</f>
        <v/>
      </c>
      <c r="I201" s="29" t="str">
        <f>IF('12 - Device_Configuration'!AI202="","",'12 - Device_Configuration'!AI202)</f>
        <v/>
      </c>
      <c r="J201" s="29" t="str">
        <f>IF('12 - Device_Configuration'!AJ202="","",'12 - Device_Configuration'!AJ202)</f>
        <v/>
      </c>
      <c r="K201" s="29" t="str">
        <f>IF('12 - Device_Configuration'!AA202="","",'12 - Device_Configuration'!AA202)</f>
        <v/>
      </c>
      <c r="L201" s="29" t="str">
        <f>IF('12 - Device_Configuration'!I202="","",'12 - Device_Configuration'!I202)</f>
        <v/>
      </c>
      <c r="M201" s="30"/>
      <c r="N201" s="29" t="str">
        <f>IF('12 - Device_Configuration'!J202="","",'12 - Device_Configuration'!J202)</f>
        <v/>
      </c>
      <c r="O201" s="29" t="str">
        <f>IF('12 - Device_Configuration'!K202="","",'12 - Device_Configuration'!K202)</f>
        <v/>
      </c>
      <c r="P201" s="29" t="str">
        <f>IF('12 - Device_Configuration'!L202="","",'12 - Device_Configuration'!L202)</f>
        <v/>
      </c>
      <c r="Q201" s="30"/>
      <c r="R201" s="29" t="str">
        <f>IF('12 - Device_Configuration'!AY202="","",'12 - Device_Configuration'!AY202)</f>
        <v/>
      </c>
      <c r="S201" s="29" t="str">
        <f>IF('12 - Device_Configuration'!AX202="","",'12 - Device_Configuration'!AX202)</f>
        <v/>
      </c>
      <c r="T201" s="29" t="str">
        <f>IF('12 - Device_Configuration'!AV202="","",'12 - Device_Configuration'!AV202)</f>
        <v/>
      </c>
      <c r="U201" s="29" t="str">
        <f>IF('12 - Device_Configuration'!AW202="","",'12 - Device_Configuration'!AW202)</f>
        <v/>
      </c>
      <c r="V201" s="29" t="str">
        <f>IF('12 - Device_Configuration'!BA202="","",'12 - Device_Configuration'!BA202)</f>
        <v/>
      </c>
      <c r="W201" s="29" t="str">
        <f>IF('12 - Device_Configuration'!BC202="","",'12 - Device_Configuration'!BC202)</f>
        <v/>
      </c>
      <c r="X201" s="29" t="str">
        <f>IF('12 - Device_Configuration'!BK202="","",'12 - Device_Configuration'!BK202)</f>
        <v/>
      </c>
      <c r="Y201" s="29" t="str">
        <f>IF('12 - Device_Configuration'!BB202="","",'12 - Device_Configuration'!BB202)</f>
        <v/>
      </c>
      <c r="Z201" s="29" t="str">
        <f>IF('12 - Device_Configuration'!P202="","",'12 - Device_Configuration'!P202)</f>
        <v/>
      </c>
      <c r="AA201" s="29" t="str">
        <f>IF('12 - Device_Configuration'!Q202="","",'12 - Device_Configuration'!Q202)</f>
        <v/>
      </c>
    </row>
    <row r="202" spans="1:27">
      <c r="A202" s="30"/>
      <c r="B202" s="30"/>
      <c r="C202" s="29" t="str">
        <f>IF('12 - Device_Configuration'!H203="","",'12 - Device_Configuration'!H203)</f>
        <v/>
      </c>
      <c r="D202" s="29" t="str">
        <f>IF('12 - Device_Configuration'!AE203="","",'12 - Device_Configuration'!AE203)</f>
        <v/>
      </c>
      <c r="E202" s="29" t="str">
        <f>IF('12 - Device_Configuration'!AF203="","",'12 - Device_Configuration'!AF203)</f>
        <v/>
      </c>
      <c r="F202" s="29" t="str">
        <f>IF('12 - Device_Configuration'!AG203="","",'12 - Device_Configuration'!AG203)</f>
        <v/>
      </c>
      <c r="G202" s="29" t="str">
        <f>IF('12 - Device_Configuration'!AH203="","",'12 - Device_Configuration'!AH203)</f>
        <v/>
      </c>
      <c r="H202" s="29" t="str">
        <f>IF('12 - Device_Configuration'!A203="","",'12 - Device_Configuration'!A203)</f>
        <v/>
      </c>
      <c r="I202" s="29" t="str">
        <f>IF('12 - Device_Configuration'!AI203="","",'12 - Device_Configuration'!AI203)</f>
        <v/>
      </c>
      <c r="J202" s="29" t="str">
        <f>IF('12 - Device_Configuration'!AJ203="","",'12 - Device_Configuration'!AJ203)</f>
        <v/>
      </c>
      <c r="K202" s="29" t="str">
        <f>IF('12 - Device_Configuration'!AA203="","",'12 - Device_Configuration'!AA203)</f>
        <v/>
      </c>
      <c r="L202" s="29" t="str">
        <f>IF('12 - Device_Configuration'!I203="","",'12 - Device_Configuration'!I203)</f>
        <v/>
      </c>
      <c r="M202" s="30"/>
      <c r="N202" s="29" t="str">
        <f>IF('12 - Device_Configuration'!J203="","",'12 - Device_Configuration'!J203)</f>
        <v/>
      </c>
      <c r="O202" s="29" t="str">
        <f>IF('12 - Device_Configuration'!K203="","",'12 - Device_Configuration'!K203)</f>
        <v/>
      </c>
      <c r="P202" s="29" t="str">
        <f>IF('12 - Device_Configuration'!L203="","",'12 - Device_Configuration'!L203)</f>
        <v/>
      </c>
      <c r="Q202" s="30"/>
      <c r="R202" s="29" t="str">
        <f>IF('12 - Device_Configuration'!AY203="","",'12 - Device_Configuration'!AY203)</f>
        <v/>
      </c>
      <c r="S202" s="29" t="str">
        <f>IF('12 - Device_Configuration'!AX203="","",'12 - Device_Configuration'!AX203)</f>
        <v/>
      </c>
      <c r="T202" s="29" t="str">
        <f>IF('12 - Device_Configuration'!AV203="","",'12 - Device_Configuration'!AV203)</f>
        <v/>
      </c>
      <c r="U202" s="29" t="str">
        <f>IF('12 - Device_Configuration'!AW203="","",'12 - Device_Configuration'!AW203)</f>
        <v/>
      </c>
      <c r="V202" s="29" t="str">
        <f>IF('12 - Device_Configuration'!BA203="","",'12 - Device_Configuration'!BA203)</f>
        <v/>
      </c>
      <c r="W202" s="29" t="str">
        <f>IF('12 - Device_Configuration'!BC203="","",'12 - Device_Configuration'!BC203)</f>
        <v/>
      </c>
      <c r="X202" s="29" t="str">
        <f>IF('12 - Device_Configuration'!BK203="","",'12 - Device_Configuration'!BK203)</f>
        <v/>
      </c>
      <c r="Y202" s="29" t="str">
        <f>IF('12 - Device_Configuration'!BB203="","",'12 - Device_Configuration'!BB203)</f>
        <v/>
      </c>
      <c r="Z202" s="29" t="str">
        <f>IF('12 - Device_Configuration'!P203="","",'12 - Device_Configuration'!P203)</f>
        <v/>
      </c>
      <c r="AA202" s="29" t="str">
        <f>IF('12 - Device_Configuration'!Q203="","",'12 - Device_Configuration'!Q203)</f>
        <v/>
      </c>
    </row>
    <row r="203" spans="1:27">
      <c r="A203" s="30"/>
      <c r="B203" s="30"/>
      <c r="C203" s="29" t="str">
        <f>IF('12 - Device_Configuration'!H204="","",'12 - Device_Configuration'!H204)</f>
        <v/>
      </c>
      <c r="D203" s="29" t="str">
        <f>IF('12 - Device_Configuration'!AE204="","",'12 - Device_Configuration'!AE204)</f>
        <v/>
      </c>
      <c r="E203" s="29" t="str">
        <f>IF('12 - Device_Configuration'!AF204="","",'12 - Device_Configuration'!AF204)</f>
        <v/>
      </c>
      <c r="F203" s="29" t="str">
        <f>IF('12 - Device_Configuration'!AG204="","",'12 - Device_Configuration'!AG204)</f>
        <v/>
      </c>
      <c r="G203" s="29" t="str">
        <f>IF('12 - Device_Configuration'!AH204="","",'12 - Device_Configuration'!AH204)</f>
        <v/>
      </c>
      <c r="H203" s="29" t="str">
        <f>IF('12 - Device_Configuration'!A204="","",'12 - Device_Configuration'!A204)</f>
        <v/>
      </c>
      <c r="I203" s="29" t="str">
        <f>IF('12 - Device_Configuration'!AI204="","",'12 - Device_Configuration'!AI204)</f>
        <v/>
      </c>
      <c r="J203" s="29" t="str">
        <f>IF('12 - Device_Configuration'!AJ204="","",'12 - Device_Configuration'!AJ204)</f>
        <v/>
      </c>
      <c r="K203" s="29" t="str">
        <f>IF('12 - Device_Configuration'!AA204="","",'12 - Device_Configuration'!AA204)</f>
        <v/>
      </c>
      <c r="L203" s="29" t="str">
        <f>IF('12 - Device_Configuration'!I204="","",'12 - Device_Configuration'!I204)</f>
        <v/>
      </c>
      <c r="M203" s="30"/>
      <c r="N203" s="29" t="str">
        <f>IF('12 - Device_Configuration'!J204="","",'12 - Device_Configuration'!J204)</f>
        <v/>
      </c>
      <c r="O203" s="29" t="str">
        <f>IF('12 - Device_Configuration'!K204="","",'12 - Device_Configuration'!K204)</f>
        <v/>
      </c>
      <c r="P203" s="29" t="str">
        <f>IF('12 - Device_Configuration'!L204="","",'12 - Device_Configuration'!L204)</f>
        <v/>
      </c>
      <c r="Q203" s="30"/>
      <c r="R203" s="29" t="str">
        <f>IF('12 - Device_Configuration'!AY204="","",'12 - Device_Configuration'!AY204)</f>
        <v/>
      </c>
      <c r="S203" s="29" t="str">
        <f>IF('12 - Device_Configuration'!AX204="","",'12 - Device_Configuration'!AX204)</f>
        <v/>
      </c>
      <c r="T203" s="29" t="str">
        <f>IF('12 - Device_Configuration'!AV204="","",'12 - Device_Configuration'!AV204)</f>
        <v/>
      </c>
      <c r="U203" s="29" t="str">
        <f>IF('12 - Device_Configuration'!AW204="","",'12 - Device_Configuration'!AW204)</f>
        <v/>
      </c>
      <c r="V203" s="29" t="str">
        <f>IF('12 - Device_Configuration'!BA204="","",'12 - Device_Configuration'!BA204)</f>
        <v/>
      </c>
      <c r="W203" s="29" t="str">
        <f>IF('12 - Device_Configuration'!BC204="","",'12 - Device_Configuration'!BC204)</f>
        <v/>
      </c>
      <c r="X203" s="29" t="str">
        <f>IF('12 - Device_Configuration'!BK204="","",'12 - Device_Configuration'!BK204)</f>
        <v/>
      </c>
      <c r="Y203" s="29" t="str">
        <f>IF('12 - Device_Configuration'!BB204="","",'12 - Device_Configuration'!BB204)</f>
        <v/>
      </c>
      <c r="Z203" s="29" t="str">
        <f>IF('12 - Device_Configuration'!P204="","",'12 - Device_Configuration'!P204)</f>
        <v/>
      </c>
      <c r="AA203" s="29" t="str">
        <f>IF('12 - Device_Configuration'!Q204="","",'12 - Device_Configuration'!Q204)</f>
        <v/>
      </c>
    </row>
    <row r="204" spans="1:27">
      <c r="A204" s="30"/>
      <c r="B204" s="30"/>
      <c r="C204" s="29" t="str">
        <f>IF('12 - Device_Configuration'!H205="","",'12 - Device_Configuration'!H205)</f>
        <v/>
      </c>
      <c r="D204" s="29" t="str">
        <f>IF('12 - Device_Configuration'!AE205="","",'12 - Device_Configuration'!AE205)</f>
        <v/>
      </c>
      <c r="E204" s="29" t="str">
        <f>IF('12 - Device_Configuration'!AF205="","",'12 - Device_Configuration'!AF205)</f>
        <v/>
      </c>
      <c r="F204" s="29" t="str">
        <f>IF('12 - Device_Configuration'!AG205="","",'12 - Device_Configuration'!AG205)</f>
        <v/>
      </c>
      <c r="G204" s="29" t="str">
        <f>IF('12 - Device_Configuration'!AH205="","",'12 - Device_Configuration'!AH205)</f>
        <v/>
      </c>
      <c r="H204" s="29" t="str">
        <f>IF('12 - Device_Configuration'!A205="","",'12 - Device_Configuration'!A205)</f>
        <v/>
      </c>
      <c r="I204" s="29" t="str">
        <f>IF('12 - Device_Configuration'!AI205="","",'12 - Device_Configuration'!AI205)</f>
        <v/>
      </c>
      <c r="J204" s="29" t="str">
        <f>IF('12 - Device_Configuration'!AJ205="","",'12 - Device_Configuration'!AJ205)</f>
        <v/>
      </c>
      <c r="K204" s="29" t="str">
        <f>IF('12 - Device_Configuration'!AA205="","",'12 - Device_Configuration'!AA205)</f>
        <v/>
      </c>
      <c r="L204" s="29" t="str">
        <f>IF('12 - Device_Configuration'!I205="","",'12 - Device_Configuration'!I205)</f>
        <v/>
      </c>
      <c r="M204" s="30"/>
      <c r="N204" s="29" t="str">
        <f>IF('12 - Device_Configuration'!J205="","",'12 - Device_Configuration'!J205)</f>
        <v/>
      </c>
      <c r="O204" s="29" t="str">
        <f>IF('12 - Device_Configuration'!K205="","",'12 - Device_Configuration'!K205)</f>
        <v/>
      </c>
      <c r="P204" s="29" t="str">
        <f>IF('12 - Device_Configuration'!L205="","",'12 - Device_Configuration'!L205)</f>
        <v/>
      </c>
      <c r="Q204" s="30"/>
      <c r="R204" s="29" t="str">
        <f>IF('12 - Device_Configuration'!AY205="","",'12 - Device_Configuration'!AY205)</f>
        <v/>
      </c>
      <c r="S204" s="29" t="str">
        <f>IF('12 - Device_Configuration'!AX205="","",'12 - Device_Configuration'!AX205)</f>
        <v/>
      </c>
      <c r="T204" s="29" t="str">
        <f>IF('12 - Device_Configuration'!AV205="","",'12 - Device_Configuration'!AV205)</f>
        <v/>
      </c>
      <c r="U204" s="29" t="str">
        <f>IF('12 - Device_Configuration'!AW205="","",'12 - Device_Configuration'!AW205)</f>
        <v/>
      </c>
      <c r="V204" s="29" t="str">
        <f>IF('12 - Device_Configuration'!BA205="","",'12 - Device_Configuration'!BA205)</f>
        <v/>
      </c>
      <c r="W204" s="29" t="str">
        <f>IF('12 - Device_Configuration'!BC205="","",'12 - Device_Configuration'!BC205)</f>
        <v/>
      </c>
      <c r="X204" s="29" t="str">
        <f>IF('12 - Device_Configuration'!BK205="","",'12 - Device_Configuration'!BK205)</f>
        <v/>
      </c>
      <c r="Y204" s="29" t="str">
        <f>IF('12 - Device_Configuration'!BB205="","",'12 - Device_Configuration'!BB205)</f>
        <v/>
      </c>
      <c r="Z204" s="29" t="str">
        <f>IF('12 - Device_Configuration'!P205="","",'12 - Device_Configuration'!P205)</f>
        <v/>
      </c>
      <c r="AA204" s="29" t="str">
        <f>IF('12 - Device_Configuration'!Q205="","",'12 - Device_Configuration'!Q205)</f>
        <v/>
      </c>
    </row>
    <row r="205" spans="1:27">
      <c r="A205" s="30"/>
      <c r="B205" s="30"/>
      <c r="C205" s="29" t="str">
        <f>IF('12 - Device_Configuration'!H206="","",'12 - Device_Configuration'!H206)</f>
        <v/>
      </c>
      <c r="D205" s="29" t="str">
        <f>IF('12 - Device_Configuration'!AE206="","",'12 - Device_Configuration'!AE206)</f>
        <v/>
      </c>
      <c r="E205" s="29" t="str">
        <f>IF('12 - Device_Configuration'!AF206="","",'12 - Device_Configuration'!AF206)</f>
        <v/>
      </c>
      <c r="F205" s="29" t="str">
        <f>IF('12 - Device_Configuration'!AG206="","",'12 - Device_Configuration'!AG206)</f>
        <v/>
      </c>
      <c r="G205" s="29" t="str">
        <f>IF('12 - Device_Configuration'!AH206="","",'12 - Device_Configuration'!AH206)</f>
        <v/>
      </c>
      <c r="H205" s="29" t="str">
        <f>IF('12 - Device_Configuration'!A206="","",'12 - Device_Configuration'!A206)</f>
        <v/>
      </c>
      <c r="I205" s="29" t="str">
        <f>IF('12 - Device_Configuration'!AI206="","",'12 - Device_Configuration'!AI206)</f>
        <v/>
      </c>
      <c r="J205" s="29" t="str">
        <f>IF('12 - Device_Configuration'!AJ206="","",'12 - Device_Configuration'!AJ206)</f>
        <v/>
      </c>
      <c r="K205" s="29" t="str">
        <f>IF('12 - Device_Configuration'!AA206="","",'12 - Device_Configuration'!AA206)</f>
        <v/>
      </c>
      <c r="L205" s="29" t="str">
        <f>IF('12 - Device_Configuration'!I206="","",'12 - Device_Configuration'!I206)</f>
        <v/>
      </c>
      <c r="M205" s="30"/>
      <c r="N205" s="29" t="str">
        <f>IF('12 - Device_Configuration'!J206="","",'12 - Device_Configuration'!J206)</f>
        <v/>
      </c>
      <c r="O205" s="29" t="str">
        <f>IF('12 - Device_Configuration'!K206="","",'12 - Device_Configuration'!K206)</f>
        <v/>
      </c>
      <c r="P205" s="29" t="str">
        <f>IF('12 - Device_Configuration'!L206="","",'12 - Device_Configuration'!L206)</f>
        <v/>
      </c>
      <c r="Q205" s="30"/>
      <c r="R205" s="29" t="str">
        <f>IF('12 - Device_Configuration'!AY206="","",'12 - Device_Configuration'!AY206)</f>
        <v/>
      </c>
      <c r="S205" s="29" t="str">
        <f>IF('12 - Device_Configuration'!AX206="","",'12 - Device_Configuration'!AX206)</f>
        <v/>
      </c>
      <c r="T205" s="29" t="str">
        <f>IF('12 - Device_Configuration'!AV206="","",'12 - Device_Configuration'!AV206)</f>
        <v/>
      </c>
      <c r="U205" s="29" t="str">
        <f>IF('12 - Device_Configuration'!AW206="","",'12 - Device_Configuration'!AW206)</f>
        <v/>
      </c>
      <c r="V205" s="29" t="str">
        <f>IF('12 - Device_Configuration'!BA206="","",'12 - Device_Configuration'!BA206)</f>
        <v/>
      </c>
      <c r="W205" s="29" t="str">
        <f>IF('12 - Device_Configuration'!BC206="","",'12 - Device_Configuration'!BC206)</f>
        <v/>
      </c>
      <c r="X205" s="29" t="str">
        <f>IF('12 - Device_Configuration'!BK206="","",'12 - Device_Configuration'!BK206)</f>
        <v/>
      </c>
      <c r="Y205" s="29" t="str">
        <f>IF('12 - Device_Configuration'!BB206="","",'12 - Device_Configuration'!BB206)</f>
        <v/>
      </c>
      <c r="Z205" s="29" t="str">
        <f>IF('12 - Device_Configuration'!P206="","",'12 - Device_Configuration'!P206)</f>
        <v/>
      </c>
      <c r="AA205" s="29" t="str">
        <f>IF('12 - Device_Configuration'!Q206="","",'12 - Device_Configuration'!Q206)</f>
        <v/>
      </c>
    </row>
    <row r="206" spans="1:27">
      <c r="A206" s="30"/>
      <c r="B206" s="30"/>
      <c r="C206" s="29" t="str">
        <f>IF('12 - Device_Configuration'!H207="","",'12 - Device_Configuration'!H207)</f>
        <v/>
      </c>
      <c r="D206" s="29" t="str">
        <f>IF('12 - Device_Configuration'!AE207="","",'12 - Device_Configuration'!AE207)</f>
        <v/>
      </c>
      <c r="E206" s="29" t="str">
        <f>IF('12 - Device_Configuration'!AF207="","",'12 - Device_Configuration'!AF207)</f>
        <v/>
      </c>
      <c r="F206" s="29" t="str">
        <f>IF('12 - Device_Configuration'!AG207="","",'12 - Device_Configuration'!AG207)</f>
        <v/>
      </c>
      <c r="G206" s="29" t="str">
        <f>IF('12 - Device_Configuration'!AH207="","",'12 - Device_Configuration'!AH207)</f>
        <v/>
      </c>
      <c r="H206" s="29" t="str">
        <f>IF('12 - Device_Configuration'!A207="","",'12 - Device_Configuration'!A207)</f>
        <v/>
      </c>
      <c r="I206" s="29" t="str">
        <f>IF('12 - Device_Configuration'!AI207="","",'12 - Device_Configuration'!AI207)</f>
        <v/>
      </c>
      <c r="J206" s="29" t="str">
        <f>IF('12 - Device_Configuration'!AJ207="","",'12 - Device_Configuration'!AJ207)</f>
        <v/>
      </c>
      <c r="K206" s="29" t="str">
        <f>IF('12 - Device_Configuration'!AA207="","",'12 - Device_Configuration'!AA207)</f>
        <v/>
      </c>
      <c r="L206" s="29" t="str">
        <f>IF('12 - Device_Configuration'!I207="","",'12 - Device_Configuration'!I207)</f>
        <v/>
      </c>
      <c r="M206" s="30"/>
      <c r="N206" s="29" t="str">
        <f>IF('12 - Device_Configuration'!J207="","",'12 - Device_Configuration'!J207)</f>
        <v/>
      </c>
      <c r="O206" s="29" t="str">
        <f>IF('12 - Device_Configuration'!K207="","",'12 - Device_Configuration'!K207)</f>
        <v/>
      </c>
      <c r="P206" s="29" t="str">
        <f>IF('12 - Device_Configuration'!L207="","",'12 - Device_Configuration'!L207)</f>
        <v/>
      </c>
      <c r="Q206" s="30"/>
      <c r="R206" s="29" t="str">
        <f>IF('12 - Device_Configuration'!AY207="","",'12 - Device_Configuration'!AY207)</f>
        <v/>
      </c>
      <c r="S206" s="29" t="str">
        <f>IF('12 - Device_Configuration'!AX207="","",'12 - Device_Configuration'!AX207)</f>
        <v/>
      </c>
      <c r="T206" s="29" t="str">
        <f>IF('12 - Device_Configuration'!AV207="","",'12 - Device_Configuration'!AV207)</f>
        <v/>
      </c>
      <c r="U206" s="29" t="str">
        <f>IF('12 - Device_Configuration'!AW207="","",'12 - Device_Configuration'!AW207)</f>
        <v/>
      </c>
      <c r="V206" s="29" t="str">
        <f>IF('12 - Device_Configuration'!BA207="","",'12 - Device_Configuration'!BA207)</f>
        <v/>
      </c>
      <c r="W206" s="29" t="str">
        <f>IF('12 - Device_Configuration'!BC207="","",'12 - Device_Configuration'!BC207)</f>
        <v/>
      </c>
      <c r="X206" s="29" t="str">
        <f>IF('12 - Device_Configuration'!BK207="","",'12 - Device_Configuration'!BK207)</f>
        <v/>
      </c>
      <c r="Y206" s="29" t="str">
        <f>IF('12 - Device_Configuration'!BB207="","",'12 - Device_Configuration'!BB207)</f>
        <v/>
      </c>
      <c r="Z206" s="29" t="str">
        <f>IF('12 - Device_Configuration'!P207="","",'12 - Device_Configuration'!P207)</f>
        <v/>
      </c>
      <c r="AA206" s="29" t="str">
        <f>IF('12 - Device_Configuration'!Q207="","",'12 - Device_Configuration'!Q207)</f>
        <v/>
      </c>
    </row>
    <row r="207" spans="1:27">
      <c r="A207" s="30"/>
      <c r="B207" s="30"/>
      <c r="C207" s="29" t="str">
        <f>IF('12 - Device_Configuration'!H208="","",'12 - Device_Configuration'!H208)</f>
        <v/>
      </c>
      <c r="D207" s="29" t="str">
        <f>IF('12 - Device_Configuration'!AE208="","",'12 - Device_Configuration'!AE208)</f>
        <v/>
      </c>
      <c r="E207" s="29" t="str">
        <f>IF('12 - Device_Configuration'!AF208="","",'12 - Device_Configuration'!AF208)</f>
        <v/>
      </c>
      <c r="F207" s="29" t="str">
        <f>IF('12 - Device_Configuration'!AG208="","",'12 - Device_Configuration'!AG208)</f>
        <v/>
      </c>
      <c r="G207" s="29" t="str">
        <f>IF('12 - Device_Configuration'!AH208="","",'12 - Device_Configuration'!AH208)</f>
        <v/>
      </c>
      <c r="H207" s="29" t="str">
        <f>IF('12 - Device_Configuration'!A208="","",'12 - Device_Configuration'!A208)</f>
        <v/>
      </c>
      <c r="I207" s="29" t="str">
        <f>IF('12 - Device_Configuration'!AI208="","",'12 - Device_Configuration'!AI208)</f>
        <v/>
      </c>
      <c r="J207" s="29" t="str">
        <f>IF('12 - Device_Configuration'!AJ208="","",'12 - Device_Configuration'!AJ208)</f>
        <v/>
      </c>
      <c r="K207" s="29" t="str">
        <f>IF('12 - Device_Configuration'!AA208="","",'12 - Device_Configuration'!AA208)</f>
        <v/>
      </c>
      <c r="L207" s="29" t="str">
        <f>IF('12 - Device_Configuration'!I208="","",'12 - Device_Configuration'!I208)</f>
        <v/>
      </c>
      <c r="M207" s="30"/>
      <c r="N207" s="29" t="str">
        <f>IF('12 - Device_Configuration'!J208="","",'12 - Device_Configuration'!J208)</f>
        <v/>
      </c>
      <c r="O207" s="29" t="str">
        <f>IF('12 - Device_Configuration'!K208="","",'12 - Device_Configuration'!K208)</f>
        <v/>
      </c>
      <c r="P207" s="29" t="str">
        <f>IF('12 - Device_Configuration'!L208="","",'12 - Device_Configuration'!L208)</f>
        <v/>
      </c>
      <c r="Q207" s="30"/>
      <c r="R207" s="29" t="str">
        <f>IF('12 - Device_Configuration'!AY208="","",'12 - Device_Configuration'!AY208)</f>
        <v/>
      </c>
      <c r="S207" s="29" t="str">
        <f>IF('12 - Device_Configuration'!AX208="","",'12 - Device_Configuration'!AX208)</f>
        <v/>
      </c>
      <c r="T207" s="29" t="str">
        <f>IF('12 - Device_Configuration'!AV208="","",'12 - Device_Configuration'!AV208)</f>
        <v/>
      </c>
      <c r="U207" s="29" t="str">
        <f>IF('12 - Device_Configuration'!AW208="","",'12 - Device_Configuration'!AW208)</f>
        <v/>
      </c>
      <c r="V207" s="29" t="str">
        <f>IF('12 - Device_Configuration'!BA208="","",'12 - Device_Configuration'!BA208)</f>
        <v/>
      </c>
      <c r="W207" s="29" t="str">
        <f>IF('12 - Device_Configuration'!BC208="","",'12 - Device_Configuration'!BC208)</f>
        <v/>
      </c>
      <c r="X207" s="29" t="str">
        <f>IF('12 - Device_Configuration'!BK208="","",'12 - Device_Configuration'!BK208)</f>
        <v/>
      </c>
      <c r="Y207" s="29" t="str">
        <f>IF('12 - Device_Configuration'!BB208="","",'12 - Device_Configuration'!BB208)</f>
        <v/>
      </c>
      <c r="Z207" s="29" t="str">
        <f>IF('12 - Device_Configuration'!P208="","",'12 - Device_Configuration'!P208)</f>
        <v/>
      </c>
      <c r="AA207" s="29" t="str">
        <f>IF('12 - Device_Configuration'!Q208="","",'12 - Device_Configuration'!Q208)</f>
        <v/>
      </c>
    </row>
    <row r="208" spans="1:27">
      <c r="A208" s="30"/>
      <c r="B208" s="30"/>
      <c r="C208" s="29" t="str">
        <f>IF('12 - Device_Configuration'!H209="","",'12 - Device_Configuration'!H209)</f>
        <v/>
      </c>
      <c r="D208" s="29" t="str">
        <f>IF('12 - Device_Configuration'!AE209="","",'12 - Device_Configuration'!AE209)</f>
        <v/>
      </c>
      <c r="E208" s="29" t="str">
        <f>IF('12 - Device_Configuration'!AF209="","",'12 - Device_Configuration'!AF209)</f>
        <v/>
      </c>
      <c r="F208" s="29" t="str">
        <f>IF('12 - Device_Configuration'!AG209="","",'12 - Device_Configuration'!AG209)</f>
        <v/>
      </c>
      <c r="G208" s="29" t="str">
        <f>IF('12 - Device_Configuration'!AH209="","",'12 - Device_Configuration'!AH209)</f>
        <v/>
      </c>
      <c r="H208" s="29" t="str">
        <f>IF('12 - Device_Configuration'!A209="","",'12 - Device_Configuration'!A209)</f>
        <v/>
      </c>
      <c r="I208" s="29" t="str">
        <f>IF('12 - Device_Configuration'!AI209="","",'12 - Device_Configuration'!AI209)</f>
        <v/>
      </c>
      <c r="J208" s="29" t="str">
        <f>IF('12 - Device_Configuration'!AJ209="","",'12 - Device_Configuration'!AJ209)</f>
        <v/>
      </c>
      <c r="K208" s="29" t="str">
        <f>IF('12 - Device_Configuration'!AA209="","",'12 - Device_Configuration'!AA209)</f>
        <v/>
      </c>
      <c r="L208" s="29" t="str">
        <f>IF('12 - Device_Configuration'!I209="","",'12 - Device_Configuration'!I209)</f>
        <v/>
      </c>
      <c r="M208" s="30"/>
      <c r="N208" s="29" t="str">
        <f>IF('12 - Device_Configuration'!J209="","",'12 - Device_Configuration'!J209)</f>
        <v/>
      </c>
      <c r="O208" s="29" t="str">
        <f>IF('12 - Device_Configuration'!K209="","",'12 - Device_Configuration'!K209)</f>
        <v/>
      </c>
      <c r="P208" s="29" t="str">
        <f>IF('12 - Device_Configuration'!L209="","",'12 - Device_Configuration'!L209)</f>
        <v/>
      </c>
      <c r="Q208" s="30"/>
      <c r="R208" s="29" t="str">
        <f>IF('12 - Device_Configuration'!AY209="","",'12 - Device_Configuration'!AY209)</f>
        <v/>
      </c>
      <c r="S208" s="29" t="str">
        <f>IF('12 - Device_Configuration'!AX209="","",'12 - Device_Configuration'!AX209)</f>
        <v/>
      </c>
      <c r="T208" s="29" t="str">
        <f>IF('12 - Device_Configuration'!AV209="","",'12 - Device_Configuration'!AV209)</f>
        <v/>
      </c>
      <c r="U208" s="29" t="str">
        <f>IF('12 - Device_Configuration'!AW209="","",'12 - Device_Configuration'!AW209)</f>
        <v/>
      </c>
      <c r="V208" s="29" t="str">
        <f>IF('12 - Device_Configuration'!BA209="","",'12 - Device_Configuration'!BA209)</f>
        <v/>
      </c>
      <c r="W208" s="29" t="str">
        <f>IF('12 - Device_Configuration'!BC209="","",'12 - Device_Configuration'!BC209)</f>
        <v/>
      </c>
      <c r="X208" s="29" t="str">
        <f>IF('12 - Device_Configuration'!BK209="","",'12 - Device_Configuration'!BK209)</f>
        <v/>
      </c>
      <c r="Y208" s="29" t="str">
        <f>IF('12 - Device_Configuration'!BB209="","",'12 - Device_Configuration'!BB209)</f>
        <v/>
      </c>
      <c r="Z208" s="29" t="str">
        <f>IF('12 - Device_Configuration'!P209="","",'12 - Device_Configuration'!P209)</f>
        <v/>
      </c>
      <c r="AA208" s="29" t="str">
        <f>IF('12 - Device_Configuration'!Q209="","",'12 - Device_Configuration'!Q209)</f>
        <v/>
      </c>
    </row>
    <row r="209" spans="1:27">
      <c r="A209" s="30"/>
      <c r="B209" s="30"/>
      <c r="C209" s="29" t="str">
        <f>IF('12 - Device_Configuration'!H210="","",'12 - Device_Configuration'!H210)</f>
        <v/>
      </c>
      <c r="D209" s="29" t="str">
        <f>IF('12 - Device_Configuration'!AE210="","",'12 - Device_Configuration'!AE210)</f>
        <v/>
      </c>
      <c r="E209" s="29" t="str">
        <f>IF('12 - Device_Configuration'!AF210="","",'12 - Device_Configuration'!AF210)</f>
        <v/>
      </c>
      <c r="F209" s="29" t="str">
        <f>IF('12 - Device_Configuration'!AG210="","",'12 - Device_Configuration'!AG210)</f>
        <v/>
      </c>
      <c r="G209" s="29" t="str">
        <f>IF('12 - Device_Configuration'!AH210="","",'12 - Device_Configuration'!AH210)</f>
        <v/>
      </c>
      <c r="H209" s="29" t="str">
        <f>IF('12 - Device_Configuration'!A210="","",'12 - Device_Configuration'!A210)</f>
        <v/>
      </c>
      <c r="I209" s="29" t="str">
        <f>IF('12 - Device_Configuration'!AI210="","",'12 - Device_Configuration'!AI210)</f>
        <v/>
      </c>
      <c r="J209" s="29" t="str">
        <f>IF('12 - Device_Configuration'!AJ210="","",'12 - Device_Configuration'!AJ210)</f>
        <v/>
      </c>
      <c r="K209" s="29" t="str">
        <f>IF('12 - Device_Configuration'!AA210="","",'12 - Device_Configuration'!AA210)</f>
        <v/>
      </c>
      <c r="L209" s="29" t="str">
        <f>IF('12 - Device_Configuration'!I210="","",'12 - Device_Configuration'!I210)</f>
        <v/>
      </c>
      <c r="M209" s="30"/>
      <c r="N209" s="29" t="str">
        <f>IF('12 - Device_Configuration'!J210="","",'12 - Device_Configuration'!J210)</f>
        <v/>
      </c>
      <c r="O209" s="29" t="str">
        <f>IF('12 - Device_Configuration'!K210="","",'12 - Device_Configuration'!K210)</f>
        <v/>
      </c>
      <c r="P209" s="29" t="str">
        <f>IF('12 - Device_Configuration'!L210="","",'12 - Device_Configuration'!L210)</f>
        <v/>
      </c>
      <c r="Q209" s="30"/>
      <c r="R209" s="29" t="str">
        <f>IF('12 - Device_Configuration'!AY210="","",'12 - Device_Configuration'!AY210)</f>
        <v/>
      </c>
      <c r="S209" s="29" t="str">
        <f>IF('12 - Device_Configuration'!AX210="","",'12 - Device_Configuration'!AX210)</f>
        <v/>
      </c>
      <c r="T209" s="29" t="str">
        <f>IF('12 - Device_Configuration'!AV210="","",'12 - Device_Configuration'!AV210)</f>
        <v/>
      </c>
      <c r="U209" s="29" t="str">
        <f>IF('12 - Device_Configuration'!AW210="","",'12 - Device_Configuration'!AW210)</f>
        <v/>
      </c>
      <c r="V209" s="29" t="str">
        <f>IF('12 - Device_Configuration'!BA210="","",'12 - Device_Configuration'!BA210)</f>
        <v/>
      </c>
      <c r="W209" s="29" t="str">
        <f>IF('12 - Device_Configuration'!BC210="","",'12 - Device_Configuration'!BC210)</f>
        <v/>
      </c>
      <c r="X209" s="29" t="str">
        <f>IF('12 - Device_Configuration'!BK210="","",'12 - Device_Configuration'!BK210)</f>
        <v/>
      </c>
      <c r="Y209" s="29" t="str">
        <f>IF('12 - Device_Configuration'!BB210="","",'12 - Device_Configuration'!BB210)</f>
        <v/>
      </c>
      <c r="Z209" s="29" t="str">
        <f>IF('12 - Device_Configuration'!P210="","",'12 - Device_Configuration'!P210)</f>
        <v/>
      </c>
      <c r="AA209" s="29" t="str">
        <f>IF('12 - Device_Configuration'!Q210="","",'12 - Device_Configuration'!Q210)</f>
        <v/>
      </c>
    </row>
    <row r="210" spans="1:27">
      <c r="A210" s="30"/>
      <c r="B210" s="30"/>
      <c r="C210" s="29" t="str">
        <f>IF('12 - Device_Configuration'!H211="","",'12 - Device_Configuration'!H211)</f>
        <v/>
      </c>
      <c r="D210" s="29" t="str">
        <f>IF('12 - Device_Configuration'!AE211="","",'12 - Device_Configuration'!AE211)</f>
        <v/>
      </c>
      <c r="E210" s="29" t="str">
        <f>IF('12 - Device_Configuration'!AF211="","",'12 - Device_Configuration'!AF211)</f>
        <v/>
      </c>
      <c r="F210" s="29" t="str">
        <f>IF('12 - Device_Configuration'!AG211="","",'12 - Device_Configuration'!AG211)</f>
        <v/>
      </c>
      <c r="G210" s="29" t="str">
        <f>IF('12 - Device_Configuration'!AH211="","",'12 - Device_Configuration'!AH211)</f>
        <v/>
      </c>
      <c r="H210" s="29" t="str">
        <f>IF('12 - Device_Configuration'!A211="","",'12 - Device_Configuration'!A211)</f>
        <v/>
      </c>
      <c r="I210" s="29" t="str">
        <f>IF('12 - Device_Configuration'!AI211="","",'12 - Device_Configuration'!AI211)</f>
        <v/>
      </c>
      <c r="J210" s="29" t="str">
        <f>IF('12 - Device_Configuration'!AJ211="","",'12 - Device_Configuration'!AJ211)</f>
        <v/>
      </c>
      <c r="K210" s="29" t="str">
        <f>IF('12 - Device_Configuration'!AA211="","",'12 - Device_Configuration'!AA211)</f>
        <v/>
      </c>
      <c r="L210" s="29" t="str">
        <f>IF('12 - Device_Configuration'!I211="","",'12 - Device_Configuration'!I211)</f>
        <v/>
      </c>
      <c r="M210" s="30"/>
      <c r="N210" s="29" t="str">
        <f>IF('12 - Device_Configuration'!J211="","",'12 - Device_Configuration'!J211)</f>
        <v/>
      </c>
      <c r="O210" s="29" t="str">
        <f>IF('12 - Device_Configuration'!K211="","",'12 - Device_Configuration'!K211)</f>
        <v/>
      </c>
      <c r="P210" s="29" t="str">
        <f>IF('12 - Device_Configuration'!L211="","",'12 - Device_Configuration'!L211)</f>
        <v/>
      </c>
      <c r="Q210" s="30"/>
      <c r="R210" s="29" t="str">
        <f>IF('12 - Device_Configuration'!AY211="","",'12 - Device_Configuration'!AY211)</f>
        <v/>
      </c>
      <c r="S210" s="29" t="str">
        <f>IF('12 - Device_Configuration'!AX211="","",'12 - Device_Configuration'!AX211)</f>
        <v/>
      </c>
      <c r="T210" s="29" t="str">
        <f>IF('12 - Device_Configuration'!AV211="","",'12 - Device_Configuration'!AV211)</f>
        <v/>
      </c>
      <c r="U210" s="29" t="str">
        <f>IF('12 - Device_Configuration'!AW211="","",'12 - Device_Configuration'!AW211)</f>
        <v/>
      </c>
      <c r="V210" s="29" t="str">
        <f>IF('12 - Device_Configuration'!BA211="","",'12 - Device_Configuration'!BA211)</f>
        <v/>
      </c>
      <c r="W210" s="29" t="str">
        <f>IF('12 - Device_Configuration'!BC211="","",'12 - Device_Configuration'!BC211)</f>
        <v/>
      </c>
      <c r="X210" s="29" t="str">
        <f>IF('12 - Device_Configuration'!BK211="","",'12 - Device_Configuration'!BK211)</f>
        <v/>
      </c>
      <c r="Y210" s="29" t="str">
        <f>IF('12 - Device_Configuration'!BB211="","",'12 - Device_Configuration'!BB211)</f>
        <v/>
      </c>
      <c r="Z210" s="29" t="str">
        <f>IF('12 - Device_Configuration'!P211="","",'12 - Device_Configuration'!P211)</f>
        <v/>
      </c>
      <c r="AA210" s="29" t="str">
        <f>IF('12 - Device_Configuration'!Q211="","",'12 - Device_Configuration'!Q211)</f>
        <v/>
      </c>
    </row>
    <row r="211" spans="1:27">
      <c r="A211" s="30"/>
      <c r="B211" s="30"/>
      <c r="C211" s="29" t="str">
        <f>IF('12 - Device_Configuration'!H212="","",'12 - Device_Configuration'!H212)</f>
        <v/>
      </c>
      <c r="D211" s="29" t="str">
        <f>IF('12 - Device_Configuration'!AE212="","",'12 - Device_Configuration'!AE212)</f>
        <v/>
      </c>
      <c r="E211" s="29" t="str">
        <f>IF('12 - Device_Configuration'!AF212="","",'12 - Device_Configuration'!AF212)</f>
        <v/>
      </c>
      <c r="F211" s="29" t="str">
        <f>IF('12 - Device_Configuration'!AG212="","",'12 - Device_Configuration'!AG212)</f>
        <v/>
      </c>
      <c r="G211" s="29" t="str">
        <f>IF('12 - Device_Configuration'!AH212="","",'12 - Device_Configuration'!AH212)</f>
        <v/>
      </c>
      <c r="H211" s="29" t="str">
        <f>IF('12 - Device_Configuration'!A212="","",'12 - Device_Configuration'!A212)</f>
        <v/>
      </c>
      <c r="I211" s="29" t="str">
        <f>IF('12 - Device_Configuration'!AI212="","",'12 - Device_Configuration'!AI212)</f>
        <v/>
      </c>
      <c r="J211" s="29" t="str">
        <f>IF('12 - Device_Configuration'!AJ212="","",'12 - Device_Configuration'!AJ212)</f>
        <v/>
      </c>
      <c r="K211" s="29" t="str">
        <f>IF('12 - Device_Configuration'!AA212="","",'12 - Device_Configuration'!AA212)</f>
        <v/>
      </c>
      <c r="L211" s="29" t="str">
        <f>IF('12 - Device_Configuration'!I212="","",'12 - Device_Configuration'!I212)</f>
        <v/>
      </c>
      <c r="M211" s="30"/>
      <c r="N211" s="29" t="str">
        <f>IF('12 - Device_Configuration'!J212="","",'12 - Device_Configuration'!J212)</f>
        <v/>
      </c>
      <c r="O211" s="29" t="str">
        <f>IF('12 - Device_Configuration'!K212="","",'12 - Device_Configuration'!K212)</f>
        <v/>
      </c>
      <c r="P211" s="29" t="str">
        <f>IF('12 - Device_Configuration'!L212="","",'12 - Device_Configuration'!L212)</f>
        <v/>
      </c>
      <c r="Q211" s="30"/>
      <c r="R211" s="29" t="str">
        <f>IF('12 - Device_Configuration'!AY212="","",'12 - Device_Configuration'!AY212)</f>
        <v/>
      </c>
      <c r="S211" s="29" t="str">
        <f>IF('12 - Device_Configuration'!AX212="","",'12 - Device_Configuration'!AX212)</f>
        <v/>
      </c>
      <c r="T211" s="29" t="str">
        <f>IF('12 - Device_Configuration'!AV212="","",'12 - Device_Configuration'!AV212)</f>
        <v/>
      </c>
      <c r="U211" s="29" t="str">
        <f>IF('12 - Device_Configuration'!AW212="","",'12 - Device_Configuration'!AW212)</f>
        <v/>
      </c>
      <c r="V211" s="29" t="str">
        <f>IF('12 - Device_Configuration'!BA212="","",'12 - Device_Configuration'!BA212)</f>
        <v/>
      </c>
      <c r="W211" s="29" t="str">
        <f>IF('12 - Device_Configuration'!BC212="","",'12 - Device_Configuration'!BC212)</f>
        <v/>
      </c>
      <c r="X211" s="29" t="str">
        <f>IF('12 - Device_Configuration'!BK212="","",'12 - Device_Configuration'!BK212)</f>
        <v/>
      </c>
      <c r="Y211" s="29" t="str">
        <f>IF('12 - Device_Configuration'!BB212="","",'12 - Device_Configuration'!BB212)</f>
        <v/>
      </c>
      <c r="Z211" s="29" t="str">
        <f>IF('12 - Device_Configuration'!P212="","",'12 - Device_Configuration'!P212)</f>
        <v/>
      </c>
      <c r="AA211" s="29" t="str">
        <f>IF('12 - Device_Configuration'!Q212="","",'12 - Device_Configuration'!Q212)</f>
        <v/>
      </c>
    </row>
    <row r="212" spans="1:27">
      <c r="A212" s="30"/>
      <c r="B212" s="30"/>
      <c r="C212" s="29" t="str">
        <f>IF('12 - Device_Configuration'!H213="","",'12 - Device_Configuration'!H213)</f>
        <v/>
      </c>
      <c r="D212" s="29" t="str">
        <f>IF('12 - Device_Configuration'!AE213="","",'12 - Device_Configuration'!AE213)</f>
        <v/>
      </c>
      <c r="E212" s="29" t="str">
        <f>IF('12 - Device_Configuration'!AF213="","",'12 - Device_Configuration'!AF213)</f>
        <v/>
      </c>
      <c r="F212" s="29" t="str">
        <f>IF('12 - Device_Configuration'!AG213="","",'12 - Device_Configuration'!AG213)</f>
        <v/>
      </c>
      <c r="G212" s="29" t="str">
        <f>IF('12 - Device_Configuration'!AH213="","",'12 - Device_Configuration'!AH213)</f>
        <v/>
      </c>
      <c r="H212" s="29" t="str">
        <f>IF('12 - Device_Configuration'!A213="","",'12 - Device_Configuration'!A213)</f>
        <v/>
      </c>
      <c r="I212" s="29" t="str">
        <f>IF('12 - Device_Configuration'!AI213="","",'12 - Device_Configuration'!AI213)</f>
        <v/>
      </c>
      <c r="J212" s="29" t="str">
        <f>IF('12 - Device_Configuration'!AJ213="","",'12 - Device_Configuration'!AJ213)</f>
        <v/>
      </c>
      <c r="K212" s="29" t="str">
        <f>IF('12 - Device_Configuration'!AA213="","",'12 - Device_Configuration'!AA213)</f>
        <v/>
      </c>
      <c r="L212" s="29" t="str">
        <f>IF('12 - Device_Configuration'!I213="","",'12 - Device_Configuration'!I213)</f>
        <v/>
      </c>
      <c r="M212" s="30"/>
      <c r="N212" s="29" t="str">
        <f>IF('12 - Device_Configuration'!J213="","",'12 - Device_Configuration'!J213)</f>
        <v/>
      </c>
      <c r="O212" s="29" t="str">
        <f>IF('12 - Device_Configuration'!K213="","",'12 - Device_Configuration'!K213)</f>
        <v/>
      </c>
      <c r="P212" s="29" t="str">
        <f>IF('12 - Device_Configuration'!L213="","",'12 - Device_Configuration'!L213)</f>
        <v/>
      </c>
      <c r="Q212" s="30"/>
      <c r="R212" s="29" t="str">
        <f>IF('12 - Device_Configuration'!AY213="","",'12 - Device_Configuration'!AY213)</f>
        <v/>
      </c>
      <c r="S212" s="29" t="str">
        <f>IF('12 - Device_Configuration'!AX213="","",'12 - Device_Configuration'!AX213)</f>
        <v/>
      </c>
      <c r="T212" s="29" t="str">
        <f>IF('12 - Device_Configuration'!AV213="","",'12 - Device_Configuration'!AV213)</f>
        <v/>
      </c>
      <c r="U212" s="29" t="str">
        <f>IF('12 - Device_Configuration'!AW213="","",'12 - Device_Configuration'!AW213)</f>
        <v/>
      </c>
      <c r="V212" s="29" t="str">
        <f>IF('12 - Device_Configuration'!BA213="","",'12 - Device_Configuration'!BA213)</f>
        <v/>
      </c>
      <c r="W212" s="29" t="str">
        <f>IF('12 - Device_Configuration'!BC213="","",'12 - Device_Configuration'!BC213)</f>
        <v/>
      </c>
      <c r="X212" s="29" t="str">
        <f>IF('12 - Device_Configuration'!BK213="","",'12 - Device_Configuration'!BK213)</f>
        <v/>
      </c>
      <c r="Y212" s="29" t="str">
        <f>IF('12 - Device_Configuration'!BB213="","",'12 - Device_Configuration'!BB213)</f>
        <v/>
      </c>
      <c r="Z212" s="29" t="str">
        <f>IF('12 - Device_Configuration'!P213="","",'12 - Device_Configuration'!P213)</f>
        <v/>
      </c>
      <c r="AA212" s="29" t="str">
        <f>IF('12 - Device_Configuration'!Q213="","",'12 - Device_Configuration'!Q213)</f>
        <v/>
      </c>
    </row>
    <row r="213" spans="1:27">
      <c r="A213" s="30"/>
      <c r="B213" s="30"/>
      <c r="C213" s="29" t="str">
        <f>IF('12 - Device_Configuration'!H214="","",'12 - Device_Configuration'!H214)</f>
        <v/>
      </c>
      <c r="D213" s="29" t="str">
        <f>IF('12 - Device_Configuration'!AE214="","",'12 - Device_Configuration'!AE214)</f>
        <v/>
      </c>
      <c r="E213" s="29" t="str">
        <f>IF('12 - Device_Configuration'!AF214="","",'12 - Device_Configuration'!AF214)</f>
        <v/>
      </c>
      <c r="F213" s="29" t="str">
        <f>IF('12 - Device_Configuration'!AG214="","",'12 - Device_Configuration'!AG214)</f>
        <v/>
      </c>
      <c r="G213" s="29" t="str">
        <f>IF('12 - Device_Configuration'!AH214="","",'12 - Device_Configuration'!AH214)</f>
        <v/>
      </c>
      <c r="H213" s="29" t="str">
        <f>IF('12 - Device_Configuration'!A214="","",'12 - Device_Configuration'!A214)</f>
        <v/>
      </c>
      <c r="I213" s="29" t="str">
        <f>IF('12 - Device_Configuration'!AI214="","",'12 - Device_Configuration'!AI214)</f>
        <v/>
      </c>
      <c r="J213" s="29" t="str">
        <f>IF('12 - Device_Configuration'!AJ214="","",'12 - Device_Configuration'!AJ214)</f>
        <v/>
      </c>
      <c r="K213" s="29" t="str">
        <f>IF('12 - Device_Configuration'!AA214="","",'12 - Device_Configuration'!AA214)</f>
        <v/>
      </c>
      <c r="L213" s="29" t="str">
        <f>IF('12 - Device_Configuration'!I214="","",'12 - Device_Configuration'!I214)</f>
        <v/>
      </c>
      <c r="M213" s="30"/>
      <c r="N213" s="29" t="str">
        <f>IF('12 - Device_Configuration'!J214="","",'12 - Device_Configuration'!J214)</f>
        <v/>
      </c>
      <c r="O213" s="29" t="str">
        <f>IF('12 - Device_Configuration'!K214="","",'12 - Device_Configuration'!K214)</f>
        <v/>
      </c>
      <c r="P213" s="29" t="str">
        <f>IF('12 - Device_Configuration'!L214="","",'12 - Device_Configuration'!L214)</f>
        <v/>
      </c>
      <c r="Q213" s="30"/>
      <c r="R213" s="29" t="str">
        <f>IF('12 - Device_Configuration'!AY214="","",'12 - Device_Configuration'!AY214)</f>
        <v/>
      </c>
      <c r="S213" s="29" t="str">
        <f>IF('12 - Device_Configuration'!AX214="","",'12 - Device_Configuration'!AX214)</f>
        <v/>
      </c>
      <c r="T213" s="29" t="str">
        <f>IF('12 - Device_Configuration'!AV214="","",'12 - Device_Configuration'!AV214)</f>
        <v/>
      </c>
      <c r="U213" s="29" t="str">
        <f>IF('12 - Device_Configuration'!AW214="","",'12 - Device_Configuration'!AW214)</f>
        <v/>
      </c>
      <c r="V213" s="29" t="str">
        <f>IF('12 - Device_Configuration'!BA214="","",'12 - Device_Configuration'!BA214)</f>
        <v/>
      </c>
      <c r="W213" s="29" t="str">
        <f>IF('12 - Device_Configuration'!BC214="","",'12 - Device_Configuration'!BC214)</f>
        <v/>
      </c>
      <c r="X213" s="29" t="str">
        <f>IF('12 - Device_Configuration'!BK214="","",'12 - Device_Configuration'!BK214)</f>
        <v/>
      </c>
      <c r="Y213" s="29" t="str">
        <f>IF('12 - Device_Configuration'!BB214="","",'12 - Device_Configuration'!BB214)</f>
        <v/>
      </c>
      <c r="Z213" s="29" t="str">
        <f>IF('12 - Device_Configuration'!P214="","",'12 - Device_Configuration'!P214)</f>
        <v/>
      </c>
      <c r="AA213" s="29" t="str">
        <f>IF('12 - Device_Configuration'!Q214="","",'12 - Device_Configuration'!Q214)</f>
        <v/>
      </c>
    </row>
    <row r="214" spans="1:27">
      <c r="A214" s="30"/>
      <c r="B214" s="30"/>
      <c r="C214" s="29" t="str">
        <f>IF('12 - Device_Configuration'!H215="","",'12 - Device_Configuration'!H215)</f>
        <v/>
      </c>
      <c r="D214" s="29" t="str">
        <f>IF('12 - Device_Configuration'!AE215="","",'12 - Device_Configuration'!AE215)</f>
        <v/>
      </c>
      <c r="E214" s="29" t="str">
        <f>IF('12 - Device_Configuration'!AF215="","",'12 - Device_Configuration'!AF215)</f>
        <v/>
      </c>
      <c r="F214" s="29" t="str">
        <f>IF('12 - Device_Configuration'!AG215="","",'12 - Device_Configuration'!AG215)</f>
        <v/>
      </c>
      <c r="G214" s="29" t="str">
        <f>IF('12 - Device_Configuration'!AH215="","",'12 - Device_Configuration'!AH215)</f>
        <v/>
      </c>
      <c r="H214" s="29" t="str">
        <f>IF('12 - Device_Configuration'!A215="","",'12 - Device_Configuration'!A215)</f>
        <v/>
      </c>
      <c r="I214" s="29" t="str">
        <f>IF('12 - Device_Configuration'!AI215="","",'12 - Device_Configuration'!AI215)</f>
        <v/>
      </c>
      <c r="J214" s="29" t="str">
        <f>IF('12 - Device_Configuration'!AJ215="","",'12 - Device_Configuration'!AJ215)</f>
        <v/>
      </c>
      <c r="K214" s="29" t="str">
        <f>IF('12 - Device_Configuration'!AA215="","",'12 - Device_Configuration'!AA215)</f>
        <v/>
      </c>
      <c r="L214" s="29" t="str">
        <f>IF('12 - Device_Configuration'!I215="","",'12 - Device_Configuration'!I215)</f>
        <v/>
      </c>
      <c r="M214" s="30"/>
      <c r="N214" s="29" t="str">
        <f>IF('12 - Device_Configuration'!J215="","",'12 - Device_Configuration'!J215)</f>
        <v/>
      </c>
      <c r="O214" s="29" t="str">
        <f>IF('12 - Device_Configuration'!K215="","",'12 - Device_Configuration'!K215)</f>
        <v/>
      </c>
      <c r="P214" s="29" t="str">
        <f>IF('12 - Device_Configuration'!L215="","",'12 - Device_Configuration'!L215)</f>
        <v/>
      </c>
      <c r="Q214" s="30"/>
      <c r="R214" s="29" t="str">
        <f>IF('12 - Device_Configuration'!AY215="","",'12 - Device_Configuration'!AY215)</f>
        <v/>
      </c>
      <c r="S214" s="29" t="str">
        <f>IF('12 - Device_Configuration'!AX215="","",'12 - Device_Configuration'!AX215)</f>
        <v/>
      </c>
      <c r="T214" s="29" t="str">
        <f>IF('12 - Device_Configuration'!AV215="","",'12 - Device_Configuration'!AV215)</f>
        <v/>
      </c>
      <c r="U214" s="29" t="str">
        <f>IF('12 - Device_Configuration'!AW215="","",'12 - Device_Configuration'!AW215)</f>
        <v/>
      </c>
      <c r="V214" s="29" t="str">
        <f>IF('12 - Device_Configuration'!BA215="","",'12 - Device_Configuration'!BA215)</f>
        <v/>
      </c>
      <c r="W214" s="29" t="str">
        <f>IF('12 - Device_Configuration'!BC215="","",'12 - Device_Configuration'!BC215)</f>
        <v/>
      </c>
      <c r="X214" s="29" t="str">
        <f>IF('12 - Device_Configuration'!BK215="","",'12 - Device_Configuration'!BK215)</f>
        <v/>
      </c>
      <c r="Y214" s="29" t="str">
        <f>IF('12 - Device_Configuration'!BB215="","",'12 - Device_Configuration'!BB215)</f>
        <v/>
      </c>
      <c r="Z214" s="29" t="str">
        <f>IF('12 - Device_Configuration'!P215="","",'12 - Device_Configuration'!P215)</f>
        <v/>
      </c>
      <c r="AA214" s="29" t="str">
        <f>IF('12 - Device_Configuration'!Q215="","",'12 - Device_Configuration'!Q215)</f>
        <v/>
      </c>
    </row>
    <row r="215" spans="1:27">
      <c r="A215" s="30"/>
      <c r="B215" s="30"/>
      <c r="C215" s="29" t="str">
        <f>IF('12 - Device_Configuration'!H216="","",'12 - Device_Configuration'!H216)</f>
        <v/>
      </c>
      <c r="D215" s="29" t="str">
        <f>IF('12 - Device_Configuration'!AE216="","",'12 - Device_Configuration'!AE216)</f>
        <v/>
      </c>
      <c r="E215" s="29" t="str">
        <f>IF('12 - Device_Configuration'!AF216="","",'12 - Device_Configuration'!AF216)</f>
        <v/>
      </c>
      <c r="F215" s="29" t="str">
        <f>IF('12 - Device_Configuration'!AG216="","",'12 - Device_Configuration'!AG216)</f>
        <v/>
      </c>
      <c r="G215" s="29" t="str">
        <f>IF('12 - Device_Configuration'!AH216="","",'12 - Device_Configuration'!AH216)</f>
        <v/>
      </c>
      <c r="H215" s="29" t="str">
        <f>IF('12 - Device_Configuration'!A216="","",'12 - Device_Configuration'!A216)</f>
        <v/>
      </c>
      <c r="I215" s="29" t="str">
        <f>IF('12 - Device_Configuration'!AI216="","",'12 - Device_Configuration'!AI216)</f>
        <v/>
      </c>
      <c r="J215" s="29" t="str">
        <f>IF('12 - Device_Configuration'!AJ216="","",'12 - Device_Configuration'!AJ216)</f>
        <v/>
      </c>
      <c r="K215" s="29" t="str">
        <f>IF('12 - Device_Configuration'!AA216="","",'12 - Device_Configuration'!AA216)</f>
        <v/>
      </c>
      <c r="L215" s="29" t="str">
        <f>IF('12 - Device_Configuration'!I216="","",'12 - Device_Configuration'!I216)</f>
        <v/>
      </c>
      <c r="M215" s="30"/>
      <c r="N215" s="29" t="str">
        <f>IF('12 - Device_Configuration'!J216="","",'12 - Device_Configuration'!J216)</f>
        <v/>
      </c>
      <c r="O215" s="29" t="str">
        <f>IF('12 - Device_Configuration'!K216="","",'12 - Device_Configuration'!K216)</f>
        <v/>
      </c>
      <c r="P215" s="29" t="str">
        <f>IF('12 - Device_Configuration'!L216="","",'12 - Device_Configuration'!L216)</f>
        <v/>
      </c>
      <c r="Q215" s="30"/>
      <c r="R215" s="29" t="str">
        <f>IF('12 - Device_Configuration'!AY216="","",'12 - Device_Configuration'!AY216)</f>
        <v/>
      </c>
      <c r="S215" s="29" t="str">
        <f>IF('12 - Device_Configuration'!AX216="","",'12 - Device_Configuration'!AX216)</f>
        <v/>
      </c>
      <c r="T215" s="29" t="str">
        <f>IF('12 - Device_Configuration'!AV216="","",'12 - Device_Configuration'!AV216)</f>
        <v/>
      </c>
      <c r="U215" s="29" t="str">
        <f>IF('12 - Device_Configuration'!AW216="","",'12 - Device_Configuration'!AW216)</f>
        <v/>
      </c>
      <c r="V215" s="29" t="str">
        <f>IF('12 - Device_Configuration'!BA216="","",'12 - Device_Configuration'!BA216)</f>
        <v/>
      </c>
      <c r="W215" s="29" t="str">
        <f>IF('12 - Device_Configuration'!BC216="","",'12 - Device_Configuration'!BC216)</f>
        <v/>
      </c>
      <c r="X215" s="29" t="str">
        <f>IF('12 - Device_Configuration'!BK216="","",'12 - Device_Configuration'!BK216)</f>
        <v/>
      </c>
      <c r="Y215" s="29" t="str">
        <f>IF('12 - Device_Configuration'!BB216="","",'12 - Device_Configuration'!BB216)</f>
        <v/>
      </c>
      <c r="Z215" s="29" t="str">
        <f>IF('12 - Device_Configuration'!P216="","",'12 - Device_Configuration'!P216)</f>
        <v/>
      </c>
      <c r="AA215" s="29" t="str">
        <f>IF('12 - Device_Configuration'!Q216="","",'12 - Device_Configuration'!Q216)</f>
        <v/>
      </c>
    </row>
    <row r="216" spans="1:27">
      <c r="A216" s="30"/>
      <c r="B216" s="30"/>
      <c r="C216" s="29" t="str">
        <f>IF('12 - Device_Configuration'!H217="","",'12 - Device_Configuration'!H217)</f>
        <v/>
      </c>
      <c r="D216" s="29" t="str">
        <f>IF('12 - Device_Configuration'!AE217="","",'12 - Device_Configuration'!AE217)</f>
        <v/>
      </c>
      <c r="E216" s="29" t="str">
        <f>IF('12 - Device_Configuration'!AF217="","",'12 - Device_Configuration'!AF217)</f>
        <v/>
      </c>
      <c r="F216" s="29" t="str">
        <f>IF('12 - Device_Configuration'!AG217="","",'12 - Device_Configuration'!AG217)</f>
        <v/>
      </c>
      <c r="G216" s="29" t="str">
        <f>IF('12 - Device_Configuration'!AH217="","",'12 - Device_Configuration'!AH217)</f>
        <v/>
      </c>
      <c r="H216" s="29" t="str">
        <f>IF('12 - Device_Configuration'!A217="","",'12 - Device_Configuration'!A217)</f>
        <v/>
      </c>
      <c r="I216" s="29" t="str">
        <f>IF('12 - Device_Configuration'!AI217="","",'12 - Device_Configuration'!AI217)</f>
        <v/>
      </c>
      <c r="J216" s="29" t="str">
        <f>IF('12 - Device_Configuration'!AJ217="","",'12 - Device_Configuration'!AJ217)</f>
        <v/>
      </c>
      <c r="K216" s="29" t="str">
        <f>IF('12 - Device_Configuration'!AA217="","",'12 - Device_Configuration'!AA217)</f>
        <v/>
      </c>
      <c r="L216" s="29" t="str">
        <f>IF('12 - Device_Configuration'!I217="","",'12 - Device_Configuration'!I217)</f>
        <v/>
      </c>
      <c r="M216" s="30"/>
      <c r="N216" s="29" t="str">
        <f>IF('12 - Device_Configuration'!J217="","",'12 - Device_Configuration'!J217)</f>
        <v/>
      </c>
      <c r="O216" s="29" t="str">
        <f>IF('12 - Device_Configuration'!K217="","",'12 - Device_Configuration'!K217)</f>
        <v/>
      </c>
      <c r="P216" s="29" t="str">
        <f>IF('12 - Device_Configuration'!L217="","",'12 - Device_Configuration'!L217)</f>
        <v/>
      </c>
      <c r="Q216" s="30"/>
      <c r="R216" s="29" t="str">
        <f>IF('12 - Device_Configuration'!AY217="","",'12 - Device_Configuration'!AY217)</f>
        <v/>
      </c>
      <c r="S216" s="29" t="str">
        <f>IF('12 - Device_Configuration'!AX217="","",'12 - Device_Configuration'!AX217)</f>
        <v/>
      </c>
      <c r="T216" s="29" t="str">
        <f>IF('12 - Device_Configuration'!AV217="","",'12 - Device_Configuration'!AV217)</f>
        <v/>
      </c>
      <c r="U216" s="29" t="str">
        <f>IF('12 - Device_Configuration'!AW217="","",'12 - Device_Configuration'!AW217)</f>
        <v/>
      </c>
      <c r="V216" s="29" t="str">
        <f>IF('12 - Device_Configuration'!BA217="","",'12 - Device_Configuration'!BA217)</f>
        <v/>
      </c>
      <c r="W216" s="29" t="str">
        <f>IF('12 - Device_Configuration'!BC217="","",'12 - Device_Configuration'!BC217)</f>
        <v/>
      </c>
      <c r="X216" s="29" t="str">
        <f>IF('12 - Device_Configuration'!BK217="","",'12 - Device_Configuration'!BK217)</f>
        <v/>
      </c>
      <c r="Y216" s="29" t="str">
        <f>IF('12 - Device_Configuration'!BB217="","",'12 - Device_Configuration'!BB217)</f>
        <v/>
      </c>
      <c r="Z216" s="29" t="str">
        <f>IF('12 - Device_Configuration'!P217="","",'12 - Device_Configuration'!P217)</f>
        <v/>
      </c>
      <c r="AA216" s="29" t="str">
        <f>IF('12 - Device_Configuration'!Q217="","",'12 - Device_Configuration'!Q217)</f>
        <v/>
      </c>
    </row>
    <row r="217" spans="1:27">
      <c r="A217" s="30"/>
      <c r="B217" s="30"/>
      <c r="C217" s="29" t="str">
        <f>IF('12 - Device_Configuration'!H218="","",'12 - Device_Configuration'!H218)</f>
        <v/>
      </c>
      <c r="D217" s="29" t="str">
        <f>IF('12 - Device_Configuration'!AE218="","",'12 - Device_Configuration'!AE218)</f>
        <v/>
      </c>
      <c r="E217" s="29" t="str">
        <f>IF('12 - Device_Configuration'!AF218="","",'12 - Device_Configuration'!AF218)</f>
        <v/>
      </c>
      <c r="F217" s="29" t="str">
        <f>IF('12 - Device_Configuration'!AG218="","",'12 - Device_Configuration'!AG218)</f>
        <v/>
      </c>
      <c r="G217" s="29" t="str">
        <f>IF('12 - Device_Configuration'!AH218="","",'12 - Device_Configuration'!AH218)</f>
        <v/>
      </c>
      <c r="H217" s="29" t="str">
        <f>IF('12 - Device_Configuration'!A218="","",'12 - Device_Configuration'!A218)</f>
        <v/>
      </c>
      <c r="I217" s="29" t="str">
        <f>IF('12 - Device_Configuration'!AI218="","",'12 - Device_Configuration'!AI218)</f>
        <v/>
      </c>
      <c r="J217" s="29" t="str">
        <f>IF('12 - Device_Configuration'!AJ218="","",'12 - Device_Configuration'!AJ218)</f>
        <v/>
      </c>
      <c r="K217" s="29" t="str">
        <f>IF('12 - Device_Configuration'!AA218="","",'12 - Device_Configuration'!AA218)</f>
        <v/>
      </c>
      <c r="L217" s="29" t="str">
        <f>IF('12 - Device_Configuration'!I218="","",'12 - Device_Configuration'!I218)</f>
        <v/>
      </c>
      <c r="M217" s="30"/>
      <c r="N217" s="29" t="str">
        <f>IF('12 - Device_Configuration'!J218="","",'12 - Device_Configuration'!J218)</f>
        <v/>
      </c>
      <c r="O217" s="29" t="str">
        <f>IF('12 - Device_Configuration'!K218="","",'12 - Device_Configuration'!K218)</f>
        <v/>
      </c>
      <c r="P217" s="29" t="str">
        <f>IF('12 - Device_Configuration'!L218="","",'12 - Device_Configuration'!L218)</f>
        <v/>
      </c>
      <c r="Q217" s="30"/>
      <c r="R217" s="29" t="str">
        <f>IF('12 - Device_Configuration'!AY218="","",'12 - Device_Configuration'!AY218)</f>
        <v/>
      </c>
      <c r="S217" s="29" t="str">
        <f>IF('12 - Device_Configuration'!AX218="","",'12 - Device_Configuration'!AX218)</f>
        <v/>
      </c>
      <c r="T217" s="29" t="str">
        <f>IF('12 - Device_Configuration'!AV218="","",'12 - Device_Configuration'!AV218)</f>
        <v/>
      </c>
      <c r="U217" s="29" t="str">
        <f>IF('12 - Device_Configuration'!AW218="","",'12 - Device_Configuration'!AW218)</f>
        <v/>
      </c>
      <c r="V217" s="29" t="str">
        <f>IF('12 - Device_Configuration'!BA218="","",'12 - Device_Configuration'!BA218)</f>
        <v/>
      </c>
      <c r="W217" s="29" t="str">
        <f>IF('12 - Device_Configuration'!BC218="","",'12 - Device_Configuration'!BC218)</f>
        <v/>
      </c>
      <c r="X217" s="29" t="str">
        <f>IF('12 - Device_Configuration'!BK218="","",'12 - Device_Configuration'!BK218)</f>
        <v/>
      </c>
      <c r="Y217" s="29" t="str">
        <f>IF('12 - Device_Configuration'!BB218="","",'12 - Device_Configuration'!BB218)</f>
        <v/>
      </c>
      <c r="Z217" s="29" t="str">
        <f>IF('12 - Device_Configuration'!P218="","",'12 - Device_Configuration'!P218)</f>
        <v/>
      </c>
      <c r="AA217" s="29" t="str">
        <f>IF('12 - Device_Configuration'!Q218="","",'12 - Device_Configuration'!Q218)</f>
        <v/>
      </c>
    </row>
    <row r="218" spans="1:27">
      <c r="A218" s="30"/>
      <c r="B218" s="30"/>
      <c r="C218" s="29" t="str">
        <f>IF('12 - Device_Configuration'!H219="","",'12 - Device_Configuration'!H219)</f>
        <v/>
      </c>
      <c r="D218" s="29" t="str">
        <f>IF('12 - Device_Configuration'!AE219="","",'12 - Device_Configuration'!AE219)</f>
        <v/>
      </c>
      <c r="E218" s="29" t="str">
        <f>IF('12 - Device_Configuration'!AF219="","",'12 - Device_Configuration'!AF219)</f>
        <v/>
      </c>
      <c r="F218" s="29" t="str">
        <f>IF('12 - Device_Configuration'!AG219="","",'12 - Device_Configuration'!AG219)</f>
        <v/>
      </c>
      <c r="G218" s="29" t="str">
        <f>IF('12 - Device_Configuration'!AH219="","",'12 - Device_Configuration'!AH219)</f>
        <v/>
      </c>
      <c r="H218" s="29" t="str">
        <f>IF('12 - Device_Configuration'!A219="","",'12 - Device_Configuration'!A219)</f>
        <v/>
      </c>
      <c r="I218" s="29" t="str">
        <f>IF('12 - Device_Configuration'!AI219="","",'12 - Device_Configuration'!AI219)</f>
        <v/>
      </c>
      <c r="J218" s="29" t="str">
        <f>IF('12 - Device_Configuration'!AJ219="","",'12 - Device_Configuration'!AJ219)</f>
        <v/>
      </c>
      <c r="K218" s="29" t="str">
        <f>IF('12 - Device_Configuration'!AA219="","",'12 - Device_Configuration'!AA219)</f>
        <v/>
      </c>
      <c r="L218" s="29" t="str">
        <f>IF('12 - Device_Configuration'!I219="","",'12 - Device_Configuration'!I219)</f>
        <v/>
      </c>
      <c r="M218" s="30"/>
      <c r="N218" s="29" t="str">
        <f>IF('12 - Device_Configuration'!J219="","",'12 - Device_Configuration'!J219)</f>
        <v/>
      </c>
      <c r="O218" s="29" t="str">
        <f>IF('12 - Device_Configuration'!K219="","",'12 - Device_Configuration'!K219)</f>
        <v/>
      </c>
      <c r="P218" s="29" t="str">
        <f>IF('12 - Device_Configuration'!L219="","",'12 - Device_Configuration'!L219)</f>
        <v/>
      </c>
      <c r="Q218" s="30"/>
      <c r="R218" s="29" t="str">
        <f>IF('12 - Device_Configuration'!AY219="","",'12 - Device_Configuration'!AY219)</f>
        <v/>
      </c>
      <c r="S218" s="29" t="str">
        <f>IF('12 - Device_Configuration'!AX219="","",'12 - Device_Configuration'!AX219)</f>
        <v/>
      </c>
      <c r="T218" s="29" t="str">
        <f>IF('12 - Device_Configuration'!AV219="","",'12 - Device_Configuration'!AV219)</f>
        <v/>
      </c>
      <c r="U218" s="29" t="str">
        <f>IF('12 - Device_Configuration'!AW219="","",'12 - Device_Configuration'!AW219)</f>
        <v/>
      </c>
      <c r="V218" s="29" t="str">
        <f>IF('12 - Device_Configuration'!BA219="","",'12 - Device_Configuration'!BA219)</f>
        <v/>
      </c>
      <c r="W218" s="29" t="str">
        <f>IF('12 - Device_Configuration'!BC219="","",'12 - Device_Configuration'!BC219)</f>
        <v/>
      </c>
      <c r="X218" s="29" t="str">
        <f>IF('12 - Device_Configuration'!BK219="","",'12 - Device_Configuration'!BK219)</f>
        <v/>
      </c>
      <c r="Y218" s="29" t="str">
        <f>IF('12 - Device_Configuration'!BB219="","",'12 - Device_Configuration'!BB219)</f>
        <v/>
      </c>
      <c r="Z218" s="29" t="str">
        <f>IF('12 - Device_Configuration'!P219="","",'12 - Device_Configuration'!P219)</f>
        <v/>
      </c>
      <c r="AA218" s="29" t="str">
        <f>IF('12 - Device_Configuration'!Q219="","",'12 - Device_Configuration'!Q219)</f>
        <v/>
      </c>
    </row>
    <row r="219" spans="1:27">
      <c r="A219" s="30"/>
      <c r="B219" s="30"/>
      <c r="C219" s="29" t="str">
        <f>IF('12 - Device_Configuration'!H220="","",'12 - Device_Configuration'!H220)</f>
        <v/>
      </c>
      <c r="D219" s="29" t="str">
        <f>IF('12 - Device_Configuration'!AE220="","",'12 - Device_Configuration'!AE220)</f>
        <v/>
      </c>
      <c r="E219" s="29" t="str">
        <f>IF('12 - Device_Configuration'!AF220="","",'12 - Device_Configuration'!AF220)</f>
        <v/>
      </c>
      <c r="F219" s="29" t="str">
        <f>IF('12 - Device_Configuration'!AG220="","",'12 - Device_Configuration'!AG220)</f>
        <v/>
      </c>
      <c r="G219" s="29" t="str">
        <f>IF('12 - Device_Configuration'!AH220="","",'12 - Device_Configuration'!AH220)</f>
        <v/>
      </c>
      <c r="H219" s="29" t="str">
        <f>IF('12 - Device_Configuration'!A220="","",'12 - Device_Configuration'!A220)</f>
        <v/>
      </c>
      <c r="I219" s="29" t="str">
        <f>IF('12 - Device_Configuration'!AI220="","",'12 - Device_Configuration'!AI220)</f>
        <v/>
      </c>
      <c r="J219" s="29" t="str">
        <f>IF('12 - Device_Configuration'!AJ220="","",'12 - Device_Configuration'!AJ220)</f>
        <v/>
      </c>
      <c r="K219" s="29" t="str">
        <f>IF('12 - Device_Configuration'!AA220="","",'12 - Device_Configuration'!AA220)</f>
        <v/>
      </c>
      <c r="L219" s="29" t="str">
        <f>IF('12 - Device_Configuration'!I220="","",'12 - Device_Configuration'!I220)</f>
        <v/>
      </c>
      <c r="M219" s="30"/>
      <c r="N219" s="29" t="str">
        <f>IF('12 - Device_Configuration'!J220="","",'12 - Device_Configuration'!J220)</f>
        <v/>
      </c>
      <c r="O219" s="29" t="str">
        <f>IF('12 - Device_Configuration'!K220="","",'12 - Device_Configuration'!K220)</f>
        <v/>
      </c>
      <c r="P219" s="29" t="str">
        <f>IF('12 - Device_Configuration'!L220="","",'12 - Device_Configuration'!L220)</f>
        <v/>
      </c>
      <c r="Q219" s="30"/>
      <c r="R219" s="29" t="str">
        <f>IF('12 - Device_Configuration'!AY220="","",'12 - Device_Configuration'!AY220)</f>
        <v/>
      </c>
      <c r="S219" s="29" t="str">
        <f>IF('12 - Device_Configuration'!AX220="","",'12 - Device_Configuration'!AX220)</f>
        <v/>
      </c>
      <c r="T219" s="29" t="str">
        <f>IF('12 - Device_Configuration'!AV220="","",'12 - Device_Configuration'!AV220)</f>
        <v/>
      </c>
      <c r="U219" s="29" t="str">
        <f>IF('12 - Device_Configuration'!AW220="","",'12 - Device_Configuration'!AW220)</f>
        <v/>
      </c>
      <c r="V219" s="29" t="str">
        <f>IF('12 - Device_Configuration'!BA220="","",'12 - Device_Configuration'!BA220)</f>
        <v/>
      </c>
      <c r="W219" s="29" t="str">
        <f>IF('12 - Device_Configuration'!BC220="","",'12 - Device_Configuration'!BC220)</f>
        <v/>
      </c>
      <c r="X219" s="29" t="str">
        <f>IF('12 - Device_Configuration'!BK220="","",'12 - Device_Configuration'!BK220)</f>
        <v/>
      </c>
      <c r="Y219" s="29" t="str">
        <f>IF('12 - Device_Configuration'!BB220="","",'12 - Device_Configuration'!BB220)</f>
        <v/>
      </c>
      <c r="Z219" s="29" t="str">
        <f>IF('12 - Device_Configuration'!P220="","",'12 - Device_Configuration'!P220)</f>
        <v/>
      </c>
      <c r="AA219" s="29" t="str">
        <f>IF('12 - Device_Configuration'!Q220="","",'12 - Device_Configuration'!Q220)</f>
        <v/>
      </c>
    </row>
    <row r="220" spans="1:27">
      <c r="A220" s="30"/>
      <c r="B220" s="30"/>
      <c r="C220" s="29" t="str">
        <f>IF('12 - Device_Configuration'!H221="","",'12 - Device_Configuration'!H221)</f>
        <v/>
      </c>
      <c r="D220" s="29" t="str">
        <f>IF('12 - Device_Configuration'!AE221="","",'12 - Device_Configuration'!AE221)</f>
        <v/>
      </c>
      <c r="E220" s="29" t="str">
        <f>IF('12 - Device_Configuration'!AF221="","",'12 - Device_Configuration'!AF221)</f>
        <v/>
      </c>
      <c r="F220" s="29" t="str">
        <f>IF('12 - Device_Configuration'!AG221="","",'12 - Device_Configuration'!AG221)</f>
        <v/>
      </c>
      <c r="G220" s="29" t="str">
        <f>IF('12 - Device_Configuration'!AH221="","",'12 - Device_Configuration'!AH221)</f>
        <v/>
      </c>
      <c r="H220" s="29" t="str">
        <f>IF('12 - Device_Configuration'!A221="","",'12 - Device_Configuration'!A221)</f>
        <v/>
      </c>
      <c r="I220" s="29" t="str">
        <f>IF('12 - Device_Configuration'!AI221="","",'12 - Device_Configuration'!AI221)</f>
        <v/>
      </c>
      <c r="J220" s="29" t="str">
        <f>IF('12 - Device_Configuration'!AJ221="","",'12 - Device_Configuration'!AJ221)</f>
        <v/>
      </c>
      <c r="K220" s="29" t="str">
        <f>IF('12 - Device_Configuration'!AA221="","",'12 - Device_Configuration'!AA221)</f>
        <v/>
      </c>
      <c r="L220" s="29" t="str">
        <f>IF('12 - Device_Configuration'!I221="","",'12 - Device_Configuration'!I221)</f>
        <v/>
      </c>
      <c r="M220" s="30"/>
      <c r="N220" s="29" t="str">
        <f>IF('12 - Device_Configuration'!J221="","",'12 - Device_Configuration'!J221)</f>
        <v/>
      </c>
      <c r="O220" s="29" t="str">
        <f>IF('12 - Device_Configuration'!K221="","",'12 - Device_Configuration'!K221)</f>
        <v/>
      </c>
      <c r="P220" s="29" t="str">
        <f>IF('12 - Device_Configuration'!L221="","",'12 - Device_Configuration'!L221)</f>
        <v/>
      </c>
      <c r="Q220" s="30"/>
      <c r="R220" s="29" t="str">
        <f>IF('12 - Device_Configuration'!AY221="","",'12 - Device_Configuration'!AY221)</f>
        <v/>
      </c>
      <c r="S220" s="29" t="str">
        <f>IF('12 - Device_Configuration'!AX221="","",'12 - Device_Configuration'!AX221)</f>
        <v/>
      </c>
      <c r="T220" s="29" t="str">
        <f>IF('12 - Device_Configuration'!AV221="","",'12 - Device_Configuration'!AV221)</f>
        <v/>
      </c>
      <c r="U220" s="29" t="str">
        <f>IF('12 - Device_Configuration'!AW221="","",'12 - Device_Configuration'!AW221)</f>
        <v/>
      </c>
      <c r="V220" s="29" t="str">
        <f>IF('12 - Device_Configuration'!BA221="","",'12 - Device_Configuration'!BA221)</f>
        <v/>
      </c>
      <c r="W220" s="29" t="str">
        <f>IF('12 - Device_Configuration'!BC221="","",'12 - Device_Configuration'!BC221)</f>
        <v/>
      </c>
      <c r="X220" s="29" t="str">
        <f>IF('12 - Device_Configuration'!BK221="","",'12 - Device_Configuration'!BK221)</f>
        <v/>
      </c>
      <c r="Y220" s="29" t="str">
        <f>IF('12 - Device_Configuration'!BB221="","",'12 - Device_Configuration'!BB221)</f>
        <v/>
      </c>
      <c r="Z220" s="29" t="str">
        <f>IF('12 - Device_Configuration'!P221="","",'12 - Device_Configuration'!P221)</f>
        <v/>
      </c>
      <c r="AA220" s="29" t="str">
        <f>IF('12 - Device_Configuration'!Q221="","",'12 - Device_Configuration'!Q221)</f>
        <v/>
      </c>
    </row>
    <row r="221" spans="1:27">
      <c r="A221" s="30"/>
      <c r="B221" s="30"/>
      <c r="C221" s="29" t="str">
        <f>IF('12 - Device_Configuration'!H222="","",'12 - Device_Configuration'!H222)</f>
        <v/>
      </c>
      <c r="D221" s="29" t="str">
        <f>IF('12 - Device_Configuration'!AE222="","",'12 - Device_Configuration'!AE222)</f>
        <v/>
      </c>
      <c r="E221" s="29" t="str">
        <f>IF('12 - Device_Configuration'!AF222="","",'12 - Device_Configuration'!AF222)</f>
        <v/>
      </c>
      <c r="F221" s="29" t="str">
        <f>IF('12 - Device_Configuration'!AG222="","",'12 - Device_Configuration'!AG222)</f>
        <v/>
      </c>
      <c r="G221" s="29" t="str">
        <f>IF('12 - Device_Configuration'!AH222="","",'12 - Device_Configuration'!AH222)</f>
        <v/>
      </c>
      <c r="H221" s="29" t="str">
        <f>IF('12 - Device_Configuration'!A222="","",'12 - Device_Configuration'!A222)</f>
        <v/>
      </c>
      <c r="I221" s="29" t="str">
        <f>IF('12 - Device_Configuration'!AI222="","",'12 - Device_Configuration'!AI222)</f>
        <v/>
      </c>
      <c r="J221" s="29" t="str">
        <f>IF('12 - Device_Configuration'!AJ222="","",'12 - Device_Configuration'!AJ222)</f>
        <v/>
      </c>
      <c r="K221" s="29" t="str">
        <f>IF('12 - Device_Configuration'!AA222="","",'12 - Device_Configuration'!AA222)</f>
        <v/>
      </c>
      <c r="L221" s="29" t="str">
        <f>IF('12 - Device_Configuration'!I222="","",'12 - Device_Configuration'!I222)</f>
        <v/>
      </c>
      <c r="M221" s="30"/>
      <c r="N221" s="29" t="str">
        <f>IF('12 - Device_Configuration'!J222="","",'12 - Device_Configuration'!J222)</f>
        <v/>
      </c>
      <c r="O221" s="29" t="str">
        <f>IF('12 - Device_Configuration'!K222="","",'12 - Device_Configuration'!K222)</f>
        <v/>
      </c>
      <c r="P221" s="29" t="str">
        <f>IF('12 - Device_Configuration'!L222="","",'12 - Device_Configuration'!L222)</f>
        <v/>
      </c>
      <c r="Q221" s="30"/>
      <c r="R221" s="29" t="str">
        <f>IF('12 - Device_Configuration'!AY222="","",'12 - Device_Configuration'!AY222)</f>
        <v/>
      </c>
      <c r="S221" s="29" t="str">
        <f>IF('12 - Device_Configuration'!AX222="","",'12 - Device_Configuration'!AX222)</f>
        <v/>
      </c>
      <c r="T221" s="29" t="str">
        <f>IF('12 - Device_Configuration'!AV222="","",'12 - Device_Configuration'!AV222)</f>
        <v/>
      </c>
      <c r="U221" s="29" t="str">
        <f>IF('12 - Device_Configuration'!AW222="","",'12 - Device_Configuration'!AW222)</f>
        <v/>
      </c>
      <c r="V221" s="29" t="str">
        <f>IF('12 - Device_Configuration'!BA222="","",'12 - Device_Configuration'!BA222)</f>
        <v/>
      </c>
      <c r="W221" s="29" t="str">
        <f>IF('12 - Device_Configuration'!BC222="","",'12 - Device_Configuration'!BC222)</f>
        <v/>
      </c>
      <c r="X221" s="29" t="str">
        <f>IF('12 - Device_Configuration'!BK222="","",'12 - Device_Configuration'!BK222)</f>
        <v/>
      </c>
      <c r="Y221" s="29" t="str">
        <f>IF('12 - Device_Configuration'!BB222="","",'12 - Device_Configuration'!BB222)</f>
        <v/>
      </c>
      <c r="Z221" s="29" t="str">
        <f>IF('12 - Device_Configuration'!P222="","",'12 - Device_Configuration'!P222)</f>
        <v/>
      </c>
      <c r="AA221" s="29" t="str">
        <f>IF('12 - Device_Configuration'!Q222="","",'12 - Device_Configuration'!Q222)</f>
        <v/>
      </c>
    </row>
    <row r="222" spans="1:27">
      <c r="A222" s="30"/>
      <c r="B222" s="30"/>
      <c r="C222" s="29" t="str">
        <f>IF('12 - Device_Configuration'!H223="","",'12 - Device_Configuration'!H223)</f>
        <v/>
      </c>
      <c r="D222" s="29" t="str">
        <f>IF('12 - Device_Configuration'!AE223="","",'12 - Device_Configuration'!AE223)</f>
        <v/>
      </c>
      <c r="E222" s="29" t="str">
        <f>IF('12 - Device_Configuration'!AF223="","",'12 - Device_Configuration'!AF223)</f>
        <v/>
      </c>
      <c r="F222" s="29" t="str">
        <f>IF('12 - Device_Configuration'!AG223="","",'12 - Device_Configuration'!AG223)</f>
        <v/>
      </c>
      <c r="G222" s="29" t="str">
        <f>IF('12 - Device_Configuration'!AH223="","",'12 - Device_Configuration'!AH223)</f>
        <v/>
      </c>
      <c r="H222" s="29" t="str">
        <f>IF('12 - Device_Configuration'!A223="","",'12 - Device_Configuration'!A223)</f>
        <v/>
      </c>
      <c r="I222" s="29" t="str">
        <f>IF('12 - Device_Configuration'!AI223="","",'12 - Device_Configuration'!AI223)</f>
        <v/>
      </c>
      <c r="J222" s="29" t="str">
        <f>IF('12 - Device_Configuration'!AJ223="","",'12 - Device_Configuration'!AJ223)</f>
        <v/>
      </c>
      <c r="K222" s="29" t="str">
        <f>IF('12 - Device_Configuration'!AA223="","",'12 - Device_Configuration'!AA223)</f>
        <v/>
      </c>
      <c r="L222" s="29" t="str">
        <f>IF('12 - Device_Configuration'!I223="","",'12 - Device_Configuration'!I223)</f>
        <v/>
      </c>
      <c r="M222" s="30"/>
      <c r="N222" s="29" t="str">
        <f>IF('12 - Device_Configuration'!J223="","",'12 - Device_Configuration'!J223)</f>
        <v/>
      </c>
      <c r="O222" s="29" t="str">
        <f>IF('12 - Device_Configuration'!K223="","",'12 - Device_Configuration'!K223)</f>
        <v/>
      </c>
      <c r="P222" s="29" t="str">
        <f>IF('12 - Device_Configuration'!L223="","",'12 - Device_Configuration'!L223)</f>
        <v/>
      </c>
      <c r="Q222" s="30"/>
      <c r="R222" s="29" t="str">
        <f>IF('12 - Device_Configuration'!AY223="","",'12 - Device_Configuration'!AY223)</f>
        <v/>
      </c>
      <c r="S222" s="29" t="str">
        <f>IF('12 - Device_Configuration'!AX223="","",'12 - Device_Configuration'!AX223)</f>
        <v/>
      </c>
      <c r="T222" s="29" t="str">
        <f>IF('12 - Device_Configuration'!AV223="","",'12 - Device_Configuration'!AV223)</f>
        <v/>
      </c>
      <c r="U222" s="29" t="str">
        <f>IF('12 - Device_Configuration'!AW223="","",'12 - Device_Configuration'!AW223)</f>
        <v/>
      </c>
      <c r="V222" s="29" t="str">
        <f>IF('12 - Device_Configuration'!BA223="","",'12 - Device_Configuration'!BA223)</f>
        <v/>
      </c>
      <c r="W222" s="29" t="str">
        <f>IF('12 - Device_Configuration'!BC223="","",'12 - Device_Configuration'!BC223)</f>
        <v/>
      </c>
      <c r="X222" s="29" t="str">
        <f>IF('12 - Device_Configuration'!BK223="","",'12 - Device_Configuration'!BK223)</f>
        <v/>
      </c>
      <c r="Y222" s="29" t="str">
        <f>IF('12 - Device_Configuration'!BB223="","",'12 - Device_Configuration'!BB223)</f>
        <v/>
      </c>
      <c r="Z222" s="29" t="str">
        <f>IF('12 - Device_Configuration'!P223="","",'12 - Device_Configuration'!P223)</f>
        <v/>
      </c>
      <c r="AA222" s="29" t="str">
        <f>IF('12 - Device_Configuration'!Q223="","",'12 - Device_Configuration'!Q223)</f>
        <v/>
      </c>
    </row>
    <row r="223" spans="1:27">
      <c r="A223" s="30"/>
      <c r="B223" s="30"/>
      <c r="C223" s="29" t="str">
        <f>IF('12 - Device_Configuration'!H224="","",'12 - Device_Configuration'!H224)</f>
        <v/>
      </c>
      <c r="D223" s="29" t="str">
        <f>IF('12 - Device_Configuration'!AE224="","",'12 - Device_Configuration'!AE224)</f>
        <v/>
      </c>
      <c r="E223" s="29" t="str">
        <f>IF('12 - Device_Configuration'!AF224="","",'12 - Device_Configuration'!AF224)</f>
        <v/>
      </c>
      <c r="F223" s="29" t="str">
        <f>IF('12 - Device_Configuration'!AG224="","",'12 - Device_Configuration'!AG224)</f>
        <v/>
      </c>
      <c r="G223" s="29" t="str">
        <f>IF('12 - Device_Configuration'!AH224="","",'12 - Device_Configuration'!AH224)</f>
        <v/>
      </c>
      <c r="H223" s="29" t="str">
        <f>IF('12 - Device_Configuration'!A224="","",'12 - Device_Configuration'!A224)</f>
        <v/>
      </c>
      <c r="I223" s="29" t="str">
        <f>IF('12 - Device_Configuration'!AI224="","",'12 - Device_Configuration'!AI224)</f>
        <v/>
      </c>
      <c r="J223" s="29" t="str">
        <f>IF('12 - Device_Configuration'!AJ224="","",'12 - Device_Configuration'!AJ224)</f>
        <v/>
      </c>
      <c r="K223" s="29" t="str">
        <f>IF('12 - Device_Configuration'!AA224="","",'12 - Device_Configuration'!AA224)</f>
        <v/>
      </c>
      <c r="L223" s="29" t="str">
        <f>IF('12 - Device_Configuration'!I224="","",'12 - Device_Configuration'!I224)</f>
        <v/>
      </c>
      <c r="M223" s="30"/>
      <c r="N223" s="29" t="str">
        <f>IF('12 - Device_Configuration'!J224="","",'12 - Device_Configuration'!J224)</f>
        <v/>
      </c>
      <c r="O223" s="29" t="str">
        <f>IF('12 - Device_Configuration'!K224="","",'12 - Device_Configuration'!K224)</f>
        <v/>
      </c>
      <c r="P223" s="29" t="str">
        <f>IF('12 - Device_Configuration'!L224="","",'12 - Device_Configuration'!L224)</f>
        <v/>
      </c>
      <c r="Q223" s="30"/>
      <c r="R223" s="29" t="str">
        <f>IF('12 - Device_Configuration'!AY224="","",'12 - Device_Configuration'!AY224)</f>
        <v/>
      </c>
      <c r="S223" s="29" t="str">
        <f>IF('12 - Device_Configuration'!AX224="","",'12 - Device_Configuration'!AX224)</f>
        <v/>
      </c>
      <c r="T223" s="29" t="str">
        <f>IF('12 - Device_Configuration'!AV224="","",'12 - Device_Configuration'!AV224)</f>
        <v/>
      </c>
      <c r="U223" s="29" t="str">
        <f>IF('12 - Device_Configuration'!AW224="","",'12 - Device_Configuration'!AW224)</f>
        <v/>
      </c>
      <c r="V223" s="29" t="str">
        <f>IF('12 - Device_Configuration'!BA224="","",'12 - Device_Configuration'!BA224)</f>
        <v/>
      </c>
      <c r="W223" s="29" t="str">
        <f>IF('12 - Device_Configuration'!BC224="","",'12 - Device_Configuration'!BC224)</f>
        <v/>
      </c>
      <c r="X223" s="29" t="str">
        <f>IF('12 - Device_Configuration'!BK224="","",'12 - Device_Configuration'!BK224)</f>
        <v/>
      </c>
      <c r="Y223" s="29" t="str">
        <f>IF('12 - Device_Configuration'!BB224="","",'12 - Device_Configuration'!BB224)</f>
        <v/>
      </c>
      <c r="Z223" s="29" t="str">
        <f>IF('12 - Device_Configuration'!P224="","",'12 - Device_Configuration'!P224)</f>
        <v/>
      </c>
      <c r="AA223" s="29" t="str">
        <f>IF('12 - Device_Configuration'!Q224="","",'12 - Device_Configuration'!Q224)</f>
        <v/>
      </c>
    </row>
    <row r="224" spans="1:27">
      <c r="A224" s="30"/>
      <c r="B224" s="30"/>
      <c r="C224" s="29" t="str">
        <f>IF('12 - Device_Configuration'!H225="","",'12 - Device_Configuration'!H225)</f>
        <v/>
      </c>
      <c r="D224" s="29" t="str">
        <f>IF('12 - Device_Configuration'!AE225="","",'12 - Device_Configuration'!AE225)</f>
        <v/>
      </c>
      <c r="E224" s="29" t="str">
        <f>IF('12 - Device_Configuration'!AF225="","",'12 - Device_Configuration'!AF225)</f>
        <v/>
      </c>
      <c r="F224" s="29" t="str">
        <f>IF('12 - Device_Configuration'!AG225="","",'12 - Device_Configuration'!AG225)</f>
        <v/>
      </c>
      <c r="G224" s="29" t="str">
        <f>IF('12 - Device_Configuration'!AH225="","",'12 - Device_Configuration'!AH225)</f>
        <v/>
      </c>
      <c r="H224" s="29" t="str">
        <f>IF('12 - Device_Configuration'!A225="","",'12 - Device_Configuration'!A225)</f>
        <v/>
      </c>
      <c r="I224" s="29" t="str">
        <f>IF('12 - Device_Configuration'!AI225="","",'12 - Device_Configuration'!AI225)</f>
        <v/>
      </c>
      <c r="J224" s="29" t="str">
        <f>IF('12 - Device_Configuration'!AJ225="","",'12 - Device_Configuration'!AJ225)</f>
        <v/>
      </c>
      <c r="K224" s="29" t="str">
        <f>IF('12 - Device_Configuration'!AA225="","",'12 - Device_Configuration'!AA225)</f>
        <v/>
      </c>
      <c r="L224" s="29" t="str">
        <f>IF('12 - Device_Configuration'!I225="","",'12 - Device_Configuration'!I225)</f>
        <v/>
      </c>
      <c r="M224" s="30"/>
      <c r="N224" s="29" t="str">
        <f>IF('12 - Device_Configuration'!J225="","",'12 - Device_Configuration'!J225)</f>
        <v/>
      </c>
      <c r="O224" s="29" t="str">
        <f>IF('12 - Device_Configuration'!K225="","",'12 - Device_Configuration'!K225)</f>
        <v/>
      </c>
      <c r="P224" s="29" t="str">
        <f>IF('12 - Device_Configuration'!L225="","",'12 - Device_Configuration'!L225)</f>
        <v/>
      </c>
      <c r="Q224" s="30"/>
      <c r="R224" s="29" t="str">
        <f>IF('12 - Device_Configuration'!AY225="","",'12 - Device_Configuration'!AY225)</f>
        <v/>
      </c>
      <c r="S224" s="29" t="str">
        <f>IF('12 - Device_Configuration'!AX225="","",'12 - Device_Configuration'!AX225)</f>
        <v/>
      </c>
      <c r="T224" s="29" t="str">
        <f>IF('12 - Device_Configuration'!AV225="","",'12 - Device_Configuration'!AV225)</f>
        <v/>
      </c>
      <c r="U224" s="29" t="str">
        <f>IF('12 - Device_Configuration'!AW225="","",'12 - Device_Configuration'!AW225)</f>
        <v/>
      </c>
      <c r="V224" s="29" t="str">
        <f>IF('12 - Device_Configuration'!BA225="","",'12 - Device_Configuration'!BA225)</f>
        <v/>
      </c>
      <c r="W224" s="29" t="str">
        <f>IF('12 - Device_Configuration'!BC225="","",'12 - Device_Configuration'!BC225)</f>
        <v/>
      </c>
      <c r="X224" s="29" t="str">
        <f>IF('12 - Device_Configuration'!BK225="","",'12 - Device_Configuration'!BK225)</f>
        <v/>
      </c>
      <c r="Y224" s="29" t="str">
        <f>IF('12 - Device_Configuration'!BB225="","",'12 - Device_Configuration'!BB225)</f>
        <v/>
      </c>
      <c r="Z224" s="29" t="str">
        <f>IF('12 - Device_Configuration'!P225="","",'12 - Device_Configuration'!P225)</f>
        <v/>
      </c>
      <c r="AA224" s="29" t="str">
        <f>IF('12 - Device_Configuration'!Q225="","",'12 - Device_Configuration'!Q225)</f>
        <v/>
      </c>
    </row>
    <row r="225" spans="1:27">
      <c r="A225" s="30"/>
      <c r="B225" s="30"/>
      <c r="C225" s="29" t="str">
        <f>IF('12 - Device_Configuration'!H226="","",'12 - Device_Configuration'!H226)</f>
        <v/>
      </c>
      <c r="D225" s="29" t="str">
        <f>IF('12 - Device_Configuration'!AE226="","",'12 - Device_Configuration'!AE226)</f>
        <v/>
      </c>
      <c r="E225" s="29" t="str">
        <f>IF('12 - Device_Configuration'!AF226="","",'12 - Device_Configuration'!AF226)</f>
        <v/>
      </c>
      <c r="F225" s="29" t="str">
        <f>IF('12 - Device_Configuration'!AG226="","",'12 - Device_Configuration'!AG226)</f>
        <v/>
      </c>
      <c r="G225" s="29" t="str">
        <f>IF('12 - Device_Configuration'!AH226="","",'12 - Device_Configuration'!AH226)</f>
        <v/>
      </c>
      <c r="H225" s="29" t="str">
        <f>IF('12 - Device_Configuration'!A226="","",'12 - Device_Configuration'!A226)</f>
        <v/>
      </c>
      <c r="I225" s="29" t="str">
        <f>IF('12 - Device_Configuration'!AI226="","",'12 - Device_Configuration'!AI226)</f>
        <v/>
      </c>
      <c r="J225" s="29" t="str">
        <f>IF('12 - Device_Configuration'!AJ226="","",'12 - Device_Configuration'!AJ226)</f>
        <v/>
      </c>
      <c r="K225" s="29" t="str">
        <f>IF('12 - Device_Configuration'!AA226="","",'12 - Device_Configuration'!AA226)</f>
        <v/>
      </c>
      <c r="L225" s="29" t="str">
        <f>IF('12 - Device_Configuration'!I226="","",'12 - Device_Configuration'!I226)</f>
        <v/>
      </c>
      <c r="M225" s="30"/>
      <c r="N225" s="29" t="str">
        <f>IF('12 - Device_Configuration'!J226="","",'12 - Device_Configuration'!J226)</f>
        <v/>
      </c>
      <c r="O225" s="29" t="str">
        <f>IF('12 - Device_Configuration'!K226="","",'12 - Device_Configuration'!K226)</f>
        <v/>
      </c>
      <c r="P225" s="29" t="str">
        <f>IF('12 - Device_Configuration'!L226="","",'12 - Device_Configuration'!L226)</f>
        <v/>
      </c>
      <c r="Q225" s="30"/>
      <c r="R225" s="29" t="str">
        <f>IF('12 - Device_Configuration'!AY226="","",'12 - Device_Configuration'!AY226)</f>
        <v/>
      </c>
      <c r="S225" s="29" t="str">
        <f>IF('12 - Device_Configuration'!AX226="","",'12 - Device_Configuration'!AX226)</f>
        <v/>
      </c>
      <c r="T225" s="29" t="str">
        <f>IF('12 - Device_Configuration'!AV226="","",'12 - Device_Configuration'!AV226)</f>
        <v/>
      </c>
      <c r="U225" s="29" t="str">
        <f>IF('12 - Device_Configuration'!AW226="","",'12 - Device_Configuration'!AW226)</f>
        <v/>
      </c>
      <c r="V225" s="29" t="str">
        <f>IF('12 - Device_Configuration'!BA226="","",'12 - Device_Configuration'!BA226)</f>
        <v/>
      </c>
      <c r="W225" s="29" t="str">
        <f>IF('12 - Device_Configuration'!BC226="","",'12 - Device_Configuration'!BC226)</f>
        <v/>
      </c>
      <c r="X225" s="29" t="str">
        <f>IF('12 - Device_Configuration'!BK226="","",'12 - Device_Configuration'!BK226)</f>
        <v/>
      </c>
      <c r="Y225" s="29" t="str">
        <f>IF('12 - Device_Configuration'!BB226="","",'12 - Device_Configuration'!BB226)</f>
        <v/>
      </c>
      <c r="Z225" s="29" t="str">
        <f>IF('12 - Device_Configuration'!P226="","",'12 - Device_Configuration'!P226)</f>
        <v/>
      </c>
      <c r="AA225" s="29" t="str">
        <f>IF('12 - Device_Configuration'!Q226="","",'12 - Device_Configuration'!Q226)</f>
        <v/>
      </c>
    </row>
    <row r="226" spans="1:27">
      <c r="A226" s="30"/>
      <c r="B226" s="30"/>
      <c r="C226" s="29" t="str">
        <f>IF('12 - Device_Configuration'!H227="","",'12 - Device_Configuration'!H227)</f>
        <v/>
      </c>
      <c r="D226" s="29" t="str">
        <f>IF('12 - Device_Configuration'!AE227="","",'12 - Device_Configuration'!AE227)</f>
        <v/>
      </c>
      <c r="E226" s="29" t="str">
        <f>IF('12 - Device_Configuration'!AF227="","",'12 - Device_Configuration'!AF227)</f>
        <v/>
      </c>
      <c r="F226" s="29" t="str">
        <f>IF('12 - Device_Configuration'!AG227="","",'12 - Device_Configuration'!AG227)</f>
        <v/>
      </c>
      <c r="G226" s="29" t="str">
        <f>IF('12 - Device_Configuration'!AH227="","",'12 - Device_Configuration'!AH227)</f>
        <v/>
      </c>
      <c r="H226" s="29" t="str">
        <f>IF('12 - Device_Configuration'!A227="","",'12 - Device_Configuration'!A227)</f>
        <v/>
      </c>
      <c r="I226" s="29" t="str">
        <f>IF('12 - Device_Configuration'!AI227="","",'12 - Device_Configuration'!AI227)</f>
        <v/>
      </c>
      <c r="J226" s="29" t="str">
        <f>IF('12 - Device_Configuration'!AJ227="","",'12 - Device_Configuration'!AJ227)</f>
        <v/>
      </c>
      <c r="K226" s="29" t="str">
        <f>IF('12 - Device_Configuration'!AA227="","",'12 - Device_Configuration'!AA227)</f>
        <v/>
      </c>
      <c r="L226" s="29" t="str">
        <f>IF('12 - Device_Configuration'!I227="","",'12 - Device_Configuration'!I227)</f>
        <v/>
      </c>
      <c r="M226" s="30"/>
      <c r="N226" s="29" t="str">
        <f>IF('12 - Device_Configuration'!J227="","",'12 - Device_Configuration'!J227)</f>
        <v/>
      </c>
      <c r="O226" s="29" t="str">
        <f>IF('12 - Device_Configuration'!K227="","",'12 - Device_Configuration'!K227)</f>
        <v/>
      </c>
      <c r="P226" s="29" t="str">
        <f>IF('12 - Device_Configuration'!L227="","",'12 - Device_Configuration'!L227)</f>
        <v/>
      </c>
      <c r="Q226" s="30"/>
      <c r="R226" s="29" t="str">
        <f>IF('12 - Device_Configuration'!AY227="","",'12 - Device_Configuration'!AY227)</f>
        <v/>
      </c>
      <c r="S226" s="29" t="str">
        <f>IF('12 - Device_Configuration'!AX227="","",'12 - Device_Configuration'!AX227)</f>
        <v/>
      </c>
      <c r="T226" s="29" t="str">
        <f>IF('12 - Device_Configuration'!AV227="","",'12 - Device_Configuration'!AV227)</f>
        <v/>
      </c>
      <c r="U226" s="29" t="str">
        <f>IF('12 - Device_Configuration'!AW227="","",'12 - Device_Configuration'!AW227)</f>
        <v/>
      </c>
      <c r="V226" s="29" t="str">
        <f>IF('12 - Device_Configuration'!BA227="","",'12 - Device_Configuration'!BA227)</f>
        <v/>
      </c>
      <c r="W226" s="29" t="str">
        <f>IF('12 - Device_Configuration'!BC227="","",'12 - Device_Configuration'!BC227)</f>
        <v/>
      </c>
      <c r="X226" s="29" t="str">
        <f>IF('12 - Device_Configuration'!BK227="","",'12 - Device_Configuration'!BK227)</f>
        <v/>
      </c>
      <c r="Y226" s="29" t="str">
        <f>IF('12 - Device_Configuration'!BB227="","",'12 - Device_Configuration'!BB227)</f>
        <v/>
      </c>
      <c r="Z226" s="29" t="str">
        <f>IF('12 - Device_Configuration'!P227="","",'12 - Device_Configuration'!P227)</f>
        <v/>
      </c>
      <c r="AA226" s="29" t="str">
        <f>IF('12 - Device_Configuration'!Q227="","",'12 - Device_Configuration'!Q227)</f>
        <v/>
      </c>
    </row>
    <row r="227" spans="1:27">
      <c r="A227" s="30"/>
      <c r="B227" s="30"/>
      <c r="C227" s="29" t="str">
        <f>IF('12 - Device_Configuration'!H228="","",'12 - Device_Configuration'!H228)</f>
        <v/>
      </c>
      <c r="D227" s="29" t="str">
        <f>IF('12 - Device_Configuration'!AE228="","",'12 - Device_Configuration'!AE228)</f>
        <v/>
      </c>
      <c r="E227" s="29" t="str">
        <f>IF('12 - Device_Configuration'!AF228="","",'12 - Device_Configuration'!AF228)</f>
        <v/>
      </c>
      <c r="F227" s="29" t="str">
        <f>IF('12 - Device_Configuration'!AG228="","",'12 - Device_Configuration'!AG228)</f>
        <v/>
      </c>
      <c r="G227" s="29" t="str">
        <f>IF('12 - Device_Configuration'!AH228="","",'12 - Device_Configuration'!AH228)</f>
        <v/>
      </c>
      <c r="H227" s="29" t="str">
        <f>IF('12 - Device_Configuration'!A228="","",'12 - Device_Configuration'!A228)</f>
        <v/>
      </c>
      <c r="I227" s="29" t="str">
        <f>IF('12 - Device_Configuration'!AI228="","",'12 - Device_Configuration'!AI228)</f>
        <v/>
      </c>
      <c r="J227" s="29" t="str">
        <f>IF('12 - Device_Configuration'!AJ228="","",'12 - Device_Configuration'!AJ228)</f>
        <v/>
      </c>
      <c r="K227" s="29" t="str">
        <f>IF('12 - Device_Configuration'!AA228="","",'12 - Device_Configuration'!AA228)</f>
        <v/>
      </c>
      <c r="L227" s="29" t="str">
        <f>IF('12 - Device_Configuration'!I228="","",'12 - Device_Configuration'!I228)</f>
        <v/>
      </c>
      <c r="M227" s="30"/>
      <c r="N227" s="29" t="str">
        <f>IF('12 - Device_Configuration'!J228="","",'12 - Device_Configuration'!J228)</f>
        <v/>
      </c>
      <c r="O227" s="29" t="str">
        <f>IF('12 - Device_Configuration'!K228="","",'12 - Device_Configuration'!K228)</f>
        <v/>
      </c>
      <c r="P227" s="29" t="str">
        <f>IF('12 - Device_Configuration'!L228="","",'12 - Device_Configuration'!L228)</f>
        <v/>
      </c>
      <c r="Q227" s="30"/>
      <c r="R227" s="29" t="str">
        <f>IF('12 - Device_Configuration'!AY228="","",'12 - Device_Configuration'!AY228)</f>
        <v/>
      </c>
      <c r="S227" s="29" t="str">
        <f>IF('12 - Device_Configuration'!AX228="","",'12 - Device_Configuration'!AX228)</f>
        <v/>
      </c>
      <c r="T227" s="29" t="str">
        <f>IF('12 - Device_Configuration'!AV228="","",'12 - Device_Configuration'!AV228)</f>
        <v/>
      </c>
      <c r="U227" s="29" t="str">
        <f>IF('12 - Device_Configuration'!AW228="","",'12 - Device_Configuration'!AW228)</f>
        <v/>
      </c>
      <c r="V227" s="29" t="str">
        <f>IF('12 - Device_Configuration'!BA228="","",'12 - Device_Configuration'!BA228)</f>
        <v/>
      </c>
      <c r="W227" s="29" t="str">
        <f>IF('12 - Device_Configuration'!BC228="","",'12 - Device_Configuration'!BC228)</f>
        <v/>
      </c>
      <c r="X227" s="29" t="str">
        <f>IF('12 - Device_Configuration'!BK228="","",'12 - Device_Configuration'!BK228)</f>
        <v/>
      </c>
      <c r="Y227" s="29" t="str">
        <f>IF('12 - Device_Configuration'!BB228="","",'12 - Device_Configuration'!BB228)</f>
        <v/>
      </c>
      <c r="Z227" s="29" t="str">
        <f>IF('12 - Device_Configuration'!P228="","",'12 - Device_Configuration'!P228)</f>
        <v/>
      </c>
      <c r="AA227" s="29" t="str">
        <f>IF('12 - Device_Configuration'!Q228="","",'12 - Device_Configuration'!Q228)</f>
        <v/>
      </c>
    </row>
    <row r="228" spans="1:27">
      <c r="A228" s="30"/>
      <c r="B228" s="30"/>
      <c r="C228" s="29" t="str">
        <f>IF('12 - Device_Configuration'!H229="","",'12 - Device_Configuration'!H229)</f>
        <v/>
      </c>
      <c r="D228" s="29" t="str">
        <f>IF('12 - Device_Configuration'!AE229="","",'12 - Device_Configuration'!AE229)</f>
        <v/>
      </c>
      <c r="E228" s="29" t="str">
        <f>IF('12 - Device_Configuration'!AF229="","",'12 - Device_Configuration'!AF229)</f>
        <v/>
      </c>
      <c r="F228" s="29" t="str">
        <f>IF('12 - Device_Configuration'!AG229="","",'12 - Device_Configuration'!AG229)</f>
        <v/>
      </c>
      <c r="G228" s="29" t="str">
        <f>IF('12 - Device_Configuration'!AH229="","",'12 - Device_Configuration'!AH229)</f>
        <v/>
      </c>
      <c r="H228" s="29" t="str">
        <f>IF('12 - Device_Configuration'!A229="","",'12 - Device_Configuration'!A229)</f>
        <v/>
      </c>
      <c r="I228" s="29" t="str">
        <f>IF('12 - Device_Configuration'!AI229="","",'12 - Device_Configuration'!AI229)</f>
        <v/>
      </c>
      <c r="J228" s="29" t="str">
        <f>IF('12 - Device_Configuration'!AJ229="","",'12 - Device_Configuration'!AJ229)</f>
        <v/>
      </c>
      <c r="K228" s="29" t="str">
        <f>IF('12 - Device_Configuration'!AA229="","",'12 - Device_Configuration'!AA229)</f>
        <v/>
      </c>
      <c r="L228" s="29" t="str">
        <f>IF('12 - Device_Configuration'!I229="","",'12 - Device_Configuration'!I229)</f>
        <v/>
      </c>
      <c r="M228" s="30"/>
      <c r="N228" s="29" t="str">
        <f>IF('12 - Device_Configuration'!J229="","",'12 - Device_Configuration'!J229)</f>
        <v/>
      </c>
      <c r="O228" s="29" t="str">
        <f>IF('12 - Device_Configuration'!K229="","",'12 - Device_Configuration'!K229)</f>
        <v/>
      </c>
      <c r="P228" s="29" t="str">
        <f>IF('12 - Device_Configuration'!L229="","",'12 - Device_Configuration'!L229)</f>
        <v/>
      </c>
      <c r="Q228" s="30"/>
      <c r="R228" s="29" t="str">
        <f>IF('12 - Device_Configuration'!AY229="","",'12 - Device_Configuration'!AY229)</f>
        <v/>
      </c>
      <c r="S228" s="29" t="str">
        <f>IF('12 - Device_Configuration'!AX229="","",'12 - Device_Configuration'!AX229)</f>
        <v/>
      </c>
      <c r="T228" s="29" t="str">
        <f>IF('12 - Device_Configuration'!AV229="","",'12 - Device_Configuration'!AV229)</f>
        <v/>
      </c>
      <c r="U228" s="29" t="str">
        <f>IF('12 - Device_Configuration'!AW229="","",'12 - Device_Configuration'!AW229)</f>
        <v/>
      </c>
      <c r="V228" s="29" t="str">
        <f>IF('12 - Device_Configuration'!BA229="","",'12 - Device_Configuration'!BA229)</f>
        <v/>
      </c>
      <c r="W228" s="29" t="str">
        <f>IF('12 - Device_Configuration'!BC229="","",'12 - Device_Configuration'!BC229)</f>
        <v/>
      </c>
      <c r="X228" s="29" t="str">
        <f>IF('12 - Device_Configuration'!BK229="","",'12 - Device_Configuration'!BK229)</f>
        <v/>
      </c>
      <c r="Y228" s="29" t="str">
        <f>IF('12 - Device_Configuration'!BB229="","",'12 - Device_Configuration'!BB229)</f>
        <v/>
      </c>
      <c r="Z228" s="29" t="str">
        <f>IF('12 - Device_Configuration'!P229="","",'12 - Device_Configuration'!P229)</f>
        <v/>
      </c>
      <c r="AA228" s="29" t="str">
        <f>IF('12 - Device_Configuration'!Q229="","",'12 - Device_Configuration'!Q229)</f>
        <v/>
      </c>
    </row>
    <row r="229" spans="1:27">
      <c r="A229" s="30"/>
      <c r="B229" s="30"/>
      <c r="C229" s="29" t="str">
        <f>IF('12 - Device_Configuration'!H230="","",'12 - Device_Configuration'!H230)</f>
        <v/>
      </c>
      <c r="D229" s="29" t="str">
        <f>IF('12 - Device_Configuration'!AE230="","",'12 - Device_Configuration'!AE230)</f>
        <v/>
      </c>
      <c r="E229" s="29" t="str">
        <f>IF('12 - Device_Configuration'!AF230="","",'12 - Device_Configuration'!AF230)</f>
        <v/>
      </c>
      <c r="F229" s="29" t="str">
        <f>IF('12 - Device_Configuration'!AG230="","",'12 - Device_Configuration'!AG230)</f>
        <v/>
      </c>
      <c r="G229" s="29" t="str">
        <f>IF('12 - Device_Configuration'!AH230="","",'12 - Device_Configuration'!AH230)</f>
        <v/>
      </c>
      <c r="H229" s="29" t="str">
        <f>IF('12 - Device_Configuration'!A230="","",'12 - Device_Configuration'!A230)</f>
        <v/>
      </c>
      <c r="I229" s="29" t="str">
        <f>IF('12 - Device_Configuration'!AI230="","",'12 - Device_Configuration'!AI230)</f>
        <v/>
      </c>
      <c r="J229" s="29" t="str">
        <f>IF('12 - Device_Configuration'!AJ230="","",'12 - Device_Configuration'!AJ230)</f>
        <v/>
      </c>
      <c r="K229" s="29" t="str">
        <f>IF('12 - Device_Configuration'!AA230="","",'12 - Device_Configuration'!AA230)</f>
        <v/>
      </c>
      <c r="L229" s="29" t="str">
        <f>IF('12 - Device_Configuration'!I230="","",'12 - Device_Configuration'!I230)</f>
        <v/>
      </c>
      <c r="M229" s="30"/>
      <c r="N229" s="29" t="str">
        <f>IF('12 - Device_Configuration'!J230="","",'12 - Device_Configuration'!J230)</f>
        <v/>
      </c>
      <c r="O229" s="29" t="str">
        <f>IF('12 - Device_Configuration'!K230="","",'12 - Device_Configuration'!K230)</f>
        <v/>
      </c>
      <c r="P229" s="29" t="str">
        <f>IF('12 - Device_Configuration'!L230="","",'12 - Device_Configuration'!L230)</f>
        <v/>
      </c>
      <c r="Q229" s="30"/>
      <c r="R229" s="29" t="str">
        <f>IF('12 - Device_Configuration'!AY230="","",'12 - Device_Configuration'!AY230)</f>
        <v/>
      </c>
      <c r="S229" s="29" t="str">
        <f>IF('12 - Device_Configuration'!AX230="","",'12 - Device_Configuration'!AX230)</f>
        <v/>
      </c>
      <c r="T229" s="29" t="str">
        <f>IF('12 - Device_Configuration'!AV230="","",'12 - Device_Configuration'!AV230)</f>
        <v/>
      </c>
      <c r="U229" s="29" t="str">
        <f>IF('12 - Device_Configuration'!AW230="","",'12 - Device_Configuration'!AW230)</f>
        <v/>
      </c>
      <c r="V229" s="29" t="str">
        <f>IF('12 - Device_Configuration'!BA230="","",'12 - Device_Configuration'!BA230)</f>
        <v/>
      </c>
      <c r="W229" s="29" t="str">
        <f>IF('12 - Device_Configuration'!BC230="","",'12 - Device_Configuration'!BC230)</f>
        <v/>
      </c>
      <c r="X229" s="29" t="str">
        <f>IF('12 - Device_Configuration'!BK230="","",'12 - Device_Configuration'!BK230)</f>
        <v/>
      </c>
      <c r="Y229" s="29" t="str">
        <f>IF('12 - Device_Configuration'!BB230="","",'12 - Device_Configuration'!BB230)</f>
        <v/>
      </c>
      <c r="Z229" s="29" t="str">
        <f>IF('12 - Device_Configuration'!P230="","",'12 - Device_Configuration'!P230)</f>
        <v/>
      </c>
      <c r="AA229" s="29" t="str">
        <f>IF('12 - Device_Configuration'!Q230="","",'12 - Device_Configuration'!Q230)</f>
        <v/>
      </c>
    </row>
    <row r="230" spans="1:27">
      <c r="A230" s="30"/>
      <c r="B230" s="30"/>
      <c r="C230" s="29" t="str">
        <f>IF('12 - Device_Configuration'!H231="","",'12 - Device_Configuration'!H231)</f>
        <v/>
      </c>
      <c r="D230" s="29" t="str">
        <f>IF('12 - Device_Configuration'!AE231="","",'12 - Device_Configuration'!AE231)</f>
        <v/>
      </c>
      <c r="E230" s="29" t="str">
        <f>IF('12 - Device_Configuration'!AF231="","",'12 - Device_Configuration'!AF231)</f>
        <v/>
      </c>
      <c r="F230" s="29" t="str">
        <f>IF('12 - Device_Configuration'!AG231="","",'12 - Device_Configuration'!AG231)</f>
        <v/>
      </c>
      <c r="G230" s="29" t="str">
        <f>IF('12 - Device_Configuration'!AH231="","",'12 - Device_Configuration'!AH231)</f>
        <v/>
      </c>
      <c r="H230" s="29" t="str">
        <f>IF('12 - Device_Configuration'!A231="","",'12 - Device_Configuration'!A231)</f>
        <v/>
      </c>
      <c r="I230" s="29" t="str">
        <f>IF('12 - Device_Configuration'!AI231="","",'12 - Device_Configuration'!AI231)</f>
        <v/>
      </c>
      <c r="J230" s="29" t="str">
        <f>IF('12 - Device_Configuration'!AJ231="","",'12 - Device_Configuration'!AJ231)</f>
        <v/>
      </c>
      <c r="K230" s="29" t="str">
        <f>IF('12 - Device_Configuration'!AA231="","",'12 - Device_Configuration'!AA231)</f>
        <v/>
      </c>
      <c r="L230" s="29" t="str">
        <f>IF('12 - Device_Configuration'!I231="","",'12 - Device_Configuration'!I231)</f>
        <v/>
      </c>
      <c r="M230" s="30"/>
      <c r="N230" s="29" t="str">
        <f>IF('12 - Device_Configuration'!J231="","",'12 - Device_Configuration'!J231)</f>
        <v/>
      </c>
      <c r="O230" s="29" t="str">
        <f>IF('12 - Device_Configuration'!K231="","",'12 - Device_Configuration'!K231)</f>
        <v/>
      </c>
      <c r="P230" s="29" t="str">
        <f>IF('12 - Device_Configuration'!L231="","",'12 - Device_Configuration'!L231)</f>
        <v/>
      </c>
      <c r="Q230" s="30"/>
      <c r="R230" s="29" t="str">
        <f>IF('12 - Device_Configuration'!AY231="","",'12 - Device_Configuration'!AY231)</f>
        <v/>
      </c>
      <c r="S230" s="29" t="str">
        <f>IF('12 - Device_Configuration'!AX231="","",'12 - Device_Configuration'!AX231)</f>
        <v/>
      </c>
      <c r="T230" s="29" t="str">
        <f>IF('12 - Device_Configuration'!AV231="","",'12 - Device_Configuration'!AV231)</f>
        <v/>
      </c>
      <c r="U230" s="29" t="str">
        <f>IF('12 - Device_Configuration'!AW231="","",'12 - Device_Configuration'!AW231)</f>
        <v/>
      </c>
      <c r="V230" s="29" t="str">
        <f>IF('12 - Device_Configuration'!BA231="","",'12 - Device_Configuration'!BA231)</f>
        <v/>
      </c>
      <c r="W230" s="29" t="str">
        <f>IF('12 - Device_Configuration'!BC231="","",'12 - Device_Configuration'!BC231)</f>
        <v/>
      </c>
      <c r="X230" s="29" t="str">
        <f>IF('12 - Device_Configuration'!BK231="","",'12 - Device_Configuration'!BK231)</f>
        <v/>
      </c>
      <c r="Y230" s="29" t="str">
        <f>IF('12 - Device_Configuration'!BB231="","",'12 - Device_Configuration'!BB231)</f>
        <v/>
      </c>
      <c r="Z230" s="29" t="str">
        <f>IF('12 - Device_Configuration'!P231="","",'12 - Device_Configuration'!P231)</f>
        <v/>
      </c>
      <c r="AA230" s="29" t="str">
        <f>IF('12 - Device_Configuration'!Q231="","",'12 - Device_Configuration'!Q231)</f>
        <v/>
      </c>
    </row>
    <row r="231" spans="1:27">
      <c r="A231" s="30"/>
      <c r="B231" s="30"/>
      <c r="C231" s="29" t="str">
        <f>IF('12 - Device_Configuration'!H232="","",'12 - Device_Configuration'!H232)</f>
        <v/>
      </c>
      <c r="D231" s="29" t="str">
        <f>IF('12 - Device_Configuration'!AE232="","",'12 - Device_Configuration'!AE232)</f>
        <v/>
      </c>
      <c r="E231" s="29" t="str">
        <f>IF('12 - Device_Configuration'!AF232="","",'12 - Device_Configuration'!AF232)</f>
        <v/>
      </c>
      <c r="F231" s="29" t="str">
        <f>IF('12 - Device_Configuration'!AG232="","",'12 - Device_Configuration'!AG232)</f>
        <v/>
      </c>
      <c r="G231" s="29" t="str">
        <f>IF('12 - Device_Configuration'!AH232="","",'12 - Device_Configuration'!AH232)</f>
        <v/>
      </c>
      <c r="H231" s="29" t="str">
        <f>IF('12 - Device_Configuration'!A232="","",'12 - Device_Configuration'!A232)</f>
        <v/>
      </c>
      <c r="I231" s="29" t="str">
        <f>IF('12 - Device_Configuration'!AI232="","",'12 - Device_Configuration'!AI232)</f>
        <v/>
      </c>
      <c r="J231" s="29" t="str">
        <f>IF('12 - Device_Configuration'!AJ232="","",'12 - Device_Configuration'!AJ232)</f>
        <v/>
      </c>
      <c r="K231" s="29" t="str">
        <f>IF('12 - Device_Configuration'!AA232="","",'12 - Device_Configuration'!AA232)</f>
        <v/>
      </c>
      <c r="L231" s="29" t="str">
        <f>IF('12 - Device_Configuration'!I232="","",'12 - Device_Configuration'!I232)</f>
        <v/>
      </c>
      <c r="M231" s="30"/>
      <c r="N231" s="29" t="str">
        <f>IF('12 - Device_Configuration'!J232="","",'12 - Device_Configuration'!J232)</f>
        <v/>
      </c>
      <c r="O231" s="29" t="str">
        <f>IF('12 - Device_Configuration'!K232="","",'12 - Device_Configuration'!K232)</f>
        <v/>
      </c>
      <c r="P231" s="29" t="str">
        <f>IF('12 - Device_Configuration'!L232="","",'12 - Device_Configuration'!L232)</f>
        <v/>
      </c>
      <c r="Q231" s="30"/>
      <c r="R231" s="29" t="str">
        <f>IF('12 - Device_Configuration'!AY232="","",'12 - Device_Configuration'!AY232)</f>
        <v/>
      </c>
      <c r="S231" s="29" t="str">
        <f>IF('12 - Device_Configuration'!AX232="","",'12 - Device_Configuration'!AX232)</f>
        <v/>
      </c>
      <c r="T231" s="29" t="str">
        <f>IF('12 - Device_Configuration'!AV232="","",'12 - Device_Configuration'!AV232)</f>
        <v/>
      </c>
      <c r="U231" s="29" t="str">
        <f>IF('12 - Device_Configuration'!AW232="","",'12 - Device_Configuration'!AW232)</f>
        <v/>
      </c>
      <c r="V231" s="29" t="str">
        <f>IF('12 - Device_Configuration'!BA232="","",'12 - Device_Configuration'!BA232)</f>
        <v/>
      </c>
      <c r="W231" s="29" t="str">
        <f>IF('12 - Device_Configuration'!BC232="","",'12 - Device_Configuration'!BC232)</f>
        <v/>
      </c>
      <c r="X231" s="29" t="str">
        <f>IF('12 - Device_Configuration'!BK232="","",'12 - Device_Configuration'!BK232)</f>
        <v/>
      </c>
      <c r="Y231" s="29" t="str">
        <f>IF('12 - Device_Configuration'!BB232="","",'12 - Device_Configuration'!BB232)</f>
        <v/>
      </c>
      <c r="Z231" s="29" t="str">
        <f>IF('12 - Device_Configuration'!P232="","",'12 - Device_Configuration'!P232)</f>
        <v/>
      </c>
      <c r="AA231" s="29" t="str">
        <f>IF('12 - Device_Configuration'!Q232="","",'12 - Device_Configuration'!Q232)</f>
        <v/>
      </c>
    </row>
    <row r="232" spans="1:27">
      <c r="A232" s="30"/>
      <c r="B232" s="30"/>
      <c r="C232" s="29" t="str">
        <f>IF('12 - Device_Configuration'!H233="","",'12 - Device_Configuration'!H233)</f>
        <v/>
      </c>
      <c r="D232" s="29" t="str">
        <f>IF('12 - Device_Configuration'!AE233="","",'12 - Device_Configuration'!AE233)</f>
        <v/>
      </c>
      <c r="E232" s="29" t="str">
        <f>IF('12 - Device_Configuration'!AF233="","",'12 - Device_Configuration'!AF233)</f>
        <v/>
      </c>
      <c r="F232" s="29" t="str">
        <f>IF('12 - Device_Configuration'!AG233="","",'12 - Device_Configuration'!AG233)</f>
        <v/>
      </c>
      <c r="G232" s="29" t="str">
        <f>IF('12 - Device_Configuration'!AH233="","",'12 - Device_Configuration'!AH233)</f>
        <v/>
      </c>
      <c r="H232" s="29" t="str">
        <f>IF('12 - Device_Configuration'!A233="","",'12 - Device_Configuration'!A233)</f>
        <v/>
      </c>
      <c r="I232" s="29" t="str">
        <f>IF('12 - Device_Configuration'!AI233="","",'12 - Device_Configuration'!AI233)</f>
        <v/>
      </c>
      <c r="J232" s="29" t="str">
        <f>IF('12 - Device_Configuration'!AJ233="","",'12 - Device_Configuration'!AJ233)</f>
        <v/>
      </c>
      <c r="K232" s="29" t="str">
        <f>IF('12 - Device_Configuration'!AA233="","",'12 - Device_Configuration'!AA233)</f>
        <v/>
      </c>
      <c r="L232" s="29" t="str">
        <f>IF('12 - Device_Configuration'!I233="","",'12 - Device_Configuration'!I233)</f>
        <v/>
      </c>
      <c r="M232" s="30"/>
      <c r="N232" s="29" t="str">
        <f>IF('12 - Device_Configuration'!J233="","",'12 - Device_Configuration'!J233)</f>
        <v/>
      </c>
      <c r="O232" s="29" t="str">
        <f>IF('12 - Device_Configuration'!K233="","",'12 - Device_Configuration'!K233)</f>
        <v/>
      </c>
      <c r="P232" s="29" t="str">
        <f>IF('12 - Device_Configuration'!L233="","",'12 - Device_Configuration'!L233)</f>
        <v/>
      </c>
      <c r="Q232" s="30"/>
      <c r="R232" s="29" t="str">
        <f>IF('12 - Device_Configuration'!AY233="","",'12 - Device_Configuration'!AY233)</f>
        <v/>
      </c>
      <c r="S232" s="29" t="str">
        <f>IF('12 - Device_Configuration'!AX233="","",'12 - Device_Configuration'!AX233)</f>
        <v/>
      </c>
      <c r="T232" s="29" t="str">
        <f>IF('12 - Device_Configuration'!AV233="","",'12 - Device_Configuration'!AV233)</f>
        <v/>
      </c>
      <c r="U232" s="29" t="str">
        <f>IF('12 - Device_Configuration'!AW233="","",'12 - Device_Configuration'!AW233)</f>
        <v/>
      </c>
      <c r="V232" s="29" t="str">
        <f>IF('12 - Device_Configuration'!BA233="","",'12 - Device_Configuration'!BA233)</f>
        <v/>
      </c>
      <c r="W232" s="29" t="str">
        <f>IF('12 - Device_Configuration'!BC233="","",'12 - Device_Configuration'!BC233)</f>
        <v/>
      </c>
      <c r="X232" s="29" t="str">
        <f>IF('12 - Device_Configuration'!BK233="","",'12 - Device_Configuration'!BK233)</f>
        <v/>
      </c>
      <c r="Y232" s="29" t="str">
        <f>IF('12 - Device_Configuration'!BB233="","",'12 - Device_Configuration'!BB233)</f>
        <v/>
      </c>
      <c r="Z232" s="29" t="str">
        <f>IF('12 - Device_Configuration'!P233="","",'12 - Device_Configuration'!P233)</f>
        <v/>
      </c>
      <c r="AA232" s="29" t="str">
        <f>IF('12 - Device_Configuration'!Q233="","",'12 - Device_Configuration'!Q233)</f>
        <v/>
      </c>
    </row>
    <row r="233" spans="1:27">
      <c r="A233" s="30"/>
      <c r="B233" s="30"/>
      <c r="C233" s="29" t="str">
        <f>IF('12 - Device_Configuration'!H234="","",'12 - Device_Configuration'!H234)</f>
        <v/>
      </c>
      <c r="D233" s="29" t="str">
        <f>IF('12 - Device_Configuration'!AE234="","",'12 - Device_Configuration'!AE234)</f>
        <v/>
      </c>
      <c r="E233" s="29" t="str">
        <f>IF('12 - Device_Configuration'!AF234="","",'12 - Device_Configuration'!AF234)</f>
        <v/>
      </c>
      <c r="F233" s="29" t="str">
        <f>IF('12 - Device_Configuration'!AG234="","",'12 - Device_Configuration'!AG234)</f>
        <v/>
      </c>
      <c r="G233" s="29" t="str">
        <f>IF('12 - Device_Configuration'!AH234="","",'12 - Device_Configuration'!AH234)</f>
        <v/>
      </c>
      <c r="H233" s="29" t="str">
        <f>IF('12 - Device_Configuration'!A234="","",'12 - Device_Configuration'!A234)</f>
        <v/>
      </c>
      <c r="I233" s="29" t="str">
        <f>IF('12 - Device_Configuration'!AI234="","",'12 - Device_Configuration'!AI234)</f>
        <v/>
      </c>
      <c r="J233" s="29" t="str">
        <f>IF('12 - Device_Configuration'!AJ234="","",'12 - Device_Configuration'!AJ234)</f>
        <v/>
      </c>
      <c r="K233" s="29" t="str">
        <f>IF('12 - Device_Configuration'!AA234="","",'12 - Device_Configuration'!AA234)</f>
        <v/>
      </c>
      <c r="L233" s="29" t="str">
        <f>IF('12 - Device_Configuration'!I234="","",'12 - Device_Configuration'!I234)</f>
        <v/>
      </c>
      <c r="M233" s="30"/>
      <c r="N233" s="29" t="str">
        <f>IF('12 - Device_Configuration'!J234="","",'12 - Device_Configuration'!J234)</f>
        <v/>
      </c>
      <c r="O233" s="29" t="str">
        <f>IF('12 - Device_Configuration'!K234="","",'12 - Device_Configuration'!K234)</f>
        <v/>
      </c>
      <c r="P233" s="29" t="str">
        <f>IF('12 - Device_Configuration'!L234="","",'12 - Device_Configuration'!L234)</f>
        <v/>
      </c>
      <c r="Q233" s="30"/>
      <c r="R233" s="29" t="str">
        <f>IF('12 - Device_Configuration'!AY234="","",'12 - Device_Configuration'!AY234)</f>
        <v/>
      </c>
      <c r="S233" s="29" t="str">
        <f>IF('12 - Device_Configuration'!AX234="","",'12 - Device_Configuration'!AX234)</f>
        <v/>
      </c>
      <c r="T233" s="29" t="str">
        <f>IF('12 - Device_Configuration'!AV234="","",'12 - Device_Configuration'!AV234)</f>
        <v/>
      </c>
      <c r="U233" s="29" t="str">
        <f>IF('12 - Device_Configuration'!AW234="","",'12 - Device_Configuration'!AW234)</f>
        <v/>
      </c>
      <c r="V233" s="29" t="str">
        <f>IF('12 - Device_Configuration'!BA234="","",'12 - Device_Configuration'!BA234)</f>
        <v/>
      </c>
      <c r="W233" s="29" t="str">
        <f>IF('12 - Device_Configuration'!BC234="","",'12 - Device_Configuration'!BC234)</f>
        <v/>
      </c>
      <c r="X233" s="29" t="str">
        <f>IF('12 - Device_Configuration'!BK234="","",'12 - Device_Configuration'!BK234)</f>
        <v/>
      </c>
      <c r="Y233" s="29" t="str">
        <f>IF('12 - Device_Configuration'!BB234="","",'12 - Device_Configuration'!BB234)</f>
        <v/>
      </c>
      <c r="Z233" s="29" t="str">
        <f>IF('12 - Device_Configuration'!P234="","",'12 - Device_Configuration'!P234)</f>
        <v/>
      </c>
      <c r="AA233" s="29" t="str">
        <f>IF('12 - Device_Configuration'!Q234="","",'12 - Device_Configuration'!Q234)</f>
        <v/>
      </c>
    </row>
    <row r="234" spans="1:27">
      <c r="A234" s="30"/>
      <c r="B234" s="30"/>
      <c r="C234" s="29" t="str">
        <f>IF('12 - Device_Configuration'!H235="","",'12 - Device_Configuration'!H235)</f>
        <v/>
      </c>
      <c r="D234" s="29" t="str">
        <f>IF('12 - Device_Configuration'!AE235="","",'12 - Device_Configuration'!AE235)</f>
        <v/>
      </c>
      <c r="E234" s="29" t="str">
        <f>IF('12 - Device_Configuration'!AF235="","",'12 - Device_Configuration'!AF235)</f>
        <v/>
      </c>
      <c r="F234" s="29" t="str">
        <f>IF('12 - Device_Configuration'!AG235="","",'12 - Device_Configuration'!AG235)</f>
        <v/>
      </c>
      <c r="G234" s="29" t="str">
        <f>IF('12 - Device_Configuration'!AH235="","",'12 - Device_Configuration'!AH235)</f>
        <v/>
      </c>
      <c r="H234" s="29" t="str">
        <f>IF('12 - Device_Configuration'!A235="","",'12 - Device_Configuration'!A235)</f>
        <v/>
      </c>
      <c r="I234" s="29" t="str">
        <f>IF('12 - Device_Configuration'!AI235="","",'12 - Device_Configuration'!AI235)</f>
        <v/>
      </c>
      <c r="J234" s="29" t="str">
        <f>IF('12 - Device_Configuration'!AJ235="","",'12 - Device_Configuration'!AJ235)</f>
        <v/>
      </c>
      <c r="K234" s="29" t="str">
        <f>IF('12 - Device_Configuration'!AA235="","",'12 - Device_Configuration'!AA235)</f>
        <v/>
      </c>
      <c r="L234" s="29" t="str">
        <f>IF('12 - Device_Configuration'!I235="","",'12 - Device_Configuration'!I235)</f>
        <v/>
      </c>
      <c r="M234" s="30"/>
      <c r="N234" s="29" t="str">
        <f>IF('12 - Device_Configuration'!J235="","",'12 - Device_Configuration'!J235)</f>
        <v/>
      </c>
      <c r="O234" s="29" t="str">
        <f>IF('12 - Device_Configuration'!K235="","",'12 - Device_Configuration'!K235)</f>
        <v/>
      </c>
      <c r="P234" s="29" t="str">
        <f>IF('12 - Device_Configuration'!L235="","",'12 - Device_Configuration'!L235)</f>
        <v/>
      </c>
      <c r="Q234" s="30"/>
      <c r="R234" s="29" t="str">
        <f>IF('12 - Device_Configuration'!AY235="","",'12 - Device_Configuration'!AY235)</f>
        <v/>
      </c>
      <c r="S234" s="29" t="str">
        <f>IF('12 - Device_Configuration'!AX235="","",'12 - Device_Configuration'!AX235)</f>
        <v/>
      </c>
      <c r="T234" s="29" t="str">
        <f>IF('12 - Device_Configuration'!AV235="","",'12 - Device_Configuration'!AV235)</f>
        <v/>
      </c>
      <c r="U234" s="29" t="str">
        <f>IF('12 - Device_Configuration'!AW235="","",'12 - Device_Configuration'!AW235)</f>
        <v/>
      </c>
      <c r="V234" s="29" t="str">
        <f>IF('12 - Device_Configuration'!BA235="","",'12 - Device_Configuration'!BA235)</f>
        <v/>
      </c>
      <c r="W234" s="29" t="str">
        <f>IF('12 - Device_Configuration'!BC235="","",'12 - Device_Configuration'!BC235)</f>
        <v/>
      </c>
      <c r="X234" s="29" t="str">
        <f>IF('12 - Device_Configuration'!BK235="","",'12 - Device_Configuration'!BK235)</f>
        <v/>
      </c>
      <c r="Y234" s="29" t="str">
        <f>IF('12 - Device_Configuration'!BB235="","",'12 - Device_Configuration'!BB235)</f>
        <v/>
      </c>
      <c r="Z234" s="29" t="str">
        <f>IF('12 - Device_Configuration'!P235="","",'12 - Device_Configuration'!P235)</f>
        <v/>
      </c>
      <c r="AA234" s="29" t="str">
        <f>IF('12 - Device_Configuration'!Q235="","",'12 - Device_Configuration'!Q235)</f>
        <v/>
      </c>
    </row>
    <row r="235" spans="1:27">
      <c r="A235" s="30"/>
      <c r="B235" s="30"/>
      <c r="C235" s="29" t="str">
        <f>IF('12 - Device_Configuration'!H236="","",'12 - Device_Configuration'!H236)</f>
        <v/>
      </c>
      <c r="D235" s="29" t="str">
        <f>IF('12 - Device_Configuration'!AE236="","",'12 - Device_Configuration'!AE236)</f>
        <v/>
      </c>
      <c r="E235" s="29" t="str">
        <f>IF('12 - Device_Configuration'!AF236="","",'12 - Device_Configuration'!AF236)</f>
        <v/>
      </c>
      <c r="F235" s="29" t="str">
        <f>IF('12 - Device_Configuration'!AG236="","",'12 - Device_Configuration'!AG236)</f>
        <v/>
      </c>
      <c r="G235" s="29" t="str">
        <f>IF('12 - Device_Configuration'!AH236="","",'12 - Device_Configuration'!AH236)</f>
        <v/>
      </c>
      <c r="H235" s="29" t="str">
        <f>IF('12 - Device_Configuration'!A236="","",'12 - Device_Configuration'!A236)</f>
        <v/>
      </c>
      <c r="I235" s="29" t="str">
        <f>IF('12 - Device_Configuration'!AI236="","",'12 - Device_Configuration'!AI236)</f>
        <v/>
      </c>
      <c r="J235" s="29" t="str">
        <f>IF('12 - Device_Configuration'!AJ236="","",'12 - Device_Configuration'!AJ236)</f>
        <v/>
      </c>
      <c r="K235" s="29" t="str">
        <f>IF('12 - Device_Configuration'!AA236="","",'12 - Device_Configuration'!AA236)</f>
        <v/>
      </c>
      <c r="L235" s="29" t="str">
        <f>IF('12 - Device_Configuration'!I236="","",'12 - Device_Configuration'!I236)</f>
        <v/>
      </c>
      <c r="M235" s="30"/>
      <c r="N235" s="29" t="str">
        <f>IF('12 - Device_Configuration'!J236="","",'12 - Device_Configuration'!J236)</f>
        <v/>
      </c>
      <c r="O235" s="29" t="str">
        <f>IF('12 - Device_Configuration'!K236="","",'12 - Device_Configuration'!K236)</f>
        <v/>
      </c>
      <c r="P235" s="29" t="str">
        <f>IF('12 - Device_Configuration'!L236="","",'12 - Device_Configuration'!L236)</f>
        <v/>
      </c>
      <c r="Q235" s="30"/>
      <c r="R235" s="29" t="str">
        <f>IF('12 - Device_Configuration'!AY236="","",'12 - Device_Configuration'!AY236)</f>
        <v/>
      </c>
      <c r="S235" s="29" t="str">
        <f>IF('12 - Device_Configuration'!AX236="","",'12 - Device_Configuration'!AX236)</f>
        <v/>
      </c>
      <c r="T235" s="29" t="str">
        <f>IF('12 - Device_Configuration'!AV236="","",'12 - Device_Configuration'!AV236)</f>
        <v/>
      </c>
      <c r="U235" s="29" t="str">
        <f>IF('12 - Device_Configuration'!AW236="","",'12 - Device_Configuration'!AW236)</f>
        <v/>
      </c>
      <c r="V235" s="29" t="str">
        <f>IF('12 - Device_Configuration'!BA236="","",'12 - Device_Configuration'!BA236)</f>
        <v/>
      </c>
      <c r="W235" s="29" t="str">
        <f>IF('12 - Device_Configuration'!BC236="","",'12 - Device_Configuration'!BC236)</f>
        <v/>
      </c>
      <c r="X235" s="29" t="str">
        <f>IF('12 - Device_Configuration'!BK236="","",'12 - Device_Configuration'!BK236)</f>
        <v/>
      </c>
      <c r="Y235" s="29" t="str">
        <f>IF('12 - Device_Configuration'!BB236="","",'12 - Device_Configuration'!BB236)</f>
        <v/>
      </c>
      <c r="Z235" s="29" t="str">
        <f>IF('12 - Device_Configuration'!P236="","",'12 - Device_Configuration'!P236)</f>
        <v/>
      </c>
      <c r="AA235" s="29" t="str">
        <f>IF('12 - Device_Configuration'!Q236="","",'12 - Device_Configuration'!Q236)</f>
        <v/>
      </c>
    </row>
    <row r="236" spans="1:27">
      <c r="A236" s="30"/>
      <c r="B236" s="30"/>
      <c r="C236" s="29" t="str">
        <f>IF('12 - Device_Configuration'!H237="","",'12 - Device_Configuration'!H237)</f>
        <v/>
      </c>
      <c r="D236" s="29" t="str">
        <f>IF('12 - Device_Configuration'!AE237="","",'12 - Device_Configuration'!AE237)</f>
        <v/>
      </c>
      <c r="E236" s="29" t="str">
        <f>IF('12 - Device_Configuration'!AF237="","",'12 - Device_Configuration'!AF237)</f>
        <v/>
      </c>
      <c r="F236" s="29" t="str">
        <f>IF('12 - Device_Configuration'!AG237="","",'12 - Device_Configuration'!AG237)</f>
        <v/>
      </c>
      <c r="G236" s="29" t="str">
        <f>IF('12 - Device_Configuration'!AH237="","",'12 - Device_Configuration'!AH237)</f>
        <v/>
      </c>
      <c r="H236" s="29" t="str">
        <f>IF('12 - Device_Configuration'!A237="","",'12 - Device_Configuration'!A237)</f>
        <v/>
      </c>
      <c r="I236" s="29" t="str">
        <f>IF('12 - Device_Configuration'!AI237="","",'12 - Device_Configuration'!AI237)</f>
        <v/>
      </c>
      <c r="J236" s="29" t="str">
        <f>IF('12 - Device_Configuration'!AJ237="","",'12 - Device_Configuration'!AJ237)</f>
        <v/>
      </c>
      <c r="K236" s="29" t="str">
        <f>IF('12 - Device_Configuration'!AA237="","",'12 - Device_Configuration'!AA237)</f>
        <v/>
      </c>
      <c r="L236" s="29" t="str">
        <f>IF('12 - Device_Configuration'!I237="","",'12 - Device_Configuration'!I237)</f>
        <v/>
      </c>
      <c r="M236" s="30"/>
      <c r="N236" s="29" t="str">
        <f>IF('12 - Device_Configuration'!J237="","",'12 - Device_Configuration'!J237)</f>
        <v/>
      </c>
      <c r="O236" s="29" t="str">
        <f>IF('12 - Device_Configuration'!K237="","",'12 - Device_Configuration'!K237)</f>
        <v/>
      </c>
      <c r="P236" s="29" t="str">
        <f>IF('12 - Device_Configuration'!L237="","",'12 - Device_Configuration'!L237)</f>
        <v/>
      </c>
      <c r="Q236" s="30"/>
      <c r="R236" s="29" t="str">
        <f>IF('12 - Device_Configuration'!AY237="","",'12 - Device_Configuration'!AY237)</f>
        <v/>
      </c>
      <c r="S236" s="29" t="str">
        <f>IF('12 - Device_Configuration'!AX237="","",'12 - Device_Configuration'!AX237)</f>
        <v/>
      </c>
      <c r="T236" s="29" t="str">
        <f>IF('12 - Device_Configuration'!AV237="","",'12 - Device_Configuration'!AV237)</f>
        <v/>
      </c>
      <c r="U236" s="29" t="str">
        <f>IF('12 - Device_Configuration'!AW237="","",'12 - Device_Configuration'!AW237)</f>
        <v/>
      </c>
      <c r="V236" s="29" t="str">
        <f>IF('12 - Device_Configuration'!BA237="","",'12 - Device_Configuration'!BA237)</f>
        <v/>
      </c>
      <c r="W236" s="29" t="str">
        <f>IF('12 - Device_Configuration'!BC237="","",'12 - Device_Configuration'!BC237)</f>
        <v/>
      </c>
      <c r="X236" s="29" t="str">
        <f>IF('12 - Device_Configuration'!BK237="","",'12 - Device_Configuration'!BK237)</f>
        <v/>
      </c>
      <c r="Y236" s="29" t="str">
        <f>IF('12 - Device_Configuration'!BB237="","",'12 - Device_Configuration'!BB237)</f>
        <v/>
      </c>
      <c r="Z236" s="29" t="str">
        <f>IF('12 - Device_Configuration'!P237="","",'12 - Device_Configuration'!P237)</f>
        <v/>
      </c>
      <c r="AA236" s="29" t="str">
        <f>IF('12 - Device_Configuration'!Q237="","",'12 - Device_Configuration'!Q237)</f>
        <v/>
      </c>
    </row>
    <row r="237" spans="1:27">
      <c r="A237" s="30"/>
      <c r="B237" s="30"/>
      <c r="C237" s="29" t="str">
        <f>IF('12 - Device_Configuration'!H238="","",'12 - Device_Configuration'!H238)</f>
        <v/>
      </c>
      <c r="D237" s="29" t="str">
        <f>IF('12 - Device_Configuration'!AE238="","",'12 - Device_Configuration'!AE238)</f>
        <v/>
      </c>
      <c r="E237" s="29" t="str">
        <f>IF('12 - Device_Configuration'!AF238="","",'12 - Device_Configuration'!AF238)</f>
        <v/>
      </c>
      <c r="F237" s="29" t="str">
        <f>IF('12 - Device_Configuration'!AG238="","",'12 - Device_Configuration'!AG238)</f>
        <v/>
      </c>
      <c r="G237" s="29" t="str">
        <f>IF('12 - Device_Configuration'!AH238="","",'12 - Device_Configuration'!AH238)</f>
        <v/>
      </c>
      <c r="H237" s="29" t="str">
        <f>IF('12 - Device_Configuration'!A238="","",'12 - Device_Configuration'!A238)</f>
        <v/>
      </c>
      <c r="I237" s="29" t="str">
        <f>IF('12 - Device_Configuration'!AI238="","",'12 - Device_Configuration'!AI238)</f>
        <v/>
      </c>
      <c r="J237" s="29" t="str">
        <f>IF('12 - Device_Configuration'!AJ238="","",'12 - Device_Configuration'!AJ238)</f>
        <v/>
      </c>
      <c r="K237" s="29" t="str">
        <f>IF('12 - Device_Configuration'!AA238="","",'12 - Device_Configuration'!AA238)</f>
        <v/>
      </c>
      <c r="L237" s="29" t="str">
        <f>IF('12 - Device_Configuration'!I238="","",'12 - Device_Configuration'!I238)</f>
        <v/>
      </c>
      <c r="M237" s="30"/>
      <c r="N237" s="29" t="str">
        <f>IF('12 - Device_Configuration'!J238="","",'12 - Device_Configuration'!J238)</f>
        <v/>
      </c>
      <c r="O237" s="29" t="str">
        <f>IF('12 - Device_Configuration'!K238="","",'12 - Device_Configuration'!K238)</f>
        <v/>
      </c>
      <c r="P237" s="29" t="str">
        <f>IF('12 - Device_Configuration'!L238="","",'12 - Device_Configuration'!L238)</f>
        <v/>
      </c>
      <c r="Q237" s="30"/>
      <c r="R237" s="29" t="str">
        <f>IF('12 - Device_Configuration'!AY238="","",'12 - Device_Configuration'!AY238)</f>
        <v/>
      </c>
      <c r="S237" s="29" t="str">
        <f>IF('12 - Device_Configuration'!AX238="","",'12 - Device_Configuration'!AX238)</f>
        <v/>
      </c>
      <c r="T237" s="29" t="str">
        <f>IF('12 - Device_Configuration'!AV238="","",'12 - Device_Configuration'!AV238)</f>
        <v/>
      </c>
      <c r="U237" s="29" t="str">
        <f>IF('12 - Device_Configuration'!AW238="","",'12 - Device_Configuration'!AW238)</f>
        <v/>
      </c>
      <c r="V237" s="29" t="str">
        <f>IF('12 - Device_Configuration'!BA238="","",'12 - Device_Configuration'!BA238)</f>
        <v/>
      </c>
      <c r="W237" s="29" t="str">
        <f>IF('12 - Device_Configuration'!BC238="","",'12 - Device_Configuration'!BC238)</f>
        <v/>
      </c>
      <c r="X237" s="29" t="str">
        <f>IF('12 - Device_Configuration'!BK238="","",'12 - Device_Configuration'!BK238)</f>
        <v/>
      </c>
      <c r="Y237" s="29" t="str">
        <f>IF('12 - Device_Configuration'!BB238="","",'12 - Device_Configuration'!BB238)</f>
        <v/>
      </c>
      <c r="Z237" s="29" t="str">
        <f>IF('12 - Device_Configuration'!P238="","",'12 - Device_Configuration'!P238)</f>
        <v/>
      </c>
      <c r="AA237" s="29" t="str">
        <f>IF('12 - Device_Configuration'!Q238="","",'12 - Device_Configuration'!Q238)</f>
        <v/>
      </c>
    </row>
    <row r="238" spans="1:27">
      <c r="A238" s="30"/>
      <c r="B238" s="30"/>
      <c r="C238" s="29" t="str">
        <f>IF('12 - Device_Configuration'!H239="","",'12 - Device_Configuration'!H239)</f>
        <v/>
      </c>
      <c r="D238" s="29" t="str">
        <f>IF('12 - Device_Configuration'!AE239="","",'12 - Device_Configuration'!AE239)</f>
        <v/>
      </c>
      <c r="E238" s="29" t="str">
        <f>IF('12 - Device_Configuration'!AF239="","",'12 - Device_Configuration'!AF239)</f>
        <v/>
      </c>
      <c r="F238" s="29" t="str">
        <f>IF('12 - Device_Configuration'!AG239="","",'12 - Device_Configuration'!AG239)</f>
        <v/>
      </c>
      <c r="G238" s="29" t="str">
        <f>IF('12 - Device_Configuration'!AH239="","",'12 - Device_Configuration'!AH239)</f>
        <v/>
      </c>
      <c r="H238" s="29" t="str">
        <f>IF('12 - Device_Configuration'!A239="","",'12 - Device_Configuration'!A239)</f>
        <v/>
      </c>
      <c r="I238" s="29" t="str">
        <f>IF('12 - Device_Configuration'!AI239="","",'12 - Device_Configuration'!AI239)</f>
        <v/>
      </c>
      <c r="J238" s="29" t="str">
        <f>IF('12 - Device_Configuration'!AJ239="","",'12 - Device_Configuration'!AJ239)</f>
        <v/>
      </c>
      <c r="K238" s="29" t="str">
        <f>IF('12 - Device_Configuration'!AA239="","",'12 - Device_Configuration'!AA239)</f>
        <v/>
      </c>
      <c r="L238" s="29" t="str">
        <f>IF('12 - Device_Configuration'!I239="","",'12 - Device_Configuration'!I239)</f>
        <v/>
      </c>
      <c r="M238" s="30"/>
      <c r="N238" s="29" t="str">
        <f>IF('12 - Device_Configuration'!J239="","",'12 - Device_Configuration'!J239)</f>
        <v/>
      </c>
      <c r="O238" s="29" t="str">
        <f>IF('12 - Device_Configuration'!K239="","",'12 - Device_Configuration'!K239)</f>
        <v/>
      </c>
      <c r="P238" s="29" t="str">
        <f>IF('12 - Device_Configuration'!L239="","",'12 - Device_Configuration'!L239)</f>
        <v/>
      </c>
      <c r="Q238" s="30"/>
      <c r="R238" s="29" t="str">
        <f>IF('12 - Device_Configuration'!AY239="","",'12 - Device_Configuration'!AY239)</f>
        <v/>
      </c>
      <c r="S238" s="29" t="str">
        <f>IF('12 - Device_Configuration'!AX239="","",'12 - Device_Configuration'!AX239)</f>
        <v/>
      </c>
      <c r="T238" s="29" t="str">
        <f>IF('12 - Device_Configuration'!AV239="","",'12 - Device_Configuration'!AV239)</f>
        <v/>
      </c>
      <c r="U238" s="29" t="str">
        <f>IF('12 - Device_Configuration'!AW239="","",'12 - Device_Configuration'!AW239)</f>
        <v/>
      </c>
      <c r="V238" s="29" t="str">
        <f>IF('12 - Device_Configuration'!BA239="","",'12 - Device_Configuration'!BA239)</f>
        <v/>
      </c>
      <c r="W238" s="29" t="str">
        <f>IF('12 - Device_Configuration'!BC239="","",'12 - Device_Configuration'!BC239)</f>
        <v/>
      </c>
      <c r="X238" s="29" t="str">
        <f>IF('12 - Device_Configuration'!BK239="","",'12 - Device_Configuration'!BK239)</f>
        <v/>
      </c>
      <c r="Y238" s="29" t="str">
        <f>IF('12 - Device_Configuration'!BB239="","",'12 - Device_Configuration'!BB239)</f>
        <v/>
      </c>
      <c r="Z238" s="29" t="str">
        <f>IF('12 - Device_Configuration'!P239="","",'12 - Device_Configuration'!P239)</f>
        <v/>
      </c>
      <c r="AA238" s="29" t="str">
        <f>IF('12 - Device_Configuration'!Q239="","",'12 - Device_Configuration'!Q239)</f>
        <v/>
      </c>
    </row>
    <row r="239" spans="1:27">
      <c r="A239" s="30"/>
      <c r="B239" s="30"/>
      <c r="C239" s="29" t="str">
        <f>IF('12 - Device_Configuration'!H240="","",'12 - Device_Configuration'!H240)</f>
        <v/>
      </c>
      <c r="D239" s="29" t="str">
        <f>IF('12 - Device_Configuration'!AE240="","",'12 - Device_Configuration'!AE240)</f>
        <v/>
      </c>
      <c r="E239" s="29" t="str">
        <f>IF('12 - Device_Configuration'!AF240="","",'12 - Device_Configuration'!AF240)</f>
        <v/>
      </c>
      <c r="F239" s="29" t="str">
        <f>IF('12 - Device_Configuration'!AG240="","",'12 - Device_Configuration'!AG240)</f>
        <v/>
      </c>
      <c r="G239" s="29" t="str">
        <f>IF('12 - Device_Configuration'!AH240="","",'12 - Device_Configuration'!AH240)</f>
        <v/>
      </c>
      <c r="H239" s="29" t="str">
        <f>IF('12 - Device_Configuration'!A240="","",'12 - Device_Configuration'!A240)</f>
        <v/>
      </c>
      <c r="I239" s="29" t="str">
        <f>IF('12 - Device_Configuration'!AI240="","",'12 - Device_Configuration'!AI240)</f>
        <v/>
      </c>
      <c r="J239" s="29" t="str">
        <f>IF('12 - Device_Configuration'!AJ240="","",'12 - Device_Configuration'!AJ240)</f>
        <v/>
      </c>
      <c r="K239" s="29" t="str">
        <f>IF('12 - Device_Configuration'!AA240="","",'12 - Device_Configuration'!AA240)</f>
        <v/>
      </c>
      <c r="L239" s="29" t="str">
        <f>IF('12 - Device_Configuration'!I240="","",'12 - Device_Configuration'!I240)</f>
        <v/>
      </c>
      <c r="M239" s="30"/>
      <c r="N239" s="29" t="str">
        <f>IF('12 - Device_Configuration'!J240="","",'12 - Device_Configuration'!J240)</f>
        <v/>
      </c>
      <c r="O239" s="29" t="str">
        <f>IF('12 - Device_Configuration'!K240="","",'12 - Device_Configuration'!K240)</f>
        <v/>
      </c>
      <c r="P239" s="29" t="str">
        <f>IF('12 - Device_Configuration'!L240="","",'12 - Device_Configuration'!L240)</f>
        <v/>
      </c>
      <c r="Q239" s="30"/>
      <c r="R239" s="29" t="str">
        <f>IF('12 - Device_Configuration'!AY240="","",'12 - Device_Configuration'!AY240)</f>
        <v/>
      </c>
      <c r="S239" s="29" t="str">
        <f>IF('12 - Device_Configuration'!AX240="","",'12 - Device_Configuration'!AX240)</f>
        <v/>
      </c>
      <c r="T239" s="29" t="str">
        <f>IF('12 - Device_Configuration'!AV240="","",'12 - Device_Configuration'!AV240)</f>
        <v/>
      </c>
      <c r="U239" s="29" t="str">
        <f>IF('12 - Device_Configuration'!AW240="","",'12 - Device_Configuration'!AW240)</f>
        <v/>
      </c>
      <c r="V239" s="29" t="str">
        <f>IF('12 - Device_Configuration'!BA240="","",'12 - Device_Configuration'!BA240)</f>
        <v/>
      </c>
      <c r="W239" s="29" t="str">
        <f>IF('12 - Device_Configuration'!BC240="","",'12 - Device_Configuration'!BC240)</f>
        <v/>
      </c>
      <c r="X239" s="29" t="str">
        <f>IF('12 - Device_Configuration'!BK240="","",'12 - Device_Configuration'!BK240)</f>
        <v/>
      </c>
      <c r="Y239" s="29" t="str">
        <f>IF('12 - Device_Configuration'!BB240="","",'12 - Device_Configuration'!BB240)</f>
        <v/>
      </c>
      <c r="Z239" s="29" t="str">
        <f>IF('12 - Device_Configuration'!P240="","",'12 - Device_Configuration'!P240)</f>
        <v/>
      </c>
      <c r="AA239" s="29" t="str">
        <f>IF('12 - Device_Configuration'!Q240="","",'12 - Device_Configuration'!Q240)</f>
        <v/>
      </c>
    </row>
    <row r="240" spans="1:27">
      <c r="A240" s="30"/>
      <c r="B240" s="30"/>
      <c r="C240" s="29" t="str">
        <f>IF('12 - Device_Configuration'!H241="","",'12 - Device_Configuration'!H241)</f>
        <v/>
      </c>
      <c r="D240" s="29" t="str">
        <f>IF('12 - Device_Configuration'!AE241="","",'12 - Device_Configuration'!AE241)</f>
        <v/>
      </c>
      <c r="E240" s="29" t="str">
        <f>IF('12 - Device_Configuration'!AF241="","",'12 - Device_Configuration'!AF241)</f>
        <v/>
      </c>
      <c r="F240" s="29" t="str">
        <f>IF('12 - Device_Configuration'!AG241="","",'12 - Device_Configuration'!AG241)</f>
        <v/>
      </c>
      <c r="G240" s="29" t="str">
        <f>IF('12 - Device_Configuration'!AH241="","",'12 - Device_Configuration'!AH241)</f>
        <v/>
      </c>
      <c r="H240" s="29" t="str">
        <f>IF('12 - Device_Configuration'!A241="","",'12 - Device_Configuration'!A241)</f>
        <v/>
      </c>
      <c r="I240" s="29" t="str">
        <f>IF('12 - Device_Configuration'!AI241="","",'12 - Device_Configuration'!AI241)</f>
        <v/>
      </c>
      <c r="J240" s="29" t="str">
        <f>IF('12 - Device_Configuration'!AJ241="","",'12 - Device_Configuration'!AJ241)</f>
        <v/>
      </c>
      <c r="K240" s="29" t="str">
        <f>IF('12 - Device_Configuration'!AA241="","",'12 - Device_Configuration'!AA241)</f>
        <v/>
      </c>
      <c r="L240" s="29" t="str">
        <f>IF('12 - Device_Configuration'!I241="","",'12 - Device_Configuration'!I241)</f>
        <v/>
      </c>
      <c r="M240" s="30"/>
      <c r="N240" s="29" t="str">
        <f>IF('12 - Device_Configuration'!J241="","",'12 - Device_Configuration'!J241)</f>
        <v/>
      </c>
      <c r="O240" s="29" t="str">
        <f>IF('12 - Device_Configuration'!K241="","",'12 - Device_Configuration'!K241)</f>
        <v/>
      </c>
      <c r="P240" s="29" t="str">
        <f>IF('12 - Device_Configuration'!L241="","",'12 - Device_Configuration'!L241)</f>
        <v/>
      </c>
      <c r="Q240" s="30"/>
      <c r="R240" s="29" t="str">
        <f>IF('12 - Device_Configuration'!AY241="","",'12 - Device_Configuration'!AY241)</f>
        <v/>
      </c>
      <c r="S240" s="29" t="str">
        <f>IF('12 - Device_Configuration'!AX241="","",'12 - Device_Configuration'!AX241)</f>
        <v/>
      </c>
      <c r="T240" s="29" t="str">
        <f>IF('12 - Device_Configuration'!AV241="","",'12 - Device_Configuration'!AV241)</f>
        <v/>
      </c>
      <c r="U240" s="29" t="str">
        <f>IF('12 - Device_Configuration'!AW241="","",'12 - Device_Configuration'!AW241)</f>
        <v/>
      </c>
      <c r="V240" s="29" t="str">
        <f>IF('12 - Device_Configuration'!BA241="","",'12 - Device_Configuration'!BA241)</f>
        <v/>
      </c>
      <c r="W240" s="29" t="str">
        <f>IF('12 - Device_Configuration'!BC241="","",'12 - Device_Configuration'!BC241)</f>
        <v/>
      </c>
      <c r="X240" s="29" t="str">
        <f>IF('12 - Device_Configuration'!BK241="","",'12 - Device_Configuration'!BK241)</f>
        <v/>
      </c>
      <c r="Y240" s="29" t="str">
        <f>IF('12 - Device_Configuration'!BB241="","",'12 - Device_Configuration'!BB241)</f>
        <v/>
      </c>
      <c r="Z240" s="29" t="str">
        <f>IF('12 - Device_Configuration'!P241="","",'12 - Device_Configuration'!P241)</f>
        <v/>
      </c>
      <c r="AA240" s="29" t="str">
        <f>IF('12 - Device_Configuration'!Q241="","",'12 - Device_Configuration'!Q241)</f>
        <v/>
      </c>
    </row>
    <row r="241" spans="1:27">
      <c r="A241" s="30"/>
      <c r="B241" s="30"/>
      <c r="C241" s="29" t="str">
        <f>IF('12 - Device_Configuration'!H242="","",'12 - Device_Configuration'!H242)</f>
        <v/>
      </c>
      <c r="D241" s="29" t="str">
        <f>IF('12 - Device_Configuration'!AE242="","",'12 - Device_Configuration'!AE242)</f>
        <v/>
      </c>
      <c r="E241" s="29" t="str">
        <f>IF('12 - Device_Configuration'!AF242="","",'12 - Device_Configuration'!AF242)</f>
        <v/>
      </c>
      <c r="F241" s="29" t="str">
        <f>IF('12 - Device_Configuration'!AG242="","",'12 - Device_Configuration'!AG242)</f>
        <v/>
      </c>
      <c r="G241" s="29" t="str">
        <f>IF('12 - Device_Configuration'!AH242="","",'12 - Device_Configuration'!AH242)</f>
        <v/>
      </c>
      <c r="H241" s="29" t="str">
        <f>IF('12 - Device_Configuration'!A242="","",'12 - Device_Configuration'!A242)</f>
        <v/>
      </c>
      <c r="I241" s="29" t="str">
        <f>IF('12 - Device_Configuration'!AI242="","",'12 - Device_Configuration'!AI242)</f>
        <v/>
      </c>
      <c r="J241" s="29" t="str">
        <f>IF('12 - Device_Configuration'!AJ242="","",'12 - Device_Configuration'!AJ242)</f>
        <v/>
      </c>
      <c r="K241" s="29" t="str">
        <f>IF('12 - Device_Configuration'!AA242="","",'12 - Device_Configuration'!AA242)</f>
        <v/>
      </c>
      <c r="L241" s="29" t="str">
        <f>IF('12 - Device_Configuration'!I242="","",'12 - Device_Configuration'!I242)</f>
        <v/>
      </c>
      <c r="M241" s="30"/>
      <c r="N241" s="29" t="str">
        <f>IF('12 - Device_Configuration'!J242="","",'12 - Device_Configuration'!J242)</f>
        <v/>
      </c>
      <c r="O241" s="29" t="str">
        <f>IF('12 - Device_Configuration'!K242="","",'12 - Device_Configuration'!K242)</f>
        <v/>
      </c>
      <c r="P241" s="29" t="str">
        <f>IF('12 - Device_Configuration'!L242="","",'12 - Device_Configuration'!L242)</f>
        <v/>
      </c>
      <c r="Q241" s="30"/>
      <c r="R241" s="29" t="str">
        <f>IF('12 - Device_Configuration'!AY242="","",'12 - Device_Configuration'!AY242)</f>
        <v/>
      </c>
      <c r="S241" s="29" t="str">
        <f>IF('12 - Device_Configuration'!AX242="","",'12 - Device_Configuration'!AX242)</f>
        <v/>
      </c>
      <c r="T241" s="29" t="str">
        <f>IF('12 - Device_Configuration'!AV242="","",'12 - Device_Configuration'!AV242)</f>
        <v/>
      </c>
      <c r="U241" s="29" t="str">
        <f>IF('12 - Device_Configuration'!AW242="","",'12 - Device_Configuration'!AW242)</f>
        <v/>
      </c>
      <c r="V241" s="29" t="str">
        <f>IF('12 - Device_Configuration'!BA242="","",'12 - Device_Configuration'!BA242)</f>
        <v/>
      </c>
      <c r="W241" s="29" t="str">
        <f>IF('12 - Device_Configuration'!BC242="","",'12 - Device_Configuration'!BC242)</f>
        <v/>
      </c>
      <c r="X241" s="29" t="str">
        <f>IF('12 - Device_Configuration'!BK242="","",'12 - Device_Configuration'!BK242)</f>
        <v/>
      </c>
      <c r="Y241" s="29" t="str">
        <f>IF('12 - Device_Configuration'!BB242="","",'12 - Device_Configuration'!BB242)</f>
        <v/>
      </c>
      <c r="Z241" s="29" t="str">
        <f>IF('12 - Device_Configuration'!P242="","",'12 - Device_Configuration'!P242)</f>
        <v/>
      </c>
      <c r="AA241" s="29" t="str">
        <f>IF('12 - Device_Configuration'!Q242="","",'12 - Device_Configuration'!Q242)</f>
        <v/>
      </c>
    </row>
    <row r="242" spans="1:27">
      <c r="A242" s="30"/>
      <c r="B242" s="30"/>
      <c r="C242" s="29" t="str">
        <f>IF('12 - Device_Configuration'!H243="","",'12 - Device_Configuration'!H243)</f>
        <v/>
      </c>
      <c r="D242" s="29" t="str">
        <f>IF('12 - Device_Configuration'!AE243="","",'12 - Device_Configuration'!AE243)</f>
        <v/>
      </c>
      <c r="E242" s="29" t="str">
        <f>IF('12 - Device_Configuration'!AF243="","",'12 - Device_Configuration'!AF243)</f>
        <v/>
      </c>
      <c r="F242" s="29" t="str">
        <f>IF('12 - Device_Configuration'!AG243="","",'12 - Device_Configuration'!AG243)</f>
        <v/>
      </c>
      <c r="G242" s="29" t="str">
        <f>IF('12 - Device_Configuration'!AH243="","",'12 - Device_Configuration'!AH243)</f>
        <v/>
      </c>
      <c r="H242" s="29" t="str">
        <f>IF('12 - Device_Configuration'!A243="","",'12 - Device_Configuration'!A243)</f>
        <v/>
      </c>
      <c r="I242" s="29" t="str">
        <f>IF('12 - Device_Configuration'!AI243="","",'12 - Device_Configuration'!AI243)</f>
        <v/>
      </c>
      <c r="J242" s="29" t="str">
        <f>IF('12 - Device_Configuration'!AJ243="","",'12 - Device_Configuration'!AJ243)</f>
        <v/>
      </c>
      <c r="K242" s="29" t="str">
        <f>IF('12 - Device_Configuration'!AA243="","",'12 - Device_Configuration'!AA243)</f>
        <v/>
      </c>
      <c r="L242" s="29" t="str">
        <f>IF('12 - Device_Configuration'!I243="","",'12 - Device_Configuration'!I243)</f>
        <v/>
      </c>
      <c r="M242" s="30"/>
      <c r="N242" s="29" t="str">
        <f>IF('12 - Device_Configuration'!J243="","",'12 - Device_Configuration'!J243)</f>
        <v/>
      </c>
      <c r="O242" s="29" t="str">
        <f>IF('12 - Device_Configuration'!K243="","",'12 - Device_Configuration'!K243)</f>
        <v/>
      </c>
      <c r="P242" s="29" t="str">
        <f>IF('12 - Device_Configuration'!L243="","",'12 - Device_Configuration'!L243)</f>
        <v/>
      </c>
      <c r="Q242" s="30"/>
      <c r="R242" s="29" t="str">
        <f>IF('12 - Device_Configuration'!AY243="","",'12 - Device_Configuration'!AY243)</f>
        <v/>
      </c>
      <c r="S242" s="29" t="str">
        <f>IF('12 - Device_Configuration'!AX243="","",'12 - Device_Configuration'!AX243)</f>
        <v/>
      </c>
      <c r="T242" s="29" t="str">
        <f>IF('12 - Device_Configuration'!AV243="","",'12 - Device_Configuration'!AV243)</f>
        <v/>
      </c>
      <c r="U242" s="29" t="str">
        <f>IF('12 - Device_Configuration'!AW243="","",'12 - Device_Configuration'!AW243)</f>
        <v/>
      </c>
      <c r="V242" s="29" t="str">
        <f>IF('12 - Device_Configuration'!BA243="","",'12 - Device_Configuration'!BA243)</f>
        <v/>
      </c>
      <c r="W242" s="29" t="str">
        <f>IF('12 - Device_Configuration'!BC243="","",'12 - Device_Configuration'!BC243)</f>
        <v/>
      </c>
      <c r="X242" s="29" t="str">
        <f>IF('12 - Device_Configuration'!BK243="","",'12 - Device_Configuration'!BK243)</f>
        <v/>
      </c>
      <c r="Y242" s="29" t="str">
        <f>IF('12 - Device_Configuration'!BB243="","",'12 - Device_Configuration'!BB243)</f>
        <v/>
      </c>
      <c r="Z242" s="29" t="str">
        <f>IF('12 - Device_Configuration'!P243="","",'12 - Device_Configuration'!P243)</f>
        <v/>
      </c>
      <c r="AA242" s="29" t="str">
        <f>IF('12 - Device_Configuration'!Q243="","",'12 - Device_Configuration'!Q243)</f>
        <v/>
      </c>
    </row>
    <row r="243" spans="1:27">
      <c r="A243" s="30"/>
      <c r="B243" s="30"/>
      <c r="C243" s="29" t="str">
        <f>IF('12 - Device_Configuration'!H244="","",'12 - Device_Configuration'!H244)</f>
        <v/>
      </c>
      <c r="D243" s="29" t="str">
        <f>IF('12 - Device_Configuration'!AE244="","",'12 - Device_Configuration'!AE244)</f>
        <v/>
      </c>
      <c r="E243" s="29" t="str">
        <f>IF('12 - Device_Configuration'!AF244="","",'12 - Device_Configuration'!AF244)</f>
        <v/>
      </c>
      <c r="F243" s="29" t="str">
        <f>IF('12 - Device_Configuration'!AG244="","",'12 - Device_Configuration'!AG244)</f>
        <v/>
      </c>
      <c r="G243" s="29" t="str">
        <f>IF('12 - Device_Configuration'!AH244="","",'12 - Device_Configuration'!AH244)</f>
        <v/>
      </c>
      <c r="H243" s="29" t="str">
        <f>IF('12 - Device_Configuration'!A244="","",'12 - Device_Configuration'!A244)</f>
        <v/>
      </c>
      <c r="I243" s="29" t="str">
        <f>IF('12 - Device_Configuration'!AI244="","",'12 - Device_Configuration'!AI244)</f>
        <v/>
      </c>
      <c r="J243" s="29" t="str">
        <f>IF('12 - Device_Configuration'!AJ244="","",'12 - Device_Configuration'!AJ244)</f>
        <v/>
      </c>
      <c r="K243" s="29" t="str">
        <f>IF('12 - Device_Configuration'!AA244="","",'12 - Device_Configuration'!AA244)</f>
        <v/>
      </c>
      <c r="L243" s="29" t="str">
        <f>IF('12 - Device_Configuration'!I244="","",'12 - Device_Configuration'!I244)</f>
        <v/>
      </c>
      <c r="M243" s="30"/>
      <c r="N243" s="29" t="str">
        <f>IF('12 - Device_Configuration'!J244="","",'12 - Device_Configuration'!J244)</f>
        <v/>
      </c>
      <c r="O243" s="29" t="str">
        <f>IF('12 - Device_Configuration'!K244="","",'12 - Device_Configuration'!K244)</f>
        <v/>
      </c>
      <c r="P243" s="29" t="str">
        <f>IF('12 - Device_Configuration'!L244="","",'12 - Device_Configuration'!L244)</f>
        <v/>
      </c>
      <c r="Q243" s="30"/>
      <c r="R243" s="29" t="str">
        <f>IF('12 - Device_Configuration'!AY244="","",'12 - Device_Configuration'!AY244)</f>
        <v/>
      </c>
      <c r="S243" s="29" t="str">
        <f>IF('12 - Device_Configuration'!AX244="","",'12 - Device_Configuration'!AX244)</f>
        <v/>
      </c>
      <c r="T243" s="29" t="str">
        <f>IF('12 - Device_Configuration'!AV244="","",'12 - Device_Configuration'!AV244)</f>
        <v/>
      </c>
      <c r="U243" s="29" t="str">
        <f>IF('12 - Device_Configuration'!AW244="","",'12 - Device_Configuration'!AW244)</f>
        <v/>
      </c>
      <c r="V243" s="29" t="str">
        <f>IF('12 - Device_Configuration'!BA244="","",'12 - Device_Configuration'!BA244)</f>
        <v/>
      </c>
      <c r="W243" s="29" t="str">
        <f>IF('12 - Device_Configuration'!BC244="","",'12 - Device_Configuration'!BC244)</f>
        <v/>
      </c>
      <c r="X243" s="29" t="str">
        <f>IF('12 - Device_Configuration'!BK244="","",'12 - Device_Configuration'!BK244)</f>
        <v/>
      </c>
      <c r="Y243" s="29" t="str">
        <f>IF('12 - Device_Configuration'!BB244="","",'12 - Device_Configuration'!BB244)</f>
        <v/>
      </c>
      <c r="Z243" s="29" t="str">
        <f>IF('12 - Device_Configuration'!P244="","",'12 - Device_Configuration'!P244)</f>
        <v/>
      </c>
      <c r="AA243" s="29" t="str">
        <f>IF('12 - Device_Configuration'!Q244="","",'12 - Device_Configuration'!Q244)</f>
        <v/>
      </c>
    </row>
    <row r="244" spans="1:27">
      <c r="A244" s="30"/>
      <c r="B244" s="30"/>
      <c r="C244" s="29" t="str">
        <f>IF('12 - Device_Configuration'!H245="","",'12 - Device_Configuration'!H245)</f>
        <v/>
      </c>
      <c r="D244" s="29" t="str">
        <f>IF('12 - Device_Configuration'!AE245="","",'12 - Device_Configuration'!AE245)</f>
        <v/>
      </c>
      <c r="E244" s="29" t="str">
        <f>IF('12 - Device_Configuration'!AF245="","",'12 - Device_Configuration'!AF245)</f>
        <v/>
      </c>
      <c r="F244" s="29" t="str">
        <f>IF('12 - Device_Configuration'!AG245="","",'12 - Device_Configuration'!AG245)</f>
        <v/>
      </c>
      <c r="G244" s="29" t="str">
        <f>IF('12 - Device_Configuration'!AH245="","",'12 - Device_Configuration'!AH245)</f>
        <v/>
      </c>
      <c r="H244" s="29" t="str">
        <f>IF('12 - Device_Configuration'!A245="","",'12 - Device_Configuration'!A245)</f>
        <v/>
      </c>
      <c r="I244" s="29" t="str">
        <f>IF('12 - Device_Configuration'!AI245="","",'12 - Device_Configuration'!AI245)</f>
        <v/>
      </c>
      <c r="J244" s="29" t="str">
        <f>IF('12 - Device_Configuration'!AJ245="","",'12 - Device_Configuration'!AJ245)</f>
        <v/>
      </c>
      <c r="K244" s="29" t="str">
        <f>IF('12 - Device_Configuration'!AA245="","",'12 - Device_Configuration'!AA245)</f>
        <v/>
      </c>
      <c r="L244" s="29" t="str">
        <f>IF('12 - Device_Configuration'!I245="","",'12 - Device_Configuration'!I245)</f>
        <v/>
      </c>
      <c r="M244" s="30"/>
      <c r="N244" s="29" t="str">
        <f>IF('12 - Device_Configuration'!J245="","",'12 - Device_Configuration'!J245)</f>
        <v/>
      </c>
      <c r="O244" s="29" t="str">
        <f>IF('12 - Device_Configuration'!K245="","",'12 - Device_Configuration'!K245)</f>
        <v/>
      </c>
      <c r="P244" s="29" t="str">
        <f>IF('12 - Device_Configuration'!L245="","",'12 - Device_Configuration'!L245)</f>
        <v/>
      </c>
      <c r="Q244" s="30"/>
      <c r="R244" s="29" t="str">
        <f>IF('12 - Device_Configuration'!AY245="","",'12 - Device_Configuration'!AY245)</f>
        <v/>
      </c>
      <c r="S244" s="29" t="str">
        <f>IF('12 - Device_Configuration'!AX245="","",'12 - Device_Configuration'!AX245)</f>
        <v/>
      </c>
      <c r="T244" s="29" t="str">
        <f>IF('12 - Device_Configuration'!AV245="","",'12 - Device_Configuration'!AV245)</f>
        <v/>
      </c>
      <c r="U244" s="29" t="str">
        <f>IF('12 - Device_Configuration'!AW245="","",'12 - Device_Configuration'!AW245)</f>
        <v/>
      </c>
      <c r="V244" s="29" t="str">
        <f>IF('12 - Device_Configuration'!BA245="","",'12 - Device_Configuration'!BA245)</f>
        <v/>
      </c>
      <c r="W244" s="29" t="str">
        <f>IF('12 - Device_Configuration'!BC245="","",'12 - Device_Configuration'!BC245)</f>
        <v/>
      </c>
      <c r="X244" s="29" t="str">
        <f>IF('12 - Device_Configuration'!BK245="","",'12 - Device_Configuration'!BK245)</f>
        <v/>
      </c>
      <c r="Y244" s="29" t="str">
        <f>IF('12 - Device_Configuration'!BB245="","",'12 - Device_Configuration'!BB245)</f>
        <v/>
      </c>
      <c r="Z244" s="29" t="str">
        <f>IF('12 - Device_Configuration'!P245="","",'12 - Device_Configuration'!P245)</f>
        <v/>
      </c>
      <c r="AA244" s="29" t="str">
        <f>IF('12 - Device_Configuration'!Q245="","",'12 - Device_Configuration'!Q245)</f>
        <v/>
      </c>
    </row>
    <row r="245" spans="1:27">
      <c r="A245" s="30"/>
      <c r="B245" s="30"/>
      <c r="C245" s="29" t="str">
        <f>IF('12 - Device_Configuration'!H246="","",'12 - Device_Configuration'!H246)</f>
        <v/>
      </c>
      <c r="D245" s="29" t="str">
        <f>IF('12 - Device_Configuration'!AE246="","",'12 - Device_Configuration'!AE246)</f>
        <v/>
      </c>
      <c r="E245" s="29" t="str">
        <f>IF('12 - Device_Configuration'!AF246="","",'12 - Device_Configuration'!AF246)</f>
        <v/>
      </c>
      <c r="F245" s="29" t="str">
        <f>IF('12 - Device_Configuration'!AG246="","",'12 - Device_Configuration'!AG246)</f>
        <v/>
      </c>
      <c r="G245" s="29" t="str">
        <f>IF('12 - Device_Configuration'!AH246="","",'12 - Device_Configuration'!AH246)</f>
        <v/>
      </c>
      <c r="H245" s="29" t="str">
        <f>IF('12 - Device_Configuration'!A246="","",'12 - Device_Configuration'!A246)</f>
        <v/>
      </c>
      <c r="I245" s="29" t="str">
        <f>IF('12 - Device_Configuration'!AI246="","",'12 - Device_Configuration'!AI246)</f>
        <v/>
      </c>
      <c r="J245" s="29" t="str">
        <f>IF('12 - Device_Configuration'!AJ246="","",'12 - Device_Configuration'!AJ246)</f>
        <v/>
      </c>
      <c r="K245" s="29" t="str">
        <f>IF('12 - Device_Configuration'!AA246="","",'12 - Device_Configuration'!AA246)</f>
        <v/>
      </c>
      <c r="L245" s="29" t="str">
        <f>IF('12 - Device_Configuration'!I246="","",'12 - Device_Configuration'!I246)</f>
        <v/>
      </c>
      <c r="M245" s="30"/>
      <c r="N245" s="29" t="str">
        <f>IF('12 - Device_Configuration'!J246="","",'12 - Device_Configuration'!J246)</f>
        <v/>
      </c>
      <c r="O245" s="29" t="str">
        <f>IF('12 - Device_Configuration'!K246="","",'12 - Device_Configuration'!K246)</f>
        <v/>
      </c>
      <c r="P245" s="29" t="str">
        <f>IF('12 - Device_Configuration'!L246="","",'12 - Device_Configuration'!L246)</f>
        <v/>
      </c>
      <c r="Q245" s="30"/>
      <c r="R245" s="29" t="str">
        <f>IF('12 - Device_Configuration'!AY246="","",'12 - Device_Configuration'!AY246)</f>
        <v/>
      </c>
      <c r="S245" s="29" t="str">
        <f>IF('12 - Device_Configuration'!AX246="","",'12 - Device_Configuration'!AX246)</f>
        <v/>
      </c>
      <c r="T245" s="29" t="str">
        <f>IF('12 - Device_Configuration'!AV246="","",'12 - Device_Configuration'!AV246)</f>
        <v/>
      </c>
      <c r="U245" s="29" t="str">
        <f>IF('12 - Device_Configuration'!AW246="","",'12 - Device_Configuration'!AW246)</f>
        <v/>
      </c>
      <c r="V245" s="29" t="str">
        <f>IF('12 - Device_Configuration'!BA246="","",'12 - Device_Configuration'!BA246)</f>
        <v/>
      </c>
      <c r="W245" s="29" t="str">
        <f>IF('12 - Device_Configuration'!BC246="","",'12 - Device_Configuration'!BC246)</f>
        <v/>
      </c>
      <c r="X245" s="29" t="str">
        <f>IF('12 - Device_Configuration'!BK246="","",'12 - Device_Configuration'!BK246)</f>
        <v/>
      </c>
      <c r="Y245" s="29" t="str">
        <f>IF('12 - Device_Configuration'!BB246="","",'12 - Device_Configuration'!BB246)</f>
        <v/>
      </c>
      <c r="Z245" s="29" t="str">
        <f>IF('12 - Device_Configuration'!P246="","",'12 - Device_Configuration'!P246)</f>
        <v/>
      </c>
      <c r="AA245" s="29" t="str">
        <f>IF('12 - Device_Configuration'!Q246="","",'12 - Device_Configuration'!Q246)</f>
        <v/>
      </c>
    </row>
    <row r="246" spans="1:27">
      <c r="A246" s="30"/>
      <c r="B246" s="30"/>
      <c r="C246" s="29" t="str">
        <f>IF('12 - Device_Configuration'!H247="","",'12 - Device_Configuration'!H247)</f>
        <v/>
      </c>
      <c r="D246" s="29" t="str">
        <f>IF('12 - Device_Configuration'!AE247="","",'12 - Device_Configuration'!AE247)</f>
        <v/>
      </c>
      <c r="E246" s="29" t="str">
        <f>IF('12 - Device_Configuration'!AF247="","",'12 - Device_Configuration'!AF247)</f>
        <v/>
      </c>
      <c r="F246" s="29" t="str">
        <f>IF('12 - Device_Configuration'!AG247="","",'12 - Device_Configuration'!AG247)</f>
        <v/>
      </c>
      <c r="G246" s="29" t="str">
        <f>IF('12 - Device_Configuration'!AH247="","",'12 - Device_Configuration'!AH247)</f>
        <v/>
      </c>
      <c r="H246" s="29" t="str">
        <f>IF('12 - Device_Configuration'!A247="","",'12 - Device_Configuration'!A247)</f>
        <v/>
      </c>
      <c r="I246" s="29" t="str">
        <f>IF('12 - Device_Configuration'!AI247="","",'12 - Device_Configuration'!AI247)</f>
        <v/>
      </c>
      <c r="J246" s="29" t="str">
        <f>IF('12 - Device_Configuration'!AJ247="","",'12 - Device_Configuration'!AJ247)</f>
        <v/>
      </c>
      <c r="K246" s="29" t="str">
        <f>IF('12 - Device_Configuration'!AA247="","",'12 - Device_Configuration'!AA247)</f>
        <v/>
      </c>
      <c r="L246" s="29" t="str">
        <f>IF('12 - Device_Configuration'!I247="","",'12 - Device_Configuration'!I247)</f>
        <v/>
      </c>
      <c r="M246" s="30"/>
      <c r="N246" s="29" t="str">
        <f>IF('12 - Device_Configuration'!J247="","",'12 - Device_Configuration'!J247)</f>
        <v/>
      </c>
      <c r="O246" s="29" t="str">
        <f>IF('12 - Device_Configuration'!K247="","",'12 - Device_Configuration'!K247)</f>
        <v/>
      </c>
      <c r="P246" s="29" t="str">
        <f>IF('12 - Device_Configuration'!L247="","",'12 - Device_Configuration'!L247)</f>
        <v/>
      </c>
      <c r="Q246" s="30"/>
      <c r="R246" s="29" t="str">
        <f>IF('12 - Device_Configuration'!AY247="","",'12 - Device_Configuration'!AY247)</f>
        <v/>
      </c>
      <c r="S246" s="29" t="str">
        <f>IF('12 - Device_Configuration'!AX247="","",'12 - Device_Configuration'!AX247)</f>
        <v/>
      </c>
      <c r="T246" s="29" t="str">
        <f>IF('12 - Device_Configuration'!AV247="","",'12 - Device_Configuration'!AV247)</f>
        <v/>
      </c>
      <c r="U246" s="29" t="str">
        <f>IF('12 - Device_Configuration'!AW247="","",'12 - Device_Configuration'!AW247)</f>
        <v/>
      </c>
      <c r="V246" s="29" t="str">
        <f>IF('12 - Device_Configuration'!BA247="","",'12 - Device_Configuration'!BA247)</f>
        <v/>
      </c>
      <c r="W246" s="29" t="str">
        <f>IF('12 - Device_Configuration'!BC247="","",'12 - Device_Configuration'!BC247)</f>
        <v/>
      </c>
      <c r="X246" s="29" t="str">
        <f>IF('12 - Device_Configuration'!BK247="","",'12 - Device_Configuration'!BK247)</f>
        <v/>
      </c>
      <c r="Y246" s="29" t="str">
        <f>IF('12 - Device_Configuration'!BB247="","",'12 - Device_Configuration'!BB247)</f>
        <v/>
      </c>
      <c r="Z246" s="29" t="str">
        <f>IF('12 - Device_Configuration'!P247="","",'12 - Device_Configuration'!P247)</f>
        <v/>
      </c>
      <c r="AA246" s="29" t="str">
        <f>IF('12 - Device_Configuration'!Q247="","",'12 - Device_Configuration'!Q247)</f>
        <v/>
      </c>
    </row>
    <row r="247" spans="1:27">
      <c r="A247" s="30"/>
      <c r="B247" s="30"/>
      <c r="C247" s="29" t="str">
        <f>IF('12 - Device_Configuration'!H248="","",'12 - Device_Configuration'!H248)</f>
        <v/>
      </c>
      <c r="D247" s="29" t="str">
        <f>IF('12 - Device_Configuration'!AE248="","",'12 - Device_Configuration'!AE248)</f>
        <v/>
      </c>
      <c r="E247" s="29" t="str">
        <f>IF('12 - Device_Configuration'!AF248="","",'12 - Device_Configuration'!AF248)</f>
        <v/>
      </c>
      <c r="F247" s="29" t="str">
        <f>IF('12 - Device_Configuration'!AG248="","",'12 - Device_Configuration'!AG248)</f>
        <v/>
      </c>
      <c r="G247" s="29" t="str">
        <f>IF('12 - Device_Configuration'!AH248="","",'12 - Device_Configuration'!AH248)</f>
        <v/>
      </c>
      <c r="H247" s="29" t="str">
        <f>IF('12 - Device_Configuration'!A248="","",'12 - Device_Configuration'!A248)</f>
        <v/>
      </c>
      <c r="I247" s="29" t="str">
        <f>IF('12 - Device_Configuration'!AI248="","",'12 - Device_Configuration'!AI248)</f>
        <v/>
      </c>
      <c r="J247" s="29" t="str">
        <f>IF('12 - Device_Configuration'!AJ248="","",'12 - Device_Configuration'!AJ248)</f>
        <v/>
      </c>
      <c r="K247" s="29" t="str">
        <f>IF('12 - Device_Configuration'!AA248="","",'12 - Device_Configuration'!AA248)</f>
        <v/>
      </c>
      <c r="L247" s="29" t="str">
        <f>IF('12 - Device_Configuration'!I248="","",'12 - Device_Configuration'!I248)</f>
        <v/>
      </c>
      <c r="M247" s="30"/>
      <c r="N247" s="29" t="str">
        <f>IF('12 - Device_Configuration'!J248="","",'12 - Device_Configuration'!J248)</f>
        <v/>
      </c>
      <c r="O247" s="29" t="str">
        <f>IF('12 - Device_Configuration'!K248="","",'12 - Device_Configuration'!K248)</f>
        <v/>
      </c>
      <c r="P247" s="29" t="str">
        <f>IF('12 - Device_Configuration'!L248="","",'12 - Device_Configuration'!L248)</f>
        <v/>
      </c>
      <c r="Q247" s="30"/>
      <c r="R247" s="29" t="str">
        <f>IF('12 - Device_Configuration'!AY248="","",'12 - Device_Configuration'!AY248)</f>
        <v/>
      </c>
      <c r="S247" s="29" t="str">
        <f>IF('12 - Device_Configuration'!AX248="","",'12 - Device_Configuration'!AX248)</f>
        <v/>
      </c>
      <c r="T247" s="29" t="str">
        <f>IF('12 - Device_Configuration'!AV248="","",'12 - Device_Configuration'!AV248)</f>
        <v/>
      </c>
      <c r="U247" s="29" t="str">
        <f>IF('12 - Device_Configuration'!AW248="","",'12 - Device_Configuration'!AW248)</f>
        <v/>
      </c>
      <c r="V247" s="29" t="str">
        <f>IF('12 - Device_Configuration'!BA248="","",'12 - Device_Configuration'!BA248)</f>
        <v/>
      </c>
      <c r="W247" s="29" t="str">
        <f>IF('12 - Device_Configuration'!BC248="","",'12 - Device_Configuration'!BC248)</f>
        <v/>
      </c>
      <c r="X247" s="29" t="str">
        <f>IF('12 - Device_Configuration'!BK248="","",'12 - Device_Configuration'!BK248)</f>
        <v/>
      </c>
      <c r="Y247" s="29" t="str">
        <f>IF('12 - Device_Configuration'!BB248="","",'12 - Device_Configuration'!BB248)</f>
        <v/>
      </c>
      <c r="Z247" s="29" t="str">
        <f>IF('12 - Device_Configuration'!P248="","",'12 - Device_Configuration'!P248)</f>
        <v/>
      </c>
      <c r="AA247" s="29" t="str">
        <f>IF('12 - Device_Configuration'!Q248="","",'12 - Device_Configuration'!Q248)</f>
        <v/>
      </c>
    </row>
    <row r="248" spans="1:27">
      <c r="A248" s="30"/>
      <c r="B248" s="30"/>
      <c r="C248" s="29" t="str">
        <f>IF('12 - Device_Configuration'!H249="","",'12 - Device_Configuration'!H249)</f>
        <v/>
      </c>
      <c r="D248" s="29" t="str">
        <f>IF('12 - Device_Configuration'!AE249="","",'12 - Device_Configuration'!AE249)</f>
        <v/>
      </c>
      <c r="E248" s="29" t="str">
        <f>IF('12 - Device_Configuration'!AF249="","",'12 - Device_Configuration'!AF249)</f>
        <v/>
      </c>
      <c r="F248" s="29" t="str">
        <f>IF('12 - Device_Configuration'!AG249="","",'12 - Device_Configuration'!AG249)</f>
        <v/>
      </c>
      <c r="G248" s="29" t="str">
        <f>IF('12 - Device_Configuration'!AH249="","",'12 - Device_Configuration'!AH249)</f>
        <v/>
      </c>
      <c r="H248" s="29" t="str">
        <f>IF('12 - Device_Configuration'!A249="","",'12 - Device_Configuration'!A249)</f>
        <v/>
      </c>
      <c r="I248" s="29" t="str">
        <f>IF('12 - Device_Configuration'!AI249="","",'12 - Device_Configuration'!AI249)</f>
        <v/>
      </c>
      <c r="J248" s="29" t="str">
        <f>IF('12 - Device_Configuration'!AJ249="","",'12 - Device_Configuration'!AJ249)</f>
        <v/>
      </c>
      <c r="K248" s="29" t="str">
        <f>IF('12 - Device_Configuration'!AA249="","",'12 - Device_Configuration'!AA249)</f>
        <v/>
      </c>
      <c r="L248" s="29" t="str">
        <f>IF('12 - Device_Configuration'!I249="","",'12 - Device_Configuration'!I249)</f>
        <v/>
      </c>
      <c r="M248" s="30"/>
      <c r="N248" s="29" t="str">
        <f>IF('12 - Device_Configuration'!J249="","",'12 - Device_Configuration'!J249)</f>
        <v/>
      </c>
      <c r="O248" s="29" t="str">
        <f>IF('12 - Device_Configuration'!K249="","",'12 - Device_Configuration'!K249)</f>
        <v/>
      </c>
      <c r="P248" s="29" t="str">
        <f>IF('12 - Device_Configuration'!L249="","",'12 - Device_Configuration'!L249)</f>
        <v/>
      </c>
      <c r="Q248" s="30"/>
      <c r="R248" s="29" t="str">
        <f>IF('12 - Device_Configuration'!AY249="","",'12 - Device_Configuration'!AY249)</f>
        <v/>
      </c>
      <c r="S248" s="29" t="str">
        <f>IF('12 - Device_Configuration'!AX249="","",'12 - Device_Configuration'!AX249)</f>
        <v/>
      </c>
      <c r="T248" s="29" t="str">
        <f>IF('12 - Device_Configuration'!AV249="","",'12 - Device_Configuration'!AV249)</f>
        <v/>
      </c>
      <c r="U248" s="29" t="str">
        <f>IF('12 - Device_Configuration'!AW249="","",'12 - Device_Configuration'!AW249)</f>
        <v/>
      </c>
      <c r="V248" s="29" t="str">
        <f>IF('12 - Device_Configuration'!BA249="","",'12 - Device_Configuration'!BA249)</f>
        <v/>
      </c>
      <c r="W248" s="29" t="str">
        <f>IF('12 - Device_Configuration'!BC249="","",'12 - Device_Configuration'!BC249)</f>
        <v/>
      </c>
      <c r="X248" s="29" t="str">
        <f>IF('12 - Device_Configuration'!BK249="","",'12 - Device_Configuration'!BK249)</f>
        <v/>
      </c>
      <c r="Y248" s="29" t="str">
        <f>IF('12 - Device_Configuration'!BB249="","",'12 - Device_Configuration'!BB249)</f>
        <v/>
      </c>
      <c r="Z248" s="29" t="str">
        <f>IF('12 - Device_Configuration'!P249="","",'12 - Device_Configuration'!P249)</f>
        <v/>
      </c>
      <c r="AA248" s="29" t="str">
        <f>IF('12 - Device_Configuration'!Q249="","",'12 - Device_Configuration'!Q249)</f>
        <v/>
      </c>
    </row>
    <row r="249" spans="1:27">
      <c r="A249" s="30"/>
      <c r="B249" s="30"/>
      <c r="C249" s="29" t="str">
        <f>IF('12 - Device_Configuration'!H250="","",'12 - Device_Configuration'!H250)</f>
        <v/>
      </c>
      <c r="D249" s="29" t="str">
        <f>IF('12 - Device_Configuration'!AE250="","",'12 - Device_Configuration'!AE250)</f>
        <v/>
      </c>
      <c r="E249" s="29" t="str">
        <f>IF('12 - Device_Configuration'!AF250="","",'12 - Device_Configuration'!AF250)</f>
        <v/>
      </c>
      <c r="F249" s="29" t="str">
        <f>IF('12 - Device_Configuration'!AG250="","",'12 - Device_Configuration'!AG250)</f>
        <v/>
      </c>
      <c r="G249" s="29" t="str">
        <f>IF('12 - Device_Configuration'!AH250="","",'12 - Device_Configuration'!AH250)</f>
        <v/>
      </c>
      <c r="H249" s="29" t="str">
        <f>IF('12 - Device_Configuration'!A250="","",'12 - Device_Configuration'!A250)</f>
        <v/>
      </c>
      <c r="I249" s="29" t="str">
        <f>IF('12 - Device_Configuration'!AI250="","",'12 - Device_Configuration'!AI250)</f>
        <v/>
      </c>
      <c r="J249" s="29" t="str">
        <f>IF('12 - Device_Configuration'!AJ250="","",'12 - Device_Configuration'!AJ250)</f>
        <v/>
      </c>
      <c r="K249" s="29" t="str">
        <f>IF('12 - Device_Configuration'!AA250="","",'12 - Device_Configuration'!AA250)</f>
        <v/>
      </c>
      <c r="L249" s="29" t="str">
        <f>IF('12 - Device_Configuration'!I250="","",'12 - Device_Configuration'!I250)</f>
        <v/>
      </c>
      <c r="M249" s="30"/>
      <c r="N249" s="29" t="str">
        <f>IF('12 - Device_Configuration'!J250="","",'12 - Device_Configuration'!J250)</f>
        <v/>
      </c>
      <c r="O249" s="29" t="str">
        <f>IF('12 - Device_Configuration'!K250="","",'12 - Device_Configuration'!K250)</f>
        <v/>
      </c>
      <c r="P249" s="29" t="str">
        <f>IF('12 - Device_Configuration'!L250="","",'12 - Device_Configuration'!L250)</f>
        <v/>
      </c>
      <c r="Q249" s="30"/>
      <c r="R249" s="29" t="str">
        <f>IF('12 - Device_Configuration'!AY250="","",'12 - Device_Configuration'!AY250)</f>
        <v/>
      </c>
      <c r="S249" s="29" t="str">
        <f>IF('12 - Device_Configuration'!AX250="","",'12 - Device_Configuration'!AX250)</f>
        <v/>
      </c>
      <c r="T249" s="29" t="str">
        <f>IF('12 - Device_Configuration'!AV250="","",'12 - Device_Configuration'!AV250)</f>
        <v/>
      </c>
      <c r="U249" s="29" t="str">
        <f>IF('12 - Device_Configuration'!AW250="","",'12 - Device_Configuration'!AW250)</f>
        <v/>
      </c>
      <c r="V249" s="29" t="str">
        <f>IF('12 - Device_Configuration'!BA250="","",'12 - Device_Configuration'!BA250)</f>
        <v/>
      </c>
      <c r="W249" s="29" t="str">
        <f>IF('12 - Device_Configuration'!BC250="","",'12 - Device_Configuration'!BC250)</f>
        <v/>
      </c>
      <c r="X249" s="29" t="str">
        <f>IF('12 - Device_Configuration'!BK250="","",'12 - Device_Configuration'!BK250)</f>
        <v/>
      </c>
      <c r="Y249" s="29" t="str">
        <f>IF('12 - Device_Configuration'!BB250="","",'12 - Device_Configuration'!BB250)</f>
        <v/>
      </c>
      <c r="Z249" s="29" t="str">
        <f>IF('12 - Device_Configuration'!P250="","",'12 - Device_Configuration'!P250)</f>
        <v/>
      </c>
      <c r="AA249" s="29" t="str">
        <f>IF('12 - Device_Configuration'!Q250="","",'12 - Device_Configuration'!Q250)</f>
        <v/>
      </c>
    </row>
    <row r="250" spans="1:27">
      <c r="A250" s="30"/>
      <c r="B250" s="30"/>
      <c r="C250" s="29" t="str">
        <f>IF('12 - Device_Configuration'!H251="","",'12 - Device_Configuration'!H251)</f>
        <v/>
      </c>
      <c r="D250" s="29" t="str">
        <f>IF('12 - Device_Configuration'!AE251="","",'12 - Device_Configuration'!AE251)</f>
        <v/>
      </c>
      <c r="E250" s="29" t="str">
        <f>IF('12 - Device_Configuration'!AF251="","",'12 - Device_Configuration'!AF251)</f>
        <v/>
      </c>
      <c r="F250" s="29" t="str">
        <f>IF('12 - Device_Configuration'!AG251="","",'12 - Device_Configuration'!AG251)</f>
        <v/>
      </c>
      <c r="G250" s="29" t="str">
        <f>IF('12 - Device_Configuration'!AH251="","",'12 - Device_Configuration'!AH251)</f>
        <v/>
      </c>
      <c r="H250" s="29" t="str">
        <f>IF('12 - Device_Configuration'!A251="","",'12 - Device_Configuration'!A251)</f>
        <v/>
      </c>
      <c r="I250" s="29" t="str">
        <f>IF('12 - Device_Configuration'!AI251="","",'12 - Device_Configuration'!AI251)</f>
        <v/>
      </c>
      <c r="J250" s="29" t="str">
        <f>IF('12 - Device_Configuration'!AJ251="","",'12 - Device_Configuration'!AJ251)</f>
        <v/>
      </c>
      <c r="K250" s="29" t="str">
        <f>IF('12 - Device_Configuration'!AA251="","",'12 - Device_Configuration'!AA251)</f>
        <v/>
      </c>
      <c r="L250" s="29" t="str">
        <f>IF('12 - Device_Configuration'!I251="","",'12 - Device_Configuration'!I251)</f>
        <v/>
      </c>
      <c r="M250" s="30"/>
      <c r="N250" s="29" t="str">
        <f>IF('12 - Device_Configuration'!J251="","",'12 - Device_Configuration'!J251)</f>
        <v/>
      </c>
      <c r="O250" s="29" t="str">
        <f>IF('12 - Device_Configuration'!K251="","",'12 - Device_Configuration'!K251)</f>
        <v/>
      </c>
      <c r="P250" s="29" t="str">
        <f>IF('12 - Device_Configuration'!L251="","",'12 - Device_Configuration'!L251)</f>
        <v/>
      </c>
      <c r="Q250" s="30"/>
      <c r="R250" s="29" t="str">
        <f>IF('12 - Device_Configuration'!AY251="","",'12 - Device_Configuration'!AY251)</f>
        <v/>
      </c>
      <c r="S250" s="29" t="str">
        <f>IF('12 - Device_Configuration'!AX251="","",'12 - Device_Configuration'!AX251)</f>
        <v/>
      </c>
      <c r="T250" s="29" t="str">
        <f>IF('12 - Device_Configuration'!AV251="","",'12 - Device_Configuration'!AV251)</f>
        <v/>
      </c>
      <c r="U250" s="29" t="str">
        <f>IF('12 - Device_Configuration'!AW251="","",'12 - Device_Configuration'!AW251)</f>
        <v/>
      </c>
      <c r="V250" s="29" t="str">
        <f>IF('12 - Device_Configuration'!BA251="","",'12 - Device_Configuration'!BA251)</f>
        <v/>
      </c>
      <c r="W250" s="29" t="str">
        <f>IF('12 - Device_Configuration'!BC251="","",'12 - Device_Configuration'!BC251)</f>
        <v/>
      </c>
      <c r="X250" s="29" t="str">
        <f>IF('12 - Device_Configuration'!BK251="","",'12 - Device_Configuration'!BK251)</f>
        <v/>
      </c>
      <c r="Y250" s="29" t="str">
        <f>IF('12 - Device_Configuration'!BB251="","",'12 - Device_Configuration'!BB251)</f>
        <v/>
      </c>
      <c r="Z250" s="29" t="str">
        <f>IF('12 - Device_Configuration'!P251="","",'12 - Device_Configuration'!P251)</f>
        <v/>
      </c>
      <c r="AA250" s="29" t="str">
        <f>IF('12 - Device_Configuration'!Q251="","",'12 - Device_Configuration'!Q251)</f>
        <v/>
      </c>
    </row>
    <row r="251" spans="1:27">
      <c r="A251" s="30"/>
      <c r="B251" s="30"/>
      <c r="C251" s="29" t="str">
        <f>IF('12 - Device_Configuration'!H252="","",'12 - Device_Configuration'!H252)</f>
        <v/>
      </c>
      <c r="D251" s="29" t="str">
        <f>IF('12 - Device_Configuration'!AE252="","",'12 - Device_Configuration'!AE252)</f>
        <v/>
      </c>
      <c r="E251" s="29" t="str">
        <f>IF('12 - Device_Configuration'!AF252="","",'12 - Device_Configuration'!AF252)</f>
        <v/>
      </c>
      <c r="F251" s="29" t="str">
        <f>IF('12 - Device_Configuration'!AG252="","",'12 - Device_Configuration'!AG252)</f>
        <v/>
      </c>
      <c r="G251" s="29" t="str">
        <f>IF('12 - Device_Configuration'!AH252="","",'12 - Device_Configuration'!AH252)</f>
        <v/>
      </c>
      <c r="H251" s="29" t="str">
        <f>IF('12 - Device_Configuration'!A252="","",'12 - Device_Configuration'!A252)</f>
        <v/>
      </c>
      <c r="I251" s="29" t="str">
        <f>IF('12 - Device_Configuration'!AI252="","",'12 - Device_Configuration'!AI252)</f>
        <v/>
      </c>
      <c r="J251" s="29" t="str">
        <f>IF('12 - Device_Configuration'!AJ252="","",'12 - Device_Configuration'!AJ252)</f>
        <v/>
      </c>
      <c r="K251" s="29" t="str">
        <f>IF('12 - Device_Configuration'!AA252="","",'12 - Device_Configuration'!AA252)</f>
        <v/>
      </c>
      <c r="L251" s="29" t="str">
        <f>IF('12 - Device_Configuration'!I252="","",'12 - Device_Configuration'!I252)</f>
        <v/>
      </c>
      <c r="M251" s="30"/>
      <c r="N251" s="29" t="str">
        <f>IF('12 - Device_Configuration'!J252="","",'12 - Device_Configuration'!J252)</f>
        <v/>
      </c>
      <c r="O251" s="29" t="str">
        <f>IF('12 - Device_Configuration'!K252="","",'12 - Device_Configuration'!K252)</f>
        <v/>
      </c>
      <c r="P251" s="29" t="str">
        <f>IF('12 - Device_Configuration'!L252="","",'12 - Device_Configuration'!L252)</f>
        <v/>
      </c>
      <c r="Q251" s="30"/>
      <c r="R251" s="29" t="str">
        <f>IF('12 - Device_Configuration'!AY252="","",'12 - Device_Configuration'!AY252)</f>
        <v/>
      </c>
      <c r="S251" s="29" t="str">
        <f>IF('12 - Device_Configuration'!AX252="","",'12 - Device_Configuration'!AX252)</f>
        <v/>
      </c>
      <c r="T251" s="29" t="str">
        <f>IF('12 - Device_Configuration'!AV252="","",'12 - Device_Configuration'!AV252)</f>
        <v/>
      </c>
      <c r="U251" s="29" t="str">
        <f>IF('12 - Device_Configuration'!AW252="","",'12 - Device_Configuration'!AW252)</f>
        <v/>
      </c>
      <c r="V251" s="29" t="str">
        <f>IF('12 - Device_Configuration'!BA252="","",'12 - Device_Configuration'!BA252)</f>
        <v/>
      </c>
      <c r="W251" s="29" t="str">
        <f>IF('12 - Device_Configuration'!BC252="","",'12 - Device_Configuration'!BC252)</f>
        <v/>
      </c>
      <c r="X251" s="29" t="str">
        <f>IF('12 - Device_Configuration'!BK252="","",'12 - Device_Configuration'!BK252)</f>
        <v/>
      </c>
      <c r="Y251" s="29" t="str">
        <f>IF('12 - Device_Configuration'!BB252="","",'12 - Device_Configuration'!BB252)</f>
        <v/>
      </c>
      <c r="Z251" s="29" t="str">
        <f>IF('12 - Device_Configuration'!P252="","",'12 - Device_Configuration'!P252)</f>
        <v/>
      </c>
      <c r="AA251" s="29" t="str">
        <f>IF('12 - Device_Configuration'!Q252="","",'12 - Device_Configuration'!Q252)</f>
        <v/>
      </c>
    </row>
    <row r="252" spans="1:27">
      <c r="A252" s="30"/>
      <c r="B252" s="30"/>
      <c r="C252" s="29" t="str">
        <f>IF('12 - Device_Configuration'!H253="","",'12 - Device_Configuration'!H253)</f>
        <v/>
      </c>
      <c r="D252" s="29" t="str">
        <f>IF('12 - Device_Configuration'!AE253="","",'12 - Device_Configuration'!AE253)</f>
        <v/>
      </c>
      <c r="E252" s="29" t="str">
        <f>IF('12 - Device_Configuration'!AF253="","",'12 - Device_Configuration'!AF253)</f>
        <v/>
      </c>
      <c r="F252" s="29" t="str">
        <f>IF('12 - Device_Configuration'!AG253="","",'12 - Device_Configuration'!AG253)</f>
        <v/>
      </c>
      <c r="G252" s="29" t="str">
        <f>IF('12 - Device_Configuration'!AH253="","",'12 - Device_Configuration'!AH253)</f>
        <v/>
      </c>
      <c r="H252" s="29" t="str">
        <f>IF('12 - Device_Configuration'!A253="","",'12 - Device_Configuration'!A253)</f>
        <v/>
      </c>
      <c r="I252" s="29" t="str">
        <f>IF('12 - Device_Configuration'!AI253="","",'12 - Device_Configuration'!AI253)</f>
        <v/>
      </c>
      <c r="J252" s="29" t="str">
        <f>IF('12 - Device_Configuration'!AJ253="","",'12 - Device_Configuration'!AJ253)</f>
        <v/>
      </c>
      <c r="K252" s="29" t="str">
        <f>IF('12 - Device_Configuration'!AA253="","",'12 - Device_Configuration'!AA253)</f>
        <v/>
      </c>
      <c r="L252" s="29" t="str">
        <f>IF('12 - Device_Configuration'!I253="","",'12 - Device_Configuration'!I253)</f>
        <v/>
      </c>
      <c r="M252" s="30"/>
      <c r="N252" s="29" t="str">
        <f>IF('12 - Device_Configuration'!J253="","",'12 - Device_Configuration'!J253)</f>
        <v/>
      </c>
      <c r="O252" s="29" t="str">
        <f>IF('12 - Device_Configuration'!K253="","",'12 - Device_Configuration'!K253)</f>
        <v/>
      </c>
      <c r="P252" s="29" t="str">
        <f>IF('12 - Device_Configuration'!L253="","",'12 - Device_Configuration'!L253)</f>
        <v/>
      </c>
      <c r="Q252" s="30"/>
      <c r="R252" s="29" t="str">
        <f>IF('12 - Device_Configuration'!AY253="","",'12 - Device_Configuration'!AY253)</f>
        <v/>
      </c>
      <c r="S252" s="29" t="str">
        <f>IF('12 - Device_Configuration'!AX253="","",'12 - Device_Configuration'!AX253)</f>
        <v/>
      </c>
      <c r="T252" s="29" t="str">
        <f>IF('12 - Device_Configuration'!AV253="","",'12 - Device_Configuration'!AV253)</f>
        <v/>
      </c>
      <c r="U252" s="29" t="str">
        <f>IF('12 - Device_Configuration'!AW253="","",'12 - Device_Configuration'!AW253)</f>
        <v/>
      </c>
      <c r="V252" s="29" t="str">
        <f>IF('12 - Device_Configuration'!BA253="","",'12 - Device_Configuration'!BA253)</f>
        <v/>
      </c>
      <c r="W252" s="29" t="str">
        <f>IF('12 - Device_Configuration'!BC253="","",'12 - Device_Configuration'!BC253)</f>
        <v/>
      </c>
      <c r="X252" s="29" t="str">
        <f>IF('12 - Device_Configuration'!BK253="","",'12 - Device_Configuration'!BK253)</f>
        <v/>
      </c>
      <c r="Y252" s="29" t="str">
        <f>IF('12 - Device_Configuration'!BB253="","",'12 - Device_Configuration'!BB253)</f>
        <v/>
      </c>
      <c r="Z252" s="29" t="str">
        <f>IF('12 - Device_Configuration'!P253="","",'12 - Device_Configuration'!P253)</f>
        <v/>
      </c>
      <c r="AA252" s="29" t="str">
        <f>IF('12 - Device_Configuration'!Q253="","",'12 - Device_Configuration'!Q253)</f>
        <v/>
      </c>
    </row>
    <row r="253" spans="1:27">
      <c r="A253" s="30"/>
      <c r="B253" s="30"/>
      <c r="C253" s="29" t="str">
        <f>IF('12 - Device_Configuration'!H254="","",'12 - Device_Configuration'!H254)</f>
        <v/>
      </c>
      <c r="D253" s="29" t="str">
        <f>IF('12 - Device_Configuration'!AE254="","",'12 - Device_Configuration'!AE254)</f>
        <v/>
      </c>
      <c r="E253" s="29" t="str">
        <f>IF('12 - Device_Configuration'!AF254="","",'12 - Device_Configuration'!AF254)</f>
        <v/>
      </c>
      <c r="F253" s="29" t="str">
        <f>IF('12 - Device_Configuration'!AG254="","",'12 - Device_Configuration'!AG254)</f>
        <v/>
      </c>
      <c r="G253" s="29" t="str">
        <f>IF('12 - Device_Configuration'!AH254="","",'12 - Device_Configuration'!AH254)</f>
        <v/>
      </c>
      <c r="H253" s="29" t="str">
        <f>IF('12 - Device_Configuration'!A254="","",'12 - Device_Configuration'!A254)</f>
        <v/>
      </c>
      <c r="I253" s="29" t="str">
        <f>IF('12 - Device_Configuration'!AI254="","",'12 - Device_Configuration'!AI254)</f>
        <v/>
      </c>
      <c r="J253" s="29" t="str">
        <f>IF('12 - Device_Configuration'!AJ254="","",'12 - Device_Configuration'!AJ254)</f>
        <v/>
      </c>
      <c r="K253" s="29" t="str">
        <f>IF('12 - Device_Configuration'!AA254="","",'12 - Device_Configuration'!AA254)</f>
        <v/>
      </c>
      <c r="L253" s="29" t="str">
        <f>IF('12 - Device_Configuration'!I254="","",'12 - Device_Configuration'!I254)</f>
        <v/>
      </c>
      <c r="M253" s="30"/>
      <c r="N253" s="29" t="str">
        <f>IF('12 - Device_Configuration'!J254="","",'12 - Device_Configuration'!J254)</f>
        <v/>
      </c>
      <c r="O253" s="29" t="str">
        <f>IF('12 - Device_Configuration'!K254="","",'12 - Device_Configuration'!K254)</f>
        <v/>
      </c>
      <c r="P253" s="29" t="str">
        <f>IF('12 - Device_Configuration'!L254="","",'12 - Device_Configuration'!L254)</f>
        <v/>
      </c>
      <c r="Q253" s="30"/>
      <c r="R253" s="29" t="str">
        <f>IF('12 - Device_Configuration'!AY254="","",'12 - Device_Configuration'!AY254)</f>
        <v/>
      </c>
      <c r="S253" s="29" t="str">
        <f>IF('12 - Device_Configuration'!AX254="","",'12 - Device_Configuration'!AX254)</f>
        <v/>
      </c>
      <c r="T253" s="29" t="str">
        <f>IF('12 - Device_Configuration'!AV254="","",'12 - Device_Configuration'!AV254)</f>
        <v/>
      </c>
      <c r="U253" s="29" t="str">
        <f>IF('12 - Device_Configuration'!AW254="","",'12 - Device_Configuration'!AW254)</f>
        <v/>
      </c>
      <c r="V253" s="29" t="str">
        <f>IF('12 - Device_Configuration'!BA254="","",'12 - Device_Configuration'!BA254)</f>
        <v/>
      </c>
      <c r="W253" s="29" t="str">
        <f>IF('12 - Device_Configuration'!BC254="","",'12 - Device_Configuration'!BC254)</f>
        <v/>
      </c>
      <c r="X253" s="29" t="str">
        <f>IF('12 - Device_Configuration'!BK254="","",'12 - Device_Configuration'!BK254)</f>
        <v/>
      </c>
      <c r="Y253" s="29" t="str">
        <f>IF('12 - Device_Configuration'!BB254="","",'12 - Device_Configuration'!BB254)</f>
        <v/>
      </c>
      <c r="Z253" s="29" t="str">
        <f>IF('12 - Device_Configuration'!P254="","",'12 - Device_Configuration'!P254)</f>
        <v/>
      </c>
      <c r="AA253" s="29" t="str">
        <f>IF('12 - Device_Configuration'!Q254="","",'12 - Device_Configuration'!Q254)</f>
        <v/>
      </c>
    </row>
    <row r="254" spans="1:27">
      <c r="A254" s="30"/>
      <c r="B254" s="30"/>
      <c r="C254" s="29" t="str">
        <f>IF('12 - Device_Configuration'!H255="","",'12 - Device_Configuration'!H255)</f>
        <v/>
      </c>
      <c r="D254" s="29" t="str">
        <f>IF('12 - Device_Configuration'!AE255="","",'12 - Device_Configuration'!AE255)</f>
        <v/>
      </c>
      <c r="E254" s="29" t="str">
        <f>IF('12 - Device_Configuration'!AF255="","",'12 - Device_Configuration'!AF255)</f>
        <v/>
      </c>
      <c r="F254" s="29" t="str">
        <f>IF('12 - Device_Configuration'!AG255="","",'12 - Device_Configuration'!AG255)</f>
        <v/>
      </c>
      <c r="G254" s="29" t="str">
        <f>IF('12 - Device_Configuration'!AH255="","",'12 - Device_Configuration'!AH255)</f>
        <v/>
      </c>
      <c r="H254" s="29" t="str">
        <f>IF('12 - Device_Configuration'!A255="","",'12 - Device_Configuration'!A255)</f>
        <v/>
      </c>
      <c r="I254" s="29" t="str">
        <f>IF('12 - Device_Configuration'!AI255="","",'12 - Device_Configuration'!AI255)</f>
        <v/>
      </c>
      <c r="J254" s="29" t="str">
        <f>IF('12 - Device_Configuration'!AJ255="","",'12 - Device_Configuration'!AJ255)</f>
        <v/>
      </c>
      <c r="K254" s="29" t="str">
        <f>IF('12 - Device_Configuration'!AA255="","",'12 - Device_Configuration'!AA255)</f>
        <v/>
      </c>
      <c r="L254" s="29" t="str">
        <f>IF('12 - Device_Configuration'!I255="","",'12 - Device_Configuration'!I255)</f>
        <v/>
      </c>
      <c r="M254" s="30"/>
      <c r="N254" s="29" t="str">
        <f>IF('12 - Device_Configuration'!J255="","",'12 - Device_Configuration'!J255)</f>
        <v/>
      </c>
      <c r="O254" s="29" t="str">
        <f>IF('12 - Device_Configuration'!K255="","",'12 - Device_Configuration'!K255)</f>
        <v/>
      </c>
      <c r="P254" s="29" t="str">
        <f>IF('12 - Device_Configuration'!L255="","",'12 - Device_Configuration'!L255)</f>
        <v/>
      </c>
      <c r="Q254" s="30"/>
      <c r="R254" s="29" t="str">
        <f>IF('12 - Device_Configuration'!AY255="","",'12 - Device_Configuration'!AY255)</f>
        <v/>
      </c>
      <c r="S254" s="29" t="str">
        <f>IF('12 - Device_Configuration'!AX255="","",'12 - Device_Configuration'!AX255)</f>
        <v/>
      </c>
      <c r="T254" s="29" t="str">
        <f>IF('12 - Device_Configuration'!AV255="","",'12 - Device_Configuration'!AV255)</f>
        <v/>
      </c>
      <c r="U254" s="29" t="str">
        <f>IF('12 - Device_Configuration'!AW255="","",'12 - Device_Configuration'!AW255)</f>
        <v/>
      </c>
      <c r="V254" s="29" t="str">
        <f>IF('12 - Device_Configuration'!BA255="","",'12 - Device_Configuration'!BA255)</f>
        <v/>
      </c>
      <c r="W254" s="29" t="str">
        <f>IF('12 - Device_Configuration'!BC255="","",'12 - Device_Configuration'!BC255)</f>
        <v/>
      </c>
      <c r="X254" s="29" t="str">
        <f>IF('12 - Device_Configuration'!BK255="","",'12 - Device_Configuration'!BK255)</f>
        <v/>
      </c>
      <c r="Y254" s="29" t="str">
        <f>IF('12 - Device_Configuration'!BB255="","",'12 - Device_Configuration'!BB255)</f>
        <v/>
      </c>
      <c r="Z254" s="29" t="str">
        <f>IF('12 - Device_Configuration'!P255="","",'12 - Device_Configuration'!P255)</f>
        <v/>
      </c>
      <c r="AA254" s="29" t="str">
        <f>IF('12 - Device_Configuration'!Q255="","",'12 - Device_Configuration'!Q255)</f>
        <v/>
      </c>
    </row>
    <row r="255" spans="1:27">
      <c r="A255" s="30"/>
      <c r="B255" s="30"/>
      <c r="C255" s="29" t="str">
        <f>IF('12 - Device_Configuration'!H256="","",'12 - Device_Configuration'!H256)</f>
        <v/>
      </c>
      <c r="D255" s="29" t="str">
        <f>IF('12 - Device_Configuration'!AE256="","",'12 - Device_Configuration'!AE256)</f>
        <v/>
      </c>
      <c r="E255" s="29" t="str">
        <f>IF('12 - Device_Configuration'!AF256="","",'12 - Device_Configuration'!AF256)</f>
        <v/>
      </c>
      <c r="F255" s="29" t="str">
        <f>IF('12 - Device_Configuration'!AG256="","",'12 - Device_Configuration'!AG256)</f>
        <v/>
      </c>
      <c r="G255" s="29" t="str">
        <f>IF('12 - Device_Configuration'!AH256="","",'12 - Device_Configuration'!AH256)</f>
        <v/>
      </c>
      <c r="H255" s="29" t="str">
        <f>IF('12 - Device_Configuration'!A256="","",'12 - Device_Configuration'!A256)</f>
        <v/>
      </c>
      <c r="I255" s="29" t="str">
        <f>IF('12 - Device_Configuration'!AI256="","",'12 - Device_Configuration'!AI256)</f>
        <v/>
      </c>
      <c r="J255" s="29" t="str">
        <f>IF('12 - Device_Configuration'!AJ256="","",'12 - Device_Configuration'!AJ256)</f>
        <v/>
      </c>
      <c r="K255" s="29" t="str">
        <f>IF('12 - Device_Configuration'!AA256="","",'12 - Device_Configuration'!AA256)</f>
        <v/>
      </c>
      <c r="L255" s="29" t="str">
        <f>IF('12 - Device_Configuration'!I256="","",'12 - Device_Configuration'!I256)</f>
        <v/>
      </c>
      <c r="M255" s="30"/>
      <c r="N255" s="29" t="str">
        <f>IF('12 - Device_Configuration'!J256="","",'12 - Device_Configuration'!J256)</f>
        <v/>
      </c>
      <c r="O255" s="29" t="str">
        <f>IF('12 - Device_Configuration'!K256="","",'12 - Device_Configuration'!K256)</f>
        <v/>
      </c>
      <c r="P255" s="29" t="str">
        <f>IF('12 - Device_Configuration'!L256="","",'12 - Device_Configuration'!L256)</f>
        <v/>
      </c>
      <c r="Q255" s="30"/>
      <c r="R255" s="29" t="str">
        <f>IF('12 - Device_Configuration'!AY256="","",'12 - Device_Configuration'!AY256)</f>
        <v/>
      </c>
      <c r="S255" s="29" t="str">
        <f>IF('12 - Device_Configuration'!AX256="","",'12 - Device_Configuration'!AX256)</f>
        <v/>
      </c>
      <c r="T255" s="29" t="str">
        <f>IF('12 - Device_Configuration'!AV256="","",'12 - Device_Configuration'!AV256)</f>
        <v/>
      </c>
      <c r="U255" s="29" t="str">
        <f>IF('12 - Device_Configuration'!AW256="","",'12 - Device_Configuration'!AW256)</f>
        <v/>
      </c>
      <c r="V255" s="29" t="str">
        <f>IF('12 - Device_Configuration'!BA256="","",'12 - Device_Configuration'!BA256)</f>
        <v/>
      </c>
      <c r="W255" s="29" t="str">
        <f>IF('12 - Device_Configuration'!BC256="","",'12 - Device_Configuration'!BC256)</f>
        <v/>
      </c>
      <c r="X255" s="29" t="str">
        <f>IF('12 - Device_Configuration'!BK256="","",'12 - Device_Configuration'!BK256)</f>
        <v/>
      </c>
      <c r="Y255" s="29" t="str">
        <f>IF('12 - Device_Configuration'!BB256="","",'12 - Device_Configuration'!BB256)</f>
        <v/>
      </c>
      <c r="Z255" s="29" t="str">
        <f>IF('12 - Device_Configuration'!P256="","",'12 - Device_Configuration'!P256)</f>
        <v/>
      </c>
      <c r="AA255" s="29" t="str">
        <f>IF('12 - Device_Configuration'!Q256="","",'12 - Device_Configuration'!Q256)</f>
        <v/>
      </c>
    </row>
    <row r="256" spans="1:27">
      <c r="A256" s="30"/>
      <c r="B256" s="30"/>
      <c r="C256" s="29" t="str">
        <f>IF('12 - Device_Configuration'!H257="","",'12 - Device_Configuration'!H257)</f>
        <v/>
      </c>
      <c r="D256" s="29" t="str">
        <f>IF('12 - Device_Configuration'!AE257="","",'12 - Device_Configuration'!AE257)</f>
        <v/>
      </c>
      <c r="E256" s="29" t="str">
        <f>IF('12 - Device_Configuration'!AF257="","",'12 - Device_Configuration'!AF257)</f>
        <v/>
      </c>
      <c r="F256" s="29" t="str">
        <f>IF('12 - Device_Configuration'!AG257="","",'12 - Device_Configuration'!AG257)</f>
        <v/>
      </c>
      <c r="G256" s="29" t="str">
        <f>IF('12 - Device_Configuration'!AH257="","",'12 - Device_Configuration'!AH257)</f>
        <v/>
      </c>
      <c r="H256" s="29" t="str">
        <f>IF('12 - Device_Configuration'!A257="","",'12 - Device_Configuration'!A257)</f>
        <v/>
      </c>
      <c r="I256" s="29" t="str">
        <f>IF('12 - Device_Configuration'!AI257="","",'12 - Device_Configuration'!AI257)</f>
        <v/>
      </c>
      <c r="J256" s="29" t="str">
        <f>IF('12 - Device_Configuration'!AJ257="","",'12 - Device_Configuration'!AJ257)</f>
        <v/>
      </c>
      <c r="K256" s="29" t="str">
        <f>IF('12 - Device_Configuration'!AA257="","",'12 - Device_Configuration'!AA257)</f>
        <v/>
      </c>
      <c r="L256" s="29" t="str">
        <f>IF('12 - Device_Configuration'!I257="","",'12 - Device_Configuration'!I257)</f>
        <v/>
      </c>
      <c r="M256" s="30"/>
      <c r="N256" s="29" t="str">
        <f>IF('12 - Device_Configuration'!J257="","",'12 - Device_Configuration'!J257)</f>
        <v/>
      </c>
      <c r="O256" s="29" t="str">
        <f>IF('12 - Device_Configuration'!K257="","",'12 - Device_Configuration'!K257)</f>
        <v/>
      </c>
      <c r="P256" s="29" t="str">
        <f>IF('12 - Device_Configuration'!L257="","",'12 - Device_Configuration'!L257)</f>
        <v/>
      </c>
      <c r="Q256" s="30"/>
      <c r="R256" s="29" t="str">
        <f>IF('12 - Device_Configuration'!AY257="","",'12 - Device_Configuration'!AY257)</f>
        <v/>
      </c>
      <c r="S256" s="29" t="str">
        <f>IF('12 - Device_Configuration'!AX257="","",'12 - Device_Configuration'!AX257)</f>
        <v/>
      </c>
      <c r="T256" s="29" t="str">
        <f>IF('12 - Device_Configuration'!AV257="","",'12 - Device_Configuration'!AV257)</f>
        <v/>
      </c>
      <c r="U256" s="29" t="str">
        <f>IF('12 - Device_Configuration'!AW257="","",'12 - Device_Configuration'!AW257)</f>
        <v/>
      </c>
      <c r="V256" s="29" t="str">
        <f>IF('12 - Device_Configuration'!BA257="","",'12 - Device_Configuration'!BA257)</f>
        <v/>
      </c>
      <c r="W256" s="29" t="str">
        <f>IF('12 - Device_Configuration'!BC257="","",'12 - Device_Configuration'!BC257)</f>
        <v/>
      </c>
      <c r="X256" s="29" t="str">
        <f>IF('12 - Device_Configuration'!BK257="","",'12 - Device_Configuration'!BK257)</f>
        <v/>
      </c>
      <c r="Y256" s="29" t="str">
        <f>IF('12 - Device_Configuration'!BB257="","",'12 - Device_Configuration'!BB257)</f>
        <v/>
      </c>
      <c r="Z256" s="29" t="str">
        <f>IF('12 - Device_Configuration'!P257="","",'12 - Device_Configuration'!P257)</f>
        <v/>
      </c>
      <c r="AA256" s="29" t="str">
        <f>IF('12 - Device_Configuration'!Q257="","",'12 - Device_Configuration'!Q257)</f>
        <v/>
      </c>
    </row>
    <row r="257" spans="1:27">
      <c r="A257" s="30"/>
      <c r="B257" s="30"/>
      <c r="C257" s="29" t="str">
        <f>IF('12 - Device_Configuration'!H258="","",'12 - Device_Configuration'!H258)</f>
        <v/>
      </c>
      <c r="D257" s="29" t="str">
        <f>IF('12 - Device_Configuration'!AE258="","",'12 - Device_Configuration'!AE258)</f>
        <v/>
      </c>
      <c r="E257" s="29" t="str">
        <f>IF('12 - Device_Configuration'!AF258="","",'12 - Device_Configuration'!AF258)</f>
        <v/>
      </c>
      <c r="F257" s="29" t="str">
        <f>IF('12 - Device_Configuration'!AG258="","",'12 - Device_Configuration'!AG258)</f>
        <v/>
      </c>
      <c r="G257" s="29" t="str">
        <f>IF('12 - Device_Configuration'!AH258="","",'12 - Device_Configuration'!AH258)</f>
        <v/>
      </c>
      <c r="H257" s="29" t="str">
        <f>IF('12 - Device_Configuration'!A258="","",'12 - Device_Configuration'!A258)</f>
        <v/>
      </c>
      <c r="I257" s="29" t="str">
        <f>IF('12 - Device_Configuration'!AI258="","",'12 - Device_Configuration'!AI258)</f>
        <v/>
      </c>
      <c r="J257" s="29" t="str">
        <f>IF('12 - Device_Configuration'!AJ258="","",'12 - Device_Configuration'!AJ258)</f>
        <v/>
      </c>
      <c r="K257" s="29" t="str">
        <f>IF('12 - Device_Configuration'!AA258="","",'12 - Device_Configuration'!AA258)</f>
        <v/>
      </c>
      <c r="L257" s="29" t="str">
        <f>IF('12 - Device_Configuration'!I258="","",'12 - Device_Configuration'!I258)</f>
        <v/>
      </c>
      <c r="M257" s="30"/>
      <c r="N257" s="29" t="str">
        <f>IF('12 - Device_Configuration'!J258="","",'12 - Device_Configuration'!J258)</f>
        <v/>
      </c>
      <c r="O257" s="29" t="str">
        <f>IF('12 - Device_Configuration'!K258="","",'12 - Device_Configuration'!K258)</f>
        <v/>
      </c>
      <c r="P257" s="29" t="str">
        <f>IF('12 - Device_Configuration'!L258="","",'12 - Device_Configuration'!L258)</f>
        <v/>
      </c>
      <c r="Q257" s="30"/>
      <c r="R257" s="29" t="str">
        <f>IF('12 - Device_Configuration'!AY258="","",'12 - Device_Configuration'!AY258)</f>
        <v/>
      </c>
      <c r="S257" s="29" t="str">
        <f>IF('12 - Device_Configuration'!AX258="","",'12 - Device_Configuration'!AX258)</f>
        <v/>
      </c>
      <c r="T257" s="29" t="str">
        <f>IF('12 - Device_Configuration'!AV258="","",'12 - Device_Configuration'!AV258)</f>
        <v/>
      </c>
      <c r="U257" s="29" t="str">
        <f>IF('12 - Device_Configuration'!AW258="","",'12 - Device_Configuration'!AW258)</f>
        <v/>
      </c>
      <c r="V257" s="29" t="str">
        <f>IF('12 - Device_Configuration'!BA258="","",'12 - Device_Configuration'!BA258)</f>
        <v/>
      </c>
      <c r="W257" s="29" t="str">
        <f>IF('12 - Device_Configuration'!BC258="","",'12 - Device_Configuration'!BC258)</f>
        <v/>
      </c>
      <c r="X257" s="29" t="str">
        <f>IF('12 - Device_Configuration'!BK258="","",'12 - Device_Configuration'!BK258)</f>
        <v/>
      </c>
      <c r="Y257" s="29" t="str">
        <f>IF('12 - Device_Configuration'!BB258="","",'12 - Device_Configuration'!BB258)</f>
        <v/>
      </c>
      <c r="Z257" s="29" t="str">
        <f>IF('12 - Device_Configuration'!P258="","",'12 - Device_Configuration'!P258)</f>
        <v/>
      </c>
      <c r="AA257" s="29" t="str">
        <f>IF('12 - Device_Configuration'!Q258="","",'12 - Device_Configuration'!Q258)</f>
        <v/>
      </c>
    </row>
    <row r="258" spans="1:27">
      <c r="A258" s="30"/>
      <c r="B258" s="30"/>
      <c r="C258" s="29" t="str">
        <f>IF('12 - Device_Configuration'!H259="","",'12 - Device_Configuration'!H259)</f>
        <v/>
      </c>
      <c r="D258" s="29" t="str">
        <f>IF('12 - Device_Configuration'!AE259="","",'12 - Device_Configuration'!AE259)</f>
        <v/>
      </c>
      <c r="E258" s="29" t="str">
        <f>IF('12 - Device_Configuration'!AF259="","",'12 - Device_Configuration'!AF259)</f>
        <v/>
      </c>
      <c r="F258" s="29" t="str">
        <f>IF('12 - Device_Configuration'!AG259="","",'12 - Device_Configuration'!AG259)</f>
        <v/>
      </c>
      <c r="G258" s="29" t="str">
        <f>IF('12 - Device_Configuration'!AH259="","",'12 - Device_Configuration'!AH259)</f>
        <v/>
      </c>
      <c r="H258" s="29" t="str">
        <f>IF('12 - Device_Configuration'!A259="","",'12 - Device_Configuration'!A259)</f>
        <v/>
      </c>
      <c r="I258" s="29" t="str">
        <f>IF('12 - Device_Configuration'!AI259="","",'12 - Device_Configuration'!AI259)</f>
        <v/>
      </c>
      <c r="J258" s="29" t="str">
        <f>IF('12 - Device_Configuration'!AJ259="","",'12 - Device_Configuration'!AJ259)</f>
        <v/>
      </c>
      <c r="K258" s="29" t="str">
        <f>IF('12 - Device_Configuration'!AA259="","",'12 - Device_Configuration'!AA259)</f>
        <v/>
      </c>
      <c r="L258" s="29" t="str">
        <f>IF('12 - Device_Configuration'!I259="","",'12 - Device_Configuration'!I259)</f>
        <v/>
      </c>
      <c r="M258" s="30"/>
      <c r="N258" s="29" t="str">
        <f>IF('12 - Device_Configuration'!J259="","",'12 - Device_Configuration'!J259)</f>
        <v/>
      </c>
      <c r="O258" s="29" t="str">
        <f>IF('12 - Device_Configuration'!K259="","",'12 - Device_Configuration'!K259)</f>
        <v/>
      </c>
      <c r="P258" s="29" t="str">
        <f>IF('12 - Device_Configuration'!L259="","",'12 - Device_Configuration'!L259)</f>
        <v/>
      </c>
      <c r="Q258" s="30"/>
      <c r="R258" s="29" t="str">
        <f>IF('12 - Device_Configuration'!AY259="","",'12 - Device_Configuration'!AY259)</f>
        <v/>
      </c>
      <c r="S258" s="29" t="str">
        <f>IF('12 - Device_Configuration'!AX259="","",'12 - Device_Configuration'!AX259)</f>
        <v/>
      </c>
      <c r="T258" s="29" t="str">
        <f>IF('12 - Device_Configuration'!AV259="","",'12 - Device_Configuration'!AV259)</f>
        <v/>
      </c>
      <c r="U258" s="29" t="str">
        <f>IF('12 - Device_Configuration'!AW259="","",'12 - Device_Configuration'!AW259)</f>
        <v/>
      </c>
      <c r="V258" s="29" t="str">
        <f>IF('12 - Device_Configuration'!BA259="","",'12 - Device_Configuration'!BA259)</f>
        <v/>
      </c>
      <c r="W258" s="29" t="str">
        <f>IF('12 - Device_Configuration'!BC259="","",'12 - Device_Configuration'!BC259)</f>
        <v/>
      </c>
      <c r="X258" s="29" t="str">
        <f>IF('12 - Device_Configuration'!BK259="","",'12 - Device_Configuration'!BK259)</f>
        <v/>
      </c>
      <c r="Y258" s="29" t="str">
        <f>IF('12 - Device_Configuration'!BB259="","",'12 - Device_Configuration'!BB259)</f>
        <v/>
      </c>
      <c r="Z258" s="29" t="str">
        <f>IF('12 - Device_Configuration'!P259="","",'12 - Device_Configuration'!P259)</f>
        <v/>
      </c>
      <c r="AA258" s="29" t="str">
        <f>IF('12 - Device_Configuration'!Q259="","",'12 - Device_Configuration'!Q259)</f>
        <v/>
      </c>
    </row>
    <row r="259" spans="1:27">
      <c r="A259" s="30"/>
      <c r="B259" s="30"/>
      <c r="C259" s="29" t="str">
        <f>IF('12 - Device_Configuration'!H260="","",'12 - Device_Configuration'!H260)</f>
        <v/>
      </c>
      <c r="D259" s="29" t="str">
        <f>IF('12 - Device_Configuration'!AE260="","",'12 - Device_Configuration'!AE260)</f>
        <v/>
      </c>
      <c r="E259" s="29" t="str">
        <f>IF('12 - Device_Configuration'!AF260="","",'12 - Device_Configuration'!AF260)</f>
        <v/>
      </c>
      <c r="F259" s="29" t="str">
        <f>IF('12 - Device_Configuration'!AG260="","",'12 - Device_Configuration'!AG260)</f>
        <v/>
      </c>
      <c r="G259" s="29" t="str">
        <f>IF('12 - Device_Configuration'!AH260="","",'12 - Device_Configuration'!AH260)</f>
        <v/>
      </c>
      <c r="H259" s="29" t="str">
        <f>IF('12 - Device_Configuration'!A260="","",'12 - Device_Configuration'!A260)</f>
        <v/>
      </c>
      <c r="I259" s="29" t="str">
        <f>IF('12 - Device_Configuration'!AI260="","",'12 - Device_Configuration'!AI260)</f>
        <v/>
      </c>
      <c r="J259" s="29" t="str">
        <f>IF('12 - Device_Configuration'!AJ260="","",'12 - Device_Configuration'!AJ260)</f>
        <v/>
      </c>
      <c r="K259" s="29" t="str">
        <f>IF('12 - Device_Configuration'!AA260="","",'12 - Device_Configuration'!AA260)</f>
        <v/>
      </c>
      <c r="L259" s="29" t="str">
        <f>IF('12 - Device_Configuration'!I260="","",'12 - Device_Configuration'!I260)</f>
        <v/>
      </c>
      <c r="M259" s="30"/>
      <c r="N259" s="29" t="str">
        <f>IF('12 - Device_Configuration'!J260="","",'12 - Device_Configuration'!J260)</f>
        <v/>
      </c>
      <c r="O259" s="29" t="str">
        <f>IF('12 - Device_Configuration'!K260="","",'12 - Device_Configuration'!K260)</f>
        <v/>
      </c>
      <c r="P259" s="29" t="str">
        <f>IF('12 - Device_Configuration'!L260="","",'12 - Device_Configuration'!L260)</f>
        <v/>
      </c>
      <c r="Q259" s="30"/>
      <c r="R259" s="29" t="str">
        <f>IF('12 - Device_Configuration'!AY260="","",'12 - Device_Configuration'!AY260)</f>
        <v/>
      </c>
      <c r="S259" s="29" t="str">
        <f>IF('12 - Device_Configuration'!AX260="","",'12 - Device_Configuration'!AX260)</f>
        <v/>
      </c>
      <c r="T259" s="29" t="str">
        <f>IF('12 - Device_Configuration'!AV260="","",'12 - Device_Configuration'!AV260)</f>
        <v/>
      </c>
      <c r="U259" s="29" t="str">
        <f>IF('12 - Device_Configuration'!AW260="","",'12 - Device_Configuration'!AW260)</f>
        <v/>
      </c>
      <c r="V259" s="29" t="str">
        <f>IF('12 - Device_Configuration'!BA260="","",'12 - Device_Configuration'!BA260)</f>
        <v/>
      </c>
      <c r="W259" s="29" t="str">
        <f>IF('12 - Device_Configuration'!BC260="","",'12 - Device_Configuration'!BC260)</f>
        <v/>
      </c>
      <c r="X259" s="29" t="str">
        <f>IF('12 - Device_Configuration'!BK260="","",'12 - Device_Configuration'!BK260)</f>
        <v/>
      </c>
      <c r="Y259" s="29" t="str">
        <f>IF('12 - Device_Configuration'!BB260="","",'12 - Device_Configuration'!BB260)</f>
        <v/>
      </c>
      <c r="Z259" s="29" t="str">
        <f>IF('12 - Device_Configuration'!P260="","",'12 - Device_Configuration'!P260)</f>
        <v/>
      </c>
      <c r="AA259" s="29" t="str">
        <f>IF('12 - Device_Configuration'!Q260="","",'12 - Device_Configuration'!Q260)</f>
        <v/>
      </c>
    </row>
    <row r="260" spans="1:27">
      <c r="A260" s="30"/>
      <c r="B260" s="30"/>
      <c r="C260" s="29" t="str">
        <f>IF('12 - Device_Configuration'!H261="","",'12 - Device_Configuration'!H261)</f>
        <v/>
      </c>
      <c r="D260" s="29" t="str">
        <f>IF('12 - Device_Configuration'!AE261="","",'12 - Device_Configuration'!AE261)</f>
        <v/>
      </c>
      <c r="E260" s="29" t="str">
        <f>IF('12 - Device_Configuration'!AF261="","",'12 - Device_Configuration'!AF261)</f>
        <v/>
      </c>
      <c r="F260" s="29" t="str">
        <f>IF('12 - Device_Configuration'!AG261="","",'12 - Device_Configuration'!AG261)</f>
        <v/>
      </c>
      <c r="G260" s="29" t="str">
        <f>IF('12 - Device_Configuration'!AH261="","",'12 - Device_Configuration'!AH261)</f>
        <v/>
      </c>
      <c r="H260" s="29" t="str">
        <f>IF('12 - Device_Configuration'!A261="","",'12 - Device_Configuration'!A261)</f>
        <v/>
      </c>
      <c r="I260" s="29" t="str">
        <f>IF('12 - Device_Configuration'!AI261="","",'12 - Device_Configuration'!AI261)</f>
        <v/>
      </c>
      <c r="J260" s="29" t="str">
        <f>IF('12 - Device_Configuration'!AJ261="","",'12 - Device_Configuration'!AJ261)</f>
        <v/>
      </c>
      <c r="K260" s="29" t="str">
        <f>IF('12 - Device_Configuration'!AA261="","",'12 - Device_Configuration'!AA261)</f>
        <v/>
      </c>
      <c r="L260" s="29" t="str">
        <f>IF('12 - Device_Configuration'!I261="","",'12 - Device_Configuration'!I261)</f>
        <v/>
      </c>
      <c r="M260" s="30"/>
      <c r="N260" s="29" t="str">
        <f>IF('12 - Device_Configuration'!J261="","",'12 - Device_Configuration'!J261)</f>
        <v/>
      </c>
      <c r="O260" s="29" t="str">
        <f>IF('12 - Device_Configuration'!K261="","",'12 - Device_Configuration'!K261)</f>
        <v/>
      </c>
      <c r="P260" s="29" t="str">
        <f>IF('12 - Device_Configuration'!L261="","",'12 - Device_Configuration'!L261)</f>
        <v/>
      </c>
      <c r="Q260" s="30"/>
      <c r="R260" s="29" t="str">
        <f>IF('12 - Device_Configuration'!AY261="","",'12 - Device_Configuration'!AY261)</f>
        <v/>
      </c>
      <c r="S260" s="29" t="str">
        <f>IF('12 - Device_Configuration'!AX261="","",'12 - Device_Configuration'!AX261)</f>
        <v/>
      </c>
      <c r="T260" s="29" t="str">
        <f>IF('12 - Device_Configuration'!AV261="","",'12 - Device_Configuration'!AV261)</f>
        <v/>
      </c>
      <c r="U260" s="29" t="str">
        <f>IF('12 - Device_Configuration'!AW261="","",'12 - Device_Configuration'!AW261)</f>
        <v/>
      </c>
      <c r="V260" s="29" t="str">
        <f>IF('12 - Device_Configuration'!BA261="","",'12 - Device_Configuration'!BA261)</f>
        <v/>
      </c>
      <c r="W260" s="29" t="str">
        <f>IF('12 - Device_Configuration'!BC261="","",'12 - Device_Configuration'!BC261)</f>
        <v/>
      </c>
      <c r="X260" s="29" t="str">
        <f>IF('12 - Device_Configuration'!BK261="","",'12 - Device_Configuration'!BK261)</f>
        <v/>
      </c>
      <c r="Y260" s="29" t="str">
        <f>IF('12 - Device_Configuration'!BB261="","",'12 - Device_Configuration'!BB261)</f>
        <v/>
      </c>
      <c r="Z260" s="29" t="str">
        <f>IF('12 - Device_Configuration'!P261="","",'12 - Device_Configuration'!P261)</f>
        <v/>
      </c>
      <c r="AA260" s="29" t="str">
        <f>IF('12 - Device_Configuration'!Q261="","",'12 - Device_Configuration'!Q261)</f>
        <v/>
      </c>
    </row>
    <row r="261" spans="1:27">
      <c r="A261" s="30"/>
      <c r="B261" s="30"/>
      <c r="C261" s="29" t="str">
        <f>IF('12 - Device_Configuration'!H262="","",'12 - Device_Configuration'!H262)</f>
        <v/>
      </c>
      <c r="D261" s="29" t="str">
        <f>IF('12 - Device_Configuration'!AE262="","",'12 - Device_Configuration'!AE262)</f>
        <v/>
      </c>
      <c r="E261" s="29" t="str">
        <f>IF('12 - Device_Configuration'!AF262="","",'12 - Device_Configuration'!AF262)</f>
        <v/>
      </c>
      <c r="F261" s="29" t="str">
        <f>IF('12 - Device_Configuration'!AG262="","",'12 - Device_Configuration'!AG262)</f>
        <v/>
      </c>
      <c r="G261" s="29" t="str">
        <f>IF('12 - Device_Configuration'!AH262="","",'12 - Device_Configuration'!AH262)</f>
        <v/>
      </c>
      <c r="H261" s="29" t="str">
        <f>IF('12 - Device_Configuration'!A262="","",'12 - Device_Configuration'!A262)</f>
        <v/>
      </c>
      <c r="I261" s="29" t="str">
        <f>IF('12 - Device_Configuration'!AI262="","",'12 - Device_Configuration'!AI262)</f>
        <v/>
      </c>
      <c r="J261" s="29" t="str">
        <f>IF('12 - Device_Configuration'!AJ262="","",'12 - Device_Configuration'!AJ262)</f>
        <v/>
      </c>
      <c r="K261" s="29" t="str">
        <f>IF('12 - Device_Configuration'!AA262="","",'12 - Device_Configuration'!AA262)</f>
        <v/>
      </c>
      <c r="L261" s="29" t="str">
        <f>IF('12 - Device_Configuration'!I262="","",'12 - Device_Configuration'!I262)</f>
        <v/>
      </c>
      <c r="M261" s="30"/>
      <c r="N261" s="29" t="str">
        <f>IF('12 - Device_Configuration'!J262="","",'12 - Device_Configuration'!J262)</f>
        <v/>
      </c>
      <c r="O261" s="29" t="str">
        <f>IF('12 - Device_Configuration'!K262="","",'12 - Device_Configuration'!K262)</f>
        <v/>
      </c>
      <c r="P261" s="29" t="str">
        <f>IF('12 - Device_Configuration'!L262="","",'12 - Device_Configuration'!L262)</f>
        <v/>
      </c>
      <c r="Q261" s="30"/>
      <c r="R261" s="29" t="str">
        <f>IF('12 - Device_Configuration'!AY262="","",'12 - Device_Configuration'!AY262)</f>
        <v/>
      </c>
      <c r="S261" s="29" t="str">
        <f>IF('12 - Device_Configuration'!AX262="","",'12 - Device_Configuration'!AX262)</f>
        <v/>
      </c>
      <c r="T261" s="29" t="str">
        <f>IF('12 - Device_Configuration'!AV262="","",'12 - Device_Configuration'!AV262)</f>
        <v/>
      </c>
      <c r="U261" s="29" t="str">
        <f>IF('12 - Device_Configuration'!AW262="","",'12 - Device_Configuration'!AW262)</f>
        <v/>
      </c>
      <c r="V261" s="29" t="str">
        <f>IF('12 - Device_Configuration'!BA262="","",'12 - Device_Configuration'!BA262)</f>
        <v/>
      </c>
      <c r="W261" s="29" t="str">
        <f>IF('12 - Device_Configuration'!BC262="","",'12 - Device_Configuration'!BC262)</f>
        <v/>
      </c>
      <c r="X261" s="29" t="str">
        <f>IF('12 - Device_Configuration'!BK262="","",'12 - Device_Configuration'!BK262)</f>
        <v/>
      </c>
      <c r="Y261" s="29" t="str">
        <f>IF('12 - Device_Configuration'!BB262="","",'12 - Device_Configuration'!BB262)</f>
        <v/>
      </c>
      <c r="Z261" s="29" t="str">
        <f>IF('12 - Device_Configuration'!P262="","",'12 - Device_Configuration'!P262)</f>
        <v/>
      </c>
      <c r="AA261" s="29" t="str">
        <f>IF('12 - Device_Configuration'!Q262="","",'12 - Device_Configuration'!Q262)</f>
        <v/>
      </c>
    </row>
    <row r="262" spans="1:27">
      <c r="A262" s="30"/>
      <c r="B262" s="30"/>
      <c r="C262" s="29" t="str">
        <f>IF('12 - Device_Configuration'!H263="","",'12 - Device_Configuration'!H263)</f>
        <v/>
      </c>
      <c r="D262" s="29" t="str">
        <f>IF('12 - Device_Configuration'!AE263="","",'12 - Device_Configuration'!AE263)</f>
        <v/>
      </c>
      <c r="E262" s="29" t="str">
        <f>IF('12 - Device_Configuration'!AF263="","",'12 - Device_Configuration'!AF263)</f>
        <v/>
      </c>
      <c r="F262" s="29" t="str">
        <f>IF('12 - Device_Configuration'!AG263="","",'12 - Device_Configuration'!AG263)</f>
        <v/>
      </c>
      <c r="G262" s="29" t="str">
        <f>IF('12 - Device_Configuration'!AH263="","",'12 - Device_Configuration'!AH263)</f>
        <v/>
      </c>
      <c r="H262" s="29" t="str">
        <f>IF('12 - Device_Configuration'!A263="","",'12 - Device_Configuration'!A263)</f>
        <v/>
      </c>
      <c r="I262" s="29" t="str">
        <f>IF('12 - Device_Configuration'!AI263="","",'12 - Device_Configuration'!AI263)</f>
        <v/>
      </c>
      <c r="J262" s="29" t="str">
        <f>IF('12 - Device_Configuration'!AJ263="","",'12 - Device_Configuration'!AJ263)</f>
        <v/>
      </c>
      <c r="K262" s="29" t="str">
        <f>IF('12 - Device_Configuration'!AA263="","",'12 - Device_Configuration'!AA263)</f>
        <v/>
      </c>
      <c r="L262" s="29" t="str">
        <f>IF('12 - Device_Configuration'!I263="","",'12 - Device_Configuration'!I263)</f>
        <v/>
      </c>
      <c r="M262" s="30"/>
      <c r="N262" s="29" t="str">
        <f>IF('12 - Device_Configuration'!J263="","",'12 - Device_Configuration'!J263)</f>
        <v/>
      </c>
      <c r="O262" s="29" t="str">
        <f>IF('12 - Device_Configuration'!K263="","",'12 - Device_Configuration'!K263)</f>
        <v/>
      </c>
      <c r="P262" s="29" t="str">
        <f>IF('12 - Device_Configuration'!L263="","",'12 - Device_Configuration'!L263)</f>
        <v/>
      </c>
      <c r="Q262" s="30"/>
      <c r="R262" s="29" t="str">
        <f>IF('12 - Device_Configuration'!AY263="","",'12 - Device_Configuration'!AY263)</f>
        <v/>
      </c>
      <c r="S262" s="29" t="str">
        <f>IF('12 - Device_Configuration'!AX263="","",'12 - Device_Configuration'!AX263)</f>
        <v/>
      </c>
      <c r="T262" s="29" t="str">
        <f>IF('12 - Device_Configuration'!AV263="","",'12 - Device_Configuration'!AV263)</f>
        <v/>
      </c>
      <c r="U262" s="29" t="str">
        <f>IF('12 - Device_Configuration'!AW263="","",'12 - Device_Configuration'!AW263)</f>
        <v/>
      </c>
      <c r="V262" s="29" t="str">
        <f>IF('12 - Device_Configuration'!BA263="","",'12 - Device_Configuration'!BA263)</f>
        <v/>
      </c>
      <c r="W262" s="29" t="str">
        <f>IF('12 - Device_Configuration'!BC263="","",'12 - Device_Configuration'!BC263)</f>
        <v/>
      </c>
      <c r="X262" s="29" t="str">
        <f>IF('12 - Device_Configuration'!BK263="","",'12 - Device_Configuration'!BK263)</f>
        <v/>
      </c>
      <c r="Y262" s="29" t="str">
        <f>IF('12 - Device_Configuration'!BB263="","",'12 - Device_Configuration'!BB263)</f>
        <v/>
      </c>
      <c r="Z262" s="29" t="str">
        <f>IF('12 - Device_Configuration'!P263="","",'12 - Device_Configuration'!P263)</f>
        <v/>
      </c>
      <c r="AA262" s="29" t="str">
        <f>IF('12 - Device_Configuration'!Q263="","",'12 - Device_Configuration'!Q263)</f>
        <v/>
      </c>
    </row>
    <row r="263" spans="1:27">
      <c r="A263" s="30"/>
      <c r="B263" s="30"/>
      <c r="C263" s="29" t="str">
        <f>IF('12 - Device_Configuration'!H264="","",'12 - Device_Configuration'!H264)</f>
        <v/>
      </c>
      <c r="D263" s="29" t="str">
        <f>IF('12 - Device_Configuration'!AE264="","",'12 - Device_Configuration'!AE264)</f>
        <v/>
      </c>
      <c r="E263" s="29" t="str">
        <f>IF('12 - Device_Configuration'!AF264="","",'12 - Device_Configuration'!AF264)</f>
        <v/>
      </c>
      <c r="F263" s="29" t="str">
        <f>IF('12 - Device_Configuration'!AG264="","",'12 - Device_Configuration'!AG264)</f>
        <v/>
      </c>
      <c r="G263" s="29" t="str">
        <f>IF('12 - Device_Configuration'!AH264="","",'12 - Device_Configuration'!AH264)</f>
        <v/>
      </c>
      <c r="H263" s="29" t="str">
        <f>IF('12 - Device_Configuration'!A264="","",'12 - Device_Configuration'!A264)</f>
        <v/>
      </c>
      <c r="I263" s="29" t="str">
        <f>IF('12 - Device_Configuration'!AI264="","",'12 - Device_Configuration'!AI264)</f>
        <v/>
      </c>
      <c r="J263" s="29" t="str">
        <f>IF('12 - Device_Configuration'!AJ264="","",'12 - Device_Configuration'!AJ264)</f>
        <v/>
      </c>
      <c r="K263" s="29" t="str">
        <f>IF('12 - Device_Configuration'!AA264="","",'12 - Device_Configuration'!AA264)</f>
        <v/>
      </c>
      <c r="L263" s="29" t="str">
        <f>IF('12 - Device_Configuration'!I264="","",'12 - Device_Configuration'!I264)</f>
        <v/>
      </c>
      <c r="M263" s="30"/>
      <c r="N263" s="29" t="str">
        <f>IF('12 - Device_Configuration'!J264="","",'12 - Device_Configuration'!J264)</f>
        <v/>
      </c>
      <c r="O263" s="29" t="str">
        <f>IF('12 - Device_Configuration'!K264="","",'12 - Device_Configuration'!K264)</f>
        <v/>
      </c>
      <c r="P263" s="29" t="str">
        <f>IF('12 - Device_Configuration'!L264="","",'12 - Device_Configuration'!L264)</f>
        <v/>
      </c>
      <c r="Q263" s="30"/>
      <c r="R263" s="29" t="str">
        <f>IF('12 - Device_Configuration'!AY264="","",'12 - Device_Configuration'!AY264)</f>
        <v/>
      </c>
      <c r="S263" s="29" t="str">
        <f>IF('12 - Device_Configuration'!AX264="","",'12 - Device_Configuration'!AX264)</f>
        <v/>
      </c>
      <c r="T263" s="29" t="str">
        <f>IF('12 - Device_Configuration'!AV264="","",'12 - Device_Configuration'!AV264)</f>
        <v/>
      </c>
      <c r="U263" s="29" t="str">
        <f>IF('12 - Device_Configuration'!AW264="","",'12 - Device_Configuration'!AW264)</f>
        <v/>
      </c>
      <c r="V263" s="29" t="str">
        <f>IF('12 - Device_Configuration'!BA264="","",'12 - Device_Configuration'!BA264)</f>
        <v/>
      </c>
      <c r="W263" s="29" t="str">
        <f>IF('12 - Device_Configuration'!BC264="","",'12 - Device_Configuration'!BC264)</f>
        <v/>
      </c>
      <c r="X263" s="29" t="str">
        <f>IF('12 - Device_Configuration'!BK264="","",'12 - Device_Configuration'!BK264)</f>
        <v/>
      </c>
      <c r="Y263" s="29" t="str">
        <f>IF('12 - Device_Configuration'!BB264="","",'12 - Device_Configuration'!BB264)</f>
        <v/>
      </c>
      <c r="Z263" s="29" t="str">
        <f>IF('12 - Device_Configuration'!P264="","",'12 - Device_Configuration'!P264)</f>
        <v/>
      </c>
      <c r="AA263" s="29" t="str">
        <f>IF('12 - Device_Configuration'!Q264="","",'12 - Device_Configuration'!Q264)</f>
        <v/>
      </c>
    </row>
    <row r="264" spans="1:27">
      <c r="A264" s="30"/>
      <c r="B264" s="30"/>
      <c r="C264" s="29" t="str">
        <f>IF('12 - Device_Configuration'!H265="","",'12 - Device_Configuration'!H265)</f>
        <v/>
      </c>
      <c r="D264" s="29" t="str">
        <f>IF('12 - Device_Configuration'!AE265="","",'12 - Device_Configuration'!AE265)</f>
        <v/>
      </c>
      <c r="E264" s="29" t="str">
        <f>IF('12 - Device_Configuration'!AF265="","",'12 - Device_Configuration'!AF265)</f>
        <v/>
      </c>
      <c r="F264" s="29" t="str">
        <f>IF('12 - Device_Configuration'!AG265="","",'12 - Device_Configuration'!AG265)</f>
        <v/>
      </c>
      <c r="G264" s="29" t="str">
        <f>IF('12 - Device_Configuration'!AH265="","",'12 - Device_Configuration'!AH265)</f>
        <v/>
      </c>
      <c r="H264" s="29" t="str">
        <f>IF('12 - Device_Configuration'!A265="","",'12 - Device_Configuration'!A265)</f>
        <v/>
      </c>
      <c r="I264" s="29" t="str">
        <f>IF('12 - Device_Configuration'!AI265="","",'12 - Device_Configuration'!AI265)</f>
        <v/>
      </c>
      <c r="J264" s="29" t="str">
        <f>IF('12 - Device_Configuration'!AJ265="","",'12 - Device_Configuration'!AJ265)</f>
        <v/>
      </c>
      <c r="K264" s="29" t="str">
        <f>IF('12 - Device_Configuration'!AA265="","",'12 - Device_Configuration'!AA265)</f>
        <v/>
      </c>
      <c r="L264" s="29" t="str">
        <f>IF('12 - Device_Configuration'!I265="","",'12 - Device_Configuration'!I265)</f>
        <v/>
      </c>
      <c r="M264" s="30"/>
      <c r="N264" s="29" t="str">
        <f>IF('12 - Device_Configuration'!J265="","",'12 - Device_Configuration'!J265)</f>
        <v/>
      </c>
      <c r="O264" s="29" t="str">
        <f>IF('12 - Device_Configuration'!K265="","",'12 - Device_Configuration'!K265)</f>
        <v/>
      </c>
      <c r="P264" s="29" t="str">
        <f>IF('12 - Device_Configuration'!L265="","",'12 - Device_Configuration'!L265)</f>
        <v/>
      </c>
      <c r="Q264" s="30"/>
      <c r="R264" s="29" t="str">
        <f>IF('12 - Device_Configuration'!AY265="","",'12 - Device_Configuration'!AY265)</f>
        <v/>
      </c>
      <c r="S264" s="29" t="str">
        <f>IF('12 - Device_Configuration'!AX265="","",'12 - Device_Configuration'!AX265)</f>
        <v/>
      </c>
      <c r="T264" s="29" t="str">
        <f>IF('12 - Device_Configuration'!AV265="","",'12 - Device_Configuration'!AV265)</f>
        <v/>
      </c>
      <c r="U264" s="29" t="str">
        <f>IF('12 - Device_Configuration'!AW265="","",'12 - Device_Configuration'!AW265)</f>
        <v/>
      </c>
      <c r="V264" s="29" t="str">
        <f>IF('12 - Device_Configuration'!BA265="","",'12 - Device_Configuration'!BA265)</f>
        <v/>
      </c>
      <c r="W264" s="29" t="str">
        <f>IF('12 - Device_Configuration'!BC265="","",'12 - Device_Configuration'!BC265)</f>
        <v/>
      </c>
      <c r="X264" s="29" t="str">
        <f>IF('12 - Device_Configuration'!BK265="","",'12 - Device_Configuration'!BK265)</f>
        <v/>
      </c>
      <c r="Y264" s="29" t="str">
        <f>IF('12 - Device_Configuration'!BB265="","",'12 - Device_Configuration'!BB265)</f>
        <v/>
      </c>
      <c r="Z264" s="29" t="str">
        <f>IF('12 - Device_Configuration'!P265="","",'12 - Device_Configuration'!P265)</f>
        <v/>
      </c>
      <c r="AA264" s="29" t="str">
        <f>IF('12 - Device_Configuration'!Q265="","",'12 - Device_Configuration'!Q265)</f>
        <v/>
      </c>
    </row>
    <row r="265" spans="1:27">
      <c r="A265" s="30"/>
      <c r="B265" s="30"/>
      <c r="C265" s="29" t="str">
        <f>IF('12 - Device_Configuration'!H266="","",'12 - Device_Configuration'!H266)</f>
        <v/>
      </c>
      <c r="D265" s="29" t="str">
        <f>IF('12 - Device_Configuration'!AE266="","",'12 - Device_Configuration'!AE266)</f>
        <v/>
      </c>
      <c r="E265" s="29" t="str">
        <f>IF('12 - Device_Configuration'!AF266="","",'12 - Device_Configuration'!AF266)</f>
        <v/>
      </c>
      <c r="F265" s="29" t="str">
        <f>IF('12 - Device_Configuration'!AG266="","",'12 - Device_Configuration'!AG266)</f>
        <v/>
      </c>
      <c r="G265" s="29" t="str">
        <f>IF('12 - Device_Configuration'!AH266="","",'12 - Device_Configuration'!AH266)</f>
        <v/>
      </c>
      <c r="H265" s="29" t="str">
        <f>IF('12 - Device_Configuration'!A266="","",'12 - Device_Configuration'!A266)</f>
        <v/>
      </c>
      <c r="I265" s="29" t="str">
        <f>IF('12 - Device_Configuration'!AI266="","",'12 - Device_Configuration'!AI266)</f>
        <v/>
      </c>
      <c r="J265" s="29" t="str">
        <f>IF('12 - Device_Configuration'!AJ266="","",'12 - Device_Configuration'!AJ266)</f>
        <v/>
      </c>
      <c r="K265" s="29" t="str">
        <f>IF('12 - Device_Configuration'!AA266="","",'12 - Device_Configuration'!AA266)</f>
        <v/>
      </c>
      <c r="L265" s="29" t="str">
        <f>IF('12 - Device_Configuration'!I266="","",'12 - Device_Configuration'!I266)</f>
        <v/>
      </c>
      <c r="M265" s="30"/>
      <c r="N265" s="29" t="str">
        <f>IF('12 - Device_Configuration'!J266="","",'12 - Device_Configuration'!J266)</f>
        <v/>
      </c>
      <c r="O265" s="29" t="str">
        <f>IF('12 - Device_Configuration'!K266="","",'12 - Device_Configuration'!K266)</f>
        <v/>
      </c>
      <c r="P265" s="29" t="str">
        <f>IF('12 - Device_Configuration'!L266="","",'12 - Device_Configuration'!L266)</f>
        <v/>
      </c>
      <c r="Q265" s="30"/>
      <c r="R265" s="29" t="str">
        <f>IF('12 - Device_Configuration'!AY266="","",'12 - Device_Configuration'!AY266)</f>
        <v/>
      </c>
      <c r="S265" s="29" t="str">
        <f>IF('12 - Device_Configuration'!AX266="","",'12 - Device_Configuration'!AX266)</f>
        <v/>
      </c>
      <c r="T265" s="29" t="str">
        <f>IF('12 - Device_Configuration'!AV266="","",'12 - Device_Configuration'!AV266)</f>
        <v/>
      </c>
      <c r="U265" s="29" t="str">
        <f>IF('12 - Device_Configuration'!AW266="","",'12 - Device_Configuration'!AW266)</f>
        <v/>
      </c>
      <c r="V265" s="29" t="str">
        <f>IF('12 - Device_Configuration'!BA266="","",'12 - Device_Configuration'!BA266)</f>
        <v/>
      </c>
      <c r="W265" s="29" t="str">
        <f>IF('12 - Device_Configuration'!BC266="","",'12 - Device_Configuration'!BC266)</f>
        <v/>
      </c>
      <c r="X265" s="29" t="str">
        <f>IF('12 - Device_Configuration'!BK266="","",'12 - Device_Configuration'!BK266)</f>
        <v/>
      </c>
      <c r="Y265" s="29" t="str">
        <f>IF('12 - Device_Configuration'!BB266="","",'12 - Device_Configuration'!BB266)</f>
        <v/>
      </c>
      <c r="Z265" s="29" t="str">
        <f>IF('12 - Device_Configuration'!P266="","",'12 - Device_Configuration'!P266)</f>
        <v/>
      </c>
      <c r="AA265" s="29" t="str">
        <f>IF('12 - Device_Configuration'!Q266="","",'12 - Device_Configuration'!Q266)</f>
        <v/>
      </c>
    </row>
    <row r="266" spans="1:27">
      <c r="A266" s="30"/>
      <c r="B266" s="30"/>
      <c r="C266" s="29" t="str">
        <f>IF('12 - Device_Configuration'!H267="","",'12 - Device_Configuration'!H267)</f>
        <v/>
      </c>
      <c r="D266" s="29" t="str">
        <f>IF('12 - Device_Configuration'!AE267="","",'12 - Device_Configuration'!AE267)</f>
        <v/>
      </c>
      <c r="E266" s="29" t="str">
        <f>IF('12 - Device_Configuration'!AF267="","",'12 - Device_Configuration'!AF267)</f>
        <v/>
      </c>
      <c r="F266" s="29" t="str">
        <f>IF('12 - Device_Configuration'!AG267="","",'12 - Device_Configuration'!AG267)</f>
        <v/>
      </c>
      <c r="G266" s="29" t="str">
        <f>IF('12 - Device_Configuration'!AH267="","",'12 - Device_Configuration'!AH267)</f>
        <v/>
      </c>
      <c r="H266" s="29" t="str">
        <f>IF('12 - Device_Configuration'!A267="","",'12 - Device_Configuration'!A267)</f>
        <v/>
      </c>
      <c r="I266" s="29" t="str">
        <f>IF('12 - Device_Configuration'!AI267="","",'12 - Device_Configuration'!AI267)</f>
        <v/>
      </c>
      <c r="J266" s="29" t="str">
        <f>IF('12 - Device_Configuration'!AJ267="","",'12 - Device_Configuration'!AJ267)</f>
        <v/>
      </c>
      <c r="K266" s="29" t="str">
        <f>IF('12 - Device_Configuration'!AA267="","",'12 - Device_Configuration'!AA267)</f>
        <v/>
      </c>
      <c r="L266" s="29" t="str">
        <f>IF('12 - Device_Configuration'!I267="","",'12 - Device_Configuration'!I267)</f>
        <v/>
      </c>
      <c r="M266" s="30"/>
      <c r="N266" s="29" t="str">
        <f>IF('12 - Device_Configuration'!J267="","",'12 - Device_Configuration'!J267)</f>
        <v/>
      </c>
      <c r="O266" s="29" t="str">
        <f>IF('12 - Device_Configuration'!K267="","",'12 - Device_Configuration'!K267)</f>
        <v/>
      </c>
      <c r="P266" s="29" t="str">
        <f>IF('12 - Device_Configuration'!L267="","",'12 - Device_Configuration'!L267)</f>
        <v/>
      </c>
      <c r="Q266" s="30"/>
      <c r="R266" s="29" t="str">
        <f>IF('12 - Device_Configuration'!AY267="","",'12 - Device_Configuration'!AY267)</f>
        <v/>
      </c>
      <c r="S266" s="29" t="str">
        <f>IF('12 - Device_Configuration'!AX267="","",'12 - Device_Configuration'!AX267)</f>
        <v/>
      </c>
      <c r="T266" s="29" t="str">
        <f>IF('12 - Device_Configuration'!AV267="","",'12 - Device_Configuration'!AV267)</f>
        <v/>
      </c>
      <c r="U266" s="29" t="str">
        <f>IF('12 - Device_Configuration'!AW267="","",'12 - Device_Configuration'!AW267)</f>
        <v/>
      </c>
      <c r="V266" s="29" t="str">
        <f>IF('12 - Device_Configuration'!BA267="","",'12 - Device_Configuration'!BA267)</f>
        <v/>
      </c>
      <c r="W266" s="29" t="str">
        <f>IF('12 - Device_Configuration'!BC267="","",'12 - Device_Configuration'!BC267)</f>
        <v/>
      </c>
      <c r="X266" s="29" t="str">
        <f>IF('12 - Device_Configuration'!BK267="","",'12 - Device_Configuration'!BK267)</f>
        <v/>
      </c>
      <c r="Y266" s="29" t="str">
        <f>IF('12 - Device_Configuration'!BB267="","",'12 - Device_Configuration'!BB267)</f>
        <v/>
      </c>
      <c r="Z266" s="29" t="str">
        <f>IF('12 - Device_Configuration'!P267="","",'12 - Device_Configuration'!P267)</f>
        <v/>
      </c>
      <c r="AA266" s="29" t="str">
        <f>IF('12 - Device_Configuration'!Q267="","",'12 - Device_Configuration'!Q267)</f>
        <v/>
      </c>
    </row>
    <row r="267" spans="1:27">
      <c r="A267" s="30"/>
      <c r="B267" s="30"/>
      <c r="C267" s="29" t="str">
        <f>IF('12 - Device_Configuration'!H268="","",'12 - Device_Configuration'!H268)</f>
        <v/>
      </c>
      <c r="D267" s="29" t="str">
        <f>IF('12 - Device_Configuration'!AE268="","",'12 - Device_Configuration'!AE268)</f>
        <v/>
      </c>
      <c r="E267" s="29" t="str">
        <f>IF('12 - Device_Configuration'!AF268="","",'12 - Device_Configuration'!AF268)</f>
        <v/>
      </c>
      <c r="F267" s="29" t="str">
        <f>IF('12 - Device_Configuration'!AG268="","",'12 - Device_Configuration'!AG268)</f>
        <v/>
      </c>
      <c r="G267" s="29" t="str">
        <f>IF('12 - Device_Configuration'!AH268="","",'12 - Device_Configuration'!AH268)</f>
        <v/>
      </c>
      <c r="H267" s="29" t="str">
        <f>IF('12 - Device_Configuration'!A268="","",'12 - Device_Configuration'!A268)</f>
        <v/>
      </c>
      <c r="I267" s="29" t="str">
        <f>IF('12 - Device_Configuration'!AI268="","",'12 - Device_Configuration'!AI268)</f>
        <v/>
      </c>
      <c r="J267" s="29" t="str">
        <f>IF('12 - Device_Configuration'!AJ268="","",'12 - Device_Configuration'!AJ268)</f>
        <v/>
      </c>
      <c r="K267" s="29" t="str">
        <f>IF('12 - Device_Configuration'!AA268="","",'12 - Device_Configuration'!AA268)</f>
        <v/>
      </c>
      <c r="L267" s="29" t="str">
        <f>IF('12 - Device_Configuration'!I268="","",'12 - Device_Configuration'!I268)</f>
        <v/>
      </c>
      <c r="M267" s="30"/>
      <c r="N267" s="29" t="str">
        <f>IF('12 - Device_Configuration'!J268="","",'12 - Device_Configuration'!J268)</f>
        <v/>
      </c>
      <c r="O267" s="29" t="str">
        <f>IF('12 - Device_Configuration'!K268="","",'12 - Device_Configuration'!K268)</f>
        <v/>
      </c>
      <c r="P267" s="29" t="str">
        <f>IF('12 - Device_Configuration'!L268="","",'12 - Device_Configuration'!L268)</f>
        <v/>
      </c>
      <c r="Q267" s="30"/>
      <c r="R267" s="29" t="str">
        <f>IF('12 - Device_Configuration'!AY268="","",'12 - Device_Configuration'!AY268)</f>
        <v/>
      </c>
      <c r="S267" s="29" t="str">
        <f>IF('12 - Device_Configuration'!AX268="","",'12 - Device_Configuration'!AX268)</f>
        <v/>
      </c>
      <c r="T267" s="29" t="str">
        <f>IF('12 - Device_Configuration'!AV268="","",'12 - Device_Configuration'!AV268)</f>
        <v/>
      </c>
      <c r="U267" s="29" t="str">
        <f>IF('12 - Device_Configuration'!AW268="","",'12 - Device_Configuration'!AW268)</f>
        <v/>
      </c>
      <c r="V267" s="29" t="str">
        <f>IF('12 - Device_Configuration'!BA268="","",'12 - Device_Configuration'!BA268)</f>
        <v/>
      </c>
      <c r="W267" s="29" t="str">
        <f>IF('12 - Device_Configuration'!BC268="","",'12 - Device_Configuration'!BC268)</f>
        <v/>
      </c>
      <c r="X267" s="29" t="str">
        <f>IF('12 - Device_Configuration'!BK268="","",'12 - Device_Configuration'!BK268)</f>
        <v/>
      </c>
      <c r="Y267" s="29" t="str">
        <f>IF('12 - Device_Configuration'!BB268="","",'12 - Device_Configuration'!BB268)</f>
        <v/>
      </c>
      <c r="Z267" s="29" t="str">
        <f>IF('12 - Device_Configuration'!P268="","",'12 - Device_Configuration'!P268)</f>
        <v/>
      </c>
      <c r="AA267" s="29" t="str">
        <f>IF('12 - Device_Configuration'!Q268="","",'12 - Device_Configuration'!Q268)</f>
        <v/>
      </c>
    </row>
    <row r="268" spans="1:27">
      <c r="A268" s="30"/>
      <c r="B268" s="30"/>
      <c r="C268" s="29" t="str">
        <f>IF('12 - Device_Configuration'!H269="","",'12 - Device_Configuration'!H269)</f>
        <v/>
      </c>
      <c r="D268" s="29" t="str">
        <f>IF('12 - Device_Configuration'!AE269="","",'12 - Device_Configuration'!AE269)</f>
        <v/>
      </c>
      <c r="E268" s="29" t="str">
        <f>IF('12 - Device_Configuration'!AF269="","",'12 - Device_Configuration'!AF269)</f>
        <v/>
      </c>
      <c r="F268" s="29" t="str">
        <f>IF('12 - Device_Configuration'!AG269="","",'12 - Device_Configuration'!AG269)</f>
        <v/>
      </c>
      <c r="G268" s="29" t="str">
        <f>IF('12 - Device_Configuration'!AH269="","",'12 - Device_Configuration'!AH269)</f>
        <v/>
      </c>
      <c r="H268" s="29" t="str">
        <f>IF('12 - Device_Configuration'!A269="","",'12 - Device_Configuration'!A269)</f>
        <v/>
      </c>
      <c r="I268" s="29" t="str">
        <f>IF('12 - Device_Configuration'!AI269="","",'12 - Device_Configuration'!AI269)</f>
        <v/>
      </c>
      <c r="J268" s="29" t="str">
        <f>IF('12 - Device_Configuration'!AJ269="","",'12 - Device_Configuration'!AJ269)</f>
        <v/>
      </c>
      <c r="K268" s="29" t="str">
        <f>IF('12 - Device_Configuration'!AA269="","",'12 - Device_Configuration'!AA269)</f>
        <v/>
      </c>
      <c r="L268" s="29" t="str">
        <f>IF('12 - Device_Configuration'!I269="","",'12 - Device_Configuration'!I269)</f>
        <v/>
      </c>
      <c r="M268" s="30"/>
      <c r="N268" s="29" t="str">
        <f>IF('12 - Device_Configuration'!J269="","",'12 - Device_Configuration'!J269)</f>
        <v/>
      </c>
      <c r="O268" s="29" t="str">
        <f>IF('12 - Device_Configuration'!K269="","",'12 - Device_Configuration'!K269)</f>
        <v/>
      </c>
      <c r="P268" s="29" t="str">
        <f>IF('12 - Device_Configuration'!L269="","",'12 - Device_Configuration'!L269)</f>
        <v/>
      </c>
      <c r="Q268" s="30"/>
      <c r="R268" s="29" t="str">
        <f>IF('12 - Device_Configuration'!AY269="","",'12 - Device_Configuration'!AY269)</f>
        <v/>
      </c>
      <c r="S268" s="29" t="str">
        <f>IF('12 - Device_Configuration'!AX269="","",'12 - Device_Configuration'!AX269)</f>
        <v/>
      </c>
      <c r="T268" s="29" t="str">
        <f>IF('12 - Device_Configuration'!AV269="","",'12 - Device_Configuration'!AV269)</f>
        <v/>
      </c>
      <c r="U268" s="29" t="str">
        <f>IF('12 - Device_Configuration'!AW269="","",'12 - Device_Configuration'!AW269)</f>
        <v/>
      </c>
      <c r="V268" s="29" t="str">
        <f>IF('12 - Device_Configuration'!BA269="","",'12 - Device_Configuration'!BA269)</f>
        <v/>
      </c>
      <c r="W268" s="29" t="str">
        <f>IF('12 - Device_Configuration'!BC269="","",'12 - Device_Configuration'!BC269)</f>
        <v/>
      </c>
      <c r="X268" s="29" t="str">
        <f>IF('12 - Device_Configuration'!BK269="","",'12 - Device_Configuration'!BK269)</f>
        <v/>
      </c>
      <c r="Y268" s="29" t="str">
        <f>IF('12 - Device_Configuration'!BB269="","",'12 - Device_Configuration'!BB269)</f>
        <v/>
      </c>
      <c r="Z268" s="29" t="str">
        <f>IF('12 - Device_Configuration'!P269="","",'12 - Device_Configuration'!P269)</f>
        <v/>
      </c>
      <c r="AA268" s="29" t="str">
        <f>IF('12 - Device_Configuration'!Q269="","",'12 - Device_Configuration'!Q269)</f>
        <v/>
      </c>
    </row>
    <row r="269" spans="1:27">
      <c r="A269" s="30"/>
      <c r="B269" s="30"/>
      <c r="C269" s="29" t="str">
        <f>IF('12 - Device_Configuration'!H270="","",'12 - Device_Configuration'!H270)</f>
        <v/>
      </c>
      <c r="D269" s="29" t="str">
        <f>IF('12 - Device_Configuration'!AE270="","",'12 - Device_Configuration'!AE270)</f>
        <v/>
      </c>
      <c r="E269" s="29" t="str">
        <f>IF('12 - Device_Configuration'!AF270="","",'12 - Device_Configuration'!AF270)</f>
        <v/>
      </c>
      <c r="F269" s="29" t="str">
        <f>IF('12 - Device_Configuration'!AG270="","",'12 - Device_Configuration'!AG270)</f>
        <v/>
      </c>
      <c r="G269" s="29" t="str">
        <f>IF('12 - Device_Configuration'!AH270="","",'12 - Device_Configuration'!AH270)</f>
        <v/>
      </c>
      <c r="H269" s="29" t="str">
        <f>IF('12 - Device_Configuration'!A270="","",'12 - Device_Configuration'!A270)</f>
        <v/>
      </c>
      <c r="I269" s="29" t="str">
        <f>IF('12 - Device_Configuration'!AI270="","",'12 - Device_Configuration'!AI270)</f>
        <v/>
      </c>
      <c r="J269" s="29" t="str">
        <f>IF('12 - Device_Configuration'!AJ270="","",'12 - Device_Configuration'!AJ270)</f>
        <v/>
      </c>
      <c r="K269" s="29" t="str">
        <f>IF('12 - Device_Configuration'!AA270="","",'12 - Device_Configuration'!AA270)</f>
        <v/>
      </c>
      <c r="L269" s="29" t="str">
        <f>IF('12 - Device_Configuration'!I270="","",'12 - Device_Configuration'!I270)</f>
        <v/>
      </c>
      <c r="M269" s="30"/>
      <c r="N269" s="29" t="str">
        <f>IF('12 - Device_Configuration'!J270="","",'12 - Device_Configuration'!J270)</f>
        <v/>
      </c>
      <c r="O269" s="29" t="str">
        <f>IF('12 - Device_Configuration'!K270="","",'12 - Device_Configuration'!K270)</f>
        <v/>
      </c>
      <c r="P269" s="29" t="str">
        <f>IF('12 - Device_Configuration'!L270="","",'12 - Device_Configuration'!L270)</f>
        <v/>
      </c>
      <c r="Q269" s="30"/>
      <c r="R269" s="29" t="str">
        <f>IF('12 - Device_Configuration'!AY270="","",'12 - Device_Configuration'!AY270)</f>
        <v/>
      </c>
      <c r="S269" s="29" t="str">
        <f>IF('12 - Device_Configuration'!AX270="","",'12 - Device_Configuration'!AX270)</f>
        <v/>
      </c>
      <c r="T269" s="29" t="str">
        <f>IF('12 - Device_Configuration'!AV270="","",'12 - Device_Configuration'!AV270)</f>
        <v/>
      </c>
      <c r="U269" s="29" t="str">
        <f>IF('12 - Device_Configuration'!AW270="","",'12 - Device_Configuration'!AW270)</f>
        <v/>
      </c>
      <c r="V269" s="29" t="str">
        <f>IF('12 - Device_Configuration'!BA270="","",'12 - Device_Configuration'!BA270)</f>
        <v/>
      </c>
      <c r="W269" s="29" t="str">
        <f>IF('12 - Device_Configuration'!BC270="","",'12 - Device_Configuration'!BC270)</f>
        <v/>
      </c>
      <c r="X269" s="29" t="str">
        <f>IF('12 - Device_Configuration'!BK270="","",'12 - Device_Configuration'!BK270)</f>
        <v/>
      </c>
      <c r="Y269" s="29" t="str">
        <f>IF('12 - Device_Configuration'!BB270="","",'12 - Device_Configuration'!BB270)</f>
        <v/>
      </c>
      <c r="Z269" s="29" t="str">
        <f>IF('12 - Device_Configuration'!P270="","",'12 - Device_Configuration'!P270)</f>
        <v/>
      </c>
      <c r="AA269" s="29" t="str">
        <f>IF('12 - Device_Configuration'!Q270="","",'12 - Device_Configuration'!Q270)</f>
        <v/>
      </c>
    </row>
    <row r="270" spans="1:27">
      <c r="A270" s="30"/>
      <c r="B270" s="30"/>
      <c r="C270" s="29" t="str">
        <f>IF('12 - Device_Configuration'!H271="","",'12 - Device_Configuration'!H271)</f>
        <v/>
      </c>
      <c r="D270" s="29" t="str">
        <f>IF('12 - Device_Configuration'!AE271="","",'12 - Device_Configuration'!AE271)</f>
        <v/>
      </c>
      <c r="E270" s="29" t="str">
        <f>IF('12 - Device_Configuration'!AF271="","",'12 - Device_Configuration'!AF271)</f>
        <v/>
      </c>
      <c r="F270" s="29" t="str">
        <f>IF('12 - Device_Configuration'!AG271="","",'12 - Device_Configuration'!AG271)</f>
        <v/>
      </c>
      <c r="G270" s="29" t="str">
        <f>IF('12 - Device_Configuration'!AH271="","",'12 - Device_Configuration'!AH271)</f>
        <v/>
      </c>
      <c r="H270" s="29" t="str">
        <f>IF('12 - Device_Configuration'!A271="","",'12 - Device_Configuration'!A271)</f>
        <v/>
      </c>
      <c r="I270" s="29" t="str">
        <f>IF('12 - Device_Configuration'!AI271="","",'12 - Device_Configuration'!AI271)</f>
        <v/>
      </c>
      <c r="J270" s="29" t="str">
        <f>IF('12 - Device_Configuration'!AJ271="","",'12 - Device_Configuration'!AJ271)</f>
        <v/>
      </c>
      <c r="K270" s="29" t="str">
        <f>IF('12 - Device_Configuration'!AA271="","",'12 - Device_Configuration'!AA271)</f>
        <v/>
      </c>
      <c r="L270" s="29" t="str">
        <f>IF('12 - Device_Configuration'!I271="","",'12 - Device_Configuration'!I271)</f>
        <v/>
      </c>
      <c r="M270" s="30"/>
      <c r="N270" s="29" t="str">
        <f>IF('12 - Device_Configuration'!J271="","",'12 - Device_Configuration'!J271)</f>
        <v/>
      </c>
      <c r="O270" s="29" t="str">
        <f>IF('12 - Device_Configuration'!K271="","",'12 - Device_Configuration'!K271)</f>
        <v/>
      </c>
      <c r="P270" s="29" t="str">
        <f>IF('12 - Device_Configuration'!L271="","",'12 - Device_Configuration'!L271)</f>
        <v/>
      </c>
      <c r="Q270" s="30"/>
      <c r="R270" s="29" t="str">
        <f>IF('12 - Device_Configuration'!AY271="","",'12 - Device_Configuration'!AY271)</f>
        <v/>
      </c>
      <c r="S270" s="29" t="str">
        <f>IF('12 - Device_Configuration'!AX271="","",'12 - Device_Configuration'!AX271)</f>
        <v/>
      </c>
      <c r="T270" s="29" t="str">
        <f>IF('12 - Device_Configuration'!AV271="","",'12 - Device_Configuration'!AV271)</f>
        <v/>
      </c>
      <c r="U270" s="29" t="str">
        <f>IF('12 - Device_Configuration'!AW271="","",'12 - Device_Configuration'!AW271)</f>
        <v/>
      </c>
      <c r="V270" s="29" t="str">
        <f>IF('12 - Device_Configuration'!BA271="","",'12 - Device_Configuration'!BA271)</f>
        <v/>
      </c>
      <c r="W270" s="29" t="str">
        <f>IF('12 - Device_Configuration'!BC271="","",'12 - Device_Configuration'!BC271)</f>
        <v/>
      </c>
      <c r="X270" s="29" t="str">
        <f>IF('12 - Device_Configuration'!BK271="","",'12 - Device_Configuration'!BK271)</f>
        <v/>
      </c>
      <c r="Y270" s="29" t="str">
        <f>IF('12 - Device_Configuration'!BB271="","",'12 - Device_Configuration'!BB271)</f>
        <v/>
      </c>
      <c r="Z270" s="29" t="str">
        <f>IF('12 - Device_Configuration'!P271="","",'12 - Device_Configuration'!P271)</f>
        <v/>
      </c>
      <c r="AA270" s="29" t="str">
        <f>IF('12 - Device_Configuration'!Q271="","",'12 - Device_Configuration'!Q271)</f>
        <v/>
      </c>
    </row>
    <row r="271" spans="1:27">
      <c r="A271" s="30"/>
      <c r="B271" s="30"/>
      <c r="C271" s="29" t="str">
        <f>IF('12 - Device_Configuration'!H272="","",'12 - Device_Configuration'!H272)</f>
        <v/>
      </c>
      <c r="D271" s="29" t="str">
        <f>IF('12 - Device_Configuration'!AE272="","",'12 - Device_Configuration'!AE272)</f>
        <v/>
      </c>
      <c r="E271" s="29" t="str">
        <f>IF('12 - Device_Configuration'!AF272="","",'12 - Device_Configuration'!AF272)</f>
        <v/>
      </c>
      <c r="F271" s="29" t="str">
        <f>IF('12 - Device_Configuration'!AG272="","",'12 - Device_Configuration'!AG272)</f>
        <v/>
      </c>
      <c r="G271" s="29" t="str">
        <f>IF('12 - Device_Configuration'!AH272="","",'12 - Device_Configuration'!AH272)</f>
        <v/>
      </c>
      <c r="H271" s="29" t="str">
        <f>IF('12 - Device_Configuration'!A272="","",'12 - Device_Configuration'!A272)</f>
        <v/>
      </c>
      <c r="I271" s="29" t="str">
        <f>IF('12 - Device_Configuration'!AI272="","",'12 - Device_Configuration'!AI272)</f>
        <v/>
      </c>
      <c r="J271" s="29" t="str">
        <f>IF('12 - Device_Configuration'!AJ272="","",'12 - Device_Configuration'!AJ272)</f>
        <v/>
      </c>
      <c r="K271" s="29" t="str">
        <f>IF('12 - Device_Configuration'!AA272="","",'12 - Device_Configuration'!AA272)</f>
        <v/>
      </c>
      <c r="L271" s="29" t="str">
        <f>IF('12 - Device_Configuration'!I272="","",'12 - Device_Configuration'!I272)</f>
        <v/>
      </c>
      <c r="M271" s="30"/>
      <c r="N271" s="29" t="str">
        <f>IF('12 - Device_Configuration'!J272="","",'12 - Device_Configuration'!J272)</f>
        <v/>
      </c>
      <c r="O271" s="29" t="str">
        <f>IF('12 - Device_Configuration'!K272="","",'12 - Device_Configuration'!K272)</f>
        <v/>
      </c>
      <c r="P271" s="29" t="str">
        <f>IF('12 - Device_Configuration'!L272="","",'12 - Device_Configuration'!L272)</f>
        <v/>
      </c>
      <c r="Q271" s="30"/>
      <c r="R271" s="29" t="str">
        <f>IF('12 - Device_Configuration'!AY272="","",'12 - Device_Configuration'!AY272)</f>
        <v/>
      </c>
      <c r="S271" s="29" t="str">
        <f>IF('12 - Device_Configuration'!AX272="","",'12 - Device_Configuration'!AX272)</f>
        <v/>
      </c>
      <c r="T271" s="29" t="str">
        <f>IF('12 - Device_Configuration'!AV272="","",'12 - Device_Configuration'!AV272)</f>
        <v/>
      </c>
      <c r="U271" s="29" t="str">
        <f>IF('12 - Device_Configuration'!AW272="","",'12 - Device_Configuration'!AW272)</f>
        <v/>
      </c>
      <c r="V271" s="29" t="str">
        <f>IF('12 - Device_Configuration'!BA272="","",'12 - Device_Configuration'!BA272)</f>
        <v/>
      </c>
      <c r="W271" s="29" t="str">
        <f>IF('12 - Device_Configuration'!BC272="","",'12 - Device_Configuration'!BC272)</f>
        <v/>
      </c>
      <c r="X271" s="29" t="str">
        <f>IF('12 - Device_Configuration'!BK272="","",'12 - Device_Configuration'!BK272)</f>
        <v/>
      </c>
      <c r="Y271" s="29" t="str">
        <f>IF('12 - Device_Configuration'!BB272="","",'12 - Device_Configuration'!BB272)</f>
        <v/>
      </c>
      <c r="Z271" s="29" t="str">
        <f>IF('12 - Device_Configuration'!P272="","",'12 - Device_Configuration'!P272)</f>
        <v/>
      </c>
      <c r="AA271" s="29" t="str">
        <f>IF('12 - Device_Configuration'!Q272="","",'12 - Device_Configuration'!Q272)</f>
        <v/>
      </c>
    </row>
    <row r="272" spans="1:27">
      <c r="A272" s="30"/>
      <c r="B272" s="30"/>
      <c r="C272" s="29" t="str">
        <f>IF('12 - Device_Configuration'!H273="","",'12 - Device_Configuration'!H273)</f>
        <v/>
      </c>
      <c r="D272" s="29" t="str">
        <f>IF('12 - Device_Configuration'!AE273="","",'12 - Device_Configuration'!AE273)</f>
        <v/>
      </c>
      <c r="E272" s="29" t="str">
        <f>IF('12 - Device_Configuration'!AF273="","",'12 - Device_Configuration'!AF273)</f>
        <v/>
      </c>
      <c r="F272" s="29" t="str">
        <f>IF('12 - Device_Configuration'!AG273="","",'12 - Device_Configuration'!AG273)</f>
        <v/>
      </c>
      <c r="G272" s="29" t="str">
        <f>IF('12 - Device_Configuration'!AH273="","",'12 - Device_Configuration'!AH273)</f>
        <v/>
      </c>
      <c r="H272" s="29" t="str">
        <f>IF('12 - Device_Configuration'!A273="","",'12 - Device_Configuration'!A273)</f>
        <v/>
      </c>
      <c r="I272" s="29" t="str">
        <f>IF('12 - Device_Configuration'!AI273="","",'12 - Device_Configuration'!AI273)</f>
        <v/>
      </c>
      <c r="J272" s="29" t="str">
        <f>IF('12 - Device_Configuration'!AJ273="","",'12 - Device_Configuration'!AJ273)</f>
        <v/>
      </c>
      <c r="K272" s="29" t="str">
        <f>IF('12 - Device_Configuration'!AA273="","",'12 - Device_Configuration'!AA273)</f>
        <v/>
      </c>
      <c r="L272" s="29" t="str">
        <f>IF('12 - Device_Configuration'!I273="","",'12 - Device_Configuration'!I273)</f>
        <v/>
      </c>
      <c r="M272" s="30"/>
      <c r="N272" s="29" t="str">
        <f>IF('12 - Device_Configuration'!J273="","",'12 - Device_Configuration'!J273)</f>
        <v/>
      </c>
      <c r="O272" s="29" t="str">
        <f>IF('12 - Device_Configuration'!K273="","",'12 - Device_Configuration'!K273)</f>
        <v/>
      </c>
      <c r="P272" s="29" t="str">
        <f>IF('12 - Device_Configuration'!L273="","",'12 - Device_Configuration'!L273)</f>
        <v/>
      </c>
      <c r="Q272" s="30"/>
      <c r="R272" s="29" t="str">
        <f>IF('12 - Device_Configuration'!AY273="","",'12 - Device_Configuration'!AY273)</f>
        <v/>
      </c>
      <c r="S272" s="29" t="str">
        <f>IF('12 - Device_Configuration'!AX273="","",'12 - Device_Configuration'!AX273)</f>
        <v/>
      </c>
      <c r="T272" s="29" t="str">
        <f>IF('12 - Device_Configuration'!AV273="","",'12 - Device_Configuration'!AV273)</f>
        <v/>
      </c>
      <c r="U272" s="29" t="str">
        <f>IF('12 - Device_Configuration'!AW273="","",'12 - Device_Configuration'!AW273)</f>
        <v/>
      </c>
      <c r="V272" s="29" t="str">
        <f>IF('12 - Device_Configuration'!BA273="","",'12 - Device_Configuration'!BA273)</f>
        <v/>
      </c>
      <c r="W272" s="29" t="str">
        <f>IF('12 - Device_Configuration'!BC273="","",'12 - Device_Configuration'!BC273)</f>
        <v/>
      </c>
      <c r="X272" s="29" t="str">
        <f>IF('12 - Device_Configuration'!BK273="","",'12 - Device_Configuration'!BK273)</f>
        <v/>
      </c>
      <c r="Y272" s="29" t="str">
        <f>IF('12 - Device_Configuration'!BB273="","",'12 - Device_Configuration'!BB273)</f>
        <v/>
      </c>
      <c r="Z272" s="29" t="str">
        <f>IF('12 - Device_Configuration'!P273="","",'12 - Device_Configuration'!P273)</f>
        <v/>
      </c>
      <c r="AA272" s="29" t="str">
        <f>IF('12 - Device_Configuration'!Q273="","",'12 - Device_Configuration'!Q273)</f>
        <v/>
      </c>
    </row>
    <row r="273" spans="1:27">
      <c r="A273" s="30"/>
      <c r="B273" s="30"/>
      <c r="C273" s="29" t="str">
        <f>IF('12 - Device_Configuration'!H274="","",'12 - Device_Configuration'!H274)</f>
        <v/>
      </c>
      <c r="D273" s="29" t="str">
        <f>IF('12 - Device_Configuration'!AE274="","",'12 - Device_Configuration'!AE274)</f>
        <v/>
      </c>
      <c r="E273" s="29" t="str">
        <f>IF('12 - Device_Configuration'!AF274="","",'12 - Device_Configuration'!AF274)</f>
        <v/>
      </c>
      <c r="F273" s="29" t="str">
        <f>IF('12 - Device_Configuration'!AG274="","",'12 - Device_Configuration'!AG274)</f>
        <v/>
      </c>
      <c r="G273" s="29" t="str">
        <f>IF('12 - Device_Configuration'!AH274="","",'12 - Device_Configuration'!AH274)</f>
        <v/>
      </c>
      <c r="H273" s="29" t="str">
        <f>IF('12 - Device_Configuration'!A274="","",'12 - Device_Configuration'!A274)</f>
        <v/>
      </c>
      <c r="I273" s="29" t="str">
        <f>IF('12 - Device_Configuration'!AI274="","",'12 - Device_Configuration'!AI274)</f>
        <v/>
      </c>
      <c r="J273" s="29" t="str">
        <f>IF('12 - Device_Configuration'!AJ274="","",'12 - Device_Configuration'!AJ274)</f>
        <v/>
      </c>
      <c r="K273" s="29" t="str">
        <f>IF('12 - Device_Configuration'!AA274="","",'12 - Device_Configuration'!AA274)</f>
        <v/>
      </c>
      <c r="L273" s="29" t="str">
        <f>IF('12 - Device_Configuration'!I274="","",'12 - Device_Configuration'!I274)</f>
        <v/>
      </c>
      <c r="M273" s="30"/>
      <c r="N273" s="29" t="str">
        <f>IF('12 - Device_Configuration'!J274="","",'12 - Device_Configuration'!J274)</f>
        <v/>
      </c>
      <c r="O273" s="29" t="str">
        <f>IF('12 - Device_Configuration'!K274="","",'12 - Device_Configuration'!K274)</f>
        <v/>
      </c>
      <c r="P273" s="29" t="str">
        <f>IF('12 - Device_Configuration'!L274="","",'12 - Device_Configuration'!L274)</f>
        <v/>
      </c>
      <c r="Q273" s="30"/>
      <c r="R273" s="29" t="str">
        <f>IF('12 - Device_Configuration'!AY274="","",'12 - Device_Configuration'!AY274)</f>
        <v/>
      </c>
      <c r="S273" s="29" t="str">
        <f>IF('12 - Device_Configuration'!AX274="","",'12 - Device_Configuration'!AX274)</f>
        <v/>
      </c>
      <c r="T273" s="29" t="str">
        <f>IF('12 - Device_Configuration'!AV274="","",'12 - Device_Configuration'!AV274)</f>
        <v/>
      </c>
      <c r="U273" s="29" t="str">
        <f>IF('12 - Device_Configuration'!AW274="","",'12 - Device_Configuration'!AW274)</f>
        <v/>
      </c>
      <c r="V273" s="29" t="str">
        <f>IF('12 - Device_Configuration'!BA274="","",'12 - Device_Configuration'!BA274)</f>
        <v/>
      </c>
      <c r="W273" s="29" t="str">
        <f>IF('12 - Device_Configuration'!BC274="","",'12 - Device_Configuration'!BC274)</f>
        <v/>
      </c>
      <c r="X273" s="29" t="str">
        <f>IF('12 - Device_Configuration'!BK274="","",'12 - Device_Configuration'!BK274)</f>
        <v/>
      </c>
      <c r="Y273" s="29" t="str">
        <f>IF('12 - Device_Configuration'!BB274="","",'12 - Device_Configuration'!BB274)</f>
        <v/>
      </c>
      <c r="Z273" s="29" t="str">
        <f>IF('12 - Device_Configuration'!P274="","",'12 - Device_Configuration'!P274)</f>
        <v/>
      </c>
      <c r="AA273" s="29" t="str">
        <f>IF('12 - Device_Configuration'!Q274="","",'12 - Device_Configuration'!Q274)</f>
        <v/>
      </c>
    </row>
    <row r="274" spans="1:27">
      <c r="A274" s="30"/>
      <c r="B274" s="30"/>
      <c r="C274" s="29" t="str">
        <f>IF('12 - Device_Configuration'!H275="","",'12 - Device_Configuration'!H275)</f>
        <v/>
      </c>
      <c r="D274" s="29" t="str">
        <f>IF('12 - Device_Configuration'!AE275="","",'12 - Device_Configuration'!AE275)</f>
        <v/>
      </c>
      <c r="E274" s="29" t="str">
        <f>IF('12 - Device_Configuration'!AF275="","",'12 - Device_Configuration'!AF275)</f>
        <v/>
      </c>
      <c r="F274" s="29" t="str">
        <f>IF('12 - Device_Configuration'!AG275="","",'12 - Device_Configuration'!AG275)</f>
        <v/>
      </c>
      <c r="G274" s="29" t="str">
        <f>IF('12 - Device_Configuration'!AH275="","",'12 - Device_Configuration'!AH275)</f>
        <v/>
      </c>
      <c r="H274" s="29" t="str">
        <f>IF('12 - Device_Configuration'!A275="","",'12 - Device_Configuration'!A275)</f>
        <v/>
      </c>
      <c r="I274" s="29" t="str">
        <f>IF('12 - Device_Configuration'!AI275="","",'12 - Device_Configuration'!AI275)</f>
        <v/>
      </c>
      <c r="J274" s="29" t="str">
        <f>IF('12 - Device_Configuration'!AJ275="","",'12 - Device_Configuration'!AJ275)</f>
        <v/>
      </c>
      <c r="K274" s="29" t="str">
        <f>IF('12 - Device_Configuration'!AA275="","",'12 - Device_Configuration'!AA275)</f>
        <v/>
      </c>
      <c r="L274" s="29" t="str">
        <f>IF('12 - Device_Configuration'!I275="","",'12 - Device_Configuration'!I275)</f>
        <v/>
      </c>
      <c r="M274" s="30"/>
      <c r="N274" s="29" t="str">
        <f>IF('12 - Device_Configuration'!J275="","",'12 - Device_Configuration'!J275)</f>
        <v/>
      </c>
      <c r="O274" s="29" t="str">
        <f>IF('12 - Device_Configuration'!K275="","",'12 - Device_Configuration'!K275)</f>
        <v/>
      </c>
      <c r="P274" s="29" t="str">
        <f>IF('12 - Device_Configuration'!L275="","",'12 - Device_Configuration'!L275)</f>
        <v/>
      </c>
      <c r="Q274" s="30"/>
      <c r="R274" s="29" t="str">
        <f>IF('12 - Device_Configuration'!AY275="","",'12 - Device_Configuration'!AY275)</f>
        <v/>
      </c>
      <c r="S274" s="29" t="str">
        <f>IF('12 - Device_Configuration'!AX275="","",'12 - Device_Configuration'!AX275)</f>
        <v/>
      </c>
      <c r="T274" s="29" t="str">
        <f>IF('12 - Device_Configuration'!AV275="","",'12 - Device_Configuration'!AV275)</f>
        <v/>
      </c>
      <c r="U274" s="29" t="str">
        <f>IF('12 - Device_Configuration'!AW275="","",'12 - Device_Configuration'!AW275)</f>
        <v/>
      </c>
      <c r="V274" s="29" t="str">
        <f>IF('12 - Device_Configuration'!BA275="","",'12 - Device_Configuration'!BA275)</f>
        <v/>
      </c>
      <c r="W274" s="29" t="str">
        <f>IF('12 - Device_Configuration'!BC275="","",'12 - Device_Configuration'!BC275)</f>
        <v/>
      </c>
      <c r="X274" s="29" t="str">
        <f>IF('12 - Device_Configuration'!BK275="","",'12 - Device_Configuration'!BK275)</f>
        <v/>
      </c>
      <c r="Y274" s="29" t="str">
        <f>IF('12 - Device_Configuration'!BB275="","",'12 - Device_Configuration'!BB275)</f>
        <v/>
      </c>
      <c r="Z274" s="29" t="str">
        <f>IF('12 - Device_Configuration'!P275="","",'12 - Device_Configuration'!P275)</f>
        <v/>
      </c>
      <c r="AA274" s="29" t="str">
        <f>IF('12 - Device_Configuration'!Q275="","",'12 - Device_Configuration'!Q275)</f>
        <v/>
      </c>
    </row>
    <row r="275" spans="1:27">
      <c r="A275" s="30"/>
      <c r="B275" s="30"/>
      <c r="C275" s="29" t="str">
        <f>IF('12 - Device_Configuration'!H276="","",'12 - Device_Configuration'!H276)</f>
        <v/>
      </c>
      <c r="D275" s="29" t="str">
        <f>IF('12 - Device_Configuration'!AE276="","",'12 - Device_Configuration'!AE276)</f>
        <v/>
      </c>
      <c r="E275" s="29" t="str">
        <f>IF('12 - Device_Configuration'!AF276="","",'12 - Device_Configuration'!AF276)</f>
        <v/>
      </c>
      <c r="F275" s="29" t="str">
        <f>IF('12 - Device_Configuration'!AG276="","",'12 - Device_Configuration'!AG276)</f>
        <v/>
      </c>
      <c r="G275" s="29" t="str">
        <f>IF('12 - Device_Configuration'!AH276="","",'12 - Device_Configuration'!AH276)</f>
        <v/>
      </c>
      <c r="H275" s="29" t="str">
        <f>IF('12 - Device_Configuration'!A276="","",'12 - Device_Configuration'!A276)</f>
        <v/>
      </c>
      <c r="I275" s="29" t="str">
        <f>IF('12 - Device_Configuration'!AI276="","",'12 - Device_Configuration'!AI276)</f>
        <v/>
      </c>
      <c r="J275" s="29" t="str">
        <f>IF('12 - Device_Configuration'!AJ276="","",'12 - Device_Configuration'!AJ276)</f>
        <v/>
      </c>
      <c r="K275" s="29" t="str">
        <f>IF('12 - Device_Configuration'!AA276="","",'12 - Device_Configuration'!AA276)</f>
        <v/>
      </c>
      <c r="L275" s="29" t="str">
        <f>IF('12 - Device_Configuration'!I276="","",'12 - Device_Configuration'!I276)</f>
        <v/>
      </c>
      <c r="M275" s="30"/>
      <c r="N275" s="29" t="str">
        <f>IF('12 - Device_Configuration'!J276="","",'12 - Device_Configuration'!J276)</f>
        <v/>
      </c>
      <c r="O275" s="29" t="str">
        <f>IF('12 - Device_Configuration'!K276="","",'12 - Device_Configuration'!K276)</f>
        <v/>
      </c>
      <c r="P275" s="29" t="str">
        <f>IF('12 - Device_Configuration'!L276="","",'12 - Device_Configuration'!L276)</f>
        <v/>
      </c>
      <c r="Q275" s="30"/>
      <c r="R275" s="29" t="str">
        <f>IF('12 - Device_Configuration'!AY276="","",'12 - Device_Configuration'!AY276)</f>
        <v/>
      </c>
      <c r="S275" s="29" t="str">
        <f>IF('12 - Device_Configuration'!AX276="","",'12 - Device_Configuration'!AX276)</f>
        <v/>
      </c>
      <c r="T275" s="29" t="str">
        <f>IF('12 - Device_Configuration'!AV276="","",'12 - Device_Configuration'!AV276)</f>
        <v/>
      </c>
      <c r="U275" s="29" t="str">
        <f>IF('12 - Device_Configuration'!AW276="","",'12 - Device_Configuration'!AW276)</f>
        <v/>
      </c>
      <c r="V275" s="29" t="str">
        <f>IF('12 - Device_Configuration'!BA276="","",'12 - Device_Configuration'!BA276)</f>
        <v/>
      </c>
      <c r="W275" s="29" t="str">
        <f>IF('12 - Device_Configuration'!BC276="","",'12 - Device_Configuration'!BC276)</f>
        <v/>
      </c>
      <c r="X275" s="29" t="str">
        <f>IF('12 - Device_Configuration'!BK276="","",'12 - Device_Configuration'!BK276)</f>
        <v/>
      </c>
      <c r="Y275" s="29" t="str">
        <f>IF('12 - Device_Configuration'!BB276="","",'12 - Device_Configuration'!BB276)</f>
        <v/>
      </c>
      <c r="Z275" s="29" t="str">
        <f>IF('12 - Device_Configuration'!P276="","",'12 - Device_Configuration'!P276)</f>
        <v/>
      </c>
      <c r="AA275" s="29" t="str">
        <f>IF('12 - Device_Configuration'!Q276="","",'12 - Device_Configuration'!Q276)</f>
        <v/>
      </c>
    </row>
    <row r="276" spans="1:27">
      <c r="A276" s="30"/>
      <c r="B276" s="30"/>
      <c r="C276" s="29" t="str">
        <f>IF('12 - Device_Configuration'!H277="","",'12 - Device_Configuration'!H277)</f>
        <v/>
      </c>
      <c r="D276" s="29" t="str">
        <f>IF('12 - Device_Configuration'!AE277="","",'12 - Device_Configuration'!AE277)</f>
        <v/>
      </c>
      <c r="E276" s="29" t="str">
        <f>IF('12 - Device_Configuration'!AF277="","",'12 - Device_Configuration'!AF277)</f>
        <v/>
      </c>
      <c r="F276" s="29" t="str">
        <f>IF('12 - Device_Configuration'!AG277="","",'12 - Device_Configuration'!AG277)</f>
        <v/>
      </c>
      <c r="G276" s="29" t="str">
        <f>IF('12 - Device_Configuration'!AH277="","",'12 - Device_Configuration'!AH277)</f>
        <v/>
      </c>
      <c r="H276" s="29" t="str">
        <f>IF('12 - Device_Configuration'!A277="","",'12 - Device_Configuration'!A277)</f>
        <v/>
      </c>
      <c r="I276" s="29" t="str">
        <f>IF('12 - Device_Configuration'!AI277="","",'12 - Device_Configuration'!AI277)</f>
        <v/>
      </c>
      <c r="J276" s="29" t="str">
        <f>IF('12 - Device_Configuration'!AJ277="","",'12 - Device_Configuration'!AJ277)</f>
        <v/>
      </c>
      <c r="K276" s="29" t="str">
        <f>IF('12 - Device_Configuration'!AA277="","",'12 - Device_Configuration'!AA277)</f>
        <v/>
      </c>
      <c r="L276" s="29" t="str">
        <f>IF('12 - Device_Configuration'!I277="","",'12 - Device_Configuration'!I277)</f>
        <v/>
      </c>
      <c r="M276" s="30"/>
      <c r="N276" s="29" t="str">
        <f>IF('12 - Device_Configuration'!J277="","",'12 - Device_Configuration'!J277)</f>
        <v/>
      </c>
      <c r="O276" s="29" t="str">
        <f>IF('12 - Device_Configuration'!K277="","",'12 - Device_Configuration'!K277)</f>
        <v/>
      </c>
      <c r="P276" s="29" t="str">
        <f>IF('12 - Device_Configuration'!L277="","",'12 - Device_Configuration'!L277)</f>
        <v/>
      </c>
      <c r="Q276" s="30"/>
      <c r="R276" s="29" t="str">
        <f>IF('12 - Device_Configuration'!AY277="","",'12 - Device_Configuration'!AY277)</f>
        <v/>
      </c>
      <c r="S276" s="29" t="str">
        <f>IF('12 - Device_Configuration'!AX277="","",'12 - Device_Configuration'!AX277)</f>
        <v/>
      </c>
      <c r="T276" s="29" t="str">
        <f>IF('12 - Device_Configuration'!AV277="","",'12 - Device_Configuration'!AV277)</f>
        <v/>
      </c>
      <c r="U276" s="29" t="str">
        <f>IF('12 - Device_Configuration'!AW277="","",'12 - Device_Configuration'!AW277)</f>
        <v/>
      </c>
      <c r="V276" s="29" t="str">
        <f>IF('12 - Device_Configuration'!BA277="","",'12 - Device_Configuration'!BA277)</f>
        <v/>
      </c>
      <c r="W276" s="29" t="str">
        <f>IF('12 - Device_Configuration'!BC277="","",'12 - Device_Configuration'!BC277)</f>
        <v/>
      </c>
      <c r="X276" s="29" t="str">
        <f>IF('12 - Device_Configuration'!BK277="","",'12 - Device_Configuration'!BK277)</f>
        <v/>
      </c>
      <c r="Y276" s="29" t="str">
        <f>IF('12 - Device_Configuration'!BB277="","",'12 - Device_Configuration'!BB277)</f>
        <v/>
      </c>
      <c r="Z276" s="29" t="str">
        <f>IF('12 - Device_Configuration'!P277="","",'12 - Device_Configuration'!P277)</f>
        <v/>
      </c>
      <c r="AA276" s="29" t="str">
        <f>IF('12 - Device_Configuration'!Q277="","",'12 - Device_Configuration'!Q277)</f>
        <v/>
      </c>
    </row>
    <row r="277" spans="1:27">
      <c r="A277" s="30"/>
      <c r="B277" s="30"/>
      <c r="C277" s="29" t="str">
        <f>IF('12 - Device_Configuration'!H278="","",'12 - Device_Configuration'!H278)</f>
        <v/>
      </c>
      <c r="D277" s="29" t="str">
        <f>IF('12 - Device_Configuration'!AE278="","",'12 - Device_Configuration'!AE278)</f>
        <v/>
      </c>
      <c r="E277" s="29" t="str">
        <f>IF('12 - Device_Configuration'!AF278="","",'12 - Device_Configuration'!AF278)</f>
        <v/>
      </c>
      <c r="F277" s="29" t="str">
        <f>IF('12 - Device_Configuration'!AG278="","",'12 - Device_Configuration'!AG278)</f>
        <v/>
      </c>
      <c r="G277" s="29" t="str">
        <f>IF('12 - Device_Configuration'!AH278="","",'12 - Device_Configuration'!AH278)</f>
        <v/>
      </c>
      <c r="H277" s="29" t="str">
        <f>IF('12 - Device_Configuration'!A278="","",'12 - Device_Configuration'!A278)</f>
        <v/>
      </c>
      <c r="I277" s="29" t="str">
        <f>IF('12 - Device_Configuration'!AI278="","",'12 - Device_Configuration'!AI278)</f>
        <v/>
      </c>
      <c r="J277" s="29" t="str">
        <f>IF('12 - Device_Configuration'!AJ278="","",'12 - Device_Configuration'!AJ278)</f>
        <v/>
      </c>
      <c r="K277" s="29" t="str">
        <f>IF('12 - Device_Configuration'!AA278="","",'12 - Device_Configuration'!AA278)</f>
        <v/>
      </c>
      <c r="L277" s="29" t="str">
        <f>IF('12 - Device_Configuration'!I278="","",'12 - Device_Configuration'!I278)</f>
        <v/>
      </c>
      <c r="M277" s="30"/>
      <c r="N277" s="29" t="str">
        <f>IF('12 - Device_Configuration'!J278="","",'12 - Device_Configuration'!J278)</f>
        <v/>
      </c>
      <c r="O277" s="29" t="str">
        <f>IF('12 - Device_Configuration'!K278="","",'12 - Device_Configuration'!K278)</f>
        <v/>
      </c>
      <c r="P277" s="29" t="str">
        <f>IF('12 - Device_Configuration'!L278="","",'12 - Device_Configuration'!L278)</f>
        <v/>
      </c>
      <c r="Q277" s="30"/>
      <c r="R277" s="29" t="str">
        <f>IF('12 - Device_Configuration'!AY278="","",'12 - Device_Configuration'!AY278)</f>
        <v/>
      </c>
      <c r="S277" s="29" t="str">
        <f>IF('12 - Device_Configuration'!AX278="","",'12 - Device_Configuration'!AX278)</f>
        <v/>
      </c>
      <c r="T277" s="29" t="str">
        <f>IF('12 - Device_Configuration'!AV278="","",'12 - Device_Configuration'!AV278)</f>
        <v/>
      </c>
      <c r="U277" s="29" t="str">
        <f>IF('12 - Device_Configuration'!AW278="","",'12 - Device_Configuration'!AW278)</f>
        <v/>
      </c>
      <c r="V277" s="29" t="str">
        <f>IF('12 - Device_Configuration'!BA278="","",'12 - Device_Configuration'!BA278)</f>
        <v/>
      </c>
      <c r="W277" s="29" t="str">
        <f>IF('12 - Device_Configuration'!BC278="","",'12 - Device_Configuration'!BC278)</f>
        <v/>
      </c>
      <c r="X277" s="29" t="str">
        <f>IF('12 - Device_Configuration'!BK278="","",'12 - Device_Configuration'!BK278)</f>
        <v/>
      </c>
      <c r="Y277" s="29" t="str">
        <f>IF('12 - Device_Configuration'!BB278="","",'12 - Device_Configuration'!BB278)</f>
        <v/>
      </c>
      <c r="Z277" s="29" t="str">
        <f>IF('12 - Device_Configuration'!P278="","",'12 - Device_Configuration'!P278)</f>
        <v/>
      </c>
      <c r="AA277" s="29" t="str">
        <f>IF('12 - Device_Configuration'!Q278="","",'12 - Device_Configuration'!Q278)</f>
        <v/>
      </c>
    </row>
    <row r="278" spans="1:27">
      <c r="A278" s="30"/>
      <c r="B278" s="30"/>
      <c r="C278" s="29" t="str">
        <f>IF('12 - Device_Configuration'!H279="","",'12 - Device_Configuration'!H279)</f>
        <v/>
      </c>
      <c r="D278" s="29" t="str">
        <f>IF('12 - Device_Configuration'!AE279="","",'12 - Device_Configuration'!AE279)</f>
        <v/>
      </c>
      <c r="E278" s="29" t="str">
        <f>IF('12 - Device_Configuration'!AF279="","",'12 - Device_Configuration'!AF279)</f>
        <v/>
      </c>
      <c r="F278" s="29" t="str">
        <f>IF('12 - Device_Configuration'!AG279="","",'12 - Device_Configuration'!AG279)</f>
        <v/>
      </c>
      <c r="G278" s="29" t="str">
        <f>IF('12 - Device_Configuration'!AH279="","",'12 - Device_Configuration'!AH279)</f>
        <v/>
      </c>
      <c r="H278" s="29" t="str">
        <f>IF('12 - Device_Configuration'!A279="","",'12 - Device_Configuration'!A279)</f>
        <v/>
      </c>
      <c r="I278" s="29" t="str">
        <f>IF('12 - Device_Configuration'!AI279="","",'12 - Device_Configuration'!AI279)</f>
        <v/>
      </c>
      <c r="J278" s="29" t="str">
        <f>IF('12 - Device_Configuration'!AJ279="","",'12 - Device_Configuration'!AJ279)</f>
        <v/>
      </c>
      <c r="K278" s="29" t="str">
        <f>IF('12 - Device_Configuration'!AA279="","",'12 - Device_Configuration'!AA279)</f>
        <v/>
      </c>
      <c r="L278" s="29" t="str">
        <f>IF('12 - Device_Configuration'!I279="","",'12 - Device_Configuration'!I279)</f>
        <v/>
      </c>
      <c r="M278" s="30"/>
      <c r="N278" s="29" t="str">
        <f>IF('12 - Device_Configuration'!J279="","",'12 - Device_Configuration'!J279)</f>
        <v/>
      </c>
      <c r="O278" s="29" t="str">
        <f>IF('12 - Device_Configuration'!K279="","",'12 - Device_Configuration'!K279)</f>
        <v/>
      </c>
      <c r="P278" s="29" t="str">
        <f>IF('12 - Device_Configuration'!L279="","",'12 - Device_Configuration'!L279)</f>
        <v/>
      </c>
      <c r="Q278" s="30"/>
      <c r="R278" s="29" t="str">
        <f>IF('12 - Device_Configuration'!AY279="","",'12 - Device_Configuration'!AY279)</f>
        <v/>
      </c>
      <c r="S278" s="29" t="str">
        <f>IF('12 - Device_Configuration'!AX279="","",'12 - Device_Configuration'!AX279)</f>
        <v/>
      </c>
      <c r="T278" s="29" t="str">
        <f>IF('12 - Device_Configuration'!AV279="","",'12 - Device_Configuration'!AV279)</f>
        <v/>
      </c>
      <c r="U278" s="29" t="str">
        <f>IF('12 - Device_Configuration'!AW279="","",'12 - Device_Configuration'!AW279)</f>
        <v/>
      </c>
      <c r="V278" s="29" t="str">
        <f>IF('12 - Device_Configuration'!BA279="","",'12 - Device_Configuration'!BA279)</f>
        <v/>
      </c>
      <c r="W278" s="29" t="str">
        <f>IF('12 - Device_Configuration'!BC279="","",'12 - Device_Configuration'!BC279)</f>
        <v/>
      </c>
      <c r="X278" s="29" t="str">
        <f>IF('12 - Device_Configuration'!BK279="","",'12 - Device_Configuration'!BK279)</f>
        <v/>
      </c>
      <c r="Y278" s="29" t="str">
        <f>IF('12 - Device_Configuration'!BB279="","",'12 - Device_Configuration'!BB279)</f>
        <v/>
      </c>
      <c r="Z278" s="29" t="str">
        <f>IF('12 - Device_Configuration'!P279="","",'12 - Device_Configuration'!P279)</f>
        <v/>
      </c>
      <c r="AA278" s="29" t="str">
        <f>IF('12 - Device_Configuration'!Q279="","",'12 - Device_Configuration'!Q279)</f>
        <v/>
      </c>
    </row>
    <row r="279" spans="1:27">
      <c r="A279" s="30"/>
      <c r="B279" s="30"/>
      <c r="C279" s="29" t="str">
        <f>IF('12 - Device_Configuration'!H280="","",'12 - Device_Configuration'!H280)</f>
        <v/>
      </c>
      <c r="D279" s="29" t="str">
        <f>IF('12 - Device_Configuration'!AE280="","",'12 - Device_Configuration'!AE280)</f>
        <v/>
      </c>
      <c r="E279" s="29" t="str">
        <f>IF('12 - Device_Configuration'!AF280="","",'12 - Device_Configuration'!AF280)</f>
        <v/>
      </c>
      <c r="F279" s="29" t="str">
        <f>IF('12 - Device_Configuration'!AG280="","",'12 - Device_Configuration'!AG280)</f>
        <v/>
      </c>
      <c r="G279" s="29" t="str">
        <f>IF('12 - Device_Configuration'!AH280="","",'12 - Device_Configuration'!AH280)</f>
        <v/>
      </c>
      <c r="H279" s="29" t="str">
        <f>IF('12 - Device_Configuration'!A280="","",'12 - Device_Configuration'!A280)</f>
        <v/>
      </c>
      <c r="I279" s="29" t="str">
        <f>IF('12 - Device_Configuration'!AI280="","",'12 - Device_Configuration'!AI280)</f>
        <v/>
      </c>
      <c r="J279" s="29" t="str">
        <f>IF('12 - Device_Configuration'!AJ280="","",'12 - Device_Configuration'!AJ280)</f>
        <v/>
      </c>
      <c r="K279" s="29" t="str">
        <f>IF('12 - Device_Configuration'!AA280="","",'12 - Device_Configuration'!AA280)</f>
        <v/>
      </c>
      <c r="L279" s="29" t="str">
        <f>IF('12 - Device_Configuration'!I280="","",'12 - Device_Configuration'!I280)</f>
        <v/>
      </c>
      <c r="M279" s="30"/>
      <c r="N279" s="29" t="str">
        <f>IF('12 - Device_Configuration'!J280="","",'12 - Device_Configuration'!J280)</f>
        <v/>
      </c>
      <c r="O279" s="29" t="str">
        <f>IF('12 - Device_Configuration'!K280="","",'12 - Device_Configuration'!K280)</f>
        <v/>
      </c>
      <c r="P279" s="29" t="str">
        <f>IF('12 - Device_Configuration'!L280="","",'12 - Device_Configuration'!L280)</f>
        <v/>
      </c>
      <c r="Q279" s="30"/>
      <c r="R279" s="29" t="str">
        <f>IF('12 - Device_Configuration'!AY280="","",'12 - Device_Configuration'!AY280)</f>
        <v/>
      </c>
      <c r="S279" s="29" t="str">
        <f>IF('12 - Device_Configuration'!AX280="","",'12 - Device_Configuration'!AX280)</f>
        <v/>
      </c>
      <c r="T279" s="29" t="str">
        <f>IF('12 - Device_Configuration'!AV280="","",'12 - Device_Configuration'!AV280)</f>
        <v/>
      </c>
      <c r="U279" s="29" t="str">
        <f>IF('12 - Device_Configuration'!AW280="","",'12 - Device_Configuration'!AW280)</f>
        <v/>
      </c>
      <c r="V279" s="29" t="str">
        <f>IF('12 - Device_Configuration'!BA280="","",'12 - Device_Configuration'!BA280)</f>
        <v/>
      </c>
      <c r="W279" s="29" t="str">
        <f>IF('12 - Device_Configuration'!BC280="","",'12 - Device_Configuration'!BC280)</f>
        <v/>
      </c>
      <c r="X279" s="29" t="str">
        <f>IF('12 - Device_Configuration'!BK280="","",'12 - Device_Configuration'!BK280)</f>
        <v/>
      </c>
      <c r="Y279" s="29" t="str">
        <f>IF('12 - Device_Configuration'!BB280="","",'12 - Device_Configuration'!BB280)</f>
        <v/>
      </c>
      <c r="Z279" s="29" t="str">
        <f>IF('12 - Device_Configuration'!P280="","",'12 - Device_Configuration'!P280)</f>
        <v/>
      </c>
      <c r="AA279" s="29" t="str">
        <f>IF('12 - Device_Configuration'!Q280="","",'12 - Device_Configuration'!Q280)</f>
        <v/>
      </c>
    </row>
    <row r="280" spans="1:27">
      <c r="A280" s="30"/>
      <c r="B280" s="30"/>
      <c r="C280" s="29" t="str">
        <f>IF('12 - Device_Configuration'!H281="","",'12 - Device_Configuration'!H281)</f>
        <v/>
      </c>
      <c r="D280" s="29" t="str">
        <f>IF('12 - Device_Configuration'!AE281="","",'12 - Device_Configuration'!AE281)</f>
        <v/>
      </c>
      <c r="E280" s="29" t="str">
        <f>IF('12 - Device_Configuration'!AF281="","",'12 - Device_Configuration'!AF281)</f>
        <v/>
      </c>
      <c r="F280" s="29" t="str">
        <f>IF('12 - Device_Configuration'!AG281="","",'12 - Device_Configuration'!AG281)</f>
        <v/>
      </c>
      <c r="G280" s="29" t="str">
        <f>IF('12 - Device_Configuration'!AH281="","",'12 - Device_Configuration'!AH281)</f>
        <v/>
      </c>
      <c r="H280" s="29" t="str">
        <f>IF('12 - Device_Configuration'!A281="","",'12 - Device_Configuration'!A281)</f>
        <v/>
      </c>
      <c r="I280" s="29" t="str">
        <f>IF('12 - Device_Configuration'!AI281="","",'12 - Device_Configuration'!AI281)</f>
        <v/>
      </c>
      <c r="J280" s="29" t="str">
        <f>IF('12 - Device_Configuration'!AJ281="","",'12 - Device_Configuration'!AJ281)</f>
        <v/>
      </c>
      <c r="K280" s="29" t="str">
        <f>IF('12 - Device_Configuration'!AA281="","",'12 - Device_Configuration'!AA281)</f>
        <v/>
      </c>
      <c r="L280" s="29" t="str">
        <f>IF('12 - Device_Configuration'!I281="","",'12 - Device_Configuration'!I281)</f>
        <v/>
      </c>
      <c r="M280" s="30"/>
      <c r="N280" s="29" t="str">
        <f>IF('12 - Device_Configuration'!J281="","",'12 - Device_Configuration'!J281)</f>
        <v/>
      </c>
      <c r="O280" s="29" t="str">
        <f>IF('12 - Device_Configuration'!K281="","",'12 - Device_Configuration'!K281)</f>
        <v/>
      </c>
      <c r="P280" s="29" t="str">
        <f>IF('12 - Device_Configuration'!L281="","",'12 - Device_Configuration'!L281)</f>
        <v/>
      </c>
      <c r="Q280" s="30"/>
      <c r="R280" s="29" t="str">
        <f>IF('12 - Device_Configuration'!AY281="","",'12 - Device_Configuration'!AY281)</f>
        <v/>
      </c>
      <c r="S280" s="29" t="str">
        <f>IF('12 - Device_Configuration'!AX281="","",'12 - Device_Configuration'!AX281)</f>
        <v/>
      </c>
      <c r="T280" s="29" t="str">
        <f>IF('12 - Device_Configuration'!AV281="","",'12 - Device_Configuration'!AV281)</f>
        <v/>
      </c>
      <c r="U280" s="29" t="str">
        <f>IF('12 - Device_Configuration'!AW281="","",'12 - Device_Configuration'!AW281)</f>
        <v/>
      </c>
      <c r="V280" s="29" t="str">
        <f>IF('12 - Device_Configuration'!BA281="","",'12 - Device_Configuration'!BA281)</f>
        <v/>
      </c>
      <c r="W280" s="29" t="str">
        <f>IF('12 - Device_Configuration'!BC281="","",'12 - Device_Configuration'!BC281)</f>
        <v/>
      </c>
      <c r="X280" s="29" t="str">
        <f>IF('12 - Device_Configuration'!BK281="","",'12 - Device_Configuration'!BK281)</f>
        <v/>
      </c>
      <c r="Y280" s="29" t="str">
        <f>IF('12 - Device_Configuration'!BB281="","",'12 - Device_Configuration'!BB281)</f>
        <v/>
      </c>
      <c r="Z280" s="29" t="str">
        <f>IF('12 - Device_Configuration'!P281="","",'12 - Device_Configuration'!P281)</f>
        <v/>
      </c>
      <c r="AA280" s="29" t="str">
        <f>IF('12 - Device_Configuration'!Q281="","",'12 - Device_Configuration'!Q281)</f>
        <v/>
      </c>
    </row>
    <row r="281" spans="1:27">
      <c r="A281" s="30"/>
      <c r="B281" s="30"/>
      <c r="C281" s="29" t="str">
        <f>IF('12 - Device_Configuration'!H282="","",'12 - Device_Configuration'!H282)</f>
        <v/>
      </c>
      <c r="D281" s="29" t="str">
        <f>IF('12 - Device_Configuration'!AE282="","",'12 - Device_Configuration'!AE282)</f>
        <v/>
      </c>
      <c r="E281" s="29" t="str">
        <f>IF('12 - Device_Configuration'!AF282="","",'12 - Device_Configuration'!AF282)</f>
        <v/>
      </c>
      <c r="F281" s="29" t="str">
        <f>IF('12 - Device_Configuration'!AG282="","",'12 - Device_Configuration'!AG282)</f>
        <v/>
      </c>
      <c r="G281" s="29" t="str">
        <f>IF('12 - Device_Configuration'!AH282="","",'12 - Device_Configuration'!AH282)</f>
        <v/>
      </c>
      <c r="H281" s="29" t="str">
        <f>IF('12 - Device_Configuration'!A282="","",'12 - Device_Configuration'!A282)</f>
        <v/>
      </c>
      <c r="I281" s="29" t="str">
        <f>IF('12 - Device_Configuration'!AI282="","",'12 - Device_Configuration'!AI282)</f>
        <v/>
      </c>
      <c r="J281" s="29" t="str">
        <f>IF('12 - Device_Configuration'!AJ282="","",'12 - Device_Configuration'!AJ282)</f>
        <v/>
      </c>
      <c r="K281" s="29" t="str">
        <f>IF('12 - Device_Configuration'!AA282="","",'12 - Device_Configuration'!AA282)</f>
        <v/>
      </c>
      <c r="L281" s="29" t="str">
        <f>IF('12 - Device_Configuration'!I282="","",'12 - Device_Configuration'!I282)</f>
        <v/>
      </c>
      <c r="M281" s="30"/>
      <c r="N281" s="29" t="str">
        <f>IF('12 - Device_Configuration'!J282="","",'12 - Device_Configuration'!J282)</f>
        <v/>
      </c>
      <c r="O281" s="29" t="str">
        <f>IF('12 - Device_Configuration'!K282="","",'12 - Device_Configuration'!K282)</f>
        <v/>
      </c>
      <c r="P281" s="29" t="str">
        <f>IF('12 - Device_Configuration'!L282="","",'12 - Device_Configuration'!L282)</f>
        <v/>
      </c>
      <c r="Q281" s="30"/>
      <c r="R281" s="29" t="str">
        <f>IF('12 - Device_Configuration'!AY282="","",'12 - Device_Configuration'!AY282)</f>
        <v/>
      </c>
      <c r="S281" s="29" t="str">
        <f>IF('12 - Device_Configuration'!AX282="","",'12 - Device_Configuration'!AX282)</f>
        <v/>
      </c>
      <c r="T281" s="29" t="str">
        <f>IF('12 - Device_Configuration'!AV282="","",'12 - Device_Configuration'!AV282)</f>
        <v/>
      </c>
      <c r="U281" s="29" t="str">
        <f>IF('12 - Device_Configuration'!AW282="","",'12 - Device_Configuration'!AW282)</f>
        <v/>
      </c>
      <c r="V281" s="29" t="str">
        <f>IF('12 - Device_Configuration'!BA282="","",'12 - Device_Configuration'!BA282)</f>
        <v/>
      </c>
      <c r="W281" s="29" t="str">
        <f>IF('12 - Device_Configuration'!BC282="","",'12 - Device_Configuration'!BC282)</f>
        <v/>
      </c>
      <c r="X281" s="29" t="str">
        <f>IF('12 - Device_Configuration'!BK282="","",'12 - Device_Configuration'!BK282)</f>
        <v/>
      </c>
      <c r="Y281" s="29" t="str">
        <f>IF('12 - Device_Configuration'!BB282="","",'12 - Device_Configuration'!BB282)</f>
        <v/>
      </c>
      <c r="Z281" s="29" t="str">
        <f>IF('12 - Device_Configuration'!P282="","",'12 - Device_Configuration'!P282)</f>
        <v/>
      </c>
      <c r="AA281" s="29" t="str">
        <f>IF('12 - Device_Configuration'!Q282="","",'12 - Device_Configuration'!Q282)</f>
        <v/>
      </c>
    </row>
    <row r="282" spans="1:27">
      <c r="A282" s="30"/>
      <c r="B282" s="30"/>
      <c r="C282" s="29" t="str">
        <f>IF('12 - Device_Configuration'!H283="","",'12 - Device_Configuration'!H283)</f>
        <v/>
      </c>
      <c r="D282" s="29" t="str">
        <f>IF('12 - Device_Configuration'!AE283="","",'12 - Device_Configuration'!AE283)</f>
        <v/>
      </c>
      <c r="E282" s="29" t="str">
        <f>IF('12 - Device_Configuration'!AF283="","",'12 - Device_Configuration'!AF283)</f>
        <v/>
      </c>
      <c r="F282" s="29" t="str">
        <f>IF('12 - Device_Configuration'!AG283="","",'12 - Device_Configuration'!AG283)</f>
        <v/>
      </c>
      <c r="G282" s="29" t="str">
        <f>IF('12 - Device_Configuration'!AH283="","",'12 - Device_Configuration'!AH283)</f>
        <v/>
      </c>
      <c r="H282" s="29" t="str">
        <f>IF('12 - Device_Configuration'!A283="","",'12 - Device_Configuration'!A283)</f>
        <v/>
      </c>
      <c r="I282" s="29" t="str">
        <f>IF('12 - Device_Configuration'!AI283="","",'12 - Device_Configuration'!AI283)</f>
        <v/>
      </c>
      <c r="J282" s="29" t="str">
        <f>IF('12 - Device_Configuration'!AJ283="","",'12 - Device_Configuration'!AJ283)</f>
        <v/>
      </c>
      <c r="K282" s="29" t="str">
        <f>IF('12 - Device_Configuration'!AA283="","",'12 - Device_Configuration'!AA283)</f>
        <v/>
      </c>
      <c r="L282" s="29" t="str">
        <f>IF('12 - Device_Configuration'!I283="","",'12 - Device_Configuration'!I283)</f>
        <v/>
      </c>
      <c r="M282" s="30"/>
      <c r="N282" s="29" t="str">
        <f>IF('12 - Device_Configuration'!J283="","",'12 - Device_Configuration'!J283)</f>
        <v/>
      </c>
      <c r="O282" s="29" t="str">
        <f>IF('12 - Device_Configuration'!K283="","",'12 - Device_Configuration'!K283)</f>
        <v/>
      </c>
      <c r="P282" s="29" t="str">
        <f>IF('12 - Device_Configuration'!L283="","",'12 - Device_Configuration'!L283)</f>
        <v/>
      </c>
      <c r="Q282" s="30"/>
      <c r="R282" s="29" t="str">
        <f>IF('12 - Device_Configuration'!AY283="","",'12 - Device_Configuration'!AY283)</f>
        <v/>
      </c>
      <c r="S282" s="29" t="str">
        <f>IF('12 - Device_Configuration'!AX283="","",'12 - Device_Configuration'!AX283)</f>
        <v/>
      </c>
      <c r="T282" s="29" t="str">
        <f>IF('12 - Device_Configuration'!AV283="","",'12 - Device_Configuration'!AV283)</f>
        <v/>
      </c>
      <c r="U282" s="29" t="str">
        <f>IF('12 - Device_Configuration'!AW283="","",'12 - Device_Configuration'!AW283)</f>
        <v/>
      </c>
      <c r="V282" s="29" t="str">
        <f>IF('12 - Device_Configuration'!BA283="","",'12 - Device_Configuration'!BA283)</f>
        <v/>
      </c>
      <c r="W282" s="29" t="str">
        <f>IF('12 - Device_Configuration'!BC283="","",'12 - Device_Configuration'!BC283)</f>
        <v/>
      </c>
      <c r="X282" s="29" t="str">
        <f>IF('12 - Device_Configuration'!BK283="","",'12 - Device_Configuration'!BK283)</f>
        <v/>
      </c>
      <c r="Y282" s="29" t="str">
        <f>IF('12 - Device_Configuration'!BB283="","",'12 - Device_Configuration'!BB283)</f>
        <v/>
      </c>
      <c r="Z282" s="29" t="str">
        <f>IF('12 - Device_Configuration'!P283="","",'12 - Device_Configuration'!P283)</f>
        <v/>
      </c>
      <c r="AA282" s="29" t="str">
        <f>IF('12 - Device_Configuration'!Q283="","",'12 - Device_Configuration'!Q283)</f>
        <v/>
      </c>
    </row>
    <row r="283" spans="1:27">
      <c r="A283" s="30"/>
      <c r="B283" s="30"/>
      <c r="C283" s="29" t="str">
        <f>IF('12 - Device_Configuration'!H284="","",'12 - Device_Configuration'!H284)</f>
        <v/>
      </c>
      <c r="D283" s="29" t="str">
        <f>IF('12 - Device_Configuration'!AE284="","",'12 - Device_Configuration'!AE284)</f>
        <v/>
      </c>
      <c r="E283" s="29" t="str">
        <f>IF('12 - Device_Configuration'!AF284="","",'12 - Device_Configuration'!AF284)</f>
        <v/>
      </c>
      <c r="F283" s="29" t="str">
        <f>IF('12 - Device_Configuration'!AG284="","",'12 - Device_Configuration'!AG284)</f>
        <v/>
      </c>
      <c r="G283" s="29" t="str">
        <f>IF('12 - Device_Configuration'!AH284="","",'12 - Device_Configuration'!AH284)</f>
        <v/>
      </c>
      <c r="H283" s="29" t="str">
        <f>IF('12 - Device_Configuration'!A284="","",'12 - Device_Configuration'!A284)</f>
        <v/>
      </c>
      <c r="I283" s="29" t="str">
        <f>IF('12 - Device_Configuration'!AI284="","",'12 - Device_Configuration'!AI284)</f>
        <v/>
      </c>
      <c r="J283" s="29" t="str">
        <f>IF('12 - Device_Configuration'!AJ284="","",'12 - Device_Configuration'!AJ284)</f>
        <v/>
      </c>
      <c r="K283" s="29" t="str">
        <f>IF('12 - Device_Configuration'!AA284="","",'12 - Device_Configuration'!AA284)</f>
        <v/>
      </c>
      <c r="L283" s="29" t="str">
        <f>IF('12 - Device_Configuration'!I284="","",'12 - Device_Configuration'!I284)</f>
        <v/>
      </c>
      <c r="M283" s="30"/>
      <c r="N283" s="29" t="str">
        <f>IF('12 - Device_Configuration'!J284="","",'12 - Device_Configuration'!J284)</f>
        <v/>
      </c>
      <c r="O283" s="29" t="str">
        <f>IF('12 - Device_Configuration'!K284="","",'12 - Device_Configuration'!K284)</f>
        <v/>
      </c>
      <c r="P283" s="29" t="str">
        <f>IF('12 - Device_Configuration'!L284="","",'12 - Device_Configuration'!L284)</f>
        <v/>
      </c>
      <c r="Q283" s="30"/>
      <c r="R283" s="29" t="str">
        <f>IF('12 - Device_Configuration'!AY284="","",'12 - Device_Configuration'!AY284)</f>
        <v/>
      </c>
      <c r="S283" s="29" t="str">
        <f>IF('12 - Device_Configuration'!AX284="","",'12 - Device_Configuration'!AX284)</f>
        <v/>
      </c>
      <c r="T283" s="29" t="str">
        <f>IF('12 - Device_Configuration'!AV284="","",'12 - Device_Configuration'!AV284)</f>
        <v/>
      </c>
      <c r="U283" s="29" t="str">
        <f>IF('12 - Device_Configuration'!AW284="","",'12 - Device_Configuration'!AW284)</f>
        <v/>
      </c>
      <c r="V283" s="29" t="str">
        <f>IF('12 - Device_Configuration'!BA284="","",'12 - Device_Configuration'!BA284)</f>
        <v/>
      </c>
      <c r="W283" s="29" t="str">
        <f>IF('12 - Device_Configuration'!BC284="","",'12 - Device_Configuration'!BC284)</f>
        <v/>
      </c>
      <c r="X283" s="29" t="str">
        <f>IF('12 - Device_Configuration'!BK284="","",'12 - Device_Configuration'!BK284)</f>
        <v/>
      </c>
      <c r="Y283" s="29" t="str">
        <f>IF('12 - Device_Configuration'!BB284="","",'12 - Device_Configuration'!BB284)</f>
        <v/>
      </c>
      <c r="Z283" s="29" t="str">
        <f>IF('12 - Device_Configuration'!P284="","",'12 - Device_Configuration'!P284)</f>
        <v/>
      </c>
      <c r="AA283" s="29" t="str">
        <f>IF('12 - Device_Configuration'!Q284="","",'12 - Device_Configuration'!Q284)</f>
        <v/>
      </c>
    </row>
    <row r="284" spans="1:27">
      <c r="A284" s="30"/>
      <c r="B284" s="30"/>
      <c r="C284" s="29" t="str">
        <f>IF('12 - Device_Configuration'!H285="","",'12 - Device_Configuration'!H285)</f>
        <v/>
      </c>
      <c r="D284" s="29" t="str">
        <f>IF('12 - Device_Configuration'!AE285="","",'12 - Device_Configuration'!AE285)</f>
        <v/>
      </c>
      <c r="E284" s="29" t="str">
        <f>IF('12 - Device_Configuration'!AF285="","",'12 - Device_Configuration'!AF285)</f>
        <v/>
      </c>
      <c r="F284" s="29" t="str">
        <f>IF('12 - Device_Configuration'!AG285="","",'12 - Device_Configuration'!AG285)</f>
        <v/>
      </c>
      <c r="G284" s="29" t="str">
        <f>IF('12 - Device_Configuration'!AH285="","",'12 - Device_Configuration'!AH285)</f>
        <v/>
      </c>
      <c r="H284" s="29" t="str">
        <f>IF('12 - Device_Configuration'!A285="","",'12 - Device_Configuration'!A285)</f>
        <v/>
      </c>
      <c r="I284" s="29" t="str">
        <f>IF('12 - Device_Configuration'!AI285="","",'12 - Device_Configuration'!AI285)</f>
        <v/>
      </c>
      <c r="J284" s="29" t="str">
        <f>IF('12 - Device_Configuration'!AJ285="","",'12 - Device_Configuration'!AJ285)</f>
        <v/>
      </c>
      <c r="K284" s="29" t="str">
        <f>IF('12 - Device_Configuration'!AA285="","",'12 - Device_Configuration'!AA285)</f>
        <v/>
      </c>
      <c r="L284" s="29" t="str">
        <f>IF('12 - Device_Configuration'!I285="","",'12 - Device_Configuration'!I285)</f>
        <v/>
      </c>
      <c r="M284" s="30"/>
      <c r="N284" s="29" t="str">
        <f>IF('12 - Device_Configuration'!J285="","",'12 - Device_Configuration'!J285)</f>
        <v/>
      </c>
      <c r="O284" s="29" t="str">
        <f>IF('12 - Device_Configuration'!K285="","",'12 - Device_Configuration'!K285)</f>
        <v/>
      </c>
      <c r="P284" s="29" t="str">
        <f>IF('12 - Device_Configuration'!L285="","",'12 - Device_Configuration'!L285)</f>
        <v/>
      </c>
      <c r="Q284" s="30"/>
      <c r="R284" s="29" t="str">
        <f>IF('12 - Device_Configuration'!AY285="","",'12 - Device_Configuration'!AY285)</f>
        <v/>
      </c>
      <c r="S284" s="29" t="str">
        <f>IF('12 - Device_Configuration'!AX285="","",'12 - Device_Configuration'!AX285)</f>
        <v/>
      </c>
      <c r="T284" s="29" t="str">
        <f>IF('12 - Device_Configuration'!AV285="","",'12 - Device_Configuration'!AV285)</f>
        <v/>
      </c>
      <c r="U284" s="29" t="str">
        <f>IF('12 - Device_Configuration'!AW285="","",'12 - Device_Configuration'!AW285)</f>
        <v/>
      </c>
      <c r="V284" s="29" t="str">
        <f>IF('12 - Device_Configuration'!BA285="","",'12 - Device_Configuration'!BA285)</f>
        <v/>
      </c>
      <c r="W284" s="29" t="str">
        <f>IF('12 - Device_Configuration'!BC285="","",'12 - Device_Configuration'!BC285)</f>
        <v/>
      </c>
      <c r="X284" s="29" t="str">
        <f>IF('12 - Device_Configuration'!BK285="","",'12 - Device_Configuration'!BK285)</f>
        <v/>
      </c>
      <c r="Y284" s="29" t="str">
        <f>IF('12 - Device_Configuration'!BB285="","",'12 - Device_Configuration'!BB285)</f>
        <v/>
      </c>
      <c r="Z284" s="29" t="str">
        <f>IF('12 - Device_Configuration'!P285="","",'12 - Device_Configuration'!P285)</f>
        <v/>
      </c>
      <c r="AA284" s="29" t="str">
        <f>IF('12 - Device_Configuration'!Q285="","",'12 - Device_Configuration'!Q285)</f>
        <v/>
      </c>
    </row>
    <row r="285" spans="1:27">
      <c r="A285" s="30"/>
      <c r="B285" s="30"/>
      <c r="C285" s="29" t="str">
        <f>IF('12 - Device_Configuration'!H286="","",'12 - Device_Configuration'!H286)</f>
        <v/>
      </c>
      <c r="D285" s="29" t="str">
        <f>IF('12 - Device_Configuration'!AE286="","",'12 - Device_Configuration'!AE286)</f>
        <v/>
      </c>
      <c r="E285" s="29" t="str">
        <f>IF('12 - Device_Configuration'!AF286="","",'12 - Device_Configuration'!AF286)</f>
        <v/>
      </c>
      <c r="F285" s="29" t="str">
        <f>IF('12 - Device_Configuration'!AG286="","",'12 - Device_Configuration'!AG286)</f>
        <v/>
      </c>
      <c r="G285" s="29" t="str">
        <f>IF('12 - Device_Configuration'!AH286="","",'12 - Device_Configuration'!AH286)</f>
        <v/>
      </c>
      <c r="H285" s="29" t="str">
        <f>IF('12 - Device_Configuration'!A286="","",'12 - Device_Configuration'!A286)</f>
        <v/>
      </c>
      <c r="I285" s="29" t="str">
        <f>IF('12 - Device_Configuration'!AI286="","",'12 - Device_Configuration'!AI286)</f>
        <v/>
      </c>
      <c r="J285" s="29" t="str">
        <f>IF('12 - Device_Configuration'!AJ286="","",'12 - Device_Configuration'!AJ286)</f>
        <v/>
      </c>
      <c r="K285" s="29" t="str">
        <f>IF('12 - Device_Configuration'!AA286="","",'12 - Device_Configuration'!AA286)</f>
        <v/>
      </c>
      <c r="L285" s="29" t="str">
        <f>IF('12 - Device_Configuration'!I286="","",'12 - Device_Configuration'!I286)</f>
        <v/>
      </c>
      <c r="M285" s="30"/>
      <c r="N285" s="29" t="str">
        <f>IF('12 - Device_Configuration'!J286="","",'12 - Device_Configuration'!J286)</f>
        <v/>
      </c>
      <c r="O285" s="29" t="str">
        <f>IF('12 - Device_Configuration'!K286="","",'12 - Device_Configuration'!K286)</f>
        <v/>
      </c>
      <c r="P285" s="29" t="str">
        <f>IF('12 - Device_Configuration'!L286="","",'12 - Device_Configuration'!L286)</f>
        <v/>
      </c>
      <c r="Q285" s="30"/>
      <c r="R285" s="29" t="str">
        <f>IF('12 - Device_Configuration'!AY286="","",'12 - Device_Configuration'!AY286)</f>
        <v/>
      </c>
      <c r="S285" s="29" t="str">
        <f>IF('12 - Device_Configuration'!AX286="","",'12 - Device_Configuration'!AX286)</f>
        <v/>
      </c>
      <c r="T285" s="29" t="str">
        <f>IF('12 - Device_Configuration'!AV286="","",'12 - Device_Configuration'!AV286)</f>
        <v/>
      </c>
      <c r="U285" s="29" t="str">
        <f>IF('12 - Device_Configuration'!AW286="","",'12 - Device_Configuration'!AW286)</f>
        <v/>
      </c>
      <c r="V285" s="29" t="str">
        <f>IF('12 - Device_Configuration'!BA286="","",'12 - Device_Configuration'!BA286)</f>
        <v/>
      </c>
      <c r="W285" s="29" t="str">
        <f>IF('12 - Device_Configuration'!BC286="","",'12 - Device_Configuration'!BC286)</f>
        <v/>
      </c>
      <c r="X285" s="29" t="str">
        <f>IF('12 - Device_Configuration'!BK286="","",'12 - Device_Configuration'!BK286)</f>
        <v/>
      </c>
      <c r="Y285" s="29" t="str">
        <f>IF('12 - Device_Configuration'!BB286="","",'12 - Device_Configuration'!BB286)</f>
        <v/>
      </c>
      <c r="Z285" s="29" t="str">
        <f>IF('12 - Device_Configuration'!P286="","",'12 - Device_Configuration'!P286)</f>
        <v/>
      </c>
      <c r="AA285" s="29" t="str">
        <f>IF('12 - Device_Configuration'!Q286="","",'12 - Device_Configuration'!Q286)</f>
        <v/>
      </c>
    </row>
    <row r="286" spans="1:27">
      <c r="A286" s="30"/>
      <c r="B286" s="30"/>
      <c r="C286" s="29" t="str">
        <f>IF('12 - Device_Configuration'!H287="","",'12 - Device_Configuration'!H287)</f>
        <v/>
      </c>
      <c r="D286" s="29" t="str">
        <f>IF('12 - Device_Configuration'!AE287="","",'12 - Device_Configuration'!AE287)</f>
        <v/>
      </c>
      <c r="E286" s="29" t="str">
        <f>IF('12 - Device_Configuration'!AF287="","",'12 - Device_Configuration'!AF287)</f>
        <v/>
      </c>
      <c r="F286" s="29" t="str">
        <f>IF('12 - Device_Configuration'!AG287="","",'12 - Device_Configuration'!AG287)</f>
        <v/>
      </c>
      <c r="G286" s="29" t="str">
        <f>IF('12 - Device_Configuration'!AH287="","",'12 - Device_Configuration'!AH287)</f>
        <v/>
      </c>
      <c r="H286" s="29" t="str">
        <f>IF('12 - Device_Configuration'!A287="","",'12 - Device_Configuration'!A287)</f>
        <v/>
      </c>
      <c r="I286" s="29" t="str">
        <f>IF('12 - Device_Configuration'!AI287="","",'12 - Device_Configuration'!AI287)</f>
        <v/>
      </c>
      <c r="J286" s="29" t="str">
        <f>IF('12 - Device_Configuration'!AJ287="","",'12 - Device_Configuration'!AJ287)</f>
        <v/>
      </c>
      <c r="K286" s="29" t="str">
        <f>IF('12 - Device_Configuration'!AA287="","",'12 - Device_Configuration'!AA287)</f>
        <v/>
      </c>
      <c r="L286" s="29" t="str">
        <f>IF('12 - Device_Configuration'!I287="","",'12 - Device_Configuration'!I287)</f>
        <v/>
      </c>
      <c r="M286" s="30"/>
      <c r="N286" s="29" t="str">
        <f>IF('12 - Device_Configuration'!J287="","",'12 - Device_Configuration'!J287)</f>
        <v/>
      </c>
      <c r="O286" s="29" t="str">
        <f>IF('12 - Device_Configuration'!K287="","",'12 - Device_Configuration'!K287)</f>
        <v/>
      </c>
      <c r="P286" s="29" t="str">
        <f>IF('12 - Device_Configuration'!L287="","",'12 - Device_Configuration'!L287)</f>
        <v/>
      </c>
      <c r="Q286" s="30"/>
      <c r="R286" s="29" t="str">
        <f>IF('12 - Device_Configuration'!AY287="","",'12 - Device_Configuration'!AY287)</f>
        <v/>
      </c>
      <c r="S286" s="29" t="str">
        <f>IF('12 - Device_Configuration'!AX287="","",'12 - Device_Configuration'!AX287)</f>
        <v/>
      </c>
      <c r="T286" s="29" t="str">
        <f>IF('12 - Device_Configuration'!AV287="","",'12 - Device_Configuration'!AV287)</f>
        <v/>
      </c>
      <c r="U286" s="29" t="str">
        <f>IF('12 - Device_Configuration'!AW287="","",'12 - Device_Configuration'!AW287)</f>
        <v/>
      </c>
      <c r="V286" s="29" t="str">
        <f>IF('12 - Device_Configuration'!BA287="","",'12 - Device_Configuration'!BA287)</f>
        <v/>
      </c>
      <c r="W286" s="29" t="str">
        <f>IF('12 - Device_Configuration'!BC287="","",'12 - Device_Configuration'!BC287)</f>
        <v/>
      </c>
      <c r="X286" s="29" t="str">
        <f>IF('12 - Device_Configuration'!BK287="","",'12 - Device_Configuration'!BK287)</f>
        <v/>
      </c>
      <c r="Y286" s="29" t="str">
        <f>IF('12 - Device_Configuration'!BB287="","",'12 - Device_Configuration'!BB287)</f>
        <v/>
      </c>
      <c r="Z286" s="29" t="str">
        <f>IF('12 - Device_Configuration'!P287="","",'12 - Device_Configuration'!P287)</f>
        <v/>
      </c>
      <c r="AA286" s="29" t="str">
        <f>IF('12 - Device_Configuration'!Q287="","",'12 - Device_Configuration'!Q287)</f>
        <v/>
      </c>
    </row>
    <row r="287" spans="1:27">
      <c r="A287" s="30"/>
      <c r="B287" s="30"/>
      <c r="C287" s="29" t="str">
        <f>IF('12 - Device_Configuration'!H288="","",'12 - Device_Configuration'!H288)</f>
        <v/>
      </c>
      <c r="D287" s="29" t="str">
        <f>IF('12 - Device_Configuration'!AE288="","",'12 - Device_Configuration'!AE288)</f>
        <v/>
      </c>
      <c r="E287" s="29" t="str">
        <f>IF('12 - Device_Configuration'!AF288="","",'12 - Device_Configuration'!AF288)</f>
        <v/>
      </c>
      <c r="F287" s="29" t="str">
        <f>IF('12 - Device_Configuration'!AG288="","",'12 - Device_Configuration'!AG288)</f>
        <v/>
      </c>
      <c r="G287" s="29" t="str">
        <f>IF('12 - Device_Configuration'!AH288="","",'12 - Device_Configuration'!AH288)</f>
        <v/>
      </c>
      <c r="H287" s="29" t="str">
        <f>IF('12 - Device_Configuration'!A288="","",'12 - Device_Configuration'!A288)</f>
        <v/>
      </c>
      <c r="I287" s="29" t="str">
        <f>IF('12 - Device_Configuration'!AI288="","",'12 - Device_Configuration'!AI288)</f>
        <v/>
      </c>
      <c r="J287" s="29" t="str">
        <f>IF('12 - Device_Configuration'!AJ288="","",'12 - Device_Configuration'!AJ288)</f>
        <v/>
      </c>
      <c r="K287" s="29" t="str">
        <f>IF('12 - Device_Configuration'!AA288="","",'12 - Device_Configuration'!AA288)</f>
        <v/>
      </c>
      <c r="L287" s="29" t="str">
        <f>IF('12 - Device_Configuration'!I288="","",'12 - Device_Configuration'!I288)</f>
        <v/>
      </c>
      <c r="M287" s="30"/>
      <c r="N287" s="29" t="str">
        <f>IF('12 - Device_Configuration'!J288="","",'12 - Device_Configuration'!J288)</f>
        <v/>
      </c>
      <c r="O287" s="29" t="str">
        <f>IF('12 - Device_Configuration'!K288="","",'12 - Device_Configuration'!K288)</f>
        <v/>
      </c>
      <c r="P287" s="29" t="str">
        <f>IF('12 - Device_Configuration'!L288="","",'12 - Device_Configuration'!L288)</f>
        <v/>
      </c>
      <c r="Q287" s="30"/>
      <c r="R287" s="29" t="str">
        <f>IF('12 - Device_Configuration'!AY288="","",'12 - Device_Configuration'!AY288)</f>
        <v/>
      </c>
      <c r="S287" s="29" t="str">
        <f>IF('12 - Device_Configuration'!AX288="","",'12 - Device_Configuration'!AX288)</f>
        <v/>
      </c>
      <c r="T287" s="29" t="str">
        <f>IF('12 - Device_Configuration'!AV288="","",'12 - Device_Configuration'!AV288)</f>
        <v/>
      </c>
      <c r="U287" s="29" t="str">
        <f>IF('12 - Device_Configuration'!AW288="","",'12 - Device_Configuration'!AW288)</f>
        <v/>
      </c>
      <c r="V287" s="29" t="str">
        <f>IF('12 - Device_Configuration'!BA288="","",'12 - Device_Configuration'!BA288)</f>
        <v/>
      </c>
      <c r="W287" s="29" t="str">
        <f>IF('12 - Device_Configuration'!BC288="","",'12 - Device_Configuration'!BC288)</f>
        <v/>
      </c>
      <c r="X287" s="29" t="str">
        <f>IF('12 - Device_Configuration'!BK288="","",'12 - Device_Configuration'!BK288)</f>
        <v/>
      </c>
      <c r="Y287" s="29" t="str">
        <f>IF('12 - Device_Configuration'!BB288="","",'12 - Device_Configuration'!BB288)</f>
        <v/>
      </c>
      <c r="Z287" s="29" t="str">
        <f>IF('12 - Device_Configuration'!P288="","",'12 - Device_Configuration'!P288)</f>
        <v/>
      </c>
      <c r="AA287" s="29" t="str">
        <f>IF('12 - Device_Configuration'!Q288="","",'12 - Device_Configuration'!Q288)</f>
        <v/>
      </c>
    </row>
    <row r="288" spans="1:27">
      <c r="A288" s="30"/>
      <c r="B288" s="30"/>
      <c r="C288" s="29" t="str">
        <f>IF('12 - Device_Configuration'!H289="","",'12 - Device_Configuration'!H289)</f>
        <v/>
      </c>
      <c r="D288" s="29" t="str">
        <f>IF('12 - Device_Configuration'!AE289="","",'12 - Device_Configuration'!AE289)</f>
        <v/>
      </c>
      <c r="E288" s="29" t="str">
        <f>IF('12 - Device_Configuration'!AF289="","",'12 - Device_Configuration'!AF289)</f>
        <v/>
      </c>
      <c r="F288" s="29" t="str">
        <f>IF('12 - Device_Configuration'!AG289="","",'12 - Device_Configuration'!AG289)</f>
        <v/>
      </c>
      <c r="G288" s="29" t="str">
        <f>IF('12 - Device_Configuration'!AH289="","",'12 - Device_Configuration'!AH289)</f>
        <v/>
      </c>
      <c r="H288" s="29" t="str">
        <f>IF('12 - Device_Configuration'!A289="","",'12 - Device_Configuration'!A289)</f>
        <v/>
      </c>
      <c r="I288" s="29" t="str">
        <f>IF('12 - Device_Configuration'!AI289="","",'12 - Device_Configuration'!AI289)</f>
        <v/>
      </c>
      <c r="J288" s="29" t="str">
        <f>IF('12 - Device_Configuration'!AJ289="","",'12 - Device_Configuration'!AJ289)</f>
        <v/>
      </c>
      <c r="K288" s="29" t="str">
        <f>IF('12 - Device_Configuration'!AA289="","",'12 - Device_Configuration'!AA289)</f>
        <v/>
      </c>
      <c r="L288" s="29" t="str">
        <f>IF('12 - Device_Configuration'!I289="","",'12 - Device_Configuration'!I289)</f>
        <v/>
      </c>
      <c r="M288" s="30"/>
      <c r="N288" s="29" t="str">
        <f>IF('12 - Device_Configuration'!J289="","",'12 - Device_Configuration'!J289)</f>
        <v/>
      </c>
      <c r="O288" s="29" t="str">
        <f>IF('12 - Device_Configuration'!K289="","",'12 - Device_Configuration'!K289)</f>
        <v/>
      </c>
      <c r="P288" s="29" t="str">
        <f>IF('12 - Device_Configuration'!L289="","",'12 - Device_Configuration'!L289)</f>
        <v/>
      </c>
      <c r="Q288" s="30"/>
      <c r="R288" s="29" t="str">
        <f>IF('12 - Device_Configuration'!AY289="","",'12 - Device_Configuration'!AY289)</f>
        <v/>
      </c>
      <c r="S288" s="29" t="str">
        <f>IF('12 - Device_Configuration'!AX289="","",'12 - Device_Configuration'!AX289)</f>
        <v/>
      </c>
      <c r="T288" s="29" t="str">
        <f>IF('12 - Device_Configuration'!AV289="","",'12 - Device_Configuration'!AV289)</f>
        <v/>
      </c>
      <c r="U288" s="29" t="str">
        <f>IF('12 - Device_Configuration'!AW289="","",'12 - Device_Configuration'!AW289)</f>
        <v/>
      </c>
      <c r="V288" s="29" t="str">
        <f>IF('12 - Device_Configuration'!BA289="","",'12 - Device_Configuration'!BA289)</f>
        <v/>
      </c>
      <c r="W288" s="29" t="str">
        <f>IF('12 - Device_Configuration'!BC289="","",'12 - Device_Configuration'!BC289)</f>
        <v/>
      </c>
      <c r="X288" s="29" t="str">
        <f>IF('12 - Device_Configuration'!BK289="","",'12 - Device_Configuration'!BK289)</f>
        <v/>
      </c>
      <c r="Y288" s="29" t="str">
        <f>IF('12 - Device_Configuration'!BB289="","",'12 - Device_Configuration'!BB289)</f>
        <v/>
      </c>
      <c r="Z288" s="29" t="str">
        <f>IF('12 - Device_Configuration'!P289="","",'12 - Device_Configuration'!P289)</f>
        <v/>
      </c>
      <c r="AA288" s="29" t="str">
        <f>IF('12 - Device_Configuration'!Q289="","",'12 - Device_Configuration'!Q289)</f>
        <v/>
      </c>
    </row>
    <row r="289" spans="1:27">
      <c r="A289" s="30"/>
      <c r="B289" s="30"/>
      <c r="C289" s="29" t="str">
        <f>IF('12 - Device_Configuration'!H290="","",'12 - Device_Configuration'!H290)</f>
        <v/>
      </c>
      <c r="D289" s="29" t="str">
        <f>IF('12 - Device_Configuration'!AE290="","",'12 - Device_Configuration'!AE290)</f>
        <v/>
      </c>
      <c r="E289" s="29" t="str">
        <f>IF('12 - Device_Configuration'!AF290="","",'12 - Device_Configuration'!AF290)</f>
        <v/>
      </c>
      <c r="F289" s="29" t="str">
        <f>IF('12 - Device_Configuration'!AG290="","",'12 - Device_Configuration'!AG290)</f>
        <v/>
      </c>
      <c r="G289" s="29" t="str">
        <f>IF('12 - Device_Configuration'!AH290="","",'12 - Device_Configuration'!AH290)</f>
        <v/>
      </c>
      <c r="H289" s="29" t="str">
        <f>IF('12 - Device_Configuration'!A290="","",'12 - Device_Configuration'!A290)</f>
        <v/>
      </c>
      <c r="I289" s="29" t="str">
        <f>IF('12 - Device_Configuration'!AI290="","",'12 - Device_Configuration'!AI290)</f>
        <v/>
      </c>
      <c r="J289" s="29" t="str">
        <f>IF('12 - Device_Configuration'!AJ290="","",'12 - Device_Configuration'!AJ290)</f>
        <v/>
      </c>
      <c r="K289" s="29" t="str">
        <f>IF('12 - Device_Configuration'!AA290="","",'12 - Device_Configuration'!AA290)</f>
        <v/>
      </c>
      <c r="L289" s="29" t="str">
        <f>IF('12 - Device_Configuration'!I290="","",'12 - Device_Configuration'!I290)</f>
        <v/>
      </c>
      <c r="M289" s="30"/>
      <c r="N289" s="29" t="str">
        <f>IF('12 - Device_Configuration'!J290="","",'12 - Device_Configuration'!J290)</f>
        <v/>
      </c>
      <c r="O289" s="29" t="str">
        <f>IF('12 - Device_Configuration'!K290="","",'12 - Device_Configuration'!K290)</f>
        <v/>
      </c>
      <c r="P289" s="29" t="str">
        <f>IF('12 - Device_Configuration'!L290="","",'12 - Device_Configuration'!L290)</f>
        <v/>
      </c>
      <c r="Q289" s="30"/>
      <c r="R289" s="29" t="str">
        <f>IF('12 - Device_Configuration'!AY290="","",'12 - Device_Configuration'!AY290)</f>
        <v/>
      </c>
      <c r="S289" s="29" t="str">
        <f>IF('12 - Device_Configuration'!AX290="","",'12 - Device_Configuration'!AX290)</f>
        <v/>
      </c>
      <c r="T289" s="29" t="str">
        <f>IF('12 - Device_Configuration'!AV290="","",'12 - Device_Configuration'!AV290)</f>
        <v/>
      </c>
      <c r="U289" s="29" t="str">
        <f>IF('12 - Device_Configuration'!AW290="","",'12 - Device_Configuration'!AW290)</f>
        <v/>
      </c>
      <c r="V289" s="29" t="str">
        <f>IF('12 - Device_Configuration'!BA290="","",'12 - Device_Configuration'!BA290)</f>
        <v/>
      </c>
      <c r="W289" s="29" t="str">
        <f>IF('12 - Device_Configuration'!BC290="","",'12 - Device_Configuration'!BC290)</f>
        <v/>
      </c>
      <c r="X289" s="29" t="str">
        <f>IF('12 - Device_Configuration'!BK290="","",'12 - Device_Configuration'!BK290)</f>
        <v/>
      </c>
      <c r="Y289" s="29" t="str">
        <f>IF('12 - Device_Configuration'!BB290="","",'12 - Device_Configuration'!BB290)</f>
        <v/>
      </c>
      <c r="Z289" s="29" t="str">
        <f>IF('12 - Device_Configuration'!P290="","",'12 - Device_Configuration'!P290)</f>
        <v/>
      </c>
      <c r="AA289" s="29" t="str">
        <f>IF('12 - Device_Configuration'!Q290="","",'12 - Device_Configuration'!Q290)</f>
        <v/>
      </c>
    </row>
    <row r="290" spans="1:27">
      <c r="A290" s="30"/>
      <c r="B290" s="30"/>
      <c r="C290" s="29" t="str">
        <f>IF('12 - Device_Configuration'!H291="","",'12 - Device_Configuration'!H291)</f>
        <v/>
      </c>
      <c r="D290" s="29" t="str">
        <f>IF('12 - Device_Configuration'!AE291="","",'12 - Device_Configuration'!AE291)</f>
        <v/>
      </c>
      <c r="E290" s="29" t="str">
        <f>IF('12 - Device_Configuration'!AF291="","",'12 - Device_Configuration'!AF291)</f>
        <v/>
      </c>
      <c r="F290" s="29" t="str">
        <f>IF('12 - Device_Configuration'!AG291="","",'12 - Device_Configuration'!AG291)</f>
        <v/>
      </c>
      <c r="G290" s="29" t="str">
        <f>IF('12 - Device_Configuration'!AH291="","",'12 - Device_Configuration'!AH291)</f>
        <v/>
      </c>
      <c r="H290" s="29" t="str">
        <f>IF('12 - Device_Configuration'!A291="","",'12 - Device_Configuration'!A291)</f>
        <v/>
      </c>
      <c r="I290" s="29" t="str">
        <f>IF('12 - Device_Configuration'!AI291="","",'12 - Device_Configuration'!AI291)</f>
        <v/>
      </c>
      <c r="J290" s="29" t="str">
        <f>IF('12 - Device_Configuration'!AJ291="","",'12 - Device_Configuration'!AJ291)</f>
        <v/>
      </c>
      <c r="K290" s="29" t="str">
        <f>IF('12 - Device_Configuration'!AA291="","",'12 - Device_Configuration'!AA291)</f>
        <v/>
      </c>
      <c r="L290" s="29" t="str">
        <f>IF('12 - Device_Configuration'!I291="","",'12 - Device_Configuration'!I291)</f>
        <v/>
      </c>
      <c r="M290" s="30"/>
      <c r="N290" s="29" t="str">
        <f>IF('12 - Device_Configuration'!J291="","",'12 - Device_Configuration'!J291)</f>
        <v/>
      </c>
      <c r="O290" s="29" t="str">
        <f>IF('12 - Device_Configuration'!K291="","",'12 - Device_Configuration'!K291)</f>
        <v/>
      </c>
      <c r="P290" s="29" t="str">
        <f>IF('12 - Device_Configuration'!L291="","",'12 - Device_Configuration'!L291)</f>
        <v/>
      </c>
      <c r="Q290" s="30"/>
      <c r="R290" s="29" t="str">
        <f>IF('12 - Device_Configuration'!AY291="","",'12 - Device_Configuration'!AY291)</f>
        <v/>
      </c>
      <c r="S290" s="29" t="str">
        <f>IF('12 - Device_Configuration'!AX291="","",'12 - Device_Configuration'!AX291)</f>
        <v/>
      </c>
      <c r="T290" s="29" t="str">
        <f>IF('12 - Device_Configuration'!AV291="","",'12 - Device_Configuration'!AV291)</f>
        <v/>
      </c>
      <c r="U290" s="29" t="str">
        <f>IF('12 - Device_Configuration'!AW291="","",'12 - Device_Configuration'!AW291)</f>
        <v/>
      </c>
      <c r="V290" s="29" t="str">
        <f>IF('12 - Device_Configuration'!BA291="","",'12 - Device_Configuration'!BA291)</f>
        <v/>
      </c>
      <c r="W290" s="29" t="str">
        <f>IF('12 - Device_Configuration'!BC291="","",'12 - Device_Configuration'!BC291)</f>
        <v/>
      </c>
      <c r="X290" s="29" t="str">
        <f>IF('12 - Device_Configuration'!BK291="","",'12 - Device_Configuration'!BK291)</f>
        <v/>
      </c>
      <c r="Y290" s="29" t="str">
        <f>IF('12 - Device_Configuration'!BB291="","",'12 - Device_Configuration'!BB291)</f>
        <v/>
      </c>
      <c r="Z290" s="29" t="str">
        <f>IF('12 - Device_Configuration'!P291="","",'12 - Device_Configuration'!P291)</f>
        <v/>
      </c>
      <c r="AA290" s="29" t="str">
        <f>IF('12 - Device_Configuration'!Q291="","",'12 - Device_Configuration'!Q291)</f>
        <v/>
      </c>
    </row>
    <row r="291" spans="1:27">
      <c r="A291" s="30"/>
      <c r="B291" s="30"/>
      <c r="C291" s="29" t="str">
        <f>IF('12 - Device_Configuration'!H292="","",'12 - Device_Configuration'!H292)</f>
        <v/>
      </c>
      <c r="D291" s="29" t="str">
        <f>IF('12 - Device_Configuration'!AE292="","",'12 - Device_Configuration'!AE292)</f>
        <v/>
      </c>
      <c r="E291" s="29" t="str">
        <f>IF('12 - Device_Configuration'!AF292="","",'12 - Device_Configuration'!AF292)</f>
        <v/>
      </c>
      <c r="F291" s="29" t="str">
        <f>IF('12 - Device_Configuration'!AG292="","",'12 - Device_Configuration'!AG292)</f>
        <v/>
      </c>
      <c r="G291" s="29" t="str">
        <f>IF('12 - Device_Configuration'!AH292="","",'12 - Device_Configuration'!AH292)</f>
        <v/>
      </c>
      <c r="H291" s="29" t="str">
        <f>IF('12 - Device_Configuration'!A292="","",'12 - Device_Configuration'!A292)</f>
        <v/>
      </c>
      <c r="I291" s="29" t="str">
        <f>IF('12 - Device_Configuration'!AI292="","",'12 - Device_Configuration'!AI292)</f>
        <v/>
      </c>
      <c r="J291" s="29" t="str">
        <f>IF('12 - Device_Configuration'!AJ292="","",'12 - Device_Configuration'!AJ292)</f>
        <v/>
      </c>
      <c r="K291" s="29" t="str">
        <f>IF('12 - Device_Configuration'!AA292="","",'12 - Device_Configuration'!AA292)</f>
        <v/>
      </c>
      <c r="L291" s="29" t="str">
        <f>IF('12 - Device_Configuration'!I292="","",'12 - Device_Configuration'!I292)</f>
        <v/>
      </c>
      <c r="M291" s="30"/>
      <c r="N291" s="29" t="str">
        <f>IF('12 - Device_Configuration'!J292="","",'12 - Device_Configuration'!J292)</f>
        <v/>
      </c>
      <c r="O291" s="29" t="str">
        <f>IF('12 - Device_Configuration'!K292="","",'12 - Device_Configuration'!K292)</f>
        <v/>
      </c>
      <c r="P291" s="29" t="str">
        <f>IF('12 - Device_Configuration'!L292="","",'12 - Device_Configuration'!L292)</f>
        <v/>
      </c>
      <c r="Q291" s="30"/>
      <c r="R291" s="29" t="str">
        <f>IF('12 - Device_Configuration'!AY292="","",'12 - Device_Configuration'!AY292)</f>
        <v/>
      </c>
      <c r="S291" s="29" t="str">
        <f>IF('12 - Device_Configuration'!AX292="","",'12 - Device_Configuration'!AX292)</f>
        <v/>
      </c>
      <c r="T291" s="29" t="str">
        <f>IF('12 - Device_Configuration'!AV292="","",'12 - Device_Configuration'!AV292)</f>
        <v/>
      </c>
      <c r="U291" s="29" t="str">
        <f>IF('12 - Device_Configuration'!AW292="","",'12 - Device_Configuration'!AW292)</f>
        <v/>
      </c>
      <c r="V291" s="29" t="str">
        <f>IF('12 - Device_Configuration'!BA292="","",'12 - Device_Configuration'!BA292)</f>
        <v/>
      </c>
      <c r="W291" s="29" t="str">
        <f>IF('12 - Device_Configuration'!BC292="","",'12 - Device_Configuration'!BC292)</f>
        <v/>
      </c>
      <c r="X291" s="29" t="str">
        <f>IF('12 - Device_Configuration'!BK292="","",'12 - Device_Configuration'!BK292)</f>
        <v/>
      </c>
      <c r="Y291" s="29" t="str">
        <f>IF('12 - Device_Configuration'!BB292="","",'12 - Device_Configuration'!BB292)</f>
        <v/>
      </c>
      <c r="Z291" s="29" t="str">
        <f>IF('12 - Device_Configuration'!P292="","",'12 - Device_Configuration'!P292)</f>
        <v/>
      </c>
      <c r="AA291" s="29" t="str">
        <f>IF('12 - Device_Configuration'!Q292="","",'12 - Device_Configuration'!Q292)</f>
        <v/>
      </c>
    </row>
    <row r="292" spans="1:27">
      <c r="A292" s="30"/>
      <c r="B292" s="30"/>
      <c r="C292" s="29" t="str">
        <f>IF('12 - Device_Configuration'!H293="","",'12 - Device_Configuration'!H293)</f>
        <v/>
      </c>
      <c r="D292" s="29" t="str">
        <f>IF('12 - Device_Configuration'!AE293="","",'12 - Device_Configuration'!AE293)</f>
        <v/>
      </c>
      <c r="E292" s="29" t="str">
        <f>IF('12 - Device_Configuration'!AF293="","",'12 - Device_Configuration'!AF293)</f>
        <v/>
      </c>
      <c r="F292" s="29" t="str">
        <f>IF('12 - Device_Configuration'!AG293="","",'12 - Device_Configuration'!AG293)</f>
        <v/>
      </c>
      <c r="G292" s="29" t="str">
        <f>IF('12 - Device_Configuration'!AH293="","",'12 - Device_Configuration'!AH293)</f>
        <v/>
      </c>
      <c r="H292" s="29" t="str">
        <f>IF('12 - Device_Configuration'!A293="","",'12 - Device_Configuration'!A293)</f>
        <v/>
      </c>
      <c r="I292" s="29" t="str">
        <f>IF('12 - Device_Configuration'!AI293="","",'12 - Device_Configuration'!AI293)</f>
        <v/>
      </c>
      <c r="J292" s="29" t="str">
        <f>IF('12 - Device_Configuration'!AJ293="","",'12 - Device_Configuration'!AJ293)</f>
        <v/>
      </c>
      <c r="K292" s="29" t="str">
        <f>IF('12 - Device_Configuration'!AA293="","",'12 - Device_Configuration'!AA293)</f>
        <v/>
      </c>
      <c r="L292" s="29" t="str">
        <f>IF('12 - Device_Configuration'!I293="","",'12 - Device_Configuration'!I293)</f>
        <v/>
      </c>
      <c r="M292" s="30"/>
      <c r="N292" s="29" t="str">
        <f>IF('12 - Device_Configuration'!J293="","",'12 - Device_Configuration'!J293)</f>
        <v/>
      </c>
      <c r="O292" s="29" t="str">
        <f>IF('12 - Device_Configuration'!K293="","",'12 - Device_Configuration'!K293)</f>
        <v/>
      </c>
      <c r="P292" s="29" t="str">
        <f>IF('12 - Device_Configuration'!L293="","",'12 - Device_Configuration'!L293)</f>
        <v/>
      </c>
      <c r="Q292" s="30"/>
      <c r="R292" s="29" t="str">
        <f>IF('12 - Device_Configuration'!AY293="","",'12 - Device_Configuration'!AY293)</f>
        <v/>
      </c>
      <c r="S292" s="29" t="str">
        <f>IF('12 - Device_Configuration'!AX293="","",'12 - Device_Configuration'!AX293)</f>
        <v/>
      </c>
      <c r="T292" s="29" t="str">
        <f>IF('12 - Device_Configuration'!AV293="","",'12 - Device_Configuration'!AV293)</f>
        <v/>
      </c>
      <c r="U292" s="29" t="str">
        <f>IF('12 - Device_Configuration'!AW293="","",'12 - Device_Configuration'!AW293)</f>
        <v/>
      </c>
      <c r="V292" s="29" t="str">
        <f>IF('12 - Device_Configuration'!BA293="","",'12 - Device_Configuration'!BA293)</f>
        <v/>
      </c>
      <c r="W292" s="29" t="str">
        <f>IF('12 - Device_Configuration'!BC293="","",'12 - Device_Configuration'!BC293)</f>
        <v/>
      </c>
      <c r="X292" s="29" t="str">
        <f>IF('12 - Device_Configuration'!BK293="","",'12 - Device_Configuration'!BK293)</f>
        <v/>
      </c>
      <c r="Y292" s="29" t="str">
        <f>IF('12 - Device_Configuration'!BB293="","",'12 - Device_Configuration'!BB293)</f>
        <v/>
      </c>
      <c r="Z292" s="29" t="str">
        <f>IF('12 - Device_Configuration'!P293="","",'12 - Device_Configuration'!P293)</f>
        <v/>
      </c>
      <c r="AA292" s="29" t="str">
        <f>IF('12 - Device_Configuration'!Q293="","",'12 - Device_Configuration'!Q293)</f>
        <v/>
      </c>
    </row>
    <row r="293" spans="1:27">
      <c r="A293" s="30"/>
      <c r="B293" s="30"/>
      <c r="C293" s="29" t="str">
        <f>IF('12 - Device_Configuration'!H294="","",'12 - Device_Configuration'!H294)</f>
        <v/>
      </c>
      <c r="D293" s="29" t="str">
        <f>IF('12 - Device_Configuration'!AE294="","",'12 - Device_Configuration'!AE294)</f>
        <v/>
      </c>
      <c r="E293" s="29" t="str">
        <f>IF('12 - Device_Configuration'!AF294="","",'12 - Device_Configuration'!AF294)</f>
        <v/>
      </c>
      <c r="F293" s="29" t="str">
        <f>IF('12 - Device_Configuration'!AG294="","",'12 - Device_Configuration'!AG294)</f>
        <v/>
      </c>
      <c r="G293" s="29" t="str">
        <f>IF('12 - Device_Configuration'!AH294="","",'12 - Device_Configuration'!AH294)</f>
        <v/>
      </c>
      <c r="H293" s="29" t="str">
        <f>IF('12 - Device_Configuration'!A294="","",'12 - Device_Configuration'!A294)</f>
        <v/>
      </c>
      <c r="I293" s="29" t="str">
        <f>IF('12 - Device_Configuration'!AI294="","",'12 - Device_Configuration'!AI294)</f>
        <v/>
      </c>
      <c r="J293" s="29" t="str">
        <f>IF('12 - Device_Configuration'!AJ294="","",'12 - Device_Configuration'!AJ294)</f>
        <v/>
      </c>
      <c r="K293" s="29" t="str">
        <f>IF('12 - Device_Configuration'!AA294="","",'12 - Device_Configuration'!AA294)</f>
        <v/>
      </c>
      <c r="L293" s="29" t="str">
        <f>IF('12 - Device_Configuration'!I294="","",'12 - Device_Configuration'!I294)</f>
        <v/>
      </c>
      <c r="M293" s="30"/>
      <c r="N293" s="29" t="str">
        <f>IF('12 - Device_Configuration'!J294="","",'12 - Device_Configuration'!J294)</f>
        <v/>
      </c>
      <c r="O293" s="29" t="str">
        <f>IF('12 - Device_Configuration'!K294="","",'12 - Device_Configuration'!K294)</f>
        <v/>
      </c>
      <c r="P293" s="29" t="str">
        <f>IF('12 - Device_Configuration'!L294="","",'12 - Device_Configuration'!L294)</f>
        <v/>
      </c>
      <c r="Q293" s="30"/>
      <c r="R293" s="29" t="str">
        <f>IF('12 - Device_Configuration'!AY294="","",'12 - Device_Configuration'!AY294)</f>
        <v/>
      </c>
      <c r="S293" s="29" t="str">
        <f>IF('12 - Device_Configuration'!AX294="","",'12 - Device_Configuration'!AX294)</f>
        <v/>
      </c>
      <c r="T293" s="29" t="str">
        <f>IF('12 - Device_Configuration'!AV294="","",'12 - Device_Configuration'!AV294)</f>
        <v/>
      </c>
      <c r="U293" s="29" t="str">
        <f>IF('12 - Device_Configuration'!AW294="","",'12 - Device_Configuration'!AW294)</f>
        <v/>
      </c>
      <c r="V293" s="29" t="str">
        <f>IF('12 - Device_Configuration'!BA294="","",'12 - Device_Configuration'!BA294)</f>
        <v/>
      </c>
      <c r="W293" s="29" t="str">
        <f>IF('12 - Device_Configuration'!BC294="","",'12 - Device_Configuration'!BC294)</f>
        <v/>
      </c>
      <c r="X293" s="29" t="str">
        <f>IF('12 - Device_Configuration'!BK294="","",'12 - Device_Configuration'!BK294)</f>
        <v/>
      </c>
      <c r="Y293" s="29" t="str">
        <f>IF('12 - Device_Configuration'!BB294="","",'12 - Device_Configuration'!BB294)</f>
        <v/>
      </c>
      <c r="Z293" s="29" t="str">
        <f>IF('12 - Device_Configuration'!P294="","",'12 - Device_Configuration'!P294)</f>
        <v/>
      </c>
      <c r="AA293" s="29" t="str">
        <f>IF('12 - Device_Configuration'!Q294="","",'12 - Device_Configuration'!Q294)</f>
        <v/>
      </c>
    </row>
    <row r="294" spans="1:27">
      <c r="A294" s="30"/>
      <c r="B294" s="30"/>
      <c r="C294" s="29" t="str">
        <f>IF('12 - Device_Configuration'!H295="","",'12 - Device_Configuration'!H295)</f>
        <v/>
      </c>
      <c r="D294" s="29" t="str">
        <f>IF('12 - Device_Configuration'!AE295="","",'12 - Device_Configuration'!AE295)</f>
        <v/>
      </c>
      <c r="E294" s="29" t="str">
        <f>IF('12 - Device_Configuration'!AF295="","",'12 - Device_Configuration'!AF295)</f>
        <v/>
      </c>
      <c r="F294" s="29" t="str">
        <f>IF('12 - Device_Configuration'!AG295="","",'12 - Device_Configuration'!AG295)</f>
        <v/>
      </c>
      <c r="G294" s="29" t="str">
        <f>IF('12 - Device_Configuration'!AH295="","",'12 - Device_Configuration'!AH295)</f>
        <v/>
      </c>
      <c r="H294" s="29" t="str">
        <f>IF('12 - Device_Configuration'!A295="","",'12 - Device_Configuration'!A295)</f>
        <v/>
      </c>
      <c r="I294" s="29" t="str">
        <f>IF('12 - Device_Configuration'!AI295="","",'12 - Device_Configuration'!AI295)</f>
        <v/>
      </c>
      <c r="J294" s="29" t="str">
        <f>IF('12 - Device_Configuration'!AJ295="","",'12 - Device_Configuration'!AJ295)</f>
        <v/>
      </c>
      <c r="K294" s="29" t="str">
        <f>IF('12 - Device_Configuration'!AA295="","",'12 - Device_Configuration'!AA295)</f>
        <v/>
      </c>
      <c r="L294" s="29" t="str">
        <f>IF('12 - Device_Configuration'!I295="","",'12 - Device_Configuration'!I295)</f>
        <v/>
      </c>
      <c r="M294" s="30"/>
      <c r="N294" s="29" t="str">
        <f>IF('12 - Device_Configuration'!J295="","",'12 - Device_Configuration'!J295)</f>
        <v/>
      </c>
      <c r="O294" s="29" t="str">
        <f>IF('12 - Device_Configuration'!K295="","",'12 - Device_Configuration'!K295)</f>
        <v/>
      </c>
      <c r="P294" s="29" t="str">
        <f>IF('12 - Device_Configuration'!L295="","",'12 - Device_Configuration'!L295)</f>
        <v/>
      </c>
      <c r="Q294" s="30"/>
      <c r="R294" s="29" t="str">
        <f>IF('12 - Device_Configuration'!AY295="","",'12 - Device_Configuration'!AY295)</f>
        <v/>
      </c>
      <c r="S294" s="29" t="str">
        <f>IF('12 - Device_Configuration'!AX295="","",'12 - Device_Configuration'!AX295)</f>
        <v/>
      </c>
      <c r="T294" s="29" t="str">
        <f>IF('12 - Device_Configuration'!AV295="","",'12 - Device_Configuration'!AV295)</f>
        <v/>
      </c>
      <c r="U294" s="29" t="str">
        <f>IF('12 - Device_Configuration'!AW295="","",'12 - Device_Configuration'!AW295)</f>
        <v/>
      </c>
      <c r="V294" s="29" t="str">
        <f>IF('12 - Device_Configuration'!BA295="","",'12 - Device_Configuration'!BA295)</f>
        <v/>
      </c>
      <c r="W294" s="29" t="str">
        <f>IF('12 - Device_Configuration'!BC295="","",'12 - Device_Configuration'!BC295)</f>
        <v/>
      </c>
      <c r="X294" s="29" t="str">
        <f>IF('12 - Device_Configuration'!BK295="","",'12 - Device_Configuration'!BK295)</f>
        <v/>
      </c>
      <c r="Y294" s="29" t="str">
        <f>IF('12 - Device_Configuration'!BB295="","",'12 - Device_Configuration'!BB295)</f>
        <v/>
      </c>
      <c r="Z294" s="29" t="str">
        <f>IF('12 - Device_Configuration'!P295="","",'12 - Device_Configuration'!P295)</f>
        <v/>
      </c>
      <c r="AA294" s="29" t="str">
        <f>IF('12 - Device_Configuration'!Q295="","",'12 - Device_Configuration'!Q295)</f>
        <v/>
      </c>
    </row>
    <row r="295" spans="1:27">
      <c r="A295" s="30"/>
      <c r="B295" s="30"/>
      <c r="C295" s="29" t="str">
        <f>IF('12 - Device_Configuration'!H296="","",'12 - Device_Configuration'!H296)</f>
        <v/>
      </c>
      <c r="D295" s="29" t="str">
        <f>IF('12 - Device_Configuration'!AE296="","",'12 - Device_Configuration'!AE296)</f>
        <v/>
      </c>
      <c r="E295" s="29" t="str">
        <f>IF('12 - Device_Configuration'!AF296="","",'12 - Device_Configuration'!AF296)</f>
        <v/>
      </c>
      <c r="F295" s="29" t="str">
        <f>IF('12 - Device_Configuration'!AG296="","",'12 - Device_Configuration'!AG296)</f>
        <v/>
      </c>
      <c r="G295" s="29" t="str">
        <f>IF('12 - Device_Configuration'!AH296="","",'12 - Device_Configuration'!AH296)</f>
        <v/>
      </c>
      <c r="H295" s="29" t="str">
        <f>IF('12 - Device_Configuration'!A296="","",'12 - Device_Configuration'!A296)</f>
        <v/>
      </c>
      <c r="I295" s="29" t="str">
        <f>IF('12 - Device_Configuration'!AI296="","",'12 - Device_Configuration'!AI296)</f>
        <v/>
      </c>
      <c r="J295" s="29" t="str">
        <f>IF('12 - Device_Configuration'!AJ296="","",'12 - Device_Configuration'!AJ296)</f>
        <v/>
      </c>
      <c r="K295" s="29" t="str">
        <f>IF('12 - Device_Configuration'!AA296="","",'12 - Device_Configuration'!AA296)</f>
        <v/>
      </c>
      <c r="L295" s="29" t="str">
        <f>IF('12 - Device_Configuration'!I296="","",'12 - Device_Configuration'!I296)</f>
        <v/>
      </c>
      <c r="M295" s="30"/>
      <c r="N295" s="29" t="str">
        <f>IF('12 - Device_Configuration'!J296="","",'12 - Device_Configuration'!J296)</f>
        <v/>
      </c>
      <c r="O295" s="29" t="str">
        <f>IF('12 - Device_Configuration'!K296="","",'12 - Device_Configuration'!K296)</f>
        <v/>
      </c>
      <c r="P295" s="29" t="str">
        <f>IF('12 - Device_Configuration'!L296="","",'12 - Device_Configuration'!L296)</f>
        <v/>
      </c>
      <c r="Q295" s="30"/>
      <c r="R295" s="29" t="str">
        <f>IF('12 - Device_Configuration'!AY296="","",'12 - Device_Configuration'!AY296)</f>
        <v/>
      </c>
      <c r="S295" s="29" t="str">
        <f>IF('12 - Device_Configuration'!AX296="","",'12 - Device_Configuration'!AX296)</f>
        <v/>
      </c>
      <c r="T295" s="29" t="str">
        <f>IF('12 - Device_Configuration'!AV296="","",'12 - Device_Configuration'!AV296)</f>
        <v/>
      </c>
      <c r="U295" s="29" t="str">
        <f>IF('12 - Device_Configuration'!AW296="","",'12 - Device_Configuration'!AW296)</f>
        <v/>
      </c>
      <c r="V295" s="29" t="str">
        <f>IF('12 - Device_Configuration'!BA296="","",'12 - Device_Configuration'!BA296)</f>
        <v/>
      </c>
      <c r="W295" s="29" t="str">
        <f>IF('12 - Device_Configuration'!BC296="","",'12 - Device_Configuration'!BC296)</f>
        <v/>
      </c>
      <c r="X295" s="29" t="str">
        <f>IF('12 - Device_Configuration'!BK296="","",'12 - Device_Configuration'!BK296)</f>
        <v/>
      </c>
      <c r="Y295" s="29" t="str">
        <f>IF('12 - Device_Configuration'!BB296="","",'12 - Device_Configuration'!BB296)</f>
        <v/>
      </c>
      <c r="Z295" s="29" t="str">
        <f>IF('12 - Device_Configuration'!P296="","",'12 - Device_Configuration'!P296)</f>
        <v/>
      </c>
      <c r="AA295" s="29" t="str">
        <f>IF('12 - Device_Configuration'!Q296="","",'12 - Device_Configuration'!Q296)</f>
        <v/>
      </c>
    </row>
    <row r="296" spans="1:27">
      <c r="A296" s="30"/>
      <c r="B296" s="30"/>
      <c r="C296" s="29" t="str">
        <f>IF('12 - Device_Configuration'!H297="","",'12 - Device_Configuration'!H297)</f>
        <v/>
      </c>
      <c r="D296" s="29" t="str">
        <f>IF('12 - Device_Configuration'!AE297="","",'12 - Device_Configuration'!AE297)</f>
        <v/>
      </c>
      <c r="E296" s="29" t="str">
        <f>IF('12 - Device_Configuration'!AF297="","",'12 - Device_Configuration'!AF297)</f>
        <v/>
      </c>
      <c r="F296" s="29" t="str">
        <f>IF('12 - Device_Configuration'!AG297="","",'12 - Device_Configuration'!AG297)</f>
        <v/>
      </c>
      <c r="G296" s="29" t="str">
        <f>IF('12 - Device_Configuration'!AH297="","",'12 - Device_Configuration'!AH297)</f>
        <v/>
      </c>
      <c r="H296" s="29" t="str">
        <f>IF('12 - Device_Configuration'!A297="","",'12 - Device_Configuration'!A297)</f>
        <v/>
      </c>
      <c r="I296" s="29" t="str">
        <f>IF('12 - Device_Configuration'!AI297="","",'12 - Device_Configuration'!AI297)</f>
        <v/>
      </c>
      <c r="J296" s="29" t="str">
        <f>IF('12 - Device_Configuration'!AJ297="","",'12 - Device_Configuration'!AJ297)</f>
        <v/>
      </c>
      <c r="K296" s="29" t="str">
        <f>IF('12 - Device_Configuration'!AA297="","",'12 - Device_Configuration'!AA297)</f>
        <v/>
      </c>
      <c r="L296" s="29" t="str">
        <f>IF('12 - Device_Configuration'!I297="","",'12 - Device_Configuration'!I297)</f>
        <v/>
      </c>
      <c r="M296" s="30"/>
      <c r="N296" s="29" t="str">
        <f>IF('12 - Device_Configuration'!J297="","",'12 - Device_Configuration'!J297)</f>
        <v/>
      </c>
      <c r="O296" s="29" t="str">
        <f>IF('12 - Device_Configuration'!K297="","",'12 - Device_Configuration'!K297)</f>
        <v/>
      </c>
      <c r="P296" s="29" t="str">
        <f>IF('12 - Device_Configuration'!L297="","",'12 - Device_Configuration'!L297)</f>
        <v/>
      </c>
      <c r="Q296" s="30"/>
      <c r="R296" s="29" t="str">
        <f>IF('12 - Device_Configuration'!AY297="","",'12 - Device_Configuration'!AY297)</f>
        <v/>
      </c>
      <c r="S296" s="29" t="str">
        <f>IF('12 - Device_Configuration'!AX297="","",'12 - Device_Configuration'!AX297)</f>
        <v/>
      </c>
      <c r="T296" s="29" t="str">
        <f>IF('12 - Device_Configuration'!AV297="","",'12 - Device_Configuration'!AV297)</f>
        <v/>
      </c>
      <c r="U296" s="29" t="str">
        <f>IF('12 - Device_Configuration'!AW297="","",'12 - Device_Configuration'!AW297)</f>
        <v/>
      </c>
      <c r="V296" s="29" t="str">
        <f>IF('12 - Device_Configuration'!BA297="","",'12 - Device_Configuration'!BA297)</f>
        <v/>
      </c>
      <c r="W296" s="29" t="str">
        <f>IF('12 - Device_Configuration'!BC297="","",'12 - Device_Configuration'!BC297)</f>
        <v/>
      </c>
      <c r="X296" s="29" t="str">
        <f>IF('12 - Device_Configuration'!BK297="","",'12 - Device_Configuration'!BK297)</f>
        <v/>
      </c>
      <c r="Y296" s="29" t="str">
        <f>IF('12 - Device_Configuration'!BB297="","",'12 - Device_Configuration'!BB297)</f>
        <v/>
      </c>
      <c r="Z296" s="29" t="str">
        <f>IF('12 - Device_Configuration'!P297="","",'12 - Device_Configuration'!P297)</f>
        <v/>
      </c>
      <c r="AA296" s="29" t="str">
        <f>IF('12 - Device_Configuration'!Q297="","",'12 - Device_Configuration'!Q297)</f>
        <v/>
      </c>
    </row>
    <row r="297" spans="1:27">
      <c r="A297" s="30"/>
      <c r="B297" s="30"/>
      <c r="C297" s="29" t="str">
        <f>IF('12 - Device_Configuration'!H298="","",'12 - Device_Configuration'!H298)</f>
        <v/>
      </c>
      <c r="D297" s="29" t="str">
        <f>IF('12 - Device_Configuration'!AE298="","",'12 - Device_Configuration'!AE298)</f>
        <v/>
      </c>
      <c r="E297" s="29" t="str">
        <f>IF('12 - Device_Configuration'!AF298="","",'12 - Device_Configuration'!AF298)</f>
        <v/>
      </c>
      <c r="F297" s="29" t="str">
        <f>IF('12 - Device_Configuration'!AG298="","",'12 - Device_Configuration'!AG298)</f>
        <v/>
      </c>
      <c r="G297" s="29" t="str">
        <f>IF('12 - Device_Configuration'!AH298="","",'12 - Device_Configuration'!AH298)</f>
        <v/>
      </c>
      <c r="H297" s="29" t="str">
        <f>IF('12 - Device_Configuration'!A298="","",'12 - Device_Configuration'!A298)</f>
        <v/>
      </c>
      <c r="I297" s="29" t="str">
        <f>IF('12 - Device_Configuration'!AI298="","",'12 - Device_Configuration'!AI298)</f>
        <v/>
      </c>
      <c r="J297" s="29" t="str">
        <f>IF('12 - Device_Configuration'!AJ298="","",'12 - Device_Configuration'!AJ298)</f>
        <v/>
      </c>
      <c r="K297" s="29" t="str">
        <f>IF('12 - Device_Configuration'!AA298="","",'12 - Device_Configuration'!AA298)</f>
        <v/>
      </c>
      <c r="L297" s="29" t="str">
        <f>IF('12 - Device_Configuration'!I298="","",'12 - Device_Configuration'!I298)</f>
        <v/>
      </c>
      <c r="M297" s="30"/>
      <c r="N297" s="29" t="str">
        <f>IF('12 - Device_Configuration'!J298="","",'12 - Device_Configuration'!J298)</f>
        <v/>
      </c>
      <c r="O297" s="29" t="str">
        <f>IF('12 - Device_Configuration'!K298="","",'12 - Device_Configuration'!K298)</f>
        <v/>
      </c>
      <c r="P297" s="29" t="str">
        <f>IF('12 - Device_Configuration'!L298="","",'12 - Device_Configuration'!L298)</f>
        <v/>
      </c>
      <c r="Q297" s="30"/>
      <c r="R297" s="29" t="str">
        <f>IF('12 - Device_Configuration'!AY298="","",'12 - Device_Configuration'!AY298)</f>
        <v/>
      </c>
      <c r="S297" s="29" t="str">
        <f>IF('12 - Device_Configuration'!AX298="","",'12 - Device_Configuration'!AX298)</f>
        <v/>
      </c>
      <c r="T297" s="29" t="str">
        <f>IF('12 - Device_Configuration'!AV298="","",'12 - Device_Configuration'!AV298)</f>
        <v/>
      </c>
      <c r="U297" s="29" t="str">
        <f>IF('12 - Device_Configuration'!AW298="","",'12 - Device_Configuration'!AW298)</f>
        <v/>
      </c>
      <c r="V297" s="29" t="str">
        <f>IF('12 - Device_Configuration'!BA298="","",'12 - Device_Configuration'!BA298)</f>
        <v/>
      </c>
      <c r="W297" s="29" t="str">
        <f>IF('12 - Device_Configuration'!BC298="","",'12 - Device_Configuration'!BC298)</f>
        <v/>
      </c>
      <c r="X297" s="29" t="str">
        <f>IF('12 - Device_Configuration'!BK298="","",'12 - Device_Configuration'!BK298)</f>
        <v/>
      </c>
      <c r="Y297" s="29" t="str">
        <f>IF('12 - Device_Configuration'!BB298="","",'12 - Device_Configuration'!BB298)</f>
        <v/>
      </c>
      <c r="Z297" s="29" t="str">
        <f>IF('12 - Device_Configuration'!P298="","",'12 - Device_Configuration'!P298)</f>
        <v/>
      </c>
      <c r="AA297" s="29" t="str">
        <f>IF('12 - Device_Configuration'!Q298="","",'12 - Device_Configuration'!Q298)</f>
        <v/>
      </c>
    </row>
    <row r="298" spans="1:27">
      <c r="A298" s="30"/>
      <c r="B298" s="30"/>
      <c r="C298" s="29" t="str">
        <f>IF('12 - Device_Configuration'!H299="","",'12 - Device_Configuration'!H299)</f>
        <v/>
      </c>
      <c r="D298" s="29" t="str">
        <f>IF('12 - Device_Configuration'!AE299="","",'12 - Device_Configuration'!AE299)</f>
        <v/>
      </c>
      <c r="E298" s="29" t="str">
        <f>IF('12 - Device_Configuration'!AF299="","",'12 - Device_Configuration'!AF299)</f>
        <v/>
      </c>
      <c r="F298" s="29" t="str">
        <f>IF('12 - Device_Configuration'!AG299="","",'12 - Device_Configuration'!AG299)</f>
        <v/>
      </c>
      <c r="G298" s="29" t="str">
        <f>IF('12 - Device_Configuration'!AH299="","",'12 - Device_Configuration'!AH299)</f>
        <v/>
      </c>
      <c r="H298" s="29" t="str">
        <f>IF('12 - Device_Configuration'!A299="","",'12 - Device_Configuration'!A299)</f>
        <v/>
      </c>
      <c r="I298" s="29" t="str">
        <f>IF('12 - Device_Configuration'!AI299="","",'12 - Device_Configuration'!AI299)</f>
        <v/>
      </c>
      <c r="J298" s="29" t="str">
        <f>IF('12 - Device_Configuration'!AJ299="","",'12 - Device_Configuration'!AJ299)</f>
        <v/>
      </c>
      <c r="K298" s="29" t="str">
        <f>IF('12 - Device_Configuration'!AA299="","",'12 - Device_Configuration'!AA299)</f>
        <v/>
      </c>
      <c r="L298" s="29" t="str">
        <f>IF('12 - Device_Configuration'!I299="","",'12 - Device_Configuration'!I299)</f>
        <v/>
      </c>
      <c r="M298" s="30"/>
      <c r="N298" s="29" t="str">
        <f>IF('12 - Device_Configuration'!J299="","",'12 - Device_Configuration'!J299)</f>
        <v/>
      </c>
      <c r="O298" s="29" t="str">
        <f>IF('12 - Device_Configuration'!K299="","",'12 - Device_Configuration'!K299)</f>
        <v/>
      </c>
      <c r="P298" s="29" t="str">
        <f>IF('12 - Device_Configuration'!L299="","",'12 - Device_Configuration'!L299)</f>
        <v/>
      </c>
      <c r="Q298" s="30"/>
      <c r="R298" s="29" t="str">
        <f>IF('12 - Device_Configuration'!AY299="","",'12 - Device_Configuration'!AY299)</f>
        <v/>
      </c>
      <c r="S298" s="29" t="str">
        <f>IF('12 - Device_Configuration'!AX299="","",'12 - Device_Configuration'!AX299)</f>
        <v/>
      </c>
      <c r="T298" s="29" t="str">
        <f>IF('12 - Device_Configuration'!AV299="","",'12 - Device_Configuration'!AV299)</f>
        <v/>
      </c>
      <c r="U298" s="29" t="str">
        <f>IF('12 - Device_Configuration'!AW299="","",'12 - Device_Configuration'!AW299)</f>
        <v/>
      </c>
      <c r="V298" s="29" t="str">
        <f>IF('12 - Device_Configuration'!BA299="","",'12 - Device_Configuration'!BA299)</f>
        <v/>
      </c>
      <c r="W298" s="29" t="str">
        <f>IF('12 - Device_Configuration'!BC299="","",'12 - Device_Configuration'!BC299)</f>
        <v/>
      </c>
      <c r="X298" s="29" t="str">
        <f>IF('12 - Device_Configuration'!BK299="","",'12 - Device_Configuration'!BK299)</f>
        <v/>
      </c>
      <c r="Y298" s="29" t="str">
        <f>IF('12 - Device_Configuration'!BB299="","",'12 - Device_Configuration'!BB299)</f>
        <v/>
      </c>
      <c r="Z298" s="29" t="str">
        <f>IF('12 - Device_Configuration'!P299="","",'12 - Device_Configuration'!P299)</f>
        <v/>
      </c>
      <c r="AA298" s="29" t="str">
        <f>IF('12 - Device_Configuration'!Q299="","",'12 - Device_Configuration'!Q299)</f>
        <v/>
      </c>
    </row>
    <row r="299" spans="1:27">
      <c r="A299" s="30"/>
      <c r="B299" s="30"/>
      <c r="C299" s="29" t="str">
        <f>IF('12 - Device_Configuration'!H300="","",'12 - Device_Configuration'!H300)</f>
        <v/>
      </c>
      <c r="D299" s="29" t="str">
        <f>IF('12 - Device_Configuration'!AE300="","",'12 - Device_Configuration'!AE300)</f>
        <v/>
      </c>
      <c r="E299" s="29" t="str">
        <f>IF('12 - Device_Configuration'!AF300="","",'12 - Device_Configuration'!AF300)</f>
        <v/>
      </c>
      <c r="F299" s="29" t="str">
        <f>IF('12 - Device_Configuration'!AG300="","",'12 - Device_Configuration'!AG300)</f>
        <v/>
      </c>
      <c r="G299" s="29" t="str">
        <f>IF('12 - Device_Configuration'!AH300="","",'12 - Device_Configuration'!AH300)</f>
        <v/>
      </c>
      <c r="H299" s="29" t="str">
        <f>IF('12 - Device_Configuration'!A300="","",'12 - Device_Configuration'!A300)</f>
        <v/>
      </c>
      <c r="I299" s="29" t="str">
        <f>IF('12 - Device_Configuration'!AI300="","",'12 - Device_Configuration'!AI300)</f>
        <v/>
      </c>
      <c r="J299" s="29" t="str">
        <f>IF('12 - Device_Configuration'!AJ300="","",'12 - Device_Configuration'!AJ300)</f>
        <v/>
      </c>
      <c r="K299" s="29" t="str">
        <f>IF('12 - Device_Configuration'!AA300="","",'12 - Device_Configuration'!AA300)</f>
        <v/>
      </c>
      <c r="L299" s="29" t="str">
        <f>IF('12 - Device_Configuration'!I300="","",'12 - Device_Configuration'!I300)</f>
        <v/>
      </c>
      <c r="M299" s="30"/>
      <c r="N299" s="29" t="str">
        <f>IF('12 - Device_Configuration'!J300="","",'12 - Device_Configuration'!J300)</f>
        <v/>
      </c>
      <c r="O299" s="29" t="str">
        <f>IF('12 - Device_Configuration'!K300="","",'12 - Device_Configuration'!K300)</f>
        <v/>
      </c>
      <c r="P299" s="29" t="str">
        <f>IF('12 - Device_Configuration'!L300="","",'12 - Device_Configuration'!L300)</f>
        <v/>
      </c>
      <c r="Q299" s="30"/>
      <c r="R299" s="29" t="str">
        <f>IF('12 - Device_Configuration'!AY300="","",'12 - Device_Configuration'!AY300)</f>
        <v/>
      </c>
      <c r="S299" s="29" t="str">
        <f>IF('12 - Device_Configuration'!AX300="","",'12 - Device_Configuration'!AX300)</f>
        <v/>
      </c>
      <c r="T299" s="29" t="str">
        <f>IF('12 - Device_Configuration'!AV300="","",'12 - Device_Configuration'!AV300)</f>
        <v/>
      </c>
      <c r="U299" s="29" t="str">
        <f>IF('12 - Device_Configuration'!AW300="","",'12 - Device_Configuration'!AW300)</f>
        <v/>
      </c>
      <c r="V299" s="29" t="str">
        <f>IF('12 - Device_Configuration'!BA300="","",'12 - Device_Configuration'!BA300)</f>
        <v/>
      </c>
      <c r="W299" s="29" t="str">
        <f>IF('12 - Device_Configuration'!BC300="","",'12 - Device_Configuration'!BC300)</f>
        <v/>
      </c>
      <c r="X299" s="29" t="str">
        <f>IF('12 - Device_Configuration'!BK300="","",'12 - Device_Configuration'!BK300)</f>
        <v/>
      </c>
      <c r="Y299" s="29" t="str">
        <f>IF('12 - Device_Configuration'!BB300="","",'12 - Device_Configuration'!BB300)</f>
        <v/>
      </c>
      <c r="Z299" s="29" t="str">
        <f>IF('12 - Device_Configuration'!P300="","",'12 - Device_Configuration'!P300)</f>
        <v/>
      </c>
      <c r="AA299" s="29" t="str">
        <f>IF('12 - Device_Configuration'!Q300="","",'12 - Device_Configuration'!Q300)</f>
        <v/>
      </c>
    </row>
    <row r="300" spans="1:27">
      <c r="A300" s="30"/>
      <c r="B300" s="30"/>
      <c r="C300" s="29" t="str">
        <f>IF('12 - Device_Configuration'!H301="","",'12 - Device_Configuration'!H301)</f>
        <v/>
      </c>
      <c r="D300" s="29" t="str">
        <f>IF('12 - Device_Configuration'!AE301="","",'12 - Device_Configuration'!AE301)</f>
        <v/>
      </c>
      <c r="E300" s="29" t="str">
        <f>IF('12 - Device_Configuration'!AF301="","",'12 - Device_Configuration'!AF301)</f>
        <v/>
      </c>
      <c r="F300" s="29" t="str">
        <f>IF('12 - Device_Configuration'!AG301="","",'12 - Device_Configuration'!AG301)</f>
        <v/>
      </c>
      <c r="G300" s="29" t="str">
        <f>IF('12 - Device_Configuration'!AH301="","",'12 - Device_Configuration'!AH301)</f>
        <v/>
      </c>
      <c r="H300" s="29" t="str">
        <f>IF('12 - Device_Configuration'!A301="","",'12 - Device_Configuration'!A301)</f>
        <v/>
      </c>
      <c r="I300" s="29" t="str">
        <f>IF('12 - Device_Configuration'!AI301="","",'12 - Device_Configuration'!AI301)</f>
        <v/>
      </c>
      <c r="J300" s="29" t="str">
        <f>IF('12 - Device_Configuration'!AJ301="","",'12 - Device_Configuration'!AJ301)</f>
        <v/>
      </c>
      <c r="K300" s="29" t="str">
        <f>IF('12 - Device_Configuration'!AA301="","",'12 - Device_Configuration'!AA301)</f>
        <v/>
      </c>
      <c r="L300" s="29" t="str">
        <f>IF('12 - Device_Configuration'!I301="","",'12 - Device_Configuration'!I301)</f>
        <v/>
      </c>
      <c r="M300" s="30"/>
      <c r="N300" s="29" t="str">
        <f>IF('12 - Device_Configuration'!J301="","",'12 - Device_Configuration'!J301)</f>
        <v/>
      </c>
      <c r="O300" s="29" t="str">
        <f>IF('12 - Device_Configuration'!K301="","",'12 - Device_Configuration'!K301)</f>
        <v/>
      </c>
      <c r="P300" s="29" t="str">
        <f>IF('12 - Device_Configuration'!L301="","",'12 - Device_Configuration'!L301)</f>
        <v/>
      </c>
      <c r="Q300" s="30"/>
      <c r="R300" s="29" t="str">
        <f>IF('12 - Device_Configuration'!AY301="","",'12 - Device_Configuration'!AY301)</f>
        <v/>
      </c>
      <c r="S300" s="29" t="str">
        <f>IF('12 - Device_Configuration'!AX301="","",'12 - Device_Configuration'!AX301)</f>
        <v/>
      </c>
      <c r="T300" s="29" t="str">
        <f>IF('12 - Device_Configuration'!AV301="","",'12 - Device_Configuration'!AV301)</f>
        <v/>
      </c>
      <c r="U300" s="29" t="str">
        <f>IF('12 - Device_Configuration'!AW301="","",'12 - Device_Configuration'!AW301)</f>
        <v/>
      </c>
      <c r="V300" s="29" t="str">
        <f>IF('12 - Device_Configuration'!BA301="","",'12 - Device_Configuration'!BA301)</f>
        <v/>
      </c>
      <c r="W300" s="29" t="str">
        <f>IF('12 - Device_Configuration'!BC301="","",'12 - Device_Configuration'!BC301)</f>
        <v/>
      </c>
      <c r="X300" s="29" t="str">
        <f>IF('12 - Device_Configuration'!BK301="","",'12 - Device_Configuration'!BK301)</f>
        <v/>
      </c>
      <c r="Y300" s="29" t="str">
        <f>IF('12 - Device_Configuration'!BB301="","",'12 - Device_Configuration'!BB301)</f>
        <v/>
      </c>
      <c r="Z300" s="29" t="str">
        <f>IF('12 - Device_Configuration'!P301="","",'12 - Device_Configuration'!P301)</f>
        <v/>
      </c>
      <c r="AA300" s="29" t="str">
        <f>IF('12 - Device_Configuration'!Q301="","",'12 - Device_Configuration'!Q301)</f>
        <v/>
      </c>
    </row>
    <row r="301" spans="1:27">
      <c r="A301" s="30"/>
      <c r="B301" s="30"/>
      <c r="C301" s="29" t="str">
        <f>IF('12 - Device_Configuration'!H302="","",'12 - Device_Configuration'!H302)</f>
        <v/>
      </c>
      <c r="D301" s="29" t="str">
        <f>IF('12 - Device_Configuration'!AE302="","",'12 - Device_Configuration'!AE302)</f>
        <v/>
      </c>
      <c r="E301" s="29" t="str">
        <f>IF('12 - Device_Configuration'!AF302="","",'12 - Device_Configuration'!AF302)</f>
        <v/>
      </c>
      <c r="F301" s="29" t="str">
        <f>IF('12 - Device_Configuration'!AG302="","",'12 - Device_Configuration'!AG302)</f>
        <v/>
      </c>
      <c r="G301" s="29" t="str">
        <f>IF('12 - Device_Configuration'!AH302="","",'12 - Device_Configuration'!AH302)</f>
        <v/>
      </c>
      <c r="H301" s="29" t="str">
        <f>IF('12 - Device_Configuration'!A302="","",'12 - Device_Configuration'!A302)</f>
        <v/>
      </c>
      <c r="I301" s="29" t="str">
        <f>IF('12 - Device_Configuration'!AI302="","",'12 - Device_Configuration'!AI302)</f>
        <v/>
      </c>
      <c r="J301" s="29" t="str">
        <f>IF('12 - Device_Configuration'!AJ302="","",'12 - Device_Configuration'!AJ302)</f>
        <v/>
      </c>
      <c r="K301" s="29" t="str">
        <f>IF('12 - Device_Configuration'!AA302="","",'12 - Device_Configuration'!AA302)</f>
        <v/>
      </c>
      <c r="L301" s="29" t="str">
        <f>IF('12 - Device_Configuration'!I302="","",'12 - Device_Configuration'!I302)</f>
        <v/>
      </c>
      <c r="M301" s="30"/>
      <c r="N301" s="29" t="str">
        <f>IF('12 - Device_Configuration'!J302="","",'12 - Device_Configuration'!J302)</f>
        <v/>
      </c>
      <c r="O301" s="29" t="str">
        <f>IF('12 - Device_Configuration'!K302="","",'12 - Device_Configuration'!K302)</f>
        <v/>
      </c>
      <c r="P301" s="29" t="str">
        <f>IF('12 - Device_Configuration'!L302="","",'12 - Device_Configuration'!L302)</f>
        <v/>
      </c>
      <c r="Q301" s="30"/>
      <c r="R301" s="29" t="str">
        <f>IF('12 - Device_Configuration'!AY302="","",'12 - Device_Configuration'!AY302)</f>
        <v/>
      </c>
      <c r="S301" s="29" t="str">
        <f>IF('12 - Device_Configuration'!AX302="","",'12 - Device_Configuration'!AX302)</f>
        <v/>
      </c>
      <c r="T301" s="29" t="str">
        <f>IF('12 - Device_Configuration'!AV302="","",'12 - Device_Configuration'!AV302)</f>
        <v/>
      </c>
      <c r="U301" s="29" t="str">
        <f>IF('12 - Device_Configuration'!AW302="","",'12 - Device_Configuration'!AW302)</f>
        <v/>
      </c>
      <c r="V301" s="29" t="str">
        <f>IF('12 - Device_Configuration'!BA302="","",'12 - Device_Configuration'!BA302)</f>
        <v/>
      </c>
      <c r="W301" s="29" t="str">
        <f>IF('12 - Device_Configuration'!BC302="","",'12 - Device_Configuration'!BC302)</f>
        <v/>
      </c>
      <c r="X301" s="29" t="str">
        <f>IF('12 - Device_Configuration'!BK302="","",'12 - Device_Configuration'!BK302)</f>
        <v/>
      </c>
      <c r="Y301" s="29" t="str">
        <f>IF('12 - Device_Configuration'!BB302="","",'12 - Device_Configuration'!BB302)</f>
        <v/>
      </c>
      <c r="Z301" s="29" t="str">
        <f>IF('12 - Device_Configuration'!P302="","",'12 - Device_Configuration'!P302)</f>
        <v/>
      </c>
      <c r="AA301" s="29" t="str">
        <f>IF('12 - Device_Configuration'!Q302="","",'12 - Device_Configuration'!Q302)</f>
        <v/>
      </c>
    </row>
    <row r="302" spans="1:27">
      <c r="A302" s="30"/>
      <c r="B302" s="30"/>
      <c r="C302" s="29" t="str">
        <f>IF('12 - Device_Configuration'!H303="","",'12 - Device_Configuration'!H303)</f>
        <v/>
      </c>
      <c r="D302" s="29" t="str">
        <f>IF('12 - Device_Configuration'!AE303="","",'12 - Device_Configuration'!AE303)</f>
        <v/>
      </c>
      <c r="E302" s="29" t="str">
        <f>IF('12 - Device_Configuration'!AF303="","",'12 - Device_Configuration'!AF303)</f>
        <v/>
      </c>
      <c r="F302" s="29" t="str">
        <f>IF('12 - Device_Configuration'!AG303="","",'12 - Device_Configuration'!AG303)</f>
        <v/>
      </c>
      <c r="G302" s="29" t="str">
        <f>IF('12 - Device_Configuration'!AH303="","",'12 - Device_Configuration'!AH303)</f>
        <v/>
      </c>
      <c r="H302" s="29" t="str">
        <f>IF('12 - Device_Configuration'!A303="","",'12 - Device_Configuration'!A303)</f>
        <v/>
      </c>
      <c r="I302" s="29" t="str">
        <f>IF('12 - Device_Configuration'!AI303="","",'12 - Device_Configuration'!AI303)</f>
        <v/>
      </c>
      <c r="J302" s="29" t="str">
        <f>IF('12 - Device_Configuration'!AJ303="","",'12 - Device_Configuration'!AJ303)</f>
        <v/>
      </c>
      <c r="K302" s="29" t="str">
        <f>IF('12 - Device_Configuration'!AA303="","",'12 - Device_Configuration'!AA303)</f>
        <v/>
      </c>
      <c r="L302" s="29" t="str">
        <f>IF('12 - Device_Configuration'!I303="","",'12 - Device_Configuration'!I303)</f>
        <v/>
      </c>
      <c r="M302" s="30"/>
      <c r="N302" s="29" t="str">
        <f>IF('12 - Device_Configuration'!J303="","",'12 - Device_Configuration'!J303)</f>
        <v/>
      </c>
      <c r="O302" s="29" t="str">
        <f>IF('12 - Device_Configuration'!K303="","",'12 - Device_Configuration'!K303)</f>
        <v/>
      </c>
      <c r="P302" s="29" t="str">
        <f>IF('12 - Device_Configuration'!L303="","",'12 - Device_Configuration'!L303)</f>
        <v/>
      </c>
      <c r="Q302" s="30"/>
      <c r="R302" s="29" t="str">
        <f>IF('12 - Device_Configuration'!AY303="","",'12 - Device_Configuration'!AY303)</f>
        <v/>
      </c>
      <c r="S302" s="29" t="str">
        <f>IF('12 - Device_Configuration'!AX303="","",'12 - Device_Configuration'!AX303)</f>
        <v/>
      </c>
      <c r="T302" s="29" t="str">
        <f>IF('12 - Device_Configuration'!AV303="","",'12 - Device_Configuration'!AV303)</f>
        <v/>
      </c>
      <c r="U302" s="29" t="str">
        <f>IF('12 - Device_Configuration'!AW303="","",'12 - Device_Configuration'!AW303)</f>
        <v/>
      </c>
      <c r="V302" s="29" t="str">
        <f>IF('12 - Device_Configuration'!BA303="","",'12 - Device_Configuration'!BA303)</f>
        <v/>
      </c>
      <c r="W302" s="29" t="str">
        <f>IF('12 - Device_Configuration'!BC303="","",'12 - Device_Configuration'!BC303)</f>
        <v/>
      </c>
      <c r="X302" s="29" t="str">
        <f>IF('12 - Device_Configuration'!BK303="","",'12 - Device_Configuration'!BK303)</f>
        <v/>
      </c>
      <c r="Y302" s="29" t="str">
        <f>IF('12 - Device_Configuration'!BB303="","",'12 - Device_Configuration'!BB303)</f>
        <v/>
      </c>
      <c r="Z302" s="29" t="str">
        <f>IF('12 - Device_Configuration'!P303="","",'12 - Device_Configuration'!P303)</f>
        <v/>
      </c>
      <c r="AA302" s="29" t="str">
        <f>IF('12 - Device_Configuration'!Q303="","",'12 - Device_Configuration'!Q303)</f>
        <v/>
      </c>
    </row>
    <row r="303" spans="1:27">
      <c r="A303" s="30"/>
      <c r="B303" s="30"/>
      <c r="C303" s="29" t="str">
        <f>IF('12 - Device_Configuration'!H304="","",'12 - Device_Configuration'!H304)</f>
        <v/>
      </c>
      <c r="D303" s="29" t="str">
        <f>IF('12 - Device_Configuration'!AE304="","",'12 - Device_Configuration'!AE304)</f>
        <v/>
      </c>
      <c r="E303" s="29" t="str">
        <f>IF('12 - Device_Configuration'!AF304="","",'12 - Device_Configuration'!AF304)</f>
        <v/>
      </c>
      <c r="F303" s="29" t="str">
        <f>IF('12 - Device_Configuration'!AG304="","",'12 - Device_Configuration'!AG304)</f>
        <v/>
      </c>
      <c r="G303" s="29" t="str">
        <f>IF('12 - Device_Configuration'!AH304="","",'12 - Device_Configuration'!AH304)</f>
        <v/>
      </c>
      <c r="H303" s="29" t="str">
        <f>IF('12 - Device_Configuration'!A304="","",'12 - Device_Configuration'!A304)</f>
        <v/>
      </c>
      <c r="I303" s="29" t="str">
        <f>IF('12 - Device_Configuration'!AI304="","",'12 - Device_Configuration'!AI304)</f>
        <v/>
      </c>
      <c r="J303" s="29" t="str">
        <f>IF('12 - Device_Configuration'!AJ304="","",'12 - Device_Configuration'!AJ304)</f>
        <v/>
      </c>
      <c r="K303" s="29" t="str">
        <f>IF('12 - Device_Configuration'!AA304="","",'12 - Device_Configuration'!AA304)</f>
        <v/>
      </c>
      <c r="L303" s="29" t="str">
        <f>IF('12 - Device_Configuration'!I304="","",'12 - Device_Configuration'!I304)</f>
        <v/>
      </c>
      <c r="M303" s="30"/>
      <c r="N303" s="29" t="str">
        <f>IF('12 - Device_Configuration'!J304="","",'12 - Device_Configuration'!J304)</f>
        <v/>
      </c>
      <c r="O303" s="29" t="str">
        <f>IF('12 - Device_Configuration'!K304="","",'12 - Device_Configuration'!K304)</f>
        <v/>
      </c>
      <c r="P303" s="29" t="str">
        <f>IF('12 - Device_Configuration'!L304="","",'12 - Device_Configuration'!L304)</f>
        <v/>
      </c>
      <c r="Q303" s="30"/>
      <c r="R303" s="29" t="str">
        <f>IF('12 - Device_Configuration'!AY304="","",'12 - Device_Configuration'!AY304)</f>
        <v/>
      </c>
      <c r="S303" s="29" t="str">
        <f>IF('12 - Device_Configuration'!AX304="","",'12 - Device_Configuration'!AX304)</f>
        <v/>
      </c>
      <c r="T303" s="29" t="str">
        <f>IF('12 - Device_Configuration'!AV304="","",'12 - Device_Configuration'!AV304)</f>
        <v/>
      </c>
      <c r="U303" s="29" t="str">
        <f>IF('12 - Device_Configuration'!AW304="","",'12 - Device_Configuration'!AW304)</f>
        <v/>
      </c>
      <c r="V303" s="29" t="str">
        <f>IF('12 - Device_Configuration'!BA304="","",'12 - Device_Configuration'!BA304)</f>
        <v/>
      </c>
      <c r="W303" s="29" t="str">
        <f>IF('12 - Device_Configuration'!BC304="","",'12 - Device_Configuration'!BC304)</f>
        <v/>
      </c>
      <c r="X303" s="29" t="str">
        <f>IF('12 - Device_Configuration'!BK304="","",'12 - Device_Configuration'!BK304)</f>
        <v/>
      </c>
      <c r="Y303" s="29" t="str">
        <f>IF('12 - Device_Configuration'!BB304="","",'12 - Device_Configuration'!BB304)</f>
        <v/>
      </c>
      <c r="Z303" s="29" t="str">
        <f>IF('12 - Device_Configuration'!P304="","",'12 - Device_Configuration'!P304)</f>
        <v/>
      </c>
      <c r="AA303" s="29" t="str">
        <f>IF('12 - Device_Configuration'!Q304="","",'12 - Device_Configuration'!Q304)</f>
        <v/>
      </c>
    </row>
    <row r="304" spans="1:27">
      <c r="A304" s="30"/>
      <c r="B304" s="30"/>
      <c r="C304" s="29" t="str">
        <f>IF('12 - Device_Configuration'!H305="","",'12 - Device_Configuration'!H305)</f>
        <v/>
      </c>
      <c r="D304" s="29" t="str">
        <f>IF('12 - Device_Configuration'!AE305="","",'12 - Device_Configuration'!AE305)</f>
        <v/>
      </c>
      <c r="E304" s="29" t="str">
        <f>IF('12 - Device_Configuration'!AF305="","",'12 - Device_Configuration'!AF305)</f>
        <v/>
      </c>
      <c r="F304" s="29" t="str">
        <f>IF('12 - Device_Configuration'!AG305="","",'12 - Device_Configuration'!AG305)</f>
        <v/>
      </c>
      <c r="G304" s="29" t="str">
        <f>IF('12 - Device_Configuration'!AH305="","",'12 - Device_Configuration'!AH305)</f>
        <v/>
      </c>
      <c r="H304" s="29" t="str">
        <f>IF('12 - Device_Configuration'!A305="","",'12 - Device_Configuration'!A305)</f>
        <v/>
      </c>
      <c r="I304" s="29" t="str">
        <f>IF('12 - Device_Configuration'!AI305="","",'12 - Device_Configuration'!AI305)</f>
        <v/>
      </c>
      <c r="J304" s="29" t="str">
        <f>IF('12 - Device_Configuration'!AJ305="","",'12 - Device_Configuration'!AJ305)</f>
        <v/>
      </c>
      <c r="K304" s="29" t="str">
        <f>IF('12 - Device_Configuration'!AA305="","",'12 - Device_Configuration'!AA305)</f>
        <v/>
      </c>
      <c r="L304" s="29" t="str">
        <f>IF('12 - Device_Configuration'!I305="","",'12 - Device_Configuration'!I305)</f>
        <v/>
      </c>
      <c r="M304" s="30"/>
      <c r="N304" s="29" t="str">
        <f>IF('12 - Device_Configuration'!J305="","",'12 - Device_Configuration'!J305)</f>
        <v/>
      </c>
      <c r="O304" s="29" t="str">
        <f>IF('12 - Device_Configuration'!K305="","",'12 - Device_Configuration'!K305)</f>
        <v/>
      </c>
      <c r="P304" s="29" t="str">
        <f>IF('12 - Device_Configuration'!L305="","",'12 - Device_Configuration'!L305)</f>
        <v/>
      </c>
      <c r="Q304" s="30"/>
      <c r="R304" s="29" t="str">
        <f>IF('12 - Device_Configuration'!AY305="","",'12 - Device_Configuration'!AY305)</f>
        <v/>
      </c>
      <c r="S304" s="29" t="str">
        <f>IF('12 - Device_Configuration'!AX305="","",'12 - Device_Configuration'!AX305)</f>
        <v/>
      </c>
      <c r="T304" s="29" t="str">
        <f>IF('12 - Device_Configuration'!AV305="","",'12 - Device_Configuration'!AV305)</f>
        <v/>
      </c>
      <c r="U304" s="29" t="str">
        <f>IF('12 - Device_Configuration'!AW305="","",'12 - Device_Configuration'!AW305)</f>
        <v/>
      </c>
      <c r="V304" s="29" t="str">
        <f>IF('12 - Device_Configuration'!BA305="","",'12 - Device_Configuration'!BA305)</f>
        <v/>
      </c>
      <c r="W304" s="29" t="str">
        <f>IF('12 - Device_Configuration'!BC305="","",'12 - Device_Configuration'!BC305)</f>
        <v/>
      </c>
      <c r="X304" s="29" t="str">
        <f>IF('12 - Device_Configuration'!BK305="","",'12 - Device_Configuration'!BK305)</f>
        <v/>
      </c>
      <c r="Y304" s="29" t="str">
        <f>IF('12 - Device_Configuration'!BB305="","",'12 - Device_Configuration'!BB305)</f>
        <v/>
      </c>
      <c r="Z304" s="29" t="str">
        <f>IF('12 - Device_Configuration'!P305="","",'12 - Device_Configuration'!P305)</f>
        <v/>
      </c>
      <c r="AA304" s="29" t="str">
        <f>IF('12 - Device_Configuration'!Q305="","",'12 - Device_Configuration'!Q305)</f>
        <v/>
      </c>
    </row>
    <row r="305" spans="1:27">
      <c r="A305" s="30"/>
      <c r="B305" s="30"/>
      <c r="C305" s="29" t="str">
        <f>IF('12 - Device_Configuration'!H306="","",'12 - Device_Configuration'!H306)</f>
        <v/>
      </c>
      <c r="D305" s="29" t="str">
        <f>IF('12 - Device_Configuration'!AE306="","",'12 - Device_Configuration'!AE306)</f>
        <v/>
      </c>
      <c r="E305" s="29" t="str">
        <f>IF('12 - Device_Configuration'!AF306="","",'12 - Device_Configuration'!AF306)</f>
        <v/>
      </c>
      <c r="F305" s="29" t="str">
        <f>IF('12 - Device_Configuration'!AG306="","",'12 - Device_Configuration'!AG306)</f>
        <v/>
      </c>
      <c r="G305" s="29" t="str">
        <f>IF('12 - Device_Configuration'!AH306="","",'12 - Device_Configuration'!AH306)</f>
        <v/>
      </c>
      <c r="H305" s="29" t="str">
        <f>IF('12 - Device_Configuration'!A306="","",'12 - Device_Configuration'!A306)</f>
        <v/>
      </c>
      <c r="I305" s="29" t="str">
        <f>IF('12 - Device_Configuration'!AI306="","",'12 - Device_Configuration'!AI306)</f>
        <v/>
      </c>
      <c r="J305" s="29" t="str">
        <f>IF('12 - Device_Configuration'!AJ306="","",'12 - Device_Configuration'!AJ306)</f>
        <v/>
      </c>
      <c r="K305" s="29" t="str">
        <f>IF('12 - Device_Configuration'!AA306="","",'12 - Device_Configuration'!AA306)</f>
        <v/>
      </c>
      <c r="L305" s="29" t="str">
        <f>IF('12 - Device_Configuration'!I306="","",'12 - Device_Configuration'!I306)</f>
        <v/>
      </c>
      <c r="M305" s="30"/>
      <c r="N305" s="29" t="str">
        <f>IF('12 - Device_Configuration'!J306="","",'12 - Device_Configuration'!J306)</f>
        <v/>
      </c>
      <c r="O305" s="29" t="str">
        <f>IF('12 - Device_Configuration'!K306="","",'12 - Device_Configuration'!K306)</f>
        <v/>
      </c>
      <c r="P305" s="29" t="str">
        <f>IF('12 - Device_Configuration'!L306="","",'12 - Device_Configuration'!L306)</f>
        <v/>
      </c>
      <c r="Q305" s="30"/>
      <c r="R305" s="29" t="str">
        <f>IF('12 - Device_Configuration'!AY306="","",'12 - Device_Configuration'!AY306)</f>
        <v/>
      </c>
      <c r="S305" s="29" t="str">
        <f>IF('12 - Device_Configuration'!AX306="","",'12 - Device_Configuration'!AX306)</f>
        <v/>
      </c>
      <c r="T305" s="29" t="str">
        <f>IF('12 - Device_Configuration'!AV306="","",'12 - Device_Configuration'!AV306)</f>
        <v/>
      </c>
      <c r="U305" s="29" t="str">
        <f>IF('12 - Device_Configuration'!AW306="","",'12 - Device_Configuration'!AW306)</f>
        <v/>
      </c>
      <c r="V305" s="29" t="str">
        <f>IF('12 - Device_Configuration'!BA306="","",'12 - Device_Configuration'!BA306)</f>
        <v/>
      </c>
      <c r="W305" s="29" t="str">
        <f>IF('12 - Device_Configuration'!BC306="","",'12 - Device_Configuration'!BC306)</f>
        <v/>
      </c>
      <c r="X305" s="29" t="str">
        <f>IF('12 - Device_Configuration'!BK306="","",'12 - Device_Configuration'!BK306)</f>
        <v/>
      </c>
      <c r="Y305" s="29" t="str">
        <f>IF('12 - Device_Configuration'!BB306="","",'12 - Device_Configuration'!BB306)</f>
        <v/>
      </c>
      <c r="Z305" s="29" t="str">
        <f>IF('12 - Device_Configuration'!P306="","",'12 - Device_Configuration'!P306)</f>
        <v/>
      </c>
      <c r="AA305" s="29" t="str">
        <f>IF('12 - Device_Configuration'!Q306="","",'12 - Device_Configuration'!Q306)</f>
        <v/>
      </c>
    </row>
    <row r="306" spans="1:27">
      <c r="A306" s="30"/>
      <c r="B306" s="30"/>
      <c r="C306" s="29" t="str">
        <f>IF('12 - Device_Configuration'!H307="","",'12 - Device_Configuration'!H307)</f>
        <v/>
      </c>
      <c r="D306" s="29" t="str">
        <f>IF('12 - Device_Configuration'!AE307="","",'12 - Device_Configuration'!AE307)</f>
        <v/>
      </c>
      <c r="E306" s="29" t="str">
        <f>IF('12 - Device_Configuration'!AF307="","",'12 - Device_Configuration'!AF307)</f>
        <v/>
      </c>
      <c r="F306" s="29" t="str">
        <f>IF('12 - Device_Configuration'!AG307="","",'12 - Device_Configuration'!AG307)</f>
        <v/>
      </c>
      <c r="G306" s="29" t="str">
        <f>IF('12 - Device_Configuration'!AH307="","",'12 - Device_Configuration'!AH307)</f>
        <v/>
      </c>
      <c r="H306" s="29" t="str">
        <f>IF('12 - Device_Configuration'!A307="","",'12 - Device_Configuration'!A307)</f>
        <v/>
      </c>
      <c r="I306" s="29" t="str">
        <f>IF('12 - Device_Configuration'!AI307="","",'12 - Device_Configuration'!AI307)</f>
        <v/>
      </c>
      <c r="J306" s="29" t="str">
        <f>IF('12 - Device_Configuration'!AJ307="","",'12 - Device_Configuration'!AJ307)</f>
        <v/>
      </c>
      <c r="K306" s="29" t="str">
        <f>IF('12 - Device_Configuration'!AA307="","",'12 - Device_Configuration'!AA307)</f>
        <v/>
      </c>
      <c r="L306" s="29" t="str">
        <f>IF('12 - Device_Configuration'!I307="","",'12 - Device_Configuration'!I307)</f>
        <v/>
      </c>
      <c r="M306" s="30"/>
      <c r="N306" s="29" t="str">
        <f>IF('12 - Device_Configuration'!J307="","",'12 - Device_Configuration'!J307)</f>
        <v/>
      </c>
      <c r="O306" s="29" t="str">
        <f>IF('12 - Device_Configuration'!K307="","",'12 - Device_Configuration'!K307)</f>
        <v/>
      </c>
      <c r="P306" s="29" t="str">
        <f>IF('12 - Device_Configuration'!L307="","",'12 - Device_Configuration'!L307)</f>
        <v/>
      </c>
      <c r="Q306" s="30"/>
      <c r="R306" s="29" t="str">
        <f>IF('12 - Device_Configuration'!AY307="","",'12 - Device_Configuration'!AY307)</f>
        <v/>
      </c>
      <c r="S306" s="29" t="str">
        <f>IF('12 - Device_Configuration'!AX307="","",'12 - Device_Configuration'!AX307)</f>
        <v/>
      </c>
      <c r="T306" s="29" t="str">
        <f>IF('12 - Device_Configuration'!AV307="","",'12 - Device_Configuration'!AV307)</f>
        <v/>
      </c>
      <c r="U306" s="29" t="str">
        <f>IF('12 - Device_Configuration'!AW307="","",'12 - Device_Configuration'!AW307)</f>
        <v/>
      </c>
      <c r="V306" s="29" t="str">
        <f>IF('12 - Device_Configuration'!BA307="","",'12 - Device_Configuration'!BA307)</f>
        <v/>
      </c>
      <c r="W306" s="29" t="str">
        <f>IF('12 - Device_Configuration'!BC307="","",'12 - Device_Configuration'!BC307)</f>
        <v/>
      </c>
      <c r="X306" s="29" t="str">
        <f>IF('12 - Device_Configuration'!BK307="","",'12 - Device_Configuration'!BK307)</f>
        <v/>
      </c>
      <c r="Y306" s="29" t="str">
        <f>IF('12 - Device_Configuration'!BB307="","",'12 - Device_Configuration'!BB307)</f>
        <v/>
      </c>
      <c r="Z306" s="29" t="str">
        <f>IF('12 - Device_Configuration'!P307="","",'12 - Device_Configuration'!P307)</f>
        <v/>
      </c>
      <c r="AA306" s="29" t="str">
        <f>IF('12 - Device_Configuration'!Q307="","",'12 - Device_Configuration'!Q307)</f>
        <v/>
      </c>
    </row>
    <row r="307" spans="1:27">
      <c r="A307" s="30"/>
      <c r="B307" s="30"/>
      <c r="C307" s="29" t="str">
        <f>IF('12 - Device_Configuration'!H308="","",'12 - Device_Configuration'!H308)</f>
        <v/>
      </c>
      <c r="D307" s="29" t="str">
        <f>IF('12 - Device_Configuration'!AE308="","",'12 - Device_Configuration'!AE308)</f>
        <v/>
      </c>
      <c r="E307" s="29" t="str">
        <f>IF('12 - Device_Configuration'!AF308="","",'12 - Device_Configuration'!AF308)</f>
        <v/>
      </c>
      <c r="F307" s="29" t="str">
        <f>IF('12 - Device_Configuration'!AG308="","",'12 - Device_Configuration'!AG308)</f>
        <v/>
      </c>
      <c r="G307" s="29" t="str">
        <f>IF('12 - Device_Configuration'!AH308="","",'12 - Device_Configuration'!AH308)</f>
        <v/>
      </c>
      <c r="H307" s="29" t="str">
        <f>IF('12 - Device_Configuration'!A308="","",'12 - Device_Configuration'!A308)</f>
        <v/>
      </c>
      <c r="I307" s="29" t="str">
        <f>IF('12 - Device_Configuration'!AI308="","",'12 - Device_Configuration'!AI308)</f>
        <v/>
      </c>
      <c r="J307" s="29" t="str">
        <f>IF('12 - Device_Configuration'!AJ308="","",'12 - Device_Configuration'!AJ308)</f>
        <v/>
      </c>
      <c r="K307" s="29" t="str">
        <f>IF('12 - Device_Configuration'!AA308="","",'12 - Device_Configuration'!AA308)</f>
        <v/>
      </c>
      <c r="L307" s="29" t="str">
        <f>IF('12 - Device_Configuration'!I308="","",'12 - Device_Configuration'!I308)</f>
        <v/>
      </c>
      <c r="M307" s="30"/>
      <c r="N307" s="29" t="str">
        <f>IF('12 - Device_Configuration'!J308="","",'12 - Device_Configuration'!J308)</f>
        <v/>
      </c>
      <c r="O307" s="29" t="str">
        <f>IF('12 - Device_Configuration'!K308="","",'12 - Device_Configuration'!K308)</f>
        <v/>
      </c>
      <c r="P307" s="29" t="str">
        <f>IF('12 - Device_Configuration'!L308="","",'12 - Device_Configuration'!L308)</f>
        <v/>
      </c>
      <c r="Q307" s="30"/>
      <c r="R307" s="29" t="str">
        <f>IF('12 - Device_Configuration'!AY308="","",'12 - Device_Configuration'!AY308)</f>
        <v/>
      </c>
      <c r="S307" s="29" t="str">
        <f>IF('12 - Device_Configuration'!AX308="","",'12 - Device_Configuration'!AX308)</f>
        <v/>
      </c>
      <c r="T307" s="29" t="str">
        <f>IF('12 - Device_Configuration'!AV308="","",'12 - Device_Configuration'!AV308)</f>
        <v/>
      </c>
      <c r="U307" s="29" t="str">
        <f>IF('12 - Device_Configuration'!AW308="","",'12 - Device_Configuration'!AW308)</f>
        <v/>
      </c>
      <c r="V307" s="29" t="str">
        <f>IF('12 - Device_Configuration'!BA308="","",'12 - Device_Configuration'!BA308)</f>
        <v/>
      </c>
      <c r="W307" s="29" t="str">
        <f>IF('12 - Device_Configuration'!BC308="","",'12 - Device_Configuration'!BC308)</f>
        <v/>
      </c>
      <c r="X307" s="29" t="str">
        <f>IF('12 - Device_Configuration'!BK308="","",'12 - Device_Configuration'!BK308)</f>
        <v/>
      </c>
      <c r="Y307" s="29" t="str">
        <f>IF('12 - Device_Configuration'!BB308="","",'12 - Device_Configuration'!BB308)</f>
        <v/>
      </c>
      <c r="Z307" s="29" t="str">
        <f>IF('12 - Device_Configuration'!P308="","",'12 - Device_Configuration'!P308)</f>
        <v/>
      </c>
      <c r="AA307" s="29" t="str">
        <f>IF('12 - Device_Configuration'!Q308="","",'12 - Device_Configuration'!Q308)</f>
        <v/>
      </c>
    </row>
    <row r="308" spans="1:27">
      <c r="A308" s="30"/>
      <c r="B308" s="30"/>
      <c r="C308" s="29" t="str">
        <f>IF('12 - Device_Configuration'!H309="","",'12 - Device_Configuration'!H309)</f>
        <v/>
      </c>
      <c r="D308" s="29" t="str">
        <f>IF('12 - Device_Configuration'!AE309="","",'12 - Device_Configuration'!AE309)</f>
        <v/>
      </c>
      <c r="E308" s="29" t="str">
        <f>IF('12 - Device_Configuration'!AF309="","",'12 - Device_Configuration'!AF309)</f>
        <v/>
      </c>
      <c r="F308" s="29" t="str">
        <f>IF('12 - Device_Configuration'!AG309="","",'12 - Device_Configuration'!AG309)</f>
        <v/>
      </c>
      <c r="G308" s="29" t="str">
        <f>IF('12 - Device_Configuration'!AH309="","",'12 - Device_Configuration'!AH309)</f>
        <v/>
      </c>
      <c r="H308" s="29" t="str">
        <f>IF('12 - Device_Configuration'!A309="","",'12 - Device_Configuration'!A309)</f>
        <v/>
      </c>
      <c r="I308" s="29" t="str">
        <f>IF('12 - Device_Configuration'!AI309="","",'12 - Device_Configuration'!AI309)</f>
        <v/>
      </c>
      <c r="J308" s="29" t="str">
        <f>IF('12 - Device_Configuration'!AJ309="","",'12 - Device_Configuration'!AJ309)</f>
        <v/>
      </c>
      <c r="K308" s="29" t="str">
        <f>IF('12 - Device_Configuration'!AA309="","",'12 - Device_Configuration'!AA309)</f>
        <v/>
      </c>
      <c r="L308" s="29" t="str">
        <f>IF('12 - Device_Configuration'!I309="","",'12 - Device_Configuration'!I309)</f>
        <v/>
      </c>
      <c r="M308" s="30"/>
      <c r="N308" s="29" t="str">
        <f>IF('12 - Device_Configuration'!J309="","",'12 - Device_Configuration'!J309)</f>
        <v/>
      </c>
      <c r="O308" s="29" t="str">
        <f>IF('12 - Device_Configuration'!K309="","",'12 - Device_Configuration'!K309)</f>
        <v/>
      </c>
      <c r="P308" s="29" t="str">
        <f>IF('12 - Device_Configuration'!L309="","",'12 - Device_Configuration'!L309)</f>
        <v/>
      </c>
      <c r="Q308" s="30"/>
      <c r="R308" s="29" t="str">
        <f>IF('12 - Device_Configuration'!AY309="","",'12 - Device_Configuration'!AY309)</f>
        <v/>
      </c>
      <c r="S308" s="29" t="str">
        <f>IF('12 - Device_Configuration'!AX309="","",'12 - Device_Configuration'!AX309)</f>
        <v/>
      </c>
      <c r="T308" s="29" t="str">
        <f>IF('12 - Device_Configuration'!AV309="","",'12 - Device_Configuration'!AV309)</f>
        <v/>
      </c>
      <c r="U308" s="29" t="str">
        <f>IF('12 - Device_Configuration'!AW309="","",'12 - Device_Configuration'!AW309)</f>
        <v/>
      </c>
      <c r="V308" s="29" t="str">
        <f>IF('12 - Device_Configuration'!BA309="","",'12 - Device_Configuration'!BA309)</f>
        <v/>
      </c>
      <c r="W308" s="29" t="str">
        <f>IF('12 - Device_Configuration'!BC309="","",'12 - Device_Configuration'!BC309)</f>
        <v/>
      </c>
      <c r="X308" s="29" t="str">
        <f>IF('12 - Device_Configuration'!BK309="","",'12 - Device_Configuration'!BK309)</f>
        <v/>
      </c>
      <c r="Y308" s="29" t="str">
        <f>IF('12 - Device_Configuration'!BB309="","",'12 - Device_Configuration'!BB309)</f>
        <v/>
      </c>
      <c r="Z308" s="29" t="str">
        <f>IF('12 - Device_Configuration'!P309="","",'12 - Device_Configuration'!P309)</f>
        <v/>
      </c>
      <c r="AA308" s="29" t="str">
        <f>IF('12 - Device_Configuration'!Q309="","",'12 - Device_Configuration'!Q309)</f>
        <v/>
      </c>
    </row>
    <row r="309" spans="1:27">
      <c r="A309" s="30"/>
      <c r="B309" s="30"/>
      <c r="C309" s="29" t="str">
        <f>IF('12 - Device_Configuration'!H310="","",'12 - Device_Configuration'!H310)</f>
        <v/>
      </c>
      <c r="D309" s="29" t="str">
        <f>IF('12 - Device_Configuration'!AE310="","",'12 - Device_Configuration'!AE310)</f>
        <v/>
      </c>
      <c r="E309" s="29" t="str">
        <f>IF('12 - Device_Configuration'!AF310="","",'12 - Device_Configuration'!AF310)</f>
        <v/>
      </c>
      <c r="F309" s="29" t="str">
        <f>IF('12 - Device_Configuration'!AG310="","",'12 - Device_Configuration'!AG310)</f>
        <v/>
      </c>
      <c r="G309" s="29" t="str">
        <f>IF('12 - Device_Configuration'!AH310="","",'12 - Device_Configuration'!AH310)</f>
        <v/>
      </c>
      <c r="H309" s="29" t="str">
        <f>IF('12 - Device_Configuration'!A310="","",'12 - Device_Configuration'!A310)</f>
        <v/>
      </c>
      <c r="I309" s="29" t="str">
        <f>IF('12 - Device_Configuration'!AI310="","",'12 - Device_Configuration'!AI310)</f>
        <v/>
      </c>
      <c r="J309" s="29" t="str">
        <f>IF('12 - Device_Configuration'!AJ310="","",'12 - Device_Configuration'!AJ310)</f>
        <v/>
      </c>
      <c r="K309" s="29" t="str">
        <f>IF('12 - Device_Configuration'!AA310="","",'12 - Device_Configuration'!AA310)</f>
        <v/>
      </c>
      <c r="L309" s="29" t="str">
        <f>IF('12 - Device_Configuration'!I310="","",'12 - Device_Configuration'!I310)</f>
        <v/>
      </c>
      <c r="M309" s="30"/>
      <c r="N309" s="29" t="str">
        <f>IF('12 - Device_Configuration'!J310="","",'12 - Device_Configuration'!J310)</f>
        <v/>
      </c>
      <c r="O309" s="29" t="str">
        <f>IF('12 - Device_Configuration'!K310="","",'12 - Device_Configuration'!K310)</f>
        <v/>
      </c>
      <c r="P309" s="29" t="str">
        <f>IF('12 - Device_Configuration'!L310="","",'12 - Device_Configuration'!L310)</f>
        <v/>
      </c>
      <c r="Q309" s="30"/>
      <c r="R309" s="29" t="str">
        <f>IF('12 - Device_Configuration'!AY310="","",'12 - Device_Configuration'!AY310)</f>
        <v/>
      </c>
      <c r="S309" s="29" t="str">
        <f>IF('12 - Device_Configuration'!AX310="","",'12 - Device_Configuration'!AX310)</f>
        <v/>
      </c>
      <c r="T309" s="29" t="str">
        <f>IF('12 - Device_Configuration'!AV310="","",'12 - Device_Configuration'!AV310)</f>
        <v/>
      </c>
      <c r="U309" s="29" t="str">
        <f>IF('12 - Device_Configuration'!AW310="","",'12 - Device_Configuration'!AW310)</f>
        <v/>
      </c>
      <c r="V309" s="29" t="str">
        <f>IF('12 - Device_Configuration'!BA310="","",'12 - Device_Configuration'!BA310)</f>
        <v/>
      </c>
      <c r="W309" s="29" t="str">
        <f>IF('12 - Device_Configuration'!BC310="","",'12 - Device_Configuration'!BC310)</f>
        <v/>
      </c>
      <c r="X309" s="29" t="str">
        <f>IF('12 - Device_Configuration'!BK310="","",'12 - Device_Configuration'!BK310)</f>
        <v/>
      </c>
      <c r="Y309" s="29" t="str">
        <f>IF('12 - Device_Configuration'!BB310="","",'12 - Device_Configuration'!BB310)</f>
        <v/>
      </c>
      <c r="Z309" s="29" t="str">
        <f>IF('12 - Device_Configuration'!P310="","",'12 - Device_Configuration'!P310)</f>
        <v/>
      </c>
      <c r="AA309" s="29" t="str">
        <f>IF('12 - Device_Configuration'!Q310="","",'12 - Device_Configuration'!Q310)</f>
        <v/>
      </c>
    </row>
    <row r="310" spans="1:27">
      <c r="A310" s="30"/>
      <c r="B310" s="30"/>
      <c r="C310" s="29" t="str">
        <f>IF('12 - Device_Configuration'!H311="","",'12 - Device_Configuration'!H311)</f>
        <v/>
      </c>
      <c r="D310" s="29" t="str">
        <f>IF('12 - Device_Configuration'!AE311="","",'12 - Device_Configuration'!AE311)</f>
        <v/>
      </c>
      <c r="E310" s="29" t="str">
        <f>IF('12 - Device_Configuration'!AF311="","",'12 - Device_Configuration'!AF311)</f>
        <v/>
      </c>
      <c r="F310" s="29" t="str">
        <f>IF('12 - Device_Configuration'!AG311="","",'12 - Device_Configuration'!AG311)</f>
        <v/>
      </c>
      <c r="G310" s="29" t="str">
        <f>IF('12 - Device_Configuration'!AH311="","",'12 - Device_Configuration'!AH311)</f>
        <v/>
      </c>
      <c r="H310" s="29" t="str">
        <f>IF('12 - Device_Configuration'!A311="","",'12 - Device_Configuration'!A311)</f>
        <v/>
      </c>
      <c r="I310" s="29" t="str">
        <f>IF('12 - Device_Configuration'!AI311="","",'12 - Device_Configuration'!AI311)</f>
        <v/>
      </c>
      <c r="J310" s="29" t="str">
        <f>IF('12 - Device_Configuration'!AJ311="","",'12 - Device_Configuration'!AJ311)</f>
        <v/>
      </c>
      <c r="K310" s="29" t="str">
        <f>IF('12 - Device_Configuration'!AA311="","",'12 - Device_Configuration'!AA311)</f>
        <v/>
      </c>
      <c r="L310" s="29" t="str">
        <f>IF('12 - Device_Configuration'!I311="","",'12 - Device_Configuration'!I311)</f>
        <v/>
      </c>
      <c r="M310" s="30"/>
      <c r="N310" s="29" t="str">
        <f>IF('12 - Device_Configuration'!J311="","",'12 - Device_Configuration'!J311)</f>
        <v/>
      </c>
      <c r="O310" s="29" t="str">
        <f>IF('12 - Device_Configuration'!K311="","",'12 - Device_Configuration'!K311)</f>
        <v/>
      </c>
      <c r="P310" s="29" t="str">
        <f>IF('12 - Device_Configuration'!L311="","",'12 - Device_Configuration'!L311)</f>
        <v/>
      </c>
      <c r="Q310" s="30"/>
      <c r="R310" s="29" t="str">
        <f>IF('12 - Device_Configuration'!AY311="","",'12 - Device_Configuration'!AY311)</f>
        <v/>
      </c>
      <c r="S310" s="29" t="str">
        <f>IF('12 - Device_Configuration'!AX311="","",'12 - Device_Configuration'!AX311)</f>
        <v/>
      </c>
      <c r="T310" s="29" t="str">
        <f>IF('12 - Device_Configuration'!AV311="","",'12 - Device_Configuration'!AV311)</f>
        <v/>
      </c>
      <c r="U310" s="29" t="str">
        <f>IF('12 - Device_Configuration'!AW311="","",'12 - Device_Configuration'!AW311)</f>
        <v/>
      </c>
      <c r="V310" s="29" t="str">
        <f>IF('12 - Device_Configuration'!BA311="","",'12 - Device_Configuration'!BA311)</f>
        <v/>
      </c>
      <c r="W310" s="29" t="str">
        <f>IF('12 - Device_Configuration'!BC311="","",'12 - Device_Configuration'!BC311)</f>
        <v/>
      </c>
      <c r="X310" s="29" t="str">
        <f>IF('12 - Device_Configuration'!BK311="","",'12 - Device_Configuration'!BK311)</f>
        <v/>
      </c>
      <c r="Y310" s="29" t="str">
        <f>IF('12 - Device_Configuration'!BB311="","",'12 - Device_Configuration'!BB311)</f>
        <v/>
      </c>
      <c r="Z310" s="29" t="str">
        <f>IF('12 - Device_Configuration'!P311="","",'12 - Device_Configuration'!P311)</f>
        <v/>
      </c>
      <c r="AA310" s="29" t="str">
        <f>IF('12 - Device_Configuration'!Q311="","",'12 - Device_Configuration'!Q311)</f>
        <v/>
      </c>
    </row>
    <row r="311" spans="1:27">
      <c r="A311" s="30"/>
      <c r="B311" s="30"/>
      <c r="C311" s="29" t="str">
        <f>IF('12 - Device_Configuration'!H312="","",'12 - Device_Configuration'!H312)</f>
        <v/>
      </c>
      <c r="D311" s="29" t="str">
        <f>IF('12 - Device_Configuration'!AE312="","",'12 - Device_Configuration'!AE312)</f>
        <v/>
      </c>
      <c r="E311" s="29" t="str">
        <f>IF('12 - Device_Configuration'!AF312="","",'12 - Device_Configuration'!AF312)</f>
        <v/>
      </c>
      <c r="F311" s="29" t="str">
        <f>IF('12 - Device_Configuration'!AG312="","",'12 - Device_Configuration'!AG312)</f>
        <v/>
      </c>
      <c r="G311" s="29" t="str">
        <f>IF('12 - Device_Configuration'!AH312="","",'12 - Device_Configuration'!AH312)</f>
        <v/>
      </c>
      <c r="H311" s="29" t="str">
        <f>IF('12 - Device_Configuration'!A312="","",'12 - Device_Configuration'!A312)</f>
        <v/>
      </c>
      <c r="I311" s="29" t="str">
        <f>IF('12 - Device_Configuration'!AI312="","",'12 - Device_Configuration'!AI312)</f>
        <v/>
      </c>
      <c r="J311" s="29" t="str">
        <f>IF('12 - Device_Configuration'!AJ312="","",'12 - Device_Configuration'!AJ312)</f>
        <v/>
      </c>
      <c r="K311" s="29" t="str">
        <f>IF('12 - Device_Configuration'!AA312="","",'12 - Device_Configuration'!AA312)</f>
        <v/>
      </c>
      <c r="L311" s="29" t="str">
        <f>IF('12 - Device_Configuration'!I312="","",'12 - Device_Configuration'!I312)</f>
        <v/>
      </c>
      <c r="M311" s="30"/>
      <c r="N311" s="29" t="str">
        <f>IF('12 - Device_Configuration'!J312="","",'12 - Device_Configuration'!J312)</f>
        <v/>
      </c>
      <c r="O311" s="29" t="str">
        <f>IF('12 - Device_Configuration'!K312="","",'12 - Device_Configuration'!K312)</f>
        <v/>
      </c>
      <c r="P311" s="29" t="str">
        <f>IF('12 - Device_Configuration'!L312="","",'12 - Device_Configuration'!L312)</f>
        <v/>
      </c>
      <c r="Q311" s="30"/>
      <c r="R311" s="29" t="str">
        <f>IF('12 - Device_Configuration'!AY312="","",'12 - Device_Configuration'!AY312)</f>
        <v/>
      </c>
      <c r="S311" s="29" t="str">
        <f>IF('12 - Device_Configuration'!AX312="","",'12 - Device_Configuration'!AX312)</f>
        <v/>
      </c>
      <c r="T311" s="29" t="str">
        <f>IF('12 - Device_Configuration'!AV312="","",'12 - Device_Configuration'!AV312)</f>
        <v/>
      </c>
      <c r="U311" s="29" t="str">
        <f>IF('12 - Device_Configuration'!AW312="","",'12 - Device_Configuration'!AW312)</f>
        <v/>
      </c>
      <c r="V311" s="29" t="str">
        <f>IF('12 - Device_Configuration'!BA312="","",'12 - Device_Configuration'!BA312)</f>
        <v/>
      </c>
      <c r="W311" s="29" t="str">
        <f>IF('12 - Device_Configuration'!BC312="","",'12 - Device_Configuration'!BC312)</f>
        <v/>
      </c>
      <c r="X311" s="29" t="str">
        <f>IF('12 - Device_Configuration'!BK312="","",'12 - Device_Configuration'!BK312)</f>
        <v/>
      </c>
      <c r="Y311" s="29" t="str">
        <f>IF('12 - Device_Configuration'!BB312="","",'12 - Device_Configuration'!BB312)</f>
        <v/>
      </c>
      <c r="Z311" s="29" t="str">
        <f>IF('12 - Device_Configuration'!P312="","",'12 - Device_Configuration'!P312)</f>
        <v/>
      </c>
      <c r="AA311" s="29" t="str">
        <f>IF('12 - Device_Configuration'!Q312="","",'12 - Device_Configuration'!Q312)</f>
        <v/>
      </c>
    </row>
    <row r="312" spans="1:27">
      <c r="A312" s="30"/>
      <c r="B312" s="30"/>
      <c r="C312" s="29" t="str">
        <f>IF('12 - Device_Configuration'!H313="","",'12 - Device_Configuration'!H313)</f>
        <v/>
      </c>
      <c r="D312" s="29" t="str">
        <f>IF('12 - Device_Configuration'!AE313="","",'12 - Device_Configuration'!AE313)</f>
        <v/>
      </c>
      <c r="E312" s="29" t="str">
        <f>IF('12 - Device_Configuration'!AF313="","",'12 - Device_Configuration'!AF313)</f>
        <v/>
      </c>
      <c r="F312" s="29" t="str">
        <f>IF('12 - Device_Configuration'!AG313="","",'12 - Device_Configuration'!AG313)</f>
        <v/>
      </c>
      <c r="G312" s="29" t="str">
        <f>IF('12 - Device_Configuration'!AH313="","",'12 - Device_Configuration'!AH313)</f>
        <v/>
      </c>
      <c r="H312" s="29" t="str">
        <f>IF('12 - Device_Configuration'!A313="","",'12 - Device_Configuration'!A313)</f>
        <v/>
      </c>
      <c r="I312" s="29" t="str">
        <f>IF('12 - Device_Configuration'!AI313="","",'12 - Device_Configuration'!AI313)</f>
        <v/>
      </c>
      <c r="J312" s="29" t="str">
        <f>IF('12 - Device_Configuration'!AJ313="","",'12 - Device_Configuration'!AJ313)</f>
        <v/>
      </c>
      <c r="K312" s="29" t="str">
        <f>IF('12 - Device_Configuration'!AA313="","",'12 - Device_Configuration'!AA313)</f>
        <v/>
      </c>
      <c r="L312" s="29" t="str">
        <f>IF('12 - Device_Configuration'!I313="","",'12 - Device_Configuration'!I313)</f>
        <v/>
      </c>
      <c r="M312" s="30"/>
      <c r="N312" s="29" t="str">
        <f>IF('12 - Device_Configuration'!J313="","",'12 - Device_Configuration'!J313)</f>
        <v/>
      </c>
      <c r="O312" s="29" t="str">
        <f>IF('12 - Device_Configuration'!K313="","",'12 - Device_Configuration'!K313)</f>
        <v/>
      </c>
      <c r="P312" s="29" t="str">
        <f>IF('12 - Device_Configuration'!L313="","",'12 - Device_Configuration'!L313)</f>
        <v/>
      </c>
      <c r="Q312" s="30"/>
      <c r="R312" s="29" t="str">
        <f>IF('12 - Device_Configuration'!AY313="","",'12 - Device_Configuration'!AY313)</f>
        <v/>
      </c>
      <c r="S312" s="29" t="str">
        <f>IF('12 - Device_Configuration'!AX313="","",'12 - Device_Configuration'!AX313)</f>
        <v/>
      </c>
      <c r="T312" s="29" t="str">
        <f>IF('12 - Device_Configuration'!AV313="","",'12 - Device_Configuration'!AV313)</f>
        <v/>
      </c>
      <c r="U312" s="29" t="str">
        <f>IF('12 - Device_Configuration'!AW313="","",'12 - Device_Configuration'!AW313)</f>
        <v/>
      </c>
      <c r="V312" s="29" t="str">
        <f>IF('12 - Device_Configuration'!BA313="","",'12 - Device_Configuration'!BA313)</f>
        <v/>
      </c>
      <c r="W312" s="29" t="str">
        <f>IF('12 - Device_Configuration'!BC313="","",'12 - Device_Configuration'!BC313)</f>
        <v/>
      </c>
      <c r="X312" s="29" t="str">
        <f>IF('12 - Device_Configuration'!BK313="","",'12 - Device_Configuration'!BK313)</f>
        <v/>
      </c>
      <c r="Y312" s="29" t="str">
        <f>IF('12 - Device_Configuration'!BB313="","",'12 - Device_Configuration'!BB313)</f>
        <v/>
      </c>
      <c r="Z312" s="29" t="str">
        <f>IF('12 - Device_Configuration'!P313="","",'12 - Device_Configuration'!P313)</f>
        <v/>
      </c>
      <c r="AA312" s="29" t="str">
        <f>IF('12 - Device_Configuration'!Q313="","",'12 - Device_Configuration'!Q313)</f>
        <v/>
      </c>
    </row>
    <row r="313" spans="1:27">
      <c r="A313" s="30"/>
      <c r="B313" s="30"/>
      <c r="C313" s="29" t="str">
        <f>IF('12 - Device_Configuration'!H314="","",'12 - Device_Configuration'!H314)</f>
        <v/>
      </c>
      <c r="D313" s="29" t="str">
        <f>IF('12 - Device_Configuration'!AE314="","",'12 - Device_Configuration'!AE314)</f>
        <v/>
      </c>
      <c r="E313" s="29" t="str">
        <f>IF('12 - Device_Configuration'!AF314="","",'12 - Device_Configuration'!AF314)</f>
        <v/>
      </c>
      <c r="F313" s="29" t="str">
        <f>IF('12 - Device_Configuration'!AG314="","",'12 - Device_Configuration'!AG314)</f>
        <v/>
      </c>
      <c r="G313" s="29" t="str">
        <f>IF('12 - Device_Configuration'!AH314="","",'12 - Device_Configuration'!AH314)</f>
        <v/>
      </c>
      <c r="H313" s="29" t="str">
        <f>IF('12 - Device_Configuration'!A314="","",'12 - Device_Configuration'!A314)</f>
        <v/>
      </c>
      <c r="I313" s="29" t="str">
        <f>IF('12 - Device_Configuration'!AI314="","",'12 - Device_Configuration'!AI314)</f>
        <v/>
      </c>
      <c r="J313" s="29" t="str">
        <f>IF('12 - Device_Configuration'!AJ314="","",'12 - Device_Configuration'!AJ314)</f>
        <v/>
      </c>
      <c r="K313" s="29" t="str">
        <f>IF('12 - Device_Configuration'!AA314="","",'12 - Device_Configuration'!AA314)</f>
        <v/>
      </c>
      <c r="L313" s="29" t="str">
        <f>IF('12 - Device_Configuration'!I314="","",'12 - Device_Configuration'!I314)</f>
        <v/>
      </c>
      <c r="M313" s="30"/>
      <c r="N313" s="29" t="str">
        <f>IF('12 - Device_Configuration'!J314="","",'12 - Device_Configuration'!J314)</f>
        <v/>
      </c>
      <c r="O313" s="29" t="str">
        <f>IF('12 - Device_Configuration'!K314="","",'12 - Device_Configuration'!K314)</f>
        <v/>
      </c>
      <c r="P313" s="29" t="str">
        <f>IF('12 - Device_Configuration'!L314="","",'12 - Device_Configuration'!L314)</f>
        <v/>
      </c>
      <c r="Q313" s="30"/>
      <c r="R313" s="29" t="str">
        <f>IF('12 - Device_Configuration'!AY314="","",'12 - Device_Configuration'!AY314)</f>
        <v/>
      </c>
      <c r="S313" s="29" t="str">
        <f>IF('12 - Device_Configuration'!AX314="","",'12 - Device_Configuration'!AX314)</f>
        <v/>
      </c>
      <c r="T313" s="29" t="str">
        <f>IF('12 - Device_Configuration'!AV314="","",'12 - Device_Configuration'!AV314)</f>
        <v/>
      </c>
      <c r="U313" s="29" t="str">
        <f>IF('12 - Device_Configuration'!AW314="","",'12 - Device_Configuration'!AW314)</f>
        <v/>
      </c>
      <c r="V313" s="29" t="str">
        <f>IF('12 - Device_Configuration'!BA314="","",'12 - Device_Configuration'!BA314)</f>
        <v/>
      </c>
      <c r="W313" s="29" t="str">
        <f>IF('12 - Device_Configuration'!BC314="","",'12 - Device_Configuration'!BC314)</f>
        <v/>
      </c>
      <c r="X313" s="29" t="str">
        <f>IF('12 - Device_Configuration'!BK314="","",'12 - Device_Configuration'!BK314)</f>
        <v/>
      </c>
      <c r="Y313" s="29" t="str">
        <f>IF('12 - Device_Configuration'!BB314="","",'12 - Device_Configuration'!BB314)</f>
        <v/>
      </c>
      <c r="Z313" s="29" t="str">
        <f>IF('12 - Device_Configuration'!P314="","",'12 - Device_Configuration'!P314)</f>
        <v/>
      </c>
      <c r="AA313" s="29" t="str">
        <f>IF('12 - Device_Configuration'!Q314="","",'12 - Device_Configuration'!Q314)</f>
        <v/>
      </c>
    </row>
    <row r="314" spans="1:27">
      <c r="A314" s="30"/>
      <c r="B314" s="30"/>
      <c r="C314" s="29" t="str">
        <f>IF('12 - Device_Configuration'!H315="","",'12 - Device_Configuration'!H315)</f>
        <v/>
      </c>
      <c r="D314" s="29" t="str">
        <f>IF('12 - Device_Configuration'!AE315="","",'12 - Device_Configuration'!AE315)</f>
        <v/>
      </c>
      <c r="E314" s="29" t="str">
        <f>IF('12 - Device_Configuration'!AF315="","",'12 - Device_Configuration'!AF315)</f>
        <v/>
      </c>
      <c r="F314" s="29" t="str">
        <f>IF('12 - Device_Configuration'!AG315="","",'12 - Device_Configuration'!AG315)</f>
        <v/>
      </c>
      <c r="G314" s="29" t="str">
        <f>IF('12 - Device_Configuration'!AH315="","",'12 - Device_Configuration'!AH315)</f>
        <v/>
      </c>
      <c r="H314" s="29" t="str">
        <f>IF('12 - Device_Configuration'!A315="","",'12 - Device_Configuration'!A315)</f>
        <v/>
      </c>
      <c r="I314" s="29" t="str">
        <f>IF('12 - Device_Configuration'!AI315="","",'12 - Device_Configuration'!AI315)</f>
        <v/>
      </c>
      <c r="J314" s="29" t="str">
        <f>IF('12 - Device_Configuration'!AJ315="","",'12 - Device_Configuration'!AJ315)</f>
        <v/>
      </c>
      <c r="K314" s="29" t="str">
        <f>IF('12 - Device_Configuration'!AA315="","",'12 - Device_Configuration'!AA315)</f>
        <v/>
      </c>
      <c r="L314" s="29" t="str">
        <f>IF('12 - Device_Configuration'!I315="","",'12 - Device_Configuration'!I315)</f>
        <v/>
      </c>
      <c r="M314" s="30"/>
      <c r="N314" s="29" t="str">
        <f>IF('12 - Device_Configuration'!J315="","",'12 - Device_Configuration'!J315)</f>
        <v/>
      </c>
      <c r="O314" s="29" t="str">
        <f>IF('12 - Device_Configuration'!K315="","",'12 - Device_Configuration'!K315)</f>
        <v/>
      </c>
      <c r="P314" s="29" t="str">
        <f>IF('12 - Device_Configuration'!L315="","",'12 - Device_Configuration'!L315)</f>
        <v/>
      </c>
      <c r="Q314" s="30"/>
      <c r="R314" s="29" t="str">
        <f>IF('12 - Device_Configuration'!AY315="","",'12 - Device_Configuration'!AY315)</f>
        <v/>
      </c>
      <c r="S314" s="29" t="str">
        <f>IF('12 - Device_Configuration'!AX315="","",'12 - Device_Configuration'!AX315)</f>
        <v/>
      </c>
      <c r="T314" s="29" t="str">
        <f>IF('12 - Device_Configuration'!AV315="","",'12 - Device_Configuration'!AV315)</f>
        <v/>
      </c>
      <c r="U314" s="29" t="str">
        <f>IF('12 - Device_Configuration'!AW315="","",'12 - Device_Configuration'!AW315)</f>
        <v/>
      </c>
      <c r="V314" s="29" t="str">
        <f>IF('12 - Device_Configuration'!BA315="","",'12 - Device_Configuration'!BA315)</f>
        <v/>
      </c>
      <c r="W314" s="29" t="str">
        <f>IF('12 - Device_Configuration'!BC315="","",'12 - Device_Configuration'!BC315)</f>
        <v/>
      </c>
      <c r="X314" s="29" t="str">
        <f>IF('12 - Device_Configuration'!BK315="","",'12 - Device_Configuration'!BK315)</f>
        <v/>
      </c>
      <c r="Y314" s="29" t="str">
        <f>IF('12 - Device_Configuration'!BB315="","",'12 - Device_Configuration'!BB315)</f>
        <v/>
      </c>
      <c r="Z314" s="29" t="str">
        <f>IF('12 - Device_Configuration'!P315="","",'12 - Device_Configuration'!P315)</f>
        <v/>
      </c>
      <c r="AA314" s="29" t="str">
        <f>IF('12 - Device_Configuration'!Q315="","",'12 - Device_Configuration'!Q315)</f>
        <v/>
      </c>
    </row>
    <row r="315" spans="1:27">
      <c r="A315" s="30"/>
      <c r="B315" s="30"/>
      <c r="C315" s="29" t="str">
        <f>IF('12 - Device_Configuration'!H316="","",'12 - Device_Configuration'!H316)</f>
        <v/>
      </c>
      <c r="D315" s="29" t="str">
        <f>IF('12 - Device_Configuration'!AE316="","",'12 - Device_Configuration'!AE316)</f>
        <v/>
      </c>
      <c r="E315" s="29" t="str">
        <f>IF('12 - Device_Configuration'!AF316="","",'12 - Device_Configuration'!AF316)</f>
        <v/>
      </c>
      <c r="F315" s="29" t="str">
        <f>IF('12 - Device_Configuration'!AG316="","",'12 - Device_Configuration'!AG316)</f>
        <v/>
      </c>
      <c r="G315" s="29" t="str">
        <f>IF('12 - Device_Configuration'!AH316="","",'12 - Device_Configuration'!AH316)</f>
        <v/>
      </c>
      <c r="H315" s="29" t="str">
        <f>IF('12 - Device_Configuration'!A316="","",'12 - Device_Configuration'!A316)</f>
        <v/>
      </c>
      <c r="I315" s="29" t="str">
        <f>IF('12 - Device_Configuration'!AI316="","",'12 - Device_Configuration'!AI316)</f>
        <v/>
      </c>
      <c r="J315" s="29" t="str">
        <f>IF('12 - Device_Configuration'!AJ316="","",'12 - Device_Configuration'!AJ316)</f>
        <v/>
      </c>
      <c r="K315" s="29" t="str">
        <f>IF('12 - Device_Configuration'!AA316="","",'12 - Device_Configuration'!AA316)</f>
        <v/>
      </c>
      <c r="L315" s="29" t="str">
        <f>IF('12 - Device_Configuration'!I316="","",'12 - Device_Configuration'!I316)</f>
        <v/>
      </c>
      <c r="M315" s="30"/>
      <c r="N315" s="29" t="str">
        <f>IF('12 - Device_Configuration'!J316="","",'12 - Device_Configuration'!J316)</f>
        <v/>
      </c>
      <c r="O315" s="29" t="str">
        <f>IF('12 - Device_Configuration'!K316="","",'12 - Device_Configuration'!K316)</f>
        <v/>
      </c>
      <c r="P315" s="29" t="str">
        <f>IF('12 - Device_Configuration'!L316="","",'12 - Device_Configuration'!L316)</f>
        <v/>
      </c>
      <c r="Q315" s="30"/>
      <c r="R315" s="29" t="str">
        <f>IF('12 - Device_Configuration'!AY316="","",'12 - Device_Configuration'!AY316)</f>
        <v/>
      </c>
      <c r="S315" s="29" t="str">
        <f>IF('12 - Device_Configuration'!AX316="","",'12 - Device_Configuration'!AX316)</f>
        <v/>
      </c>
      <c r="T315" s="29" t="str">
        <f>IF('12 - Device_Configuration'!AV316="","",'12 - Device_Configuration'!AV316)</f>
        <v/>
      </c>
      <c r="U315" s="29" t="str">
        <f>IF('12 - Device_Configuration'!AW316="","",'12 - Device_Configuration'!AW316)</f>
        <v/>
      </c>
      <c r="V315" s="29" t="str">
        <f>IF('12 - Device_Configuration'!BA316="","",'12 - Device_Configuration'!BA316)</f>
        <v/>
      </c>
      <c r="W315" s="29" t="str">
        <f>IF('12 - Device_Configuration'!BC316="","",'12 - Device_Configuration'!BC316)</f>
        <v/>
      </c>
      <c r="X315" s="29" t="str">
        <f>IF('12 - Device_Configuration'!BK316="","",'12 - Device_Configuration'!BK316)</f>
        <v/>
      </c>
      <c r="Y315" s="29" t="str">
        <f>IF('12 - Device_Configuration'!BB316="","",'12 - Device_Configuration'!BB316)</f>
        <v/>
      </c>
      <c r="Z315" s="29" t="str">
        <f>IF('12 - Device_Configuration'!P316="","",'12 - Device_Configuration'!P316)</f>
        <v/>
      </c>
      <c r="AA315" s="29" t="str">
        <f>IF('12 - Device_Configuration'!Q316="","",'12 - Device_Configuration'!Q316)</f>
        <v/>
      </c>
    </row>
    <row r="316" spans="1:27">
      <c r="A316" s="30"/>
      <c r="B316" s="30"/>
      <c r="C316" s="29" t="str">
        <f>IF('12 - Device_Configuration'!H317="","",'12 - Device_Configuration'!H317)</f>
        <v/>
      </c>
      <c r="D316" s="29" t="str">
        <f>IF('12 - Device_Configuration'!AE317="","",'12 - Device_Configuration'!AE317)</f>
        <v/>
      </c>
      <c r="E316" s="29" t="str">
        <f>IF('12 - Device_Configuration'!AF317="","",'12 - Device_Configuration'!AF317)</f>
        <v/>
      </c>
      <c r="F316" s="29" t="str">
        <f>IF('12 - Device_Configuration'!AG317="","",'12 - Device_Configuration'!AG317)</f>
        <v/>
      </c>
      <c r="G316" s="29" t="str">
        <f>IF('12 - Device_Configuration'!AH317="","",'12 - Device_Configuration'!AH317)</f>
        <v/>
      </c>
      <c r="H316" s="29" t="str">
        <f>IF('12 - Device_Configuration'!A317="","",'12 - Device_Configuration'!A317)</f>
        <v/>
      </c>
      <c r="I316" s="29" t="str">
        <f>IF('12 - Device_Configuration'!AI317="","",'12 - Device_Configuration'!AI317)</f>
        <v/>
      </c>
      <c r="J316" s="29" t="str">
        <f>IF('12 - Device_Configuration'!AJ317="","",'12 - Device_Configuration'!AJ317)</f>
        <v/>
      </c>
      <c r="K316" s="29" t="str">
        <f>IF('12 - Device_Configuration'!AA317="","",'12 - Device_Configuration'!AA317)</f>
        <v/>
      </c>
      <c r="L316" s="29" t="str">
        <f>IF('12 - Device_Configuration'!I317="","",'12 - Device_Configuration'!I317)</f>
        <v/>
      </c>
      <c r="M316" s="30"/>
      <c r="N316" s="29" t="str">
        <f>IF('12 - Device_Configuration'!J317="","",'12 - Device_Configuration'!J317)</f>
        <v/>
      </c>
      <c r="O316" s="29" t="str">
        <f>IF('12 - Device_Configuration'!K317="","",'12 - Device_Configuration'!K317)</f>
        <v/>
      </c>
      <c r="P316" s="29" t="str">
        <f>IF('12 - Device_Configuration'!L317="","",'12 - Device_Configuration'!L317)</f>
        <v/>
      </c>
      <c r="Q316" s="30"/>
      <c r="R316" s="29" t="str">
        <f>IF('12 - Device_Configuration'!AY317="","",'12 - Device_Configuration'!AY317)</f>
        <v/>
      </c>
      <c r="S316" s="29" t="str">
        <f>IF('12 - Device_Configuration'!AX317="","",'12 - Device_Configuration'!AX317)</f>
        <v/>
      </c>
      <c r="T316" s="29" t="str">
        <f>IF('12 - Device_Configuration'!AV317="","",'12 - Device_Configuration'!AV317)</f>
        <v/>
      </c>
      <c r="U316" s="29" t="str">
        <f>IF('12 - Device_Configuration'!AW317="","",'12 - Device_Configuration'!AW317)</f>
        <v/>
      </c>
      <c r="V316" s="29" t="str">
        <f>IF('12 - Device_Configuration'!BA317="","",'12 - Device_Configuration'!BA317)</f>
        <v/>
      </c>
      <c r="W316" s="29" t="str">
        <f>IF('12 - Device_Configuration'!BC317="","",'12 - Device_Configuration'!BC317)</f>
        <v/>
      </c>
      <c r="X316" s="29" t="str">
        <f>IF('12 - Device_Configuration'!BK317="","",'12 - Device_Configuration'!BK317)</f>
        <v/>
      </c>
      <c r="Y316" s="29" t="str">
        <f>IF('12 - Device_Configuration'!BB317="","",'12 - Device_Configuration'!BB317)</f>
        <v/>
      </c>
      <c r="Z316" s="29" t="str">
        <f>IF('12 - Device_Configuration'!P317="","",'12 - Device_Configuration'!P317)</f>
        <v/>
      </c>
      <c r="AA316" s="29" t="str">
        <f>IF('12 - Device_Configuration'!Q317="","",'12 - Device_Configuration'!Q317)</f>
        <v/>
      </c>
    </row>
    <row r="317" spans="1:27">
      <c r="A317" s="30"/>
      <c r="B317" s="30"/>
      <c r="C317" s="29" t="str">
        <f>IF('12 - Device_Configuration'!H318="","",'12 - Device_Configuration'!H318)</f>
        <v/>
      </c>
      <c r="D317" s="29" t="str">
        <f>IF('12 - Device_Configuration'!AE318="","",'12 - Device_Configuration'!AE318)</f>
        <v/>
      </c>
      <c r="E317" s="29" t="str">
        <f>IF('12 - Device_Configuration'!AF318="","",'12 - Device_Configuration'!AF318)</f>
        <v/>
      </c>
      <c r="F317" s="29" t="str">
        <f>IF('12 - Device_Configuration'!AG318="","",'12 - Device_Configuration'!AG318)</f>
        <v/>
      </c>
      <c r="G317" s="29" t="str">
        <f>IF('12 - Device_Configuration'!AH318="","",'12 - Device_Configuration'!AH318)</f>
        <v/>
      </c>
      <c r="H317" s="29" t="str">
        <f>IF('12 - Device_Configuration'!A318="","",'12 - Device_Configuration'!A318)</f>
        <v/>
      </c>
      <c r="I317" s="29" t="str">
        <f>IF('12 - Device_Configuration'!AI318="","",'12 - Device_Configuration'!AI318)</f>
        <v/>
      </c>
      <c r="J317" s="29" t="str">
        <f>IF('12 - Device_Configuration'!AJ318="","",'12 - Device_Configuration'!AJ318)</f>
        <v/>
      </c>
      <c r="K317" s="29" t="str">
        <f>IF('12 - Device_Configuration'!AA318="","",'12 - Device_Configuration'!AA318)</f>
        <v/>
      </c>
      <c r="L317" s="29" t="str">
        <f>IF('12 - Device_Configuration'!I318="","",'12 - Device_Configuration'!I318)</f>
        <v/>
      </c>
      <c r="M317" s="30"/>
      <c r="N317" s="29" t="str">
        <f>IF('12 - Device_Configuration'!J318="","",'12 - Device_Configuration'!J318)</f>
        <v/>
      </c>
      <c r="O317" s="29" t="str">
        <f>IF('12 - Device_Configuration'!K318="","",'12 - Device_Configuration'!K318)</f>
        <v/>
      </c>
      <c r="P317" s="29" t="str">
        <f>IF('12 - Device_Configuration'!L318="","",'12 - Device_Configuration'!L318)</f>
        <v/>
      </c>
      <c r="Q317" s="30"/>
      <c r="R317" s="29" t="str">
        <f>IF('12 - Device_Configuration'!AY318="","",'12 - Device_Configuration'!AY318)</f>
        <v/>
      </c>
      <c r="S317" s="29" t="str">
        <f>IF('12 - Device_Configuration'!AX318="","",'12 - Device_Configuration'!AX318)</f>
        <v/>
      </c>
      <c r="T317" s="29" t="str">
        <f>IF('12 - Device_Configuration'!AV318="","",'12 - Device_Configuration'!AV318)</f>
        <v/>
      </c>
      <c r="U317" s="29" t="str">
        <f>IF('12 - Device_Configuration'!AW318="","",'12 - Device_Configuration'!AW318)</f>
        <v/>
      </c>
      <c r="V317" s="29" t="str">
        <f>IF('12 - Device_Configuration'!BA318="","",'12 - Device_Configuration'!BA318)</f>
        <v/>
      </c>
      <c r="W317" s="29" t="str">
        <f>IF('12 - Device_Configuration'!BC318="","",'12 - Device_Configuration'!BC318)</f>
        <v/>
      </c>
      <c r="X317" s="29" t="str">
        <f>IF('12 - Device_Configuration'!BK318="","",'12 - Device_Configuration'!BK318)</f>
        <v/>
      </c>
      <c r="Y317" s="29" t="str">
        <f>IF('12 - Device_Configuration'!BB318="","",'12 - Device_Configuration'!BB318)</f>
        <v/>
      </c>
      <c r="Z317" s="29" t="str">
        <f>IF('12 - Device_Configuration'!P318="","",'12 - Device_Configuration'!P318)</f>
        <v/>
      </c>
      <c r="AA317" s="29" t="str">
        <f>IF('12 - Device_Configuration'!Q318="","",'12 - Device_Configuration'!Q318)</f>
        <v/>
      </c>
    </row>
    <row r="318" spans="1:27">
      <c r="A318" s="30"/>
      <c r="B318" s="30"/>
      <c r="C318" s="29" t="str">
        <f>IF('12 - Device_Configuration'!H319="","",'12 - Device_Configuration'!H319)</f>
        <v/>
      </c>
      <c r="D318" s="29" t="str">
        <f>IF('12 - Device_Configuration'!AE319="","",'12 - Device_Configuration'!AE319)</f>
        <v/>
      </c>
      <c r="E318" s="29" t="str">
        <f>IF('12 - Device_Configuration'!AF319="","",'12 - Device_Configuration'!AF319)</f>
        <v/>
      </c>
      <c r="F318" s="29" t="str">
        <f>IF('12 - Device_Configuration'!AG319="","",'12 - Device_Configuration'!AG319)</f>
        <v/>
      </c>
      <c r="G318" s="29" t="str">
        <f>IF('12 - Device_Configuration'!AH319="","",'12 - Device_Configuration'!AH319)</f>
        <v/>
      </c>
      <c r="H318" s="29" t="str">
        <f>IF('12 - Device_Configuration'!A319="","",'12 - Device_Configuration'!A319)</f>
        <v/>
      </c>
      <c r="I318" s="29" t="str">
        <f>IF('12 - Device_Configuration'!AI319="","",'12 - Device_Configuration'!AI319)</f>
        <v/>
      </c>
      <c r="J318" s="29" t="str">
        <f>IF('12 - Device_Configuration'!AJ319="","",'12 - Device_Configuration'!AJ319)</f>
        <v/>
      </c>
      <c r="K318" s="29" t="str">
        <f>IF('12 - Device_Configuration'!AA319="","",'12 - Device_Configuration'!AA319)</f>
        <v/>
      </c>
      <c r="L318" s="29" t="str">
        <f>IF('12 - Device_Configuration'!I319="","",'12 - Device_Configuration'!I319)</f>
        <v/>
      </c>
      <c r="M318" s="30"/>
      <c r="N318" s="29" t="str">
        <f>IF('12 - Device_Configuration'!J319="","",'12 - Device_Configuration'!J319)</f>
        <v/>
      </c>
      <c r="O318" s="29" t="str">
        <f>IF('12 - Device_Configuration'!K319="","",'12 - Device_Configuration'!K319)</f>
        <v/>
      </c>
      <c r="P318" s="29" t="str">
        <f>IF('12 - Device_Configuration'!L319="","",'12 - Device_Configuration'!L319)</f>
        <v/>
      </c>
      <c r="Q318" s="30"/>
      <c r="R318" s="29" t="str">
        <f>IF('12 - Device_Configuration'!AY319="","",'12 - Device_Configuration'!AY319)</f>
        <v/>
      </c>
      <c r="S318" s="29" t="str">
        <f>IF('12 - Device_Configuration'!AX319="","",'12 - Device_Configuration'!AX319)</f>
        <v/>
      </c>
      <c r="T318" s="29" t="str">
        <f>IF('12 - Device_Configuration'!AV319="","",'12 - Device_Configuration'!AV319)</f>
        <v/>
      </c>
      <c r="U318" s="29" t="str">
        <f>IF('12 - Device_Configuration'!AW319="","",'12 - Device_Configuration'!AW319)</f>
        <v/>
      </c>
      <c r="V318" s="29" t="str">
        <f>IF('12 - Device_Configuration'!BA319="","",'12 - Device_Configuration'!BA319)</f>
        <v/>
      </c>
      <c r="W318" s="29" t="str">
        <f>IF('12 - Device_Configuration'!BC319="","",'12 - Device_Configuration'!BC319)</f>
        <v/>
      </c>
      <c r="X318" s="29" t="str">
        <f>IF('12 - Device_Configuration'!BK319="","",'12 - Device_Configuration'!BK319)</f>
        <v/>
      </c>
      <c r="Y318" s="29" t="str">
        <f>IF('12 - Device_Configuration'!BB319="","",'12 - Device_Configuration'!BB319)</f>
        <v/>
      </c>
      <c r="Z318" s="29" t="str">
        <f>IF('12 - Device_Configuration'!P319="","",'12 - Device_Configuration'!P319)</f>
        <v/>
      </c>
      <c r="AA318" s="29" t="str">
        <f>IF('12 - Device_Configuration'!Q319="","",'12 - Device_Configuration'!Q319)</f>
        <v/>
      </c>
    </row>
    <row r="319" spans="1:27">
      <c r="A319" s="30"/>
      <c r="B319" s="30"/>
      <c r="C319" s="29" t="str">
        <f>IF('12 - Device_Configuration'!H320="","",'12 - Device_Configuration'!H320)</f>
        <v/>
      </c>
      <c r="D319" s="29" t="str">
        <f>IF('12 - Device_Configuration'!AE320="","",'12 - Device_Configuration'!AE320)</f>
        <v/>
      </c>
      <c r="E319" s="29" t="str">
        <f>IF('12 - Device_Configuration'!AF320="","",'12 - Device_Configuration'!AF320)</f>
        <v/>
      </c>
      <c r="F319" s="29" t="str">
        <f>IF('12 - Device_Configuration'!AG320="","",'12 - Device_Configuration'!AG320)</f>
        <v/>
      </c>
      <c r="G319" s="29" t="str">
        <f>IF('12 - Device_Configuration'!AH320="","",'12 - Device_Configuration'!AH320)</f>
        <v/>
      </c>
      <c r="H319" s="29" t="str">
        <f>IF('12 - Device_Configuration'!A320="","",'12 - Device_Configuration'!A320)</f>
        <v/>
      </c>
      <c r="I319" s="29" t="str">
        <f>IF('12 - Device_Configuration'!AI320="","",'12 - Device_Configuration'!AI320)</f>
        <v/>
      </c>
      <c r="J319" s="29" t="str">
        <f>IF('12 - Device_Configuration'!AJ320="","",'12 - Device_Configuration'!AJ320)</f>
        <v/>
      </c>
      <c r="K319" s="29" t="str">
        <f>IF('12 - Device_Configuration'!AA320="","",'12 - Device_Configuration'!AA320)</f>
        <v/>
      </c>
      <c r="L319" s="29" t="str">
        <f>IF('12 - Device_Configuration'!I320="","",'12 - Device_Configuration'!I320)</f>
        <v/>
      </c>
      <c r="M319" s="30"/>
      <c r="N319" s="29" t="str">
        <f>IF('12 - Device_Configuration'!J320="","",'12 - Device_Configuration'!J320)</f>
        <v/>
      </c>
      <c r="O319" s="29" t="str">
        <f>IF('12 - Device_Configuration'!K320="","",'12 - Device_Configuration'!K320)</f>
        <v/>
      </c>
      <c r="P319" s="29" t="str">
        <f>IF('12 - Device_Configuration'!L320="","",'12 - Device_Configuration'!L320)</f>
        <v/>
      </c>
      <c r="Q319" s="30"/>
      <c r="R319" s="29" t="str">
        <f>IF('12 - Device_Configuration'!AY320="","",'12 - Device_Configuration'!AY320)</f>
        <v/>
      </c>
      <c r="S319" s="29" t="str">
        <f>IF('12 - Device_Configuration'!AX320="","",'12 - Device_Configuration'!AX320)</f>
        <v/>
      </c>
      <c r="T319" s="29" t="str">
        <f>IF('12 - Device_Configuration'!AV320="","",'12 - Device_Configuration'!AV320)</f>
        <v/>
      </c>
      <c r="U319" s="29" t="str">
        <f>IF('12 - Device_Configuration'!AW320="","",'12 - Device_Configuration'!AW320)</f>
        <v/>
      </c>
      <c r="V319" s="29" t="str">
        <f>IF('12 - Device_Configuration'!BA320="","",'12 - Device_Configuration'!BA320)</f>
        <v/>
      </c>
      <c r="W319" s="29" t="str">
        <f>IF('12 - Device_Configuration'!BC320="","",'12 - Device_Configuration'!BC320)</f>
        <v/>
      </c>
      <c r="X319" s="29" t="str">
        <f>IF('12 - Device_Configuration'!BK320="","",'12 - Device_Configuration'!BK320)</f>
        <v/>
      </c>
      <c r="Y319" s="29" t="str">
        <f>IF('12 - Device_Configuration'!BB320="","",'12 - Device_Configuration'!BB320)</f>
        <v/>
      </c>
      <c r="Z319" s="29" t="str">
        <f>IF('12 - Device_Configuration'!P320="","",'12 - Device_Configuration'!P320)</f>
        <v/>
      </c>
      <c r="AA319" s="29" t="str">
        <f>IF('12 - Device_Configuration'!Q320="","",'12 - Device_Configuration'!Q320)</f>
        <v/>
      </c>
    </row>
    <row r="320" spans="1:27">
      <c r="A320" s="30"/>
      <c r="B320" s="30"/>
      <c r="C320" s="29" t="str">
        <f>IF('12 - Device_Configuration'!H321="","",'12 - Device_Configuration'!H321)</f>
        <v/>
      </c>
      <c r="D320" s="29" t="str">
        <f>IF('12 - Device_Configuration'!AE321="","",'12 - Device_Configuration'!AE321)</f>
        <v/>
      </c>
      <c r="E320" s="29" t="str">
        <f>IF('12 - Device_Configuration'!AF321="","",'12 - Device_Configuration'!AF321)</f>
        <v/>
      </c>
      <c r="F320" s="29" t="str">
        <f>IF('12 - Device_Configuration'!AG321="","",'12 - Device_Configuration'!AG321)</f>
        <v/>
      </c>
      <c r="G320" s="29" t="str">
        <f>IF('12 - Device_Configuration'!AH321="","",'12 - Device_Configuration'!AH321)</f>
        <v/>
      </c>
      <c r="H320" s="29" t="str">
        <f>IF('12 - Device_Configuration'!A321="","",'12 - Device_Configuration'!A321)</f>
        <v/>
      </c>
      <c r="I320" s="29" t="str">
        <f>IF('12 - Device_Configuration'!AI321="","",'12 - Device_Configuration'!AI321)</f>
        <v/>
      </c>
      <c r="J320" s="29" t="str">
        <f>IF('12 - Device_Configuration'!AJ321="","",'12 - Device_Configuration'!AJ321)</f>
        <v/>
      </c>
      <c r="K320" s="29" t="str">
        <f>IF('12 - Device_Configuration'!AA321="","",'12 - Device_Configuration'!AA321)</f>
        <v/>
      </c>
      <c r="L320" s="29" t="str">
        <f>IF('12 - Device_Configuration'!I321="","",'12 - Device_Configuration'!I321)</f>
        <v/>
      </c>
      <c r="M320" s="30"/>
      <c r="N320" s="29" t="str">
        <f>IF('12 - Device_Configuration'!J321="","",'12 - Device_Configuration'!J321)</f>
        <v/>
      </c>
      <c r="O320" s="29" t="str">
        <f>IF('12 - Device_Configuration'!K321="","",'12 - Device_Configuration'!K321)</f>
        <v/>
      </c>
      <c r="P320" s="29" t="str">
        <f>IF('12 - Device_Configuration'!L321="","",'12 - Device_Configuration'!L321)</f>
        <v/>
      </c>
      <c r="Q320" s="30"/>
      <c r="R320" s="29" t="str">
        <f>IF('12 - Device_Configuration'!AY321="","",'12 - Device_Configuration'!AY321)</f>
        <v/>
      </c>
      <c r="S320" s="29" t="str">
        <f>IF('12 - Device_Configuration'!AX321="","",'12 - Device_Configuration'!AX321)</f>
        <v/>
      </c>
      <c r="T320" s="29" t="str">
        <f>IF('12 - Device_Configuration'!AV321="","",'12 - Device_Configuration'!AV321)</f>
        <v/>
      </c>
      <c r="U320" s="29" t="str">
        <f>IF('12 - Device_Configuration'!AW321="","",'12 - Device_Configuration'!AW321)</f>
        <v/>
      </c>
      <c r="V320" s="29" t="str">
        <f>IF('12 - Device_Configuration'!BA321="","",'12 - Device_Configuration'!BA321)</f>
        <v/>
      </c>
      <c r="W320" s="29" t="str">
        <f>IF('12 - Device_Configuration'!BC321="","",'12 - Device_Configuration'!BC321)</f>
        <v/>
      </c>
      <c r="X320" s="29" t="str">
        <f>IF('12 - Device_Configuration'!BK321="","",'12 - Device_Configuration'!BK321)</f>
        <v/>
      </c>
      <c r="Y320" s="29" t="str">
        <f>IF('12 - Device_Configuration'!BB321="","",'12 - Device_Configuration'!BB321)</f>
        <v/>
      </c>
      <c r="Z320" s="29" t="str">
        <f>IF('12 - Device_Configuration'!P321="","",'12 - Device_Configuration'!P321)</f>
        <v/>
      </c>
      <c r="AA320" s="29" t="str">
        <f>IF('12 - Device_Configuration'!Q321="","",'12 - Device_Configuration'!Q321)</f>
        <v/>
      </c>
    </row>
    <row r="321" spans="1:27">
      <c r="A321" s="30"/>
      <c r="B321" s="30"/>
      <c r="C321" s="29" t="str">
        <f>IF('12 - Device_Configuration'!H322="","",'12 - Device_Configuration'!H322)</f>
        <v/>
      </c>
      <c r="D321" s="29" t="str">
        <f>IF('12 - Device_Configuration'!AE322="","",'12 - Device_Configuration'!AE322)</f>
        <v/>
      </c>
      <c r="E321" s="29" t="str">
        <f>IF('12 - Device_Configuration'!AF322="","",'12 - Device_Configuration'!AF322)</f>
        <v/>
      </c>
      <c r="F321" s="29" t="str">
        <f>IF('12 - Device_Configuration'!AG322="","",'12 - Device_Configuration'!AG322)</f>
        <v/>
      </c>
      <c r="G321" s="29" t="str">
        <f>IF('12 - Device_Configuration'!AH322="","",'12 - Device_Configuration'!AH322)</f>
        <v/>
      </c>
      <c r="H321" s="29" t="str">
        <f>IF('12 - Device_Configuration'!A322="","",'12 - Device_Configuration'!A322)</f>
        <v/>
      </c>
      <c r="I321" s="29" t="str">
        <f>IF('12 - Device_Configuration'!AI322="","",'12 - Device_Configuration'!AI322)</f>
        <v/>
      </c>
      <c r="J321" s="29" t="str">
        <f>IF('12 - Device_Configuration'!AJ322="","",'12 - Device_Configuration'!AJ322)</f>
        <v/>
      </c>
      <c r="K321" s="29" t="str">
        <f>IF('12 - Device_Configuration'!AA322="","",'12 - Device_Configuration'!AA322)</f>
        <v/>
      </c>
      <c r="L321" s="29" t="str">
        <f>IF('12 - Device_Configuration'!I322="","",'12 - Device_Configuration'!I322)</f>
        <v/>
      </c>
      <c r="M321" s="30"/>
      <c r="N321" s="29" t="str">
        <f>IF('12 - Device_Configuration'!J322="","",'12 - Device_Configuration'!J322)</f>
        <v/>
      </c>
      <c r="O321" s="29" t="str">
        <f>IF('12 - Device_Configuration'!K322="","",'12 - Device_Configuration'!K322)</f>
        <v/>
      </c>
      <c r="P321" s="29" t="str">
        <f>IF('12 - Device_Configuration'!L322="","",'12 - Device_Configuration'!L322)</f>
        <v/>
      </c>
      <c r="Q321" s="30"/>
      <c r="R321" s="29" t="str">
        <f>IF('12 - Device_Configuration'!AY322="","",'12 - Device_Configuration'!AY322)</f>
        <v/>
      </c>
      <c r="S321" s="29" t="str">
        <f>IF('12 - Device_Configuration'!AX322="","",'12 - Device_Configuration'!AX322)</f>
        <v/>
      </c>
      <c r="T321" s="29" t="str">
        <f>IF('12 - Device_Configuration'!AV322="","",'12 - Device_Configuration'!AV322)</f>
        <v/>
      </c>
      <c r="U321" s="29" t="str">
        <f>IF('12 - Device_Configuration'!AW322="","",'12 - Device_Configuration'!AW322)</f>
        <v/>
      </c>
      <c r="V321" s="29" t="str">
        <f>IF('12 - Device_Configuration'!BA322="","",'12 - Device_Configuration'!BA322)</f>
        <v/>
      </c>
      <c r="W321" s="29" t="str">
        <f>IF('12 - Device_Configuration'!BC322="","",'12 - Device_Configuration'!BC322)</f>
        <v/>
      </c>
      <c r="X321" s="29" t="str">
        <f>IF('12 - Device_Configuration'!BK322="","",'12 - Device_Configuration'!BK322)</f>
        <v/>
      </c>
      <c r="Y321" s="29" t="str">
        <f>IF('12 - Device_Configuration'!BB322="","",'12 - Device_Configuration'!BB322)</f>
        <v/>
      </c>
      <c r="Z321" s="29" t="str">
        <f>IF('12 - Device_Configuration'!P322="","",'12 - Device_Configuration'!P322)</f>
        <v/>
      </c>
      <c r="AA321" s="29" t="str">
        <f>IF('12 - Device_Configuration'!Q322="","",'12 - Device_Configuration'!Q322)</f>
        <v/>
      </c>
    </row>
    <row r="322" spans="1:27">
      <c r="A322" s="30"/>
      <c r="B322" s="30"/>
      <c r="C322" s="29" t="str">
        <f>IF('12 - Device_Configuration'!H323="","",'12 - Device_Configuration'!H323)</f>
        <v/>
      </c>
      <c r="D322" s="29" t="str">
        <f>IF('12 - Device_Configuration'!AE323="","",'12 - Device_Configuration'!AE323)</f>
        <v/>
      </c>
      <c r="E322" s="29" t="str">
        <f>IF('12 - Device_Configuration'!AF323="","",'12 - Device_Configuration'!AF323)</f>
        <v/>
      </c>
      <c r="F322" s="29" t="str">
        <f>IF('12 - Device_Configuration'!AG323="","",'12 - Device_Configuration'!AG323)</f>
        <v/>
      </c>
      <c r="G322" s="29" t="str">
        <f>IF('12 - Device_Configuration'!AH323="","",'12 - Device_Configuration'!AH323)</f>
        <v/>
      </c>
      <c r="H322" s="29" t="str">
        <f>IF('12 - Device_Configuration'!A323="","",'12 - Device_Configuration'!A323)</f>
        <v/>
      </c>
      <c r="I322" s="29" t="str">
        <f>IF('12 - Device_Configuration'!AI323="","",'12 - Device_Configuration'!AI323)</f>
        <v/>
      </c>
      <c r="J322" s="29" t="str">
        <f>IF('12 - Device_Configuration'!AJ323="","",'12 - Device_Configuration'!AJ323)</f>
        <v/>
      </c>
      <c r="K322" s="29" t="str">
        <f>IF('12 - Device_Configuration'!AA323="","",'12 - Device_Configuration'!AA323)</f>
        <v/>
      </c>
      <c r="L322" s="29" t="str">
        <f>IF('12 - Device_Configuration'!I323="","",'12 - Device_Configuration'!I323)</f>
        <v/>
      </c>
      <c r="M322" s="30"/>
      <c r="N322" s="29" t="str">
        <f>IF('12 - Device_Configuration'!J323="","",'12 - Device_Configuration'!J323)</f>
        <v/>
      </c>
      <c r="O322" s="29" t="str">
        <f>IF('12 - Device_Configuration'!K323="","",'12 - Device_Configuration'!K323)</f>
        <v/>
      </c>
      <c r="P322" s="29" t="str">
        <f>IF('12 - Device_Configuration'!L323="","",'12 - Device_Configuration'!L323)</f>
        <v/>
      </c>
      <c r="Q322" s="30"/>
      <c r="R322" s="29" t="str">
        <f>IF('12 - Device_Configuration'!AY323="","",'12 - Device_Configuration'!AY323)</f>
        <v/>
      </c>
      <c r="S322" s="29" t="str">
        <f>IF('12 - Device_Configuration'!AX323="","",'12 - Device_Configuration'!AX323)</f>
        <v/>
      </c>
      <c r="T322" s="29" t="str">
        <f>IF('12 - Device_Configuration'!AV323="","",'12 - Device_Configuration'!AV323)</f>
        <v/>
      </c>
      <c r="U322" s="29" t="str">
        <f>IF('12 - Device_Configuration'!AW323="","",'12 - Device_Configuration'!AW323)</f>
        <v/>
      </c>
      <c r="V322" s="29" t="str">
        <f>IF('12 - Device_Configuration'!BA323="","",'12 - Device_Configuration'!BA323)</f>
        <v/>
      </c>
      <c r="W322" s="29" t="str">
        <f>IF('12 - Device_Configuration'!BC323="","",'12 - Device_Configuration'!BC323)</f>
        <v/>
      </c>
      <c r="X322" s="29" t="str">
        <f>IF('12 - Device_Configuration'!BK323="","",'12 - Device_Configuration'!BK323)</f>
        <v/>
      </c>
      <c r="Y322" s="29" t="str">
        <f>IF('12 - Device_Configuration'!BB323="","",'12 - Device_Configuration'!BB323)</f>
        <v/>
      </c>
      <c r="Z322" s="29" t="str">
        <f>IF('12 - Device_Configuration'!P323="","",'12 - Device_Configuration'!P323)</f>
        <v/>
      </c>
      <c r="AA322" s="29" t="str">
        <f>IF('12 - Device_Configuration'!Q323="","",'12 - Device_Configuration'!Q323)</f>
        <v/>
      </c>
    </row>
    <row r="323" spans="1:27">
      <c r="A323" s="30"/>
      <c r="B323" s="30"/>
      <c r="C323" s="29" t="str">
        <f>IF('12 - Device_Configuration'!H324="","",'12 - Device_Configuration'!H324)</f>
        <v/>
      </c>
      <c r="D323" s="29" t="str">
        <f>IF('12 - Device_Configuration'!AE324="","",'12 - Device_Configuration'!AE324)</f>
        <v/>
      </c>
      <c r="E323" s="29" t="str">
        <f>IF('12 - Device_Configuration'!AF324="","",'12 - Device_Configuration'!AF324)</f>
        <v/>
      </c>
      <c r="F323" s="29" t="str">
        <f>IF('12 - Device_Configuration'!AG324="","",'12 - Device_Configuration'!AG324)</f>
        <v/>
      </c>
      <c r="G323" s="29" t="str">
        <f>IF('12 - Device_Configuration'!AH324="","",'12 - Device_Configuration'!AH324)</f>
        <v/>
      </c>
      <c r="H323" s="29" t="str">
        <f>IF('12 - Device_Configuration'!A324="","",'12 - Device_Configuration'!A324)</f>
        <v/>
      </c>
      <c r="I323" s="29" t="str">
        <f>IF('12 - Device_Configuration'!AI324="","",'12 - Device_Configuration'!AI324)</f>
        <v/>
      </c>
      <c r="J323" s="29" t="str">
        <f>IF('12 - Device_Configuration'!AJ324="","",'12 - Device_Configuration'!AJ324)</f>
        <v/>
      </c>
      <c r="K323" s="29" t="str">
        <f>IF('12 - Device_Configuration'!AA324="","",'12 - Device_Configuration'!AA324)</f>
        <v/>
      </c>
      <c r="L323" s="29" t="str">
        <f>IF('12 - Device_Configuration'!I324="","",'12 - Device_Configuration'!I324)</f>
        <v/>
      </c>
      <c r="M323" s="30"/>
      <c r="N323" s="29" t="str">
        <f>IF('12 - Device_Configuration'!J324="","",'12 - Device_Configuration'!J324)</f>
        <v/>
      </c>
      <c r="O323" s="29" t="str">
        <f>IF('12 - Device_Configuration'!K324="","",'12 - Device_Configuration'!K324)</f>
        <v/>
      </c>
      <c r="P323" s="29" t="str">
        <f>IF('12 - Device_Configuration'!L324="","",'12 - Device_Configuration'!L324)</f>
        <v/>
      </c>
      <c r="Q323" s="30"/>
      <c r="R323" s="29" t="str">
        <f>IF('12 - Device_Configuration'!AY324="","",'12 - Device_Configuration'!AY324)</f>
        <v/>
      </c>
      <c r="S323" s="29" t="str">
        <f>IF('12 - Device_Configuration'!AX324="","",'12 - Device_Configuration'!AX324)</f>
        <v/>
      </c>
      <c r="T323" s="29" t="str">
        <f>IF('12 - Device_Configuration'!AV324="","",'12 - Device_Configuration'!AV324)</f>
        <v/>
      </c>
      <c r="U323" s="29" t="str">
        <f>IF('12 - Device_Configuration'!AW324="","",'12 - Device_Configuration'!AW324)</f>
        <v/>
      </c>
      <c r="V323" s="29" t="str">
        <f>IF('12 - Device_Configuration'!BA324="","",'12 - Device_Configuration'!BA324)</f>
        <v/>
      </c>
      <c r="W323" s="29" t="str">
        <f>IF('12 - Device_Configuration'!BC324="","",'12 - Device_Configuration'!BC324)</f>
        <v/>
      </c>
      <c r="X323" s="29" t="str">
        <f>IF('12 - Device_Configuration'!BK324="","",'12 - Device_Configuration'!BK324)</f>
        <v/>
      </c>
      <c r="Y323" s="29" t="str">
        <f>IF('12 - Device_Configuration'!BB324="","",'12 - Device_Configuration'!BB324)</f>
        <v/>
      </c>
      <c r="Z323" s="29" t="str">
        <f>IF('12 - Device_Configuration'!P324="","",'12 - Device_Configuration'!P324)</f>
        <v/>
      </c>
      <c r="AA323" s="29" t="str">
        <f>IF('12 - Device_Configuration'!Q324="","",'12 - Device_Configuration'!Q324)</f>
        <v/>
      </c>
    </row>
    <row r="324" spans="1:27">
      <c r="A324" s="30"/>
      <c r="B324" s="30"/>
      <c r="C324" s="29" t="str">
        <f>IF('12 - Device_Configuration'!H325="","",'12 - Device_Configuration'!H325)</f>
        <v/>
      </c>
      <c r="D324" s="29" t="str">
        <f>IF('12 - Device_Configuration'!AE325="","",'12 - Device_Configuration'!AE325)</f>
        <v/>
      </c>
      <c r="E324" s="29" t="str">
        <f>IF('12 - Device_Configuration'!AF325="","",'12 - Device_Configuration'!AF325)</f>
        <v/>
      </c>
      <c r="F324" s="29" t="str">
        <f>IF('12 - Device_Configuration'!AG325="","",'12 - Device_Configuration'!AG325)</f>
        <v/>
      </c>
      <c r="G324" s="29" t="str">
        <f>IF('12 - Device_Configuration'!AH325="","",'12 - Device_Configuration'!AH325)</f>
        <v/>
      </c>
      <c r="H324" s="29" t="str">
        <f>IF('12 - Device_Configuration'!A325="","",'12 - Device_Configuration'!A325)</f>
        <v/>
      </c>
      <c r="I324" s="29" t="str">
        <f>IF('12 - Device_Configuration'!AI325="","",'12 - Device_Configuration'!AI325)</f>
        <v/>
      </c>
      <c r="J324" s="29" t="str">
        <f>IF('12 - Device_Configuration'!AJ325="","",'12 - Device_Configuration'!AJ325)</f>
        <v/>
      </c>
      <c r="K324" s="29" t="str">
        <f>IF('12 - Device_Configuration'!AA325="","",'12 - Device_Configuration'!AA325)</f>
        <v/>
      </c>
      <c r="L324" s="29" t="str">
        <f>IF('12 - Device_Configuration'!I325="","",'12 - Device_Configuration'!I325)</f>
        <v/>
      </c>
      <c r="M324" s="30"/>
      <c r="N324" s="29" t="str">
        <f>IF('12 - Device_Configuration'!J325="","",'12 - Device_Configuration'!J325)</f>
        <v/>
      </c>
      <c r="O324" s="29" t="str">
        <f>IF('12 - Device_Configuration'!K325="","",'12 - Device_Configuration'!K325)</f>
        <v/>
      </c>
      <c r="P324" s="29" t="str">
        <f>IF('12 - Device_Configuration'!L325="","",'12 - Device_Configuration'!L325)</f>
        <v/>
      </c>
      <c r="Q324" s="30"/>
      <c r="R324" s="29" t="str">
        <f>IF('12 - Device_Configuration'!AY325="","",'12 - Device_Configuration'!AY325)</f>
        <v/>
      </c>
      <c r="S324" s="29" t="str">
        <f>IF('12 - Device_Configuration'!AX325="","",'12 - Device_Configuration'!AX325)</f>
        <v/>
      </c>
      <c r="T324" s="29" t="str">
        <f>IF('12 - Device_Configuration'!AV325="","",'12 - Device_Configuration'!AV325)</f>
        <v/>
      </c>
      <c r="U324" s="29" t="str">
        <f>IF('12 - Device_Configuration'!AW325="","",'12 - Device_Configuration'!AW325)</f>
        <v/>
      </c>
      <c r="V324" s="29" t="str">
        <f>IF('12 - Device_Configuration'!BA325="","",'12 - Device_Configuration'!BA325)</f>
        <v/>
      </c>
      <c r="W324" s="29" t="str">
        <f>IF('12 - Device_Configuration'!BC325="","",'12 - Device_Configuration'!BC325)</f>
        <v/>
      </c>
      <c r="X324" s="29" t="str">
        <f>IF('12 - Device_Configuration'!BK325="","",'12 - Device_Configuration'!BK325)</f>
        <v/>
      </c>
      <c r="Y324" s="29" t="str">
        <f>IF('12 - Device_Configuration'!BB325="","",'12 - Device_Configuration'!BB325)</f>
        <v/>
      </c>
      <c r="Z324" s="29" t="str">
        <f>IF('12 - Device_Configuration'!P325="","",'12 - Device_Configuration'!P325)</f>
        <v/>
      </c>
      <c r="AA324" s="29" t="str">
        <f>IF('12 - Device_Configuration'!Q325="","",'12 - Device_Configuration'!Q325)</f>
        <v/>
      </c>
    </row>
    <row r="325" spans="1:27">
      <c r="A325" s="30"/>
      <c r="B325" s="30"/>
      <c r="C325" s="29" t="str">
        <f>IF('12 - Device_Configuration'!H326="","",'12 - Device_Configuration'!H326)</f>
        <v/>
      </c>
      <c r="D325" s="29" t="str">
        <f>IF('12 - Device_Configuration'!AE326="","",'12 - Device_Configuration'!AE326)</f>
        <v/>
      </c>
      <c r="E325" s="29" t="str">
        <f>IF('12 - Device_Configuration'!AF326="","",'12 - Device_Configuration'!AF326)</f>
        <v/>
      </c>
      <c r="F325" s="29" t="str">
        <f>IF('12 - Device_Configuration'!AG326="","",'12 - Device_Configuration'!AG326)</f>
        <v/>
      </c>
      <c r="G325" s="29" t="str">
        <f>IF('12 - Device_Configuration'!AH326="","",'12 - Device_Configuration'!AH326)</f>
        <v/>
      </c>
      <c r="H325" s="29" t="str">
        <f>IF('12 - Device_Configuration'!A326="","",'12 - Device_Configuration'!A326)</f>
        <v/>
      </c>
      <c r="I325" s="29" t="str">
        <f>IF('12 - Device_Configuration'!AI326="","",'12 - Device_Configuration'!AI326)</f>
        <v/>
      </c>
      <c r="J325" s="29" t="str">
        <f>IF('12 - Device_Configuration'!AJ326="","",'12 - Device_Configuration'!AJ326)</f>
        <v/>
      </c>
      <c r="K325" s="29" t="str">
        <f>IF('12 - Device_Configuration'!AA326="","",'12 - Device_Configuration'!AA326)</f>
        <v/>
      </c>
      <c r="L325" s="29" t="str">
        <f>IF('12 - Device_Configuration'!I326="","",'12 - Device_Configuration'!I326)</f>
        <v/>
      </c>
      <c r="M325" s="30"/>
      <c r="N325" s="29" t="str">
        <f>IF('12 - Device_Configuration'!J326="","",'12 - Device_Configuration'!J326)</f>
        <v/>
      </c>
      <c r="O325" s="29" t="str">
        <f>IF('12 - Device_Configuration'!K326="","",'12 - Device_Configuration'!K326)</f>
        <v/>
      </c>
      <c r="P325" s="29" t="str">
        <f>IF('12 - Device_Configuration'!L326="","",'12 - Device_Configuration'!L326)</f>
        <v/>
      </c>
      <c r="Q325" s="30"/>
      <c r="R325" s="29" t="str">
        <f>IF('12 - Device_Configuration'!AY326="","",'12 - Device_Configuration'!AY326)</f>
        <v/>
      </c>
      <c r="S325" s="29" t="str">
        <f>IF('12 - Device_Configuration'!AX326="","",'12 - Device_Configuration'!AX326)</f>
        <v/>
      </c>
      <c r="T325" s="29" t="str">
        <f>IF('12 - Device_Configuration'!AV326="","",'12 - Device_Configuration'!AV326)</f>
        <v/>
      </c>
      <c r="U325" s="29" t="str">
        <f>IF('12 - Device_Configuration'!AW326="","",'12 - Device_Configuration'!AW326)</f>
        <v/>
      </c>
      <c r="V325" s="29" t="str">
        <f>IF('12 - Device_Configuration'!BA326="","",'12 - Device_Configuration'!BA326)</f>
        <v/>
      </c>
      <c r="W325" s="29" t="str">
        <f>IF('12 - Device_Configuration'!BC326="","",'12 - Device_Configuration'!BC326)</f>
        <v/>
      </c>
      <c r="X325" s="29" t="str">
        <f>IF('12 - Device_Configuration'!BK326="","",'12 - Device_Configuration'!BK326)</f>
        <v/>
      </c>
      <c r="Y325" s="29" t="str">
        <f>IF('12 - Device_Configuration'!BB326="","",'12 - Device_Configuration'!BB326)</f>
        <v/>
      </c>
      <c r="Z325" s="29" t="str">
        <f>IF('12 - Device_Configuration'!P326="","",'12 - Device_Configuration'!P326)</f>
        <v/>
      </c>
      <c r="AA325" s="29" t="str">
        <f>IF('12 - Device_Configuration'!Q326="","",'12 - Device_Configuration'!Q326)</f>
        <v/>
      </c>
    </row>
    <row r="326" spans="1:27">
      <c r="A326" s="30"/>
      <c r="B326" s="30"/>
      <c r="C326" s="29" t="str">
        <f>IF('12 - Device_Configuration'!H327="","",'12 - Device_Configuration'!H327)</f>
        <v/>
      </c>
      <c r="D326" s="29" t="str">
        <f>IF('12 - Device_Configuration'!AE327="","",'12 - Device_Configuration'!AE327)</f>
        <v/>
      </c>
      <c r="E326" s="29" t="str">
        <f>IF('12 - Device_Configuration'!AF327="","",'12 - Device_Configuration'!AF327)</f>
        <v/>
      </c>
      <c r="F326" s="29" t="str">
        <f>IF('12 - Device_Configuration'!AG327="","",'12 - Device_Configuration'!AG327)</f>
        <v/>
      </c>
      <c r="G326" s="29" t="str">
        <f>IF('12 - Device_Configuration'!AH327="","",'12 - Device_Configuration'!AH327)</f>
        <v/>
      </c>
      <c r="H326" s="29" t="str">
        <f>IF('12 - Device_Configuration'!A327="","",'12 - Device_Configuration'!A327)</f>
        <v/>
      </c>
      <c r="I326" s="29" t="str">
        <f>IF('12 - Device_Configuration'!AI327="","",'12 - Device_Configuration'!AI327)</f>
        <v/>
      </c>
      <c r="J326" s="29" t="str">
        <f>IF('12 - Device_Configuration'!AJ327="","",'12 - Device_Configuration'!AJ327)</f>
        <v/>
      </c>
      <c r="K326" s="29" t="str">
        <f>IF('12 - Device_Configuration'!AA327="","",'12 - Device_Configuration'!AA327)</f>
        <v/>
      </c>
      <c r="L326" s="29" t="str">
        <f>IF('12 - Device_Configuration'!I327="","",'12 - Device_Configuration'!I327)</f>
        <v/>
      </c>
      <c r="M326" s="30"/>
      <c r="N326" s="29" t="str">
        <f>IF('12 - Device_Configuration'!J327="","",'12 - Device_Configuration'!J327)</f>
        <v/>
      </c>
      <c r="O326" s="29" t="str">
        <f>IF('12 - Device_Configuration'!K327="","",'12 - Device_Configuration'!K327)</f>
        <v/>
      </c>
      <c r="P326" s="29" t="str">
        <f>IF('12 - Device_Configuration'!L327="","",'12 - Device_Configuration'!L327)</f>
        <v/>
      </c>
      <c r="Q326" s="30"/>
      <c r="R326" s="29" t="str">
        <f>IF('12 - Device_Configuration'!AY327="","",'12 - Device_Configuration'!AY327)</f>
        <v/>
      </c>
      <c r="S326" s="29" t="str">
        <f>IF('12 - Device_Configuration'!AX327="","",'12 - Device_Configuration'!AX327)</f>
        <v/>
      </c>
      <c r="T326" s="29" t="str">
        <f>IF('12 - Device_Configuration'!AV327="","",'12 - Device_Configuration'!AV327)</f>
        <v/>
      </c>
      <c r="U326" s="29" t="str">
        <f>IF('12 - Device_Configuration'!AW327="","",'12 - Device_Configuration'!AW327)</f>
        <v/>
      </c>
      <c r="V326" s="29" t="str">
        <f>IF('12 - Device_Configuration'!BA327="","",'12 - Device_Configuration'!BA327)</f>
        <v/>
      </c>
      <c r="W326" s="29" t="str">
        <f>IF('12 - Device_Configuration'!BC327="","",'12 - Device_Configuration'!BC327)</f>
        <v/>
      </c>
      <c r="X326" s="29" t="str">
        <f>IF('12 - Device_Configuration'!BK327="","",'12 - Device_Configuration'!BK327)</f>
        <v/>
      </c>
      <c r="Y326" s="29" t="str">
        <f>IF('12 - Device_Configuration'!BB327="","",'12 - Device_Configuration'!BB327)</f>
        <v/>
      </c>
      <c r="Z326" s="29" t="str">
        <f>IF('12 - Device_Configuration'!P327="","",'12 - Device_Configuration'!P327)</f>
        <v/>
      </c>
      <c r="AA326" s="29" t="str">
        <f>IF('12 - Device_Configuration'!Q327="","",'12 - Device_Configuration'!Q327)</f>
        <v/>
      </c>
    </row>
    <row r="327" spans="1:27">
      <c r="A327" s="30"/>
      <c r="B327" s="30"/>
      <c r="C327" s="29" t="str">
        <f>IF('12 - Device_Configuration'!H328="","",'12 - Device_Configuration'!H328)</f>
        <v/>
      </c>
      <c r="D327" s="29" t="str">
        <f>IF('12 - Device_Configuration'!AE328="","",'12 - Device_Configuration'!AE328)</f>
        <v/>
      </c>
      <c r="E327" s="29" t="str">
        <f>IF('12 - Device_Configuration'!AF328="","",'12 - Device_Configuration'!AF328)</f>
        <v/>
      </c>
      <c r="F327" s="29" t="str">
        <f>IF('12 - Device_Configuration'!AG328="","",'12 - Device_Configuration'!AG328)</f>
        <v/>
      </c>
      <c r="G327" s="29" t="str">
        <f>IF('12 - Device_Configuration'!AH328="","",'12 - Device_Configuration'!AH328)</f>
        <v/>
      </c>
      <c r="H327" s="29" t="str">
        <f>IF('12 - Device_Configuration'!A328="","",'12 - Device_Configuration'!A328)</f>
        <v/>
      </c>
      <c r="I327" s="29" t="str">
        <f>IF('12 - Device_Configuration'!AI328="","",'12 - Device_Configuration'!AI328)</f>
        <v/>
      </c>
      <c r="J327" s="29" t="str">
        <f>IF('12 - Device_Configuration'!AJ328="","",'12 - Device_Configuration'!AJ328)</f>
        <v/>
      </c>
      <c r="K327" s="29" t="str">
        <f>IF('12 - Device_Configuration'!AA328="","",'12 - Device_Configuration'!AA328)</f>
        <v/>
      </c>
      <c r="L327" s="29" t="str">
        <f>IF('12 - Device_Configuration'!I328="","",'12 - Device_Configuration'!I328)</f>
        <v/>
      </c>
      <c r="M327" s="30"/>
      <c r="N327" s="29" t="str">
        <f>IF('12 - Device_Configuration'!J328="","",'12 - Device_Configuration'!J328)</f>
        <v/>
      </c>
      <c r="O327" s="29" t="str">
        <f>IF('12 - Device_Configuration'!K328="","",'12 - Device_Configuration'!K328)</f>
        <v/>
      </c>
      <c r="P327" s="29" t="str">
        <f>IF('12 - Device_Configuration'!L328="","",'12 - Device_Configuration'!L328)</f>
        <v/>
      </c>
      <c r="Q327" s="30"/>
      <c r="R327" s="29" t="str">
        <f>IF('12 - Device_Configuration'!AY328="","",'12 - Device_Configuration'!AY328)</f>
        <v/>
      </c>
      <c r="S327" s="29" t="str">
        <f>IF('12 - Device_Configuration'!AX328="","",'12 - Device_Configuration'!AX328)</f>
        <v/>
      </c>
      <c r="T327" s="29" t="str">
        <f>IF('12 - Device_Configuration'!AV328="","",'12 - Device_Configuration'!AV328)</f>
        <v/>
      </c>
      <c r="U327" s="29" t="str">
        <f>IF('12 - Device_Configuration'!AW328="","",'12 - Device_Configuration'!AW328)</f>
        <v/>
      </c>
      <c r="V327" s="29" t="str">
        <f>IF('12 - Device_Configuration'!BA328="","",'12 - Device_Configuration'!BA328)</f>
        <v/>
      </c>
      <c r="W327" s="29" t="str">
        <f>IF('12 - Device_Configuration'!BC328="","",'12 - Device_Configuration'!BC328)</f>
        <v/>
      </c>
      <c r="X327" s="29" t="str">
        <f>IF('12 - Device_Configuration'!BK328="","",'12 - Device_Configuration'!BK328)</f>
        <v/>
      </c>
      <c r="Y327" s="29" t="str">
        <f>IF('12 - Device_Configuration'!BB328="","",'12 - Device_Configuration'!BB328)</f>
        <v/>
      </c>
      <c r="Z327" s="29" t="str">
        <f>IF('12 - Device_Configuration'!P328="","",'12 - Device_Configuration'!P328)</f>
        <v/>
      </c>
      <c r="AA327" s="29" t="str">
        <f>IF('12 - Device_Configuration'!Q328="","",'12 - Device_Configuration'!Q328)</f>
        <v/>
      </c>
    </row>
    <row r="328" spans="1:27">
      <c r="A328" s="30"/>
      <c r="B328" s="30"/>
      <c r="C328" s="29" t="str">
        <f>IF('12 - Device_Configuration'!H329="","",'12 - Device_Configuration'!H329)</f>
        <v/>
      </c>
      <c r="D328" s="29" t="str">
        <f>IF('12 - Device_Configuration'!AE329="","",'12 - Device_Configuration'!AE329)</f>
        <v/>
      </c>
      <c r="E328" s="29" t="str">
        <f>IF('12 - Device_Configuration'!AF329="","",'12 - Device_Configuration'!AF329)</f>
        <v/>
      </c>
      <c r="F328" s="29" t="str">
        <f>IF('12 - Device_Configuration'!AG329="","",'12 - Device_Configuration'!AG329)</f>
        <v/>
      </c>
      <c r="G328" s="29" t="str">
        <f>IF('12 - Device_Configuration'!AH329="","",'12 - Device_Configuration'!AH329)</f>
        <v/>
      </c>
      <c r="H328" s="29" t="str">
        <f>IF('12 - Device_Configuration'!A329="","",'12 - Device_Configuration'!A329)</f>
        <v/>
      </c>
      <c r="I328" s="29" t="str">
        <f>IF('12 - Device_Configuration'!AI329="","",'12 - Device_Configuration'!AI329)</f>
        <v/>
      </c>
      <c r="J328" s="29" t="str">
        <f>IF('12 - Device_Configuration'!AJ329="","",'12 - Device_Configuration'!AJ329)</f>
        <v/>
      </c>
      <c r="K328" s="29" t="str">
        <f>IF('12 - Device_Configuration'!AA329="","",'12 - Device_Configuration'!AA329)</f>
        <v/>
      </c>
      <c r="L328" s="29" t="str">
        <f>IF('12 - Device_Configuration'!I329="","",'12 - Device_Configuration'!I329)</f>
        <v/>
      </c>
      <c r="M328" s="30"/>
      <c r="N328" s="29" t="str">
        <f>IF('12 - Device_Configuration'!J329="","",'12 - Device_Configuration'!J329)</f>
        <v/>
      </c>
      <c r="O328" s="29" t="str">
        <f>IF('12 - Device_Configuration'!K329="","",'12 - Device_Configuration'!K329)</f>
        <v/>
      </c>
      <c r="P328" s="29" t="str">
        <f>IF('12 - Device_Configuration'!L329="","",'12 - Device_Configuration'!L329)</f>
        <v/>
      </c>
      <c r="Q328" s="30"/>
      <c r="R328" s="29" t="str">
        <f>IF('12 - Device_Configuration'!AY329="","",'12 - Device_Configuration'!AY329)</f>
        <v/>
      </c>
      <c r="S328" s="29" t="str">
        <f>IF('12 - Device_Configuration'!AX329="","",'12 - Device_Configuration'!AX329)</f>
        <v/>
      </c>
      <c r="T328" s="29" t="str">
        <f>IF('12 - Device_Configuration'!AV329="","",'12 - Device_Configuration'!AV329)</f>
        <v/>
      </c>
      <c r="U328" s="29" t="str">
        <f>IF('12 - Device_Configuration'!AW329="","",'12 - Device_Configuration'!AW329)</f>
        <v/>
      </c>
      <c r="V328" s="29" t="str">
        <f>IF('12 - Device_Configuration'!BA329="","",'12 - Device_Configuration'!BA329)</f>
        <v/>
      </c>
      <c r="W328" s="29" t="str">
        <f>IF('12 - Device_Configuration'!BC329="","",'12 - Device_Configuration'!BC329)</f>
        <v/>
      </c>
      <c r="X328" s="29" t="str">
        <f>IF('12 - Device_Configuration'!BK329="","",'12 - Device_Configuration'!BK329)</f>
        <v/>
      </c>
      <c r="Y328" s="29" t="str">
        <f>IF('12 - Device_Configuration'!BB329="","",'12 - Device_Configuration'!BB329)</f>
        <v/>
      </c>
      <c r="Z328" s="29" t="str">
        <f>IF('12 - Device_Configuration'!P329="","",'12 - Device_Configuration'!P329)</f>
        <v/>
      </c>
      <c r="AA328" s="29" t="str">
        <f>IF('12 - Device_Configuration'!Q329="","",'12 - Device_Configuration'!Q329)</f>
        <v/>
      </c>
    </row>
    <row r="329" spans="1:27">
      <c r="A329" s="30"/>
      <c r="B329" s="30"/>
      <c r="C329" s="29" t="str">
        <f>IF('12 - Device_Configuration'!H330="","",'12 - Device_Configuration'!H330)</f>
        <v/>
      </c>
      <c r="D329" s="29" t="str">
        <f>IF('12 - Device_Configuration'!AE330="","",'12 - Device_Configuration'!AE330)</f>
        <v/>
      </c>
      <c r="E329" s="29" t="str">
        <f>IF('12 - Device_Configuration'!AF330="","",'12 - Device_Configuration'!AF330)</f>
        <v/>
      </c>
      <c r="F329" s="29" t="str">
        <f>IF('12 - Device_Configuration'!AG330="","",'12 - Device_Configuration'!AG330)</f>
        <v/>
      </c>
      <c r="G329" s="29" t="str">
        <f>IF('12 - Device_Configuration'!AH330="","",'12 - Device_Configuration'!AH330)</f>
        <v/>
      </c>
      <c r="H329" s="29" t="str">
        <f>IF('12 - Device_Configuration'!A330="","",'12 - Device_Configuration'!A330)</f>
        <v/>
      </c>
      <c r="I329" s="29" t="str">
        <f>IF('12 - Device_Configuration'!AI330="","",'12 - Device_Configuration'!AI330)</f>
        <v/>
      </c>
      <c r="J329" s="29" t="str">
        <f>IF('12 - Device_Configuration'!AJ330="","",'12 - Device_Configuration'!AJ330)</f>
        <v/>
      </c>
      <c r="K329" s="29" t="str">
        <f>IF('12 - Device_Configuration'!AA330="","",'12 - Device_Configuration'!AA330)</f>
        <v/>
      </c>
      <c r="L329" s="29" t="str">
        <f>IF('12 - Device_Configuration'!I330="","",'12 - Device_Configuration'!I330)</f>
        <v/>
      </c>
      <c r="M329" s="30"/>
      <c r="N329" s="29" t="str">
        <f>IF('12 - Device_Configuration'!J330="","",'12 - Device_Configuration'!J330)</f>
        <v/>
      </c>
      <c r="O329" s="29" t="str">
        <f>IF('12 - Device_Configuration'!K330="","",'12 - Device_Configuration'!K330)</f>
        <v/>
      </c>
      <c r="P329" s="29" t="str">
        <f>IF('12 - Device_Configuration'!L330="","",'12 - Device_Configuration'!L330)</f>
        <v/>
      </c>
      <c r="Q329" s="30"/>
      <c r="R329" s="29" t="str">
        <f>IF('12 - Device_Configuration'!AY330="","",'12 - Device_Configuration'!AY330)</f>
        <v/>
      </c>
      <c r="S329" s="29" t="str">
        <f>IF('12 - Device_Configuration'!AX330="","",'12 - Device_Configuration'!AX330)</f>
        <v/>
      </c>
      <c r="T329" s="29" t="str">
        <f>IF('12 - Device_Configuration'!AV330="","",'12 - Device_Configuration'!AV330)</f>
        <v/>
      </c>
      <c r="U329" s="29" t="str">
        <f>IF('12 - Device_Configuration'!AW330="","",'12 - Device_Configuration'!AW330)</f>
        <v/>
      </c>
      <c r="V329" s="29" t="str">
        <f>IF('12 - Device_Configuration'!BA330="","",'12 - Device_Configuration'!BA330)</f>
        <v/>
      </c>
      <c r="W329" s="29" t="str">
        <f>IF('12 - Device_Configuration'!BC330="","",'12 - Device_Configuration'!BC330)</f>
        <v/>
      </c>
      <c r="X329" s="29" t="str">
        <f>IF('12 - Device_Configuration'!BK330="","",'12 - Device_Configuration'!BK330)</f>
        <v/>
      </c>
      <c r="Y329" s="29" t="str">
        <f>IF('12 - Device_Configuration'!BB330="","",'12 - Device_Configuration'!BB330)</f>
        <v/>
      </c>
      <c r="Z329" s="29" t="str">
        <f>IF('12 - Device_Configuration'!P330="","",'12 - Device_Configuration'!P330)</f>
        <v/>
      </c>
      <c r="AA329" s="29" t="str">
        <f>IF('12 - Device_Configuration'!Q330="","",'12 - Device_Configuration'!Q330)</f>
        <v/>
      </c>
    </row>
    <row r="330" spans="1:27">
      <c r="A330" s="30"/>
      <c r="B330" s="30"/>
      <c r="C330" s="29" t="str">
        <f>IF('12 - Device_Configuration'!H331="","",'12 - Device_Configuration'!H331)</f>
        <v/>
      </c>
      <c r="D330" s="29" t="str">
        <f>IF('12 - Device_Configuration'!AE331="","",'12 - Device_Configuration'!AE331)</f>
        <v/>
      </c>
      <c r="E330" s="29" t="str">
        <f>IF('12 - Device_Configuration'!AF331="","",'12 - Device_Configuration'!AF331)</f>
        <v/>
      </c>
      <c r="F330" s="29" t="str">
        <f>IF('12 - Device_Configuration'!AG331="","",'12 - Device_Configuration'!AG331)</f>
        <v/>
      </c>
      <c r="G330" s="29" t="str">
        <f>IF('12 - Device_Configuration'!AH331="","",'12 - Device_Configuration'!AH331)</f>
        <v/>
      </c>
      <c r="H330" s="29" t="str">
        <f>IF('12 - Device_Configuration'!A331="","",'12 - Device_Configuration'!A331)</f>
        <v/>
      </c>
      <c r="I330" s="29" t="str">
        <f>IF('12 - Device_Configuration'!AI331="","",'12 - Device_Configuration'!AI331)</f>
        <v/>
      </c>
      <c r="J330" s="29" t="str">
        <f>IF('12 - Device_Configuration'!AJ331="","",'12 - Device_Configuration'!AJ331)</f>
        <v/>
      </c>
      <c r="K330" s="29" t="str">
        <f>IF('12 - Device_Configuration'!AA331="","",'12 - Device_Configuration'!AA331)</f>
        <v/>
      </c>
      <c r="L330" s="29" t="str">
        <f>IF('12 - Device_Configuration'!I331="","",'12 - Device_Configuration'!I331)</f>
        <v/>
      </c>
      <c r="M330" s="30"/>
      <c r="N330" s="29" t="str">
        <f>IF('12 - Device_Configuration'!J331="","",'12 - Device_Configuration'!J331)</f>
        <v/>
      </c>
      <c r="O330" s="29" t="str">
        <f>IF('12 - Device_Configuration'!K331="","",'12 - Device_Configuration'!K331)</f>
        <v/>
      </c>
      <c r="P330" s="29" t="str">
        <f>IF('12 - Device_Configuration'!L331="","",'12 - Device_Configuration'!L331)</f>
        <v/>
      </c>
      <c r="Q330" s="30"/>
      <c r="R330" s="29" t="str">
        <f>IF('12 - Device_Configuration'!AY331="","",'12 - Device_Configuration'!AY331)</f>
        <v/>
      </c>
      <c r="S330" s="29" t="str">
        <f>IF('12 - Device_Configuration'!AX331="","",'12 - Device_Configuration'!AX331)</f>
        <v/>
      </c>
      <c r="T330" s="29" t="str">
        <f>IF('12 - Device_Configuration'!AV331="","",'12 - Device_Configuration'!AV331)</f>
        <v/>
      </c>
      <c r="U330" s="29" t="str">
        <f>IF('12 - Device_Configuration'!AW331="","",'12 - Device_Configuration'!AW331)</f>
        <v/>
      </c>
      <c r="V330" s="29" t="str">
        <f>IF('12 - Device_Configuration'!BA331="","",'12 - Device_Configuration'!BA331)</f>
        <v/>
      </c>
      <c r="W330" s="29" t="str">
        <f>IF('12 - Device_Configuration'!BC331="","",'12 - Device_Configuration'!BC331)</f>
        <v/>
      </c>
      <c r="X330" s="29" t="str">
        <f>IF('12 - Device_Configuration'!BK331="","",'12 - Device_Configuration'!BK331)</f>
        <v/>
      </c>
      <c r="Y330" s="29" t="str">
        <f>IF('12 - Device_Configuration'!BB331="","",'12 - Device_Configuration'!BB331)</f>
        <v/>
      </c>
      <c r="Z330" s="29" t="str">
        <f>IF('12 - Device_Configuration'!P331="","",'12 - Device_Configuration'!P331)</f>
        <v/>
      </c>
      <c r="AA330" s="29" t="str">
        <f>IF('12 - Device_Configuration'!Q331="","",'12 - Device_Configuration'!Q331)</f>
        <v/>
      </c>
    </row>
    <row r="331" spans="1:27">
      <c r="A331" s="30"/>
      <c r="B331" s="30"/>
      <c r="C331" s="29" t="str">
        <f>IF('12 - Device_Configuration'!H332="","",'12 - Device_Configuration'!H332)</f>
        <v/>
      </c>
      <c r="D331" s="29" t="str">
        <f>IF('12 - Device_Configuration'!AE332="","",'12 - Device_Configuration'!AE332)</f>
        <v/>
      </c>
      <c r="E331" s="29" t="str">
        <f>IF('12 - Device_Configuration'!AF332="","",'12 - Device_Configuration'!AF332)</f>
        <v/>
      </c>
      <c r="F331" s="29" t="str">
        <f>IF('12 - Device_Configuration'!AG332="","",'12 - Device_Configuration'!AG332)</f>
        <v/>
      </c>
      <c r="G331" s="29" t="str">
        <f>IF('12 - Device_Configuration'!AH332="","",'12 - Device_Configuration'!AH332)</f>
        <v/>
      </c>
      <c r="H331" s="29" t="str">
        <f>IF('12 - Device_Configuration'!A332="","",'12 - Device_Configuration'!A332)</f>
        <v/>
      </c>
      <c r="I331" s="29" t="str">
        <f>IF('12 - Device_Configuration'!AI332="","",'12 - Device_Configuration'!AI332)</f>
        <v/>
      </c>
      <c r="J331" s="29" t="str">
        <f>IF('12 - Device_Configuration'!AJ332="","",'12 - Device_Configuration'!AJ332)</f>
        <v/>
      </c>
      <c r="K331" s="29" t="str">
        <f>IF('12 - Device_Configuration'!AA332="","",'12 - Device_Configuration'!AA332)</f>
        <v/>
      </c>
      <c r="L331" s="29" t="str">
        <f>IF('12 - Device_Configuration'!I332="","",'12 - Device_Configuration'!I332)</f>
        <v/>
      </c>
      <c r="M331" s="30"/>
      <c r="N331" s="29" t="str">
        <f>IF('12 - Device_Configuration'!J332="","",'12 - Device_Configuration'!J332)</f>
        <v/>
      </c>
      <c r="O331" s="29" t="str">
        <f>IF('12 - Device_Configuration'!K332="","",'12 - Device_Configuration'!K332)</f>
        <v/>
      </c>
      <c r="P331" s="29" t="str">
        <f>IF('12 - Device_Configuration'!L332="","",'12 - Device_Configuration'!L332)</f>
        <v/>
      </c>
      <c r="Q331" s="30"/>
      <c r="R331" s="29" t="str">
        <f>IF('12 - Device_Configuration'!AY332="","",'12 - Device_Configuration'!AY332)</f>
        <v/>
      </c>
      <c r="S331" s="29" t="str">
        <f>IF('12 - Device_Configuration'!AX332="","",'12 - Device_Configuration'!AX332)</f>
        <v/>
      </c>
      <c r="T331" s="29" t="str">
        <f>IF('12 - Device_Configuration'!AV332="","",'12 - Device_Configuration'!AV332)</f>
        <v/>
      </c>
      <c r="U331" s="29" t="str">
        <f>IF('12 - Device_Configuration'!AW332="","",'12 - Device_Configuration'!AW332)</f>
        <v/>
      </c>
      <c r="V331" s="29" t="str">
        <f>IF('12 - Device_Configuration'!BA332="","",'12 - Device_Configuration'!BA332)</f>
        <v/>
      </c>
      <c r="W331" s="29" t="str">
        <f>IF('12 - Device_Configuration'!BC332="","",'12 - Device_Configuration'!BC332)</f>
        <v/>
      </c>
      <c r="X331" s="29" t="str">
        <f>IF('12 - Device_Configuration'!BK332="","",'12 - Device_Configuration'!BK332)</f>
        <v/>
      </c>
      <c r="Y331" s="29" t="str">
        <f>IF('12 - Device_Configuration'!BB332="","",'12 - Device_Configuration'!BB332)</f>
        <v/>
      </c>
      <c r="Z331" s="29" t="str">
        <f>IF('12 - Device_Configuration'!P332="","",'12 - Device_Configuration'!P332)</f>
        <v/>
      </c>
      <c r="AA331" s="29" t="str">
        <f>IF('12 - Device_Configuration'!Q332="","",'12 - Device_Configuration'!Q332)</f>
        <v/>
      </c>
    </row>
    <row r="332" spans="1:27">
      <c r="A332" s="30"/>
      <c r="B332" s="30"/>
      <c r="C332" s="29" t="str">
        <f>IF('12 - Device_Configuration'!H333="","",'12 - Device_Configuration'!H333)</f>
        <v/>
      </c>
      <c r="D332" s="29" t="str">
        <f>IF('12 - Device_Configuration'!AE333="","",'12 - Device_Configuration'!AE333)</f>
        <v/>
      </c>
      <c r="E332" s="29" t="str">
        <f>IF('12 - Device_Configuration'!AF333="","",'12 - Device_Configuration'!AF333)</f>
        <v/>
      </c>
      <c r="F332" s="29" t="str">
        <f>IF('12 - Device_Configuration'!AG333="","",'12 - Device_Configuration'!AG333)</f>
        <v/>
      </c>
      <c r="G332" s="29" t="str">
        <f>IF('12 - Device_Configuration'!AH333="","",'12 - Device_Configuration'!AH333)</f>
        <v/>
      </c>
      <c r="H332" s="29" t="str">
        <f>IF('12 - Device_Configuration'!A333="","",'12 - Device_Configuration'!A333)</f>
        <v/>
      </c>
      <c r="I332" s="29" t="str">
        <f>IF('12 - Device_Configuration'!AI333="","",'12 - Device_Configuration'!AI333)</f>
        <v/>
      </c>
      <c r="J332" s="29" t="str">
        <f>IF('12 - Device_Configuration'!AJ333="","",'12 - Device_Configuration'!AJ333)</f>
        <v/>
      </c>
      <c r="K332" s="29" t="str">
        <f>IF('12 - Device_Configuration'!AA333="","",'12 - Device_Configuration'!AA333)</f>
        <v/>
      </c>
      <c r="L332" s="29" t="str">
        <f>IF('12 - Device_Configuration'!I333="","",'12 - Device_Configuration'!I333)</f>
        <v/>
      </c>
      <c r="M332" s="30"/>
      <c r="N332" s="29" t="str">
        <f>IF('12 - Device_Configuration'!J333="","",'12 - Device_Configuration'!J333)</f>
        <v/>
      </c>
      <c r="O332" s="29" t="str">
        <f>IF('12 - Device_Configuration'!K333="","",'12 - Device_Configuration'!K333)</f>
        <v/>
      </c>
      <c r="P332" s="29" t="str">
        <f>IF('12 - Device_Configuration'!L333="","",'12 - Device_Configuration'!L333)</f>
        <v/>
      </c>
      <c r="Q332" s="30"/>
      <c r="R332" s="29" t="str">
        <f>IF('12 - Device_Configuration'!AY333="","",'12 - Device_Configuration'!AY333)</f>
        <v/>
      </c>
      <c r="S332" s="29" t="str">
        <f>IF('12 - Device_Configuration'!AX333="","",'12 - Device_Configuration'!AX333)</f>
        <v/>
      </c>
      <c r="T332" s="29" t="str">
        <f>IF('12 - Device_Configuration'!AV333="","",'12 - Device_Configuration'!AV333)</f>
        <v/>
      </c>
      <c r="U332" s="29" t="str">
        <f>IF('12 - Device_Configuration'!AW333="","",'12 - Device_Configuration'!AW333)</f>
        <v/>
      </c>
      <c r="V332" s="29" t="str">
        <f>IF('12 - Device_Configuration'!BA333="","",'12 - Device_Configuration'!BA333)</f>
        <v/>
      </c>
      <c r="W332" s="29" t="str">
        <f>IF('12 - Device_Configuration'!BC333="","",'12 - Device_Configuration'!BC333)</f>
        <v/>
      </c>
      <c r="X332" s="29" t="str">
        <f>IF('12 - Device_Configuration'!BK333="","",'12 - Device_Configuration'!BK333)</f>
        <v/>
      </c>
      <c r="Y332" s="29" t="str">
        <f>IF('12 - Device_Configuration'!BB333="","",'12 - Device_Configuration'!BB333)</f>
        <v/>
      </c>
      <c r="Z332" s="29" t="str">
        <f>IF('12 - Device_Configuration'!P333="","",'12 - Device_Configuration'!P333)</f>
        <v/>
      </c>
      <c r="AA332" s="29" t="str">
        <f>IF('12 - Device_Configuration'!Q333="","",'12 - Device_Configuration'!Q333)</f>
        <v/>
      </c>
    </row>
    <row r="333" spans="1:27">
      <c r="A333" s="30"/>
      <c r="B333" s="30"/>
      <c r="C333" s="29" t="str">
        <f>IF('12 - Device_Configuration'!H334="","",'12 - Device_Configuration'!H334)</f>
        <v/>
      </c>
      <c r="D333" s="29" t="str">
        <f>IF('12 - Device_Configuration'!AE334="","",'12 - Device_Configuration'!AE334)</f>
        <v/>
      </c>
      <c r="E333" s="29" t="str">
        <f>IF('12 - Device_Configuration'!AF334="","",'12 - Device_Configuration'!AF334)</f>
        <v/>
      </c>
      <c r="F333" s="29" t="str">
        <f>IF('12 - Device_Configuration'!AG334="","",'12 - Device_Configuration'!AG334)</f>
        <v/>
      </c>
      <c r="G333" s="29" t="str">
        <f>IF('12 - Device_Configuration'!AH334="","",'12 - Device_Configuration'!AH334)</f>
        <v/>
      </c>
      <c r="H333" s="29" t="str">
        <f>IF('12 - Device_Configuration'!A334="","",'12 - Device_Configuration'!A334)</f>
        <v/>
      </c>
      <c r="I333" s="29" t="str">
        <f>IF('12 - Device_Configuration'!AI334="","",'12 - Device_Configuration'!AI334)</f>
        <v/>
      </c>
      <c r="J333" s="29" t="str">
        <f>IF('12 - Device_Configuration'!AJ334="","",'12 - Device_Configuration'!AJ334)</f>
        <v/>
      </c>
      <c r="K333" s="29" t="str">
        <f>IF('12 - Device_Configuration'!AA334="","",'12 - Device_Configuration'!AA334)</f>
        <v/>
      </c>
      <c r="L333" s="29" t="str">
        <f>IF('12 - Device_Configuration'!I334="","",'12 - Device_Configuration'!I334)</f>
        <v/>
      </c>
      <c r="M333" s="30"/>
      <c r="N333" s="29" t="str">
        <f>IF('12 - Device_Configuration'!J334="","",'12 - Device_Configuration'!J334)</f>
        <v/>
      </c>
      <c r="O333" s="29" t="str">
        <f>IF('12 - Device_Configuration'!K334="","",'12 - Device_Configuration'!K334)</f>
        <v/>
      </c>
      <c r="P333" s="29" t="str">
        <f>IF('12 - Device_Configuration'!L334="","",'12 - Device_Configuration'!L334)</f>
        <v/>
      </c>
      <c r="Q333" s="30"/>
      <c r="R333" s="29" t="str">
        <f>IF('12 - Device_Configuration'!AY334="","",'12 - Device_Configuration'!AY334)</f>
        <v/>
      </c>
      <c r="S333" s="29" t="str">
        <f>IF('12 - Device_Configuration'!AX334="","",'12 - Device_Configuration'!AX334)</f>
        <v/>
      </c>
      <c r="T333" s="29" t="str">
        <f>IF('12 - Device_Configuration'!AV334="","",'12 - Device_Configuration'!AV334)</f>
        <v/>
      </c>
      <c r="U333" s="29" t="str">
        <f>IF('12 - Device_Configuration'!AW334="","",'12 - Device_Configuration'!AW334)</f>
        <v/>
      </c>
      <c r="V333" s="29" t="str">
        <f>IF('12 - Device_Configuration'!BA334="","",'12 - Device_Configuration'!BA334)</f>
        <v/>
      </c>
      <c r="W333" s="29" t="str">
        <f>IF('12 - Device_Configuration'!BC334="","",'12 - Device_Configuration'!BC334)</f>
        <v/>
      </c>
      <c r="X333" s="29" t="str">
        <f>IF('12 - Device_Configuration'!BK334="","",'12 - Device_Configuration'!BK334)</f>
        <v/>
      </c>
      <c r="Y333" s="29" t="str">
        <f>IF('12 - Device_Configuration'!BB334="","",'12 - Device_Configuration'!BB334)</f>
        <v/>
      </c>
      <c r="Z333" s="29" t="str">
        <f>IF('12 - Device_Configuration'!P334="","",'12 - Device_Configuration'!P334)</f>
        <v/>
      </c>
      <c r="AA333" s="29" t="str">
        <f>IF('12 - Device_Configuration'!Q334="","",'12 - Device_Configuration'!Q334)</f>
        <v/>
      </c>
    </row>
    <row r="334" spans="1:27">
      <c r="A334" s="30"/>
      <c r="B334" s="30"/>
      <c r="C334" s="29" t="str">
        <f>IF('12 - Device_Configuration'!H335="","",'12 - Device_Configuration'!H335)</f>
        <v/>
      </c>
      <c r="D334" s="29" t="str">
        <f>IF('12 - Device_Configuration'!AE335="","",'12 - Device_Configuration'!AE335)</f>
        <v/>
      </c>
      <c r="E334" s="29" t="str">
        <f>IF('12 - Device_Configuration'!AF335="","",'12 - Device_Configuration'!AF335)</f>
        <v/>
      </c>
      <c r="F334" s="29" t="str">
        <f>IF('12 - Device_Configuration'!AG335="","",'12 - Device_Configuration'!AG335)</f>
        <v/>
      </c>
      <c r="G334" s="29" t="str">
        <f>IF('12 - Device_Configuration'!AH335="","",'12 - Device_Configuration'!AH335)</f>
        <v/>
      </c>
      <c r="H334" s="29" t="str">
        <f>IF('12 - Device_Configuration'!A335="","",'12 - Device_Configuration'!A335)</f>
        <v/>
      </c>
      <c r="I334" s="29" t="str">
        <f>IF('12 - Device_Configuration'!AI335="","",'12 - Device_Configuration'!AI335)</f>
        <v/>
      </c>
      <c r="J334" s="29" t="str">
        <f>IF('12 - Device_Configuration'!AJ335="","",'12 - Device_Configuration'!AJ335)</f>
        <v/>
      </c>
      <c r="K334" s="29" t="str">
        <f>IF('12 - Device_Configuration'!AA335="","",'12 - Device_Configuration'!AA335)</f>
        <v/>
      </c>
      <c r="L334" s="29" t="str">
        <f>IF('12 - Device_Configuration'!I335="","",'12 - Device_Configuration'!I335)</f>
        <v/>
      </c>
      <c r="M334" s="30"/>
      <c r="N334" s="29" t="str">
        <f>IF('12 - Device_Configuration'!J335="","",'12 - Device_Configuration'!J335)</f>
        <v/>
      </c>
      <c r="O334" s="29" t="str">
        <f>IF('12 - Device_Configuration'!K335="","",'12 - Device_Configuration'!K335)</f>
        <v/>
      </c>
      <c r="P334" s="29" t="str">
        <f>IF('12 - Device_Configuration'!L335="","",'12 - Device_Configuration'!L335)</f>
        <v/>
      </c>
      <c r="Q334" s="30"/>
      <c r="R334" s="29" t="str">
        <f>IF('12 - Device_Configuration'!AY335="","",'12 - Device_Configuration'!AY335)</f>
        <v/>
      </c>
      <c r="S334" s="29" t="str">
        <f>IF('12 - Device_Configuration'!AX335="","",'12 - Device_Configuration'!AX335)</f>
        <v/>
      </c>
      <c r="T334" s="29" t="str">
        <f>IF('12 - Device_Configuration'!AV335="","",'12 - Device_Configuration'!AV335)</f>
        <v/>
      </c>
      <c r="U334" s="29" t="str">
        <f>IF('12 - Device_Configuration'!AW335="","",'12 - Device_Configuration'!AW335)</f>
        <v/>
      </c>
      <c r="V334" s="29" t="str">
        <f>IF('12 - Device_Configuration'!BA335="","",'12 - Device_Configuration'!BA335)</f>
        <v/>
      </c>
      <c r="W334" s="29" t="str">
        <f>IF('12 - Device_Configuration'!BC335="","",'12 - Device_Configuration'!BC335)</f>
        <v/>
      </c>
      <c r="X334" s="29" t="str">
        <f>IF('12 - Device_Configuration'!BK335="","",'12 - Device_Configuration'!BK335)</f>
        <v/>
      </c>
      <c r="Y334" s="29" t="str">
        <f>IF('12 - Device_Configuration'!BB335="","",'12 - Device_Configuration'!BB335)</f>
        <v/>
      </c>
      <c r="Z334" s="29" t="str">
        <f>IF('12 - Device_Configuration'!P335="","",'12 - Device_Configuration'!P335)</f>
        <v/>
      </c>
      <c r="AA334" s="29" t="str">
        <f>IF('12 - Device_Configuration'!Q335="","",'12 - Device_Configuration'!Q335)</f>
        <v/>
      </c>
    </row>
    <row r="335" spans="1:27">
      <c r="A335" s="30"/>
      <c r="B335" s="30"/>
      <c r="C335" s="29" t="str">
        <f>IF('12 - Device_Configuration'!H336="","",'12 - Device_Configuration'!H336)</f>
        <v/>
      </c>
      <c r="D335" s="29" t="str">
        <f>IF('12 - Device_Configuration'!AE336="","",'12 - Device_Configuration'!AE336)</f>
        <v/>
      </c>
      <c r="E335" s="29" t="str">
        <f>IF('12 - Device_Configuration'!AF336="","",'12 - Device_Configuration'!AF336)</f>
        <v/>
      </c>
      <c r="F335" s="29" t="str">
        <f>IF('12 - Device_Configuration'!AG336="","",'12 - Device_Configuration'!AG336)</f>
        <v/>
      </c>
      <c r="G335" s="29" t="str">
        <f>IF('12 - Device_Configuration'!AH336="","",'12 - Device_Configuration'!AH336)</f>
        <v/>
      </c>
      <c r="H335" s="29" t="str">
        <f>IF('12 - Device_Configuration'!A336="","",'12 - Device_Configuration'!A336)</f>
        <v/>
      </c>
      <c r="I335" s="29" t="str">
        <f>IF('12 - Device_Configuration'!AI336="","",'12 - Device_Configuration'!AI336)</f>
        <v/>
      </c>
      <c r="J335" s="29" t="str">
        <f>IF('12 - Device_Configuration'!AJ336="","",'12 - Device_Configuration'!AJ336)</f>
        <v/>
      </c>
      <c r="K335" s="29" t="str">
        <f>IF('12 - Device_Configuration'!AA336="","",'12 - Device_Configuration'!AA336)</f>
        <v/>
      </c>
      <c r="L335" s="29" t="str">
        <f>IF('12 - Device_Configuration'!I336="","",'12 - Device_Configuration'!I336)</f>
        <v/>
      </c>
      <c r="M335" s="30"/>
      <c r="N335" s="29" t="str">
        <f>IF('12 - Device_Configuration'!J336="","",'12 - Device_Configuration'!J336)</f>
        <v/>
      </c>
      <c r="O335" s="29" t="str">
        <f>IF('12 - Device_Configuration'!K336="","",'12 - Device_Configuration'!K336)</f>
        <v/>
      </c>
      <c r="P335" s="29" t="str">
        <f>IF('12 - Device_Configuration'!L336="","",'12 - Device_Configuration'!L336)</f>
        <v/>
      </c>
      <c r="Q335" s="30"/>
      <c r="R335" s="29" t="str">
        <f>IF('12 - Device_Configuration'!AY336="","",'12 - Device_Configuration'!AY336)</f>
        <v/>
      </c>
      <c r="S335" s="29" t="str">
        <f>IF('12 - Device_Configuration'!AX336="","",'12 - Device_Configuration'!AX336)</f>
        <v/>
      </c>
      <c r="T335" s="29" t="str">
        <f>IF('12 - Device_Configuration'!AV336="","",'12 - Device_Configuration'!AV336)</f>
        <v/>
      </c>
      <c r="U335" s="29" t="str">
        <f>IF('12 - Device_Configuration'!AW336="","",'12 - Device_Configuration'!AW336)</f>
        <v/>
      </c>
      <c r="V335" s="29" t="str">
        <f>IF('12 - Device_Configuration'!BA336="","",'12 - Device_Configuration'!BA336)</f>
        <v/>
      </c>
      <c r="W335" s="29" t="str">
        <f>IF('12 - Device_Configuration'!BC336="","",'12 - Device_Configuration'!BC336)</f>
        <v/>
      </c>
      <c r="X335" s="29" t="str">
        <f>IF('12 - Device_Configuration'!BK336="","",'12 - Device_Configuration'!BK336)</f>
        <v/>
      </c>
      <c r="Y335" s="29" t="str">
        <f>IF('12 - Device_Configuration'!BB336="","",'12 - Device_Configuration'!BB336)</f>
        <v/>
      </c>
      <c r="Z335" s="29" t="str">
        <f>IF('12 - Device_Configuration'!P336="","",'12 - Device_Configuration'!P336)</f>
        <v/>
      </c>
      <c r="AA335" s="29" t="str">
        <f>IF('12 - Device_Configuration'!Q336="","",'12 - Device_Configuration'!Q336)</f>
        <v/>
      </c>
    </row>
    <row r="336" spans="1:27">
      <c r="A336" s="30"/>
      <c r="B336" s="30"/>
      <c r="C336" s="29" t="str">
        <f>IF('12 - Device_Configuration'!H337="","",'12 - Device_Configuration'!H337)</f>
        <v/>
      </c>
      <c r="D336" s="29" t="str">
        <f>IF('12 - Device_Configuration'!AE337="","",'12 - Device_Configuration'!AE337)</f>
        <v/>
      </c>
      <c r="E336" s="29" t="str">
        <f>IF('12 - Device_Configuration'!AF337="","",'12 - Device_Configuration'!AF337)</f>
        <v/>
      </c>
      <c r="F336" s="29" t="str">
        <f>IF('12 - Device_Configuration'!AG337="","",'12 - Device_Configuration'!AG337)</f>
        <v/>
      </c>
      <c r="G336" s="29" t="str">
        <f>IF('12 - Device_Configuration'!AH337="","",'12 - Device_Configuration'!AH337)</f>
        <v/>
      </c>
      <c r="H336" s="29" t="str">
        <f>IF('12 - Device_Configuration'!A337="","",'12 - Device_Configuration'!A337)</f>
        <v/>
      </c>
      <c r="I336" s="29" t="str">
        <f>IF('12 - Device_Configuration'!AI337="","",'12 - Device_Configuration'!AI337)</f>
        <v/>
      </c>
      <c r="J336" s="29" t="str">
        <f>IF('12 - Device_Configuration'!AJ337="","",'12 - Device_Configuration'!AJ337)</f>
        <v/>
      </c>
      <c r="K336" s="29" t="str">
        <f>IF('12 - Device_Configuration'!AA337="","",'12 - Device_Configuration'!AA337)</f>
        <v/>
      </c>
      <c r="L336" s="29" t="str">
        <f>IF('12 - Device_Configuration'!I337="","",'12 - Device_Configuration'!I337)</f>
        <v/>
      </c>
      <c r="M336" s="30"/>
      <c r="N336" s="29" t="str">
        <f>IF('12 - Device_Configuration'!J337="","",'12 - Device_Configuration'!J337)</f>
        <v/>
      </c>
      <c r="O336" s="29" t="str">
        <f>IF('12 - Device_Configuration'!K337="","",'12 - Device_Configuration'!K337)</f>
        <v/>
      </c>
      <c r="P336" s="29" t="str">
        <f>IF('12 - Device_Configuration'!L337="","",'12 - Device_Configuration'!L337)</f>
        <v/>
      </c>
      <c r="Q336" s="30"/>
      <c r="R336" s="29" t="str">
        <f>IF('12 - Device_Configuration'!AY337="","",'12 - Device_Configuration'!AY337)</f>
        <v/>
      </c>
      <c r="S336" s="29" t="str">
        <f>IF('12 - Device_Configuration'!AX337="","",'12 - Device_Configuration'!AX337)</f>
        <v/>
      </c>
      <c r="T336" s="29" t="str">
        <f>IF('12 - Device_Configuration'!AV337="","",'12 - Device_Configuration'!AV337)</f>
        <v/>
      </c>
      <c r="U336" s="29" t="str">
        <f>IF('12 - Device_Configuration'!AW337="","",'12 - Device_Configuration'!AW337)</f>
        <v/>
      </c>
      <c r="V336" s="29" t="str">
        <f>IF('12 - Device_Configuration'!BA337="","",'12 - Device_Configuration'!BA337)</f>
        <v/>
      </c>
      <c r="W336" s="29" t="str">
        <f>IF('12 - Device_Configuration'!BC337="","",'12 - Device_Configuration'!BC337)</f>
        <v/>
      </c>
      <c r="X336" s="29" t="str">
        <f>IF('12 - Device_Configuration'!BK337="","",'12 - Device_Configuration'!BK337)</f>
        <v/>
      </c>
      <c r="Y336" s="29" t="str">
        <f>IF('12 - Device_Configuration'!BB337="","",'12 - Device_Configuration'!BB337)</f>
        <v/>
      </c>
      <c r="Z336" s="29" t="str">
        <f>IF('12 - Device_Configuration'!P337="","",'12 - Device_Configuration'!P337)</f>
        <v/>
      </c>
      <c r="AA336" s="29" t="str">
        <f>IF('12 - Device_Configuration'!Q337="","",'12 - Device_Configuration'!Q337)</f>
        <v/>
      </c>
    </row>
    <row r="337" spans="1:27">
      <c r="A337" s="30"/>
      <c r="B337" s="30"/>
      <c r="C337" s="29" t="str">
        <f>IF('12 - Device_Configuration'!H338="","",'12 - Device_Configuration'!H338)</f>
        <v/>
      </c>
      <c r="D337" s="29" t="str">
        <f>IF('12 - Device_Configuration'!AE338="","",'12 - Device_Configuration'!AE338)</f>
        <v/>
      </c>
      <c r="E337" s="29" t="str">
        <f>IF('12 - Device_Configuration'!AF338="","",'12 - Device_Configuration'!AF338)</f>
        <v/>
      </c>
      <c r="F337" s="29" t="str">
        <f>IF('12 - Device_Configuration'!AG338="","",'12 - Device_Configuration'!AG338)</f>
        <v/>
      </c>
      <c r="G337" s="29" t="str">
        <f>IF('12 - Device_Configuration'!AH338="","",'12 - Device_Configuration'!AH338)</f>
        <v/>
      </c>
      <c r="H337" s="29" t="str">
        <f>IF('12 - Device_Configuration'!A338="","",'12 - Device_Configuration'!A338)</f>
        <v/>
      </c>
      <c r="I337" s="29" t="str">
        <f>IF('12 - Device_Configuration'!AI338="","",'12 - Device_Configuration'!AI338)</f>
        <v/>
      </c>
      <c r="J337" s="29" t="str">
        <f>IF('12 - Device_Configuration'!AJ338="","",'12 - Device_Configuration'!AJ338)</f>
        <v/>
      </c>
      <c r="K337" s="29" t="str">
        <f>IF('12 - Device_Configuration'!AA338="","",'12 - Device_Configuration'!AA338)</f>
        <v/>
      </c>
      <c r="L337" s="29" t="str">
        <f>IF('12 - Device_Configuration'!I338="","",'12 - Device_Configuration'!I338)</f>
        <v/>
      </c>
      <c r="M337" s="30"/>
      <c r="N337" s="29" t="str">
        <f>IF('12 - Device_Configuration'!J338="","",'12 - Device_Configuration'!J338)</f>
        <v/>
      </c>
      <c r="O337" s="29" t="str">
        <f>IF('12 - Device_Configuration'!K338="","",'12 - Device_Configuration'!K338)</f>
        <v/>
      </c>
      <c r="P337" s="29" t="str">
        <f>IF('12 - Device_Configuration'!L338="","",'12 - Device_Configuration'!L338)</f>
        <v/>
      </c>
      <c r="Q337" s="30"/>
      <c r="R337" s="29" t="str">
        <f>IF('12 - Device_Configuration'!AY338="","",'12 - Device_Configuration'!AY338)</f>
        <v/>
      </c>
      <c r="S337" s="29" t="str">
        <f>IF('12 - Device_Configuration'!AX338="","",'12 - Device_Configuration'!AX338)</f>
        <v/>
      </c>
      <c r="T337" s="29" t="str">
        <f>IF('12 - Device_Configuration'!AV338="","",'12 - Device_Configuration'!AV338)</f>
        <v/>
      </c>
      <c r="U337" s="29" t="str">
        <f>IF('12 - Device_Configuration'!AW338="","",'12 - Device_Configuration'!AW338)</f>
        <v/>
      </c>
      <c r="V337" s="29" t="str">
        <f>IF('12 - Device_Configuration'!BA338="","",'12 - Device_Configuration'!BA338)</f>
        <v/>
      </c>
      <c r="W337" s="29" t="str">
        <f>IF('12 - Device_Configuration'!BC338="","",'12 - Device_Configuration'!BC338)</f>
        <v/>
      </c>
      <c r="X337" s="29" t="str">
        <f>IF('12 - Device_Configuration'!BK338="","",'12 - Device_Configuration'!BK338)</f>
        <v/>
      </c>
      <c r="Y337" s="29" t="str">
        <f>IF('12 - Device_Configuration'!BB338="","",'12 - Device_Configuration'!BB338)</f>
        <v/>
      </c>
      <c r="Z337" s="29" t="str">
        <f>IF('12 - Device_Configuration'!P338="","",'12 - Device_Configuration'!P338)</f>
        <v/>
      </c>
      <c r="AA337" s="29" t="str">
        <f>IF('12 - Device_Configuration'!Q338="","",'12 - Device_Configuration'!Q338)</f>
        <v/>
      </c>
    </row>
    <row r="338" spans="1:27">
      <c r="A338" s="30"/>
      <c r="B338" s="30"/>
      <c r="C338" s="29" t="str">
        <f>IF('12 - Device_Configuration'!H339="","",'12 - Device_Configuration'!H339)</f>
        <v/>
      </c>
      <c r="D338" s="29" t="str">
        <f>IF('12 - Device_Configuration'!AE339="","",'12 - Device_Configuration'!AE339)</f>
        <v/>
      </c>
      <c r="E338" s="29" t="str">
        <f>IF('12 - Device_Configuration'!AF339="","",'12 - Device_Configuration'!AF339)</f>
        <v/>
      </c>
      <c r="F338" s="29" t="str">
        <f>IF('12 - Device_Configuration'!AG339="","",'12 - Device_Configuration'!AG339)</f>
        <v/>
      </c>
      <c r="G338" s="29" t="str">
        <f>IF('12 - Device_Configuration'!AH339="","",'12 - Device_Configuration'!AH339)</f>
        <v/>
      </c>
      <c r="H338" s="29" t="str">
        <f>IF('12 - Device_Configuration'!A339="","",'12 - Device_Configuration'!A339)</f>
        <v/>
      </c>
      <c r="I338" s="29" t="str">
        <f>IF('12 - Device_Configuration'!AI339="","",'12 - Device_Configuration'!AI339)</f>
        <v/>
      </c>
      <c r="J338" s="29" t="str">
        <f>IF('12 - Device_Configuration'!AJ339="","",'12 - Device_Configuration'!AJ339)</f>
        <v/>
      </c>
      <c r="K338" s="29" t="str">
        <f>IF('12 - Device_Configuration'!AA339="","",'12 - Device_Configuration'!AA339)</f>
        <v/>
      </c>
      <c r="L338" s="29" t="str">
        <f>IF('12 - Device_Configuration'!I339="","",'12 - Device_Configuration'!I339)</f>
        <v/>
      </c>
      <c r="M338" s="30"/>
      <c r="N338" s="29" t="str">
        <f>IF('12 - Device_Configuration'!J339="","",'12 - Device_Configuration'!J339)</f>
        <v/>
      </c>
      <c r="O338" s="29" t="str">
        <f>IF('12 - Device_Configuration'!K339="","",'12 - Device_Configuration'!K339)</f>
        <v/>
      </c>
      <c r="P338" s="29" t="str">
        <f>IF('12 - Device_Configuration'!L339="","",'12 - Device_Configuration'!L339)</f>
        <v/>
      </c>
      <c r="Q338" s="30"/>
      <c r="R338" s="29" t="str">
        <f>IF('12 - Device_Configuration'!AY339="","",'12 - Device_Configuration'!AY339)</f>
        <v/>
      </c>
      <c r="S338" s="29" t="str">
        <f>IF('12 - Device_Configuration'!AX339="","",'12 - Device_Configuration'!AX339)</f>
        <v/>
      </c>
      <c r="T338" s="29" t="str">
        <f>IF('12 - Device_Configuration'!AV339="","",'12 - Device_Configuration'!AV339)</f>
        <v/>
      </c>
      <c r="U338" s="29" t="str">
        <f>IF('12 - Device_Configuration'!AW339="","",'12 - Device_Configuration'!AW339)</f>
        <v/>
      </c>
      <c r="V338" s="29" t="str">
        <f>IF('12 - Device_Configuration'!BA339="","",'12 - Device_Configuration'!BA339)</f>
        <v/>
      </c>
      <c r="W338" s="29" t="str">
        <f>IF('12 - Device_Configuration'!BC339="","",'12 - Device_Configuration'!BC339)</f>
        <v/>
      </c>
      <c r="X338" s="29" t="str">
        <f>IF('12 - Device_Configuration'!BK339="","",'12 - Device_Configuration'!BK339)</f>
        <v/>
      </c>
      <c r="Y338" s="29" t="str">
        <f>IF('12 - Device_Configuration'!BB339="","",'12 - Device_Configuration'!BB339)</f>
        <v/>
      </c>
      <c r="Z338" s="29" t="str">
        <f>IF('12 - Device_Configuration'!P339="","",'12 - Device_Configuration'!P339)</f>
        <v/>
      </c>
      <c r="AA338" s="29" t="str">
        <f>IF('12 - Device_Configuration'!Q339="","",'12 - Device_Configuration'!Q339)</f>
        <v/>
      </c>
    </row>
    <row r="339" spans="1:27">
      <c r="A339" s="30"/>
      <c r="B339" s="30"/>
      <c r="C339" s="29" t="str">
        <f>IF('12 - Device_Configuration'!H340="","",'12 - Device_Configuration'!H340)</f>
        <v/>
      </c>
      <c r="D339" s="29" t="str">
        <f>IF('12 - Device_Configuration'!AE340="","",'12 - Device_Configuration'!AE340)</f>
        <v/>
      </c>
      <c r="E339" s="29" t="str">
        <f>IF('12 - Device_Configuration'!AF340="","",'12 - Device_Configuration'!AF340)</f>
        <v/>
      </c>
      <c r="F339" s="29" t="str">
        <f>IF('12 - Device_Configuration'!AG340="","",'12 - Device_Configuration'!AG340)</f>
        <v/>
      </c>
      <c r="G339" s="29" t="str">
        <f>IF('12 - Device_Configuration'!AH340="","",'12 - Device_Configuration'!AH340)</f>
        <v/>
      </c>
      <c r="H339" s="29" t="str">
        <f>IF('12 - Device_Configuration'!A340="","",'12 - Device_Configuration'!A340)</f>
        <v/>
      </c>
      <c r="I339" s="29" t="str">
        <f>IF('12 - Device_Configuration'!AI340="","",'12 - Device_Configuration'!AI340)</f>
        <v/>
      </c>
      <c r="J339" s="29" t="str">
        <f>IF('12 - Device_Configuration'!AJ340="","",'12 - Device_Configuration'!AJ340)</f>
        <v/>
      </c>
      <c r="K339" s="29" t="str">
        <f>IF('12 - Device_Configuration'!AA340="","",'12 - Device_Configuration'!AA340)</f>
        <v/>
      </c>
      <c r="L339" s="29" t="str">
        <f>IF('12 - Device_Configuration'!I340="","",'12 - Device_Configuration'!I340)</f>
        <v/>
      </c>
      <c r="M339" s="30"/>
      <c r="N339" s="29" t="str">
        <f>IF('12 - Device_Configuration'!J340="","",'12 - Device_Configuration'!J340)</f>
        <v/>
      </c>
      <c r="O339" s="29" t="str">
        <f>IF('12 - Device_Configuration'!K340="","",'12 - Device_Configuration'!K340)</f>
        <v/>
      </c>
      <c r="P339" s="29" t="str">
        <f>IF('12 - Device_Configuration'!L340="","",'12 - Device_Configuration'!L340)</f>
        <v/>
      </c>
      <c r="Q339" s="30"/>
      <c r="R339" s="29" t="str">
        <f>IF('12 - Device_Configuration'!AY340="","",'12 - Device_Configuration'!AY340)</f>
        <v/>
      </c>
      <c r="S339" s="29" t="str">
        <f>IF('12 - Device_Configuration'!AX340="","",'12 - Device_Configuration'!AX340)</f>
        <v/>
      </c>
      <c r="T339" s="29" t="str">
        <f>IF('12 - Device_Configuration'!AV340="","",'12 - Device_Configuration'!AV340)</f>
        <v/>
      </c>
      <c r="U339" s="29" t="str">
        <f>IF('12 - Device_Configuration'!AW340="","",'12 - Device_Configuration'!AW340)</f>
        <v/>
      </c>
      <c r="V339" s="29" t="str">
        <f>IF('12 - Device_Configuration'!BA340="","",'12 - Device_Configuration'!BA340)</f>
        <v/>
      </c>
      <c r="W339" s="29" t="str">
        <f>IF('12 - Device_Configuration'!BC340="","",'12 - Device_Configuration'!BC340)</f>
        <v/>
      </c>
      <c r="X339" s="29" t="str">
        <f>IF('12 - Device_Configuration'!BK340="","",'12 - Device_Configuration'!BK340)</f>
        <v/>
      </c>
      <c r="Y339" s="29" t="str">
        <f>IF('12 - Device_Configuration'!BB340="","",'12 - Device_Configuration'!BB340)</f>
        <v/>
      </c>
      <c r="Z339" s="29" t="str">
        <f>IF('12 - Device_Configuration'!P340="","",'12 - Device_Configuration'!P340)</f>
        <v/>
      </c>
      <c r="AA339" s="29" t="str">
        <f>IF('12 - Device_Configuration'!Q340="","",'12 - Device_Configuration'!Q340)</f>
        <v/>
      </c>
    </row>
    <row r="340" spans="1:27">
      <c r="A340" s="30"/>
      <c r="B340" s="30"/>
      <c r="C340" s="29" t="str">
        <f>IF('12 - Device_Configuration'!H341="","",'12 - Device_Configuration'!H341)</f>
        <v/>
      </c>
      <c r="D340" s="29" t="str">
        <f>IF('12 - Device_Configuration'!AE341="","",'12 - Device_Configuration'!AE341)</f>
        <v/>
      </c>
      <c r="E340" s="29" t="str">
        <f>IF('12 - Device_Configuration'!AF341="","",'12 - Device_Configuration'!AF341)</f>
        <v/>
      </c>
      <c r="F340" s="29" t="str">
        <f>IF('12 - Device_Configuration'!AG341="","",'12 - Device_Configuration'!AG341)</f>
        <v/>
      </c>
      <c r="G340" s="29" t="str">
        <f>IF('12 - Device_Configuration'!AH341="","",'12 - Device_Configuration'!AH341)</f>
        <v/>
      </c>
      <c r="H340" s="29" t="str">
        <f>IF('12 - Device_Configuration'!A341="","",'12 - Device_Configuration'!A341)</f>
        <v/>
      </c>
      <c r="I340" s="29" t="str">
        <f>IF('12 - Device_Configuration'!AI341="","",'12 - Device_Configuration'!AI341)</f>
        <v/>
      </c>
      <c r="J340" s="29" t="str">
        <f>IF('12 - Device_Configuration'!AJ341="","",'12 - Device_Configuration'!AJ341)</f>
        <v/>
      </c>
      <c r="K340" s="29" t="str">
        <f>IF('12 - Device_Configuration'!AA341="","",'12 - Device_Configuration'!AA341)</f>
        <v/>
      </c>
      <c r="L340" s="29" t="str">
        <f>IF('12 - Device_Configuration'!I341="","",'12 - Device_Configuration'!I341)</f>
        <v/>
      </c>
      <c r="M340" s="30"/>
      <c r="N340" s="29" t="str">
        <f>IF('12 - Device_Configuration'!J341="","",'12 - Device_Configuration'!J341)</f>
        <v/>
      </c>
      <c r="O340" s="29" t="str">
        <f>IF('12 - Device_Configuration'!K341="","",'12 - Device_Configuration'!K341)</f>
        <v/>
      </c>
      <c r="P340" s="29" t="str">
        <f>IF('12 - Device_Configuration'!L341="","",'12 - Device_Configuration'!L341)</f>
        <v/>
      </c>
      <c r="Q340" s="30"/>
      <c r="R340" s="29" t="str">
        <f>IF('12 - Device_Configuration'!AY341="","",'12 - Device_Configuration'!AY341)</f>
        <v/>
      </c>
      <c r="S340" s="29" t="str">
        <f>IF('12 - Device_Configuration'!AX341="","",'12 - Device_Configuration'!AX341)</f>
        <v/>
      </c>
      <c r="T340" s="29" t="str">
        <f>IF('12 - Device_Configuration'!AV341="","",'12 - Device_Configuration'!AV341)</f>
        <v/>
      </c>
      <c r="U340" s="29" t="str">
        <f>IF('12 - Device_Configuration'!AW341="","",'12 - Device_Configuration'!AW341)</f>
        <v/>
      </c>
      <c r="V340" s="29" t="str">
        <f>IF('12 - Device_Configuration'!BA341="","",'12 - Device_Configuration'!BA341)</f>
        <v/>
      </c>
      <c r="W340" s="29" t="str">
        <f>IF('12 - Device_Configuration'!BC341="","",'12 - Device_Configuration'!BC341)</f>
        <v/>
      </c>
      <c r="X340" s="29" t="str">
        <f>IF('12 - Device_Configuration'!BK341="","",'12 - Device_Configuration'!BK341)</f>
        <v/>
      </c>
      <c r="Y340" s="29" t="str">
        <f>IF('12 - Device_Configuration'!BB341="","",'12 - Device_Configuration'!BB341)</f>
        <v/>
      </c>
      <c r="Z340" s="29" t="str">
        <f>IF('12 - Device_Configuration'!P341="","",'12 - Device_Configuration'!P341)</f>
        <v/>
      </c>
      <c r="AA340" s="29" t="str">
        <f>IF('12 - Device_Configuration'!Q341="","",'12 - Device_Configuration'!Q341)</f>
        <v/>
      </c>
    </row>
    <row r="341" spans="1:27">
      <c r="A341" s="30"/>
      <c r="B341" s="30"/>
      <c r="C341" s="29" t="str">
        <f>IF('12 - Device_Configuration'!H342="","",'12 - Device_Configuration'!H342)</f>
        <v/>
      </c>
      <c r="D341" s="29" t="str">
        <f>IF('12 - Device_Configuration'!AE342="","",'12 - Device_Configuration'!AE342)</f>
        <v/>
      </c>
      <c r="E341" s="29" t="str">
        <f>IF('12 - Device_Configuration'!AF342="","",'12 - Device_Configuration'!AF342)</f>
        <v/>
      </c>
      <c r="F341" s="29" t="str">
        <f>IF('12 - Device_Configuration'!AG342="","",'12 - Device_Configuration'!AG342)</f>
        <v/>
      </c>
      <c r="G341" s="29" t="str">
        <f>IF('12 - Device_Configuration'!AH342="","",'12 - Device_Configuration'!AH342)</f>
        <v/>
      </c>
      <c r="H341" s="29" t="str">
        <f>IF('12 - Device_Configuration'!A342="","",'12 - Device_Configuration'!A342)</f>
        <v/>
      </c>
      <c r="I341" s="29" t="str">
        <f>IF('12 - Device_Configuration'!AI342="","",'12 - Device_Configuration'!AI342)</f>
        <v/>
      </c>
      <c r="J341" s="29" t="str">
        <f>IF('12 - Device_Configuration'!AJ342="","",'12 - Device_Configuration'!AJ342)</f>
        <v/>
      </c>
      <c r="K341" s="29" t="str">
        <f>IF('12 - Device_Configuration'!AA342="","",'12 - Device_Configuration'!AA342)</f>
        <v/>
      </c>
      <c r="L341" s="29" t="str">
        <f>IF('12 - Device_Configuration'!I342="","",'12 - Device_Configuration'!I342)</f>
        <v/>
      </c>
      <c r="M341" s="30"/>
      <c r="N341" s="29" t="str">
        <f>IF('12 - Device_Configuration'!J342="","",'12 - Device_Configuration'!J342)</f>
        <v/>
      </c>
      <c r="O341" s="29" t="str">
        <f>IF('12 - Device_Configuration'!K342="","",'12 - Device_Configuration'!K342)</f>
        <v/>
      </c>
      <c r="P341" s="29" t="str">
        <f>IF('12 - Device_Configuration'!L342="","",'12 - Device_Configuration'!L342)</f>
        <v/>
      </c>
      <c r="Q341" s="30"/>
      <c r="R341" s="29" t="str">
        <f>IF('12 - Device_Configuration'!AY342="","",'12 - Device_Configuration'!AY342)</f>
        <v/>
      </c>
      <c r="S341" s="29" t="str">
        <f>IF('12 - Device_Configuration'!AX342="","",'12 - Device_Configuration'!AX342)</f>
        <v/>
      </c>
      <c r="T341" s="29" t="str">
        <f>IF('12 - Device_Configuration'!AV342="","",'12 - Device_Configuration'!AV342)</f>
        <v/>
      </c>
      <c r="U341" s="29" t="str">
        <f>IF('12 - Device_Configuration'!AW342="","",'12 - Device_Configuration'!AW342)</f>
        <v/>
      </c>
      <c r="V341" s="29" t="str">
        <f>IF('12 - Device_Configuration'!BA342="","",'12 - Device_Configuration'!BA342)</f>
        <v/>
      </c>
      <c r="W341" s="29" t="str">
        <f>IF('12 - Device_Configuration'!BC342="","",'12 - Device_Configuration'!BC342)</f>
        <v/>
      </c>
      <c r="X341" s="29" t="str">
        <f>IF('12 - Device_Configuration'!BK342="","",'12 - Device_Configuration'!BK342)</f>
        <v/>
      </c>
      <c r="Y341" s="29" t="str">
        <f>IF('12 - Device_Configuration'!BB342="","",'12 - Device_Configuration'!BB342)</f>
        <v/>
      </c>
      <c r="Z341" s="29" t="str">
        <f>IF('12 - Device_Configuration'!P342="","",'12 - Device_Configuration'!P342)</f>
        <v/>
      </c>
      <c r="AA341" s="29" t="str">
        <f>IF('12 - Device_Configuration'!Q342="","",'12 - Device_Configuration'!Q342)</f>
        <v/>
      </c>
    </row>
    <row r="342" spans="1:27">
      <c r="A342" s="30"/>
      <c r="B342" s="30"/>
      <c r="C342" s="29" t="str">
        <f>IF('12 - Device_Configuration'!H343="","",'12 - Device_Configuration'!H343)</f>
        <v/>
      </c>
      <c r="D342" s="29" t="str">
        <f>IF('12 - Device_Configuration'!AE343="","",'12 - Device_Configuration'!AE343)</f>
        <v/>
      </c>
      <c r="E342" s="29" t="str">
        <f>IF('12 - Device_Configuration'!AF343="","",'12 - Device_Configuration'!AF343)</f>
        <v/>
      </c>
      <c r="F342" s="29" t="str">
        <f>IF('12 - Device_Configuration'!AG343="","",'12 - Device_Configuration'!AG343)</f>
        <v/>
      </c>
      <c r="G342" s="29" t="str">
        <f>IF('12 - Device_Configuration'!AH343="","",'12 - Device_Configuration'!AH343)</f>
        <v/>
      </c>
      <c r="H342" s="29" t="str">
        <f>IF('12 - Device_Configuration'!A343="","",'12 - Device_Configuration'!A343)</f>
        <v/>
      </c>
      <c r="I342" s="29" t="str">
        <f>IF('12 - Device_Configuration'!AI343="","",'12 - Device_Configuration'!AI343)</f>
        <v/>
      </c>
      <c r="J342" s="29" t="str">
        <f>IF('12 - Device_Configuration'!AJ343="","",'12 - Device_Configuration'!AJ343)</f>
        <v/>
      </c>
      <c r="K342" s="29" t="str">
        <f>IF('12 - Device_Configuration'!AA343="","",'12 - Device_Configuration'!AA343)</f>
        <v/>
      </c>
      <c r="L342" s="29" t="str">
        <f>IF('12 - Device_Configuration'!I343="","",'12 - Device_Configuration'!I343)</f>
        <v/>
      </c>
      <c r="M342" s="30"/>
      <c r="N342" s="29" t="str">
        <f>IF('12 - Device_Configuration'!J343="","",'12 - Device_Configuration'!J343)</f>
        <v/>
      </c>
      <c r="O342" s="29" t="str">
        <f>IF('12 - Device_Configuration'!K343="","",'12 - Device_Configuration'!K343)</f>
        <v/>
      </c>
      <c r="P342" s="29" t="str">
        <f>IF('12 - Device_Configuration'!L343="","",'12 - Device_Configuration'!L343)</f>
        <v/>
      </c>
      <c r="Q342" s="30"/>
      <c r="R342" s="29" t="str">
        <f>IF('12 - Device_Configuration'!AY343="","",'12 - Device_Configuration'!AY343)</f>
        <v/>
      </c>
      <c r="S342" s="29" t="str">
        <f>IF('12 - Device_Configuration'!AX343="","",'12 - Device_Configuration'!AX343)</f>
        <v/>
      </c>
      <c r="T342" s="29" t="str">
        <f>IF('12 - Device_Configuration'!AV343="","",'12 - Device_Configuration'!AV343)</f>
        <v/>
      </c>
      <c r="U342" s="29" t="str">
        <f>IF('12 - Device_Configuration'!AW343="","",'12 - Device_Configuration'!AW343)</f>
        <v/>
      </c>
      <c r="V342" s="29" t="str">
        <f>IF('12 - Device_Configuration'!BA343="","",'12 - Device_Configuration'!BA343)</f>
        <v/>
      </c>
      <c r="W342" s="29" t="str">
        <f>IF('12 - Device_Configuration'!BC343="","",'12 - Device_Configuration'!BC343)</f>
        <v/>
      </c>
      <c r="X342" s="29" t="str">
        <f>IF('12 - Device_Configuration'!BK343="","",'12 - Device_Configuration'!BK343)</f>
        <v/>
      </c>
      <c r="Y342" s="29" t="str">
        <f>IF('12 - Device_Configuration'!BB343="","",'12 - Device_Configuration'!BB343)</f>
        <v/>
      </c>
      <c r="Z342" s="29" t="str">
        <f>IF('12 - Device_Configuration'!P343="","",'12 - Device_Configuration'!P343)</f>
        <v/>
      </c>
      <c r="AA342" s="29" t="str">
        <f>IF('12 - Device_Configuration'!Q343="","",'12 - Device_Configuration'!Q343)</f>
        <v/>
      </c>
    </row>
    <row r="343" spans="1:27">
      <c r="A343" s="30"/>
      <c r="B343" s="30"/>
      <c r="C343" s="29" t="str">
        <f>IF('12 - Device_Configuration'!H344="","",'12 - Device_Configuration'!H344)</f>
        <v/>
      </c>
      <c r="D343" s="29" t="str">
        <f>IF('12 - Device_Configuration'!AE344="","",'12 - Device_Configuration'!AE344)</f>
        <v/>
      </c>
      <c r="E343" s="29" t="str">
        <f>IF('12 - Device_Configuration'!AF344="","",'12 - Device_Configuration'!AF344)</f>
        <v/>
      </c>
      <c r="F343" s="29" t="str">
        <f>IF('12 - Device_Configuration'!AG344="","",'12 - Device_Configuration'!AG344)</f>
        <v/>
      </c>
      <c r="G343" s="29" t="str">
        <f>IF('12 - Device_Configuration'!AH344="","",'12 - Device_Configuration'!AH344)</f>
        <v/>
      </c>
      <c r="H343" s="29" t="str">
        <f>IF('12 - Device_Configuration'!A344="","",'12 - Device_Configuration'!A344)</f>
        <v/>
      </c>
      <c r="I343" s="29" t="str">
        <f>IF('12 - Device_Configuration'!AI344="","",'12 - Device_Configuration'!AI344)</f>
        <v/>
      </c>
      <c r="J343" s="29" t="str">
        <f>IF('12 - Device_Configuration'!AJ344="","",'12 - Device_Configuration'!AJ344)</f>
        <v/>
      </c>
      <c r="K343" s="29" t="str">
        <f>IF('12 - Device_Configuration'!AA344="","",'12 - Device_Configuration'!AA344)</f>
        <v/>
      </c>
      <c r="L343" s="29" t="str">
        <f>IF('12 - Device_Configuration'!I344="","",'12 - Device_Configuration'!I344)</f>
        <v/>
      </c>
      <c r="M343" s="30"/>
      <c r="N343" s="29" t="str">
        <f>IF('12 - Device_Configuration'!J344="","",'12 - Device_Configuration'!J344)</f>
        <v/>
      </c>
      <c r="O343" s="29" t="str">
        <f>IF('12 - Device_Configuration'!K344="","",'12 - Device_Configuration'!K344)</f>
        <v/>
      </c>
      <c r="P343" s="29" t="str">
        <f>IF('12 - Device_Configuration'!L344="","",'12 - Device_Configuration'!L344)</f>
        <v/>
      </c>
      <c r="Q343" s="30"/>
      <c r="R343" s="29" t="str">
        <f>IF('12 - Device_Configuration'!AY344="","",'12 - Device_Configuration'!AY344)</f>
        <v/>
      </c>
      <c r="S343" s="29" t="str">
        <f>IF('12 - Device_Configuration'!AX344="","",'12 - Device_Configuration'!AX344)</f>
        <v/>
      </c>
      <c r="T343" s="29" t="str">
        <f>IF('12 - Device_Configuration'!AV344="","",'12 - Device_Configuration'!AV344)</f>
        <v/>
      </c>
      <c r="U343" s="29" t="str">
        <f>IF('12 - Device_Configuration'!AW344="","",'12 - Device_Configuration'!AW344)</f>
        <v/>
      </c>
      <c r="V343" s="29" t="str">
        <f>IF('12 - Device_Configuration'!BA344="","",'12 - Device_Configuration'!BA344)</f>
        <v/>
      </c>
      <c r="W343" s="29" t="str">
        <f>IF('12 - Device_Configuration'!BC344="","",'12 - Device_Configuration'!BC344)</f>
        <v/>
      </c>
      <c r="X343" s="29" t="str">
        <f>IF('12 - Device_Configuration'!BK344="","",'12 - Device_Configuration'!BK344)</f>
        <v/>
      </c>
      <c r="Y343" s="29" t="str">
        <f>IF('12 - Device_Configuration'!BB344="","",'12 - Device_Configuration'!BB344)</f>
        <v/>
      </c>
      <c r="Z343" s="29" t="str">
        <f>IF('12 - Device_Configuration'!P344="","",'12 - Device_Configuration'!P344)</f>
        <v/>
      </c>
      <c r="AA343" s="29" t="str">
        <f>IF('12 - Device_Configuration'!Q344="","",'12 - Device_Configuration'!Q344)</f>
        <v/>
      </c>
    </row>
    <row r="344" spans="1:27">
      <c r="A344" s="30"/>
      <c r="B344" s="30"/>
      <c r="C344" s="29" t="str">
        <f>IF('12 - Device_Configuration'!H345="","",'12 - Device_Configuration'!H345)</f>
        <v/>
      </c>
      <c r="D344" s="29" t="str">
        <f>IF('12 - Device_Configuration'!AE345="","",'12 - Device_Configuration'!AE345)</f>
        <v/>
      </c>
      <c r="E344" s="29" t="str">
        <f>IF('12 - Device_Configuration'!AF345="","",'12 - Device_Configuration'!AF345)</f>
        <v/>
      </c>
      <c r="F344" s="29" t="str">
        <f>IF('12 - Device_Configuration'!AG345="","",'12 - Device_Configuration'!AG345)</f>
        <v/>
      </c>
      <c r="G344" s="29" t="str">
        <f>IF('12 - Device_Configuration'!AH345="","",'12 - Device_Configuration'!AH345)</f>
        <v/>
      </c>
      <c r="H344" s="29" t="str">
        <f>IF('12 - Device_Configuration'!A345="","",'12 - Device_Configuration'!A345)</f>
        <v/>
      </c>
      <c r="I344" s="29" t="str">
        <f>IF('12 - Device_Configuration'!AI345="","",'12 - Device_Configuration'!AI345)</f>
        <v/>
      </c>
      <c r="J344" s="29" t="str">
        <f>IF('12 - Device_Configuration'!AJ345="","",'12 - Device_Configuration'!AJ345)</f>
        <v/>
      </c>
      <c r="K344" s="29" t="str">
        <f>IF('12 - Device_Configuration'!AA345="","",'12 - Device_Configuration'!AA345)</f>
        <v/>
      </c>
      <c r="L344" s="29" t="str">
        <f>IF('12 - Device_Configuration'!I345="","",'12 - Device_Configuration'!I345)</f>
        <v/>
      </c>
      <c r="M344" s="30"/>
      <c r="N344" s="29" t="str">
        <f>IF('12 - Device_Configuration'!J345="","",'12 - Device_Configuration'!J345)</f>
        <v/>
      </c>
      <c r="O344" s="29" t="str">
        <f>IF('12 - Device_Configuration'!K345="","",'12 - Device_Configuration'!K345)</f>
        <v/>
      </c>
      <c r="P344" s="29" t="str">
        <f>IF('12 - Device_Configuration'!L345="","",'12 - Device_Configuration'!L345)</f>
        <v/>
      </c>
      <c r="Q344" s="30"/>
      <c r="R344" s="29" t="str">
        <f>IF('12 - Device_Configuration'!AY345="","",'12 - Device_Configuration'!AY345)</f>
        <v/>
      </c>
      <c r="S344" s="29" t="str">
        <f>IF('12 - Device_Configuration'!AX345="","",'12 - Device_Configuration'!AX345)</f>
        <v/>
      </c>
      <c r="T344" s="29" t="str">
        <f>IF('12 - Device_Configuration'!AV345="","",'12 - Device_Configuration'!AV345)</f>
        <v/>
      </c>
      <c r="U344" s="29" t="str">
        <f>IF('12 - Device_Configuration'!AW345="","",'12 - Device_Configuration'!AW345)</f>
        <v/>
      </c>
      <c r="V344" s="29" t="str">
        <f>IF('12 - Device_Configuration'!BA345="","",'12 - Device_Configuration'!BA345)</f>
        <v/>
      </c>
      <c r="W344" s="29" t="str">
        <f>IF('12 - Device_Configuration'!BC345="","",'12 - Device_Configuration'!BC345)</f>
        <v/>
      </c>
      <c r="X344" s="29" t="str">
        <f>IF('12 - Device_Configuration'!BK345="","",'12 - Device_Configuration'!BK345)</f>
        <v/>
      </c>
      <c r="Y344" s="29" t="str">
        <f>IF('12 - Device_Configuration'!BB345="","",'12 - Device_Configuration'!BB345)</f>
        <v/>
      </c>
      <c r="Z344" s="29" t="str">
        <f>IF('12 - Device_Configuration'!P345="","",'12 - Device_Configuration'!P345)</f>
        <v/>
      </c>
      <c r="AA344" s="29" t="str">
        <f>IF('12 - Device_Configuration'!Q345="","",'12 - Device_Configuration'!Q345)</f>
        <v/>
      </c>
    </row>
    <row r="345" spans="1:27">
      <c r="A345" s="30"/>
      <c r="B345" s="30"/>
      <c r="C345" s="29" t="str">
        <f>IF('12 - Device_Configuration'!H346="","",'12 - Device_Configuration'!H346)</f>
        <v/>
      </c>
      <c r="D345" s="29" t="str">
        <f>IF('12 - Device_Configuration'!AE346="","",'12 - Device_Configuration'!AE346)</f>
        <v/>
      </c>
      <c r="E345" s="29" t="str">
        <f>IF('12 - Device_Configuration'!AF346="","",'12 - Device_Configuration'!AF346)</f>
        <v/>
      </c>
      <c r="F345" s="29" t="str">
        <f>IF('12 - Device_Configuration'!AG346="","",'12 - Device_Configuration'!AG346)</f>
        <v/>
      </c>
      <c r="G345" s="29" t="str">
        <f>IF('12 - Device_Configuration'!AH346="","",'12 - Device_Configuration'!AH346)</f>
        <v/>
      </c>
      <c r="H345" s="29" t="str">
        <f>IF('12 - Device_Configuration'!A346="","",'12 - Device_Configuration'!A346)</f>
        <v/>
      </c>
      <c r="I345" s="29" t="str">
        <f>IF('12 - Device_Configuration'!AI346="","",'12 - Device_Configuration'!AI346)</f>
        <v/>
      </c>
      <c r="J345" s="29" t="str">
        <f>IF('12 - Device_Configuration'!AJ346="","",'12 - Device_Configuration'!AJ346)</f>
        <v/>
      </c>
      <c r="K345" s="29" t="str">
        <f>IF('12 - Device_Configuration'!AA346="","",'12 - Device_Configuration'!AA346)</f>
        <v/>
      </c>
      <c r="L345" s="29" t="str">
        <f>IF('12 - Device_Configuration'!I346="","",'12 - Device_Configuration'!I346)</f>
        <v/>
      </c>
      <c r="M345" s="30"/>
      <c r="N345" s="29" t="str">
        <f>IF('12 - Device_Configuration'!J346="","",'12 - Device_Configuration'!J346)</f>
        <v/>
      </c>
      <c r="O345" s="29" t="str">
        <f>IF('12 - Device_Configuration'!K346="","",'12 - Device_Configuration'!K346)</f>
        <v/>
      </c>
      <c r="P345" s="29" t="str">
        <f>IF('12 - Device_Configuration'!L346="","",'12 - Device_Configuration'!L346)</f>
        <v/>
      </c>
      <c r="Q345" s="30"/>
      <c r="R345" s="29" t="str">
        <f>IF('12 - Device_Configuration'!AY346="","",'12 - Device_Configuration'!AY346)</f>
        <v/>
      </c>
      <c r="S345" s="29" t="str">
        <f>IF('12 - Device_Configuration'!AX346="","",'12 - Device_Configuration'!AX346)</f>
        <v/>
      </c>
      <c r="T345" s="29" t="str">
        <f>IF('12 - Device_Configuration'!AV346="","",'12 - Device_Configuration'!AV346)</f>
        <v/>
      </c>
      <c r="U345" s="29" t="str">
        <f>IF('12 - Device_Configuration'!AW346="","",'12 - Device_Configuration'!AW346)</f>
        <v/>
      </c>
      <c r="V345" s="29" t="str">
        <f>IF('12 - Device_Configuration'!BA346="","",'12 - Device_Configuration'!BA346)</f>
        <v/>
      </c>
      <c r="W345" s="29" t="str">
        <f>IF('12 - Device_Configuration'!BC346="","",'12 - Device_Configuration'!BC346)</f>
        <v/>
      </c>
      <c r="X345" s="29" t="str">
        <f>IF('12 - Device_Configuration'!BK346="","",'12 - Device_Configuration'!BK346)</f>
        <v/>
      </c>
      <c r="Y345" s="29" t="str">
        <f>IF('12 - Device_Configuration'!BB346="","",'12 - Device_Configuration'!BB346)</f>
        <v/>
      </c>
      <c r="Z345" s="29" t="str">
        <f>IF('12 - Device_Configuration'!P346="","",'12 - Device_Configuration'!P346)</f>
        <v/>
      </c>
      <c r="AA345" s="29" t="str">
        <f>IF('12 - Device_Configuration'!Q346="","",'12 - Device_Configuration'!Q346)</f>
        <v/>
      </c>
    </row>
    <row r="346" spans="1:27">
      <c r="A346" s="30"/>
      <c r="B346" s="30"/>
      <c r="C346" s="29" t="str">
        <f>IF('12 - Device_Configuration'!H347="","",'12 - Device_Configuration'!H347)</f>
        <v/>
      </c>
      <c r="D346" s="29" t="str">
        <f>IF('12 - Device_Configuration'!AE347="","",'12 - Device_Configuration'!AE347)</f>
        <v/>
      </c>
      <c r="E346" s="29" t="str">
        <f>IF('12 - Device_Configuration'!AF347="","",'12 - Device_Configuration'!AF347)</f>
        <v/>
      </c>
      <c r="F346" s="29" t="str">
        <f>IF('12 - Device_Configuration'!AG347="","",'12 - Device_Configuration'!AG347)</f>
        <v/>
      </c>
      <c r="G346" s="29" t="str">
        <f>IF('12 - Device_Configuration'!AH347="","",'12 - Device_Configuration'!AH347)</f>
        <v/>
      </c>
      <c r="H346" s="29" t="str">
        <f>IF('12 - Device_Configuration'!A347="","",'12 - Device_Configuration'!A347)</f>
        <v/>
      </c>
      <c r="I346" s="29" t="str">
        <f>IF('12 - Device_Configuration'!AI347="","",'12 - Device_Configuration'!AI347)</f>
        <v/>
      </c>
      <c r="J346" s="29" t="str">
        <f>IF('12 - Device_Configuration'!AJ347="","",'12 - Device_Configuration'!AJ347)</f>
        <v/>
      </c>
      <c r="K346" s="29" t="str">
        <f>IF('12 - Device_Configuration'!AA347="","",'12 - Device_Configuration'!AA347)</f>
        <v/>
      </c>
      <c r="L346" s="29" t="str">
        <f>IF('12 - Device_Configuration'!I347="","",'12 - Device_Configuration'!I347)</f>
        <v/>
      </c>
      <c r="M346" s="30"/>
      <c r="N346" s="29" t="str">
        <f>IF('12 - Device_Configuration'!J347="","",'12 - Device_Configuration'!J347)</f>
        <v/>
      </c>
      <c r="O346" s="29" t="str">
        <f>IF('12 - Device_Configuration'!K347="","",'12 - Device_Configuration'!K347)</f>
        <v/>
      </c>
      <c r="P346" s="29" t="str">
        <f>IF('12 - Device_Configuration'!L347="","",'12 - Device_Configuration'!L347)</f>
        <v/>
      </c>
      <c r="Q346" s="30"/>
      <c r="R346" s="29" t="str">
        <f>IF('12 - Device_Configuration'!AY347="","",'12 - Device_Configuration'!AY347)</f>
        <v/>
      </c>
      <c r="S346" s="29" t="str">
        <f>IF('12 - Device_Configuration'!AX347="","",'12 - Device_Configuration'!AX347)</f>
        <v/>
      </c>
      <c r="T346" s="29" t="str">
        <f>IF('12 - Device_Configuration'!AV347="","",'12 - Device_Configuration'!AV347)</f>
        <v/>
      </c>
      <c r="U346" s="29" t="str">
        <f>IF('12 - Device_Configuration'!AW347="","",'12 - Device_Configuration'!AW347)</f>
        <v/>
      </c>
      <c r="V346" s="29" t="str">
        <f>IF('12 - Device_Configuration'!BA347="","",'12 - Device_Configuration'!BA347)</f>
        <v/>
      </c>
      <c r="W346" s="29" t="str">
        <f>IF('12 - Device_Configuration'!BC347="","",'12 - Device_Configuration'!BC347)</f>
        <v/>
      </c>
      <c r="X346" s="29" t="str">
        <f>IF('12 - Device_Configuration'!BK347="","",'12 - Device_Configuration'!BK347)</f>
        <v/>
      </c>
      <c r="Y346" s="29" t="str">
        <f>IF('12 - Device_Configuration'!BB347="","",'12 - Device_Configuration'!BB347)</f>
        <v/>
      </c>
      <c r="Z346" s="29" t="str">
        <f>IF('12 - Device_Configuration'!P347="","",'12 - Device_Configuration'!P347)</f>
        <v/>
      </c>
      <c r="AA346" s="29" t="str">
        <f>IF('12 - Device_Configuration'!Q347="","",'12 - Device_Configuration'!Q347)</f>
        <v/>
      </c>
    </row>
    <row r="347" spans="1:27">
      <c r="A347" s="30"/>
      <c r="B347" s="30"/>
      <c r="C347" s="29" t="str">
        <f>IF('12 - Device_Configuration'!H348="","",'12 - Device_Configuration'!H348)</f>
        <v/>
      </c>
      <c r="D347" s="29" t="str">
        <f>IF('12 - Device_Configuration'!AE348="","",'12 - Device_Configuration'!AE348)</f>
        <v/>
      </c>
      <c r="E347" s="29" t="str">
        <f>IF('12 - Device_Configuration'!AF348="","",'12 - Device_Configuration'!AF348)</f>
        <v/>
      </c>
      <c r="F347" s="29" t="str">
        <f>IF('12 - Device_Configuration'!AG348="","",'12 - Device_Configuration'!AG348)</f>
        <v/>
      </c>
      <c r="G347" s="29" t="str">
        <f>IF('12 - Device_Configuration'!AH348="","",'12 - Device_Configuration'!AH348)</f>
        <v/>
      </c>
      <c r="H347" s="29" t="str">
        <f>IF('12 - Device_Configuration'!A348="","",'12 - Device_Configuration'!A348)</f>
        <v/>
      </c>
      <c r="I347" s="29" t="str">
        <f>IF('12 - Device_Configuration'!AI348="","",'12 - Device_Configuration'!AI348)</f>
        <v/>
      </c>
      <c r="J347" s="29" t="str">
        <f>IF('12 - Device_Configuration'!AJ348="","",'12 - Device_Configuration'!AJ348)</f>
        <v/>
      </c>
      <c r="K347" s="29" t="str">
        <f>IF('12 - Device_Configuration'!AA348="","",'12 - Device_Configuration'!AA348)</f>
        <v/>
      </c>
      <c r="L347" s="29" t="str">
        <f>IF('12 - Device_Configuration'!I348="","",'12 - Device_Configuration'!I348)</f>
        <v/>
      </c>
      <c r="M347" s="30"/>
      <c r="N347" s="29" t="str">
        <f>IF('12 - Device_Configuration'!J348="","",'12 - Device_Configuration'!J348)</f>
        <v/>
      </c>
      <c r="O347" s="29" t="str">
        <f>IF('12 - Device_Configuration'!K348="","",'12 - Device_Configuration'!K348)</f>
        <v/>
      </c>
      <c r="P347" s="29" t="str">
        <f>IF('12 - Device_Configuration'!L348="","",'12 - Device_Configuration'!L348)</f>
        <v/>
      </c>
      <c r="Q347" s="30"/>
      <c r="R347" s="29" t="str">
        <f>IF('12 - Device_Configuration'!AY348="","",'12 - Device_Configuration'!AY348)</f>
        <v/>
      </c>
      <c r="S347" s="29" t="str">
        <f>IF('12 - Device_Configuration'!AX348="","",'12 - Device_Configuration'!AX348)</f>
        <v/>
      </c>
      <c r="T347" s="29" t="str">
        <f>IF('12 - Device_Configuration'!AV348="","",'12 - Device_Configuration'!AV348)</f>
        <v/>
      </c>
      <c r="U347" s="29" t="str">
        <f>IF('12 - Device_Configuration'!AW348="","",'12 - Device_Configuration'!AW348)</f>
        <v/>
      </c>
      <c r="V347" s="29" t="str">
        <f>IF('12 - Device_Configuration'!BA348="","",'12 - Device_Configuration'!BA348)</f>
        <v/>
      </c>
      <c r="W347" s="29" t="str">
        <f>IF('12 - Device_Configuration'!BC348="","",'12 - Device_Configuration'!BC348)</f>
        <v/>
      </c>
      <c r="X347" s="29" t="str">
        <f>IF('12 - Device_Configuration'!BK348="","",'12 - Device_Configuration'!BK348)</f>
        <v/>
      </c>
      <c r="Y347" s="29" t="str">
        <f>IF('12 - Device_Configuration'!BB348="","",'12 - Device_Configuration'!BB348)</f>
        <v/>
      </c>
      <c r="Z347" s="29" t="str">
        <f>IF('12 - Device_Configuration'!P348="","",'12 - Device_Configuration'!P348)</f>
        <v/>
      </c>
      <c r="AA347" s="29" t="str">
        <f>IF('12 - Device_Configuration'!Q348="","",'12 - Device_Configuration'!Q348)</f>
        <v/>
      </c>
    </row>
    <row r="348" spans="1:27">
      <c r="A348" s="30"/>
      <c r="B348" s="30"/>
      <c r="C348" s="29" t="str">
        <f>IF('12 - Device_Configuration'!H349="","",'12 - Device_Configuration'!H349)</f>
        <v/>
      </c>
      <c r="D348" s="29" t="str">
        <f>IF('12 - Device_Configuration'!AE349="","",'12 - Device_Configuration'!AE349)</f>
        <v/>
      </c>
      <c r="E348" s="29" t="str">
        <f>IF('12 - Device_Configuration'!AF349="","",'12 - Device_Configuration'!AF349)</f>
        <v/>
      </c>
      <c r="F348" s="29" t="str">
        <f>IF('12 - Device_Configuration'!AG349="","",'12 - Device_Configuration'!AG349)</f>
        <v/>
      </c>
      <c r="G348" s="29" t="str">
        <f>IF('12 - Device_Configuration'!AH349="","",'12 - Device_Configuration'!AH349)</f>
        <v/>
      </c>
      <c r="H348" s="29" t="str">
        <f>IF('12 - Device_Configuration'!A349="","",'12 - Device_Configuration'!A349)</f>
        <v/>
      </c>
      <c r="I348" s="29" t="str">
        <f>IF('12 - Device_Configuration'!AI349="","",'12 - Device_Configuration'!AI349)</f>
        <v/>
      </c>
      <c r="J348" s="29" t="str">
        <f>IF('12 - Device_Configuration'!AJ349="","",'12 - Device_Configuration'!AJ349)</f>
        <v/>
      </c>
      <c r="K348" s="29" t="str">
        <f>IF('12 - Device_Configuration'!AA349="","",'12 - Device_Configuration'!AA349)</f>
        <v/>
      </c>
      <c r="L348" s="29" t="str">
        <f>IF('12 - Device_Configuration'!I349="","",'12 - Device_Configuration'!I349)</f>
        <v/>
      </c>
      <c r="M348" s="30"/>
      <c r="N348" s="29" t="str">
        <f>IF('12 - Device_Configuration'!J349="","",'12 - Device_Configuration'!J349)</f>
        <v/>
      </c>
      <c r="O348" s="29" t="str">
        <f>IF('12 - Device_Configuration'!K349="","",'12 - Device_Configuration'!K349)</f>
        <v/>
      </c>
      <c r="P348" s="29" t="str">
        <f>IF('12 - Device_Configuration'!L349="","",'12 - Device_Configuration'!L349)</f>
        <v/>
      </c>
      <c r="Q348" s="30"/>
      <c r="R348" s="29" t="str">
        <f>IF('12 - Device_Configuration'!AY349="","",'12 - Device_Configuration'!AY349)</f>
        <v/>
      </c>
      <c r="S348" s="29" t="str">
        <f>IF('12 - Device_Configuration'!AX349="","",'12 - Device_Configuration'!AX349)</f>
        <v/>
      </c>
      <c r="T348" s="29" t="str">
        <f>IF('12 - Device_Configuration'!AV349="","",'12 - Device_Configuration'!AV349)</f>
        <v/>
      </c>
      <c r="U348" s="29" t="str">
        <f>IF('12 - Device_Configuration'!AW349="","",'12 - Device_Configuration'!AW349)</f>
        <v/>
      </c>
      <c r="V348" s="29" t="str">
        <f>IF('12 - Device_Configuration'!BA349="","",'12 - Device_Configuration'!BA349)</f>
        <v/>
      </c>
      <c r="W348" s="29" t="str">
        <f>IF('12 - Device_Configuration'!BC349="","",'12 - Device_Configuration'!BC349)</f>
        <v/>
      </c>
      <c r="X348" s="29" t="str">
        <f>IF('12 - Device_Configuration'!BK349="","",'12 - Device_Configuration'!BK349)</f>
        <v/>
      </c>
      <c r="Y348" s="29" t="str">
        <f>IF('12 - Device_Configuration'!BB349="","",'12 - Device_Configuration'!BB349)</f>
        <v/>
      </c>
      <c r="Z348" s="29" t="str">
        <f>IF('12 - Device_Configuration'!P349="","",'12 - Device_Configuration'!P349)</f>
        <v/>
      </c>
      <c r="AA348" s="29" t="str">
        <f>IF('12 - Device_Configuration'!Q349="","",'12 - Device_Configuration'!Q349)</f>
        <v/>
      </c>
    </row>
    <row r="349" spans="1:27">
      <c r="A349" s="30"/>
      <c r="B349" s="30"/>
      <c r="C349" s="29" t="str">
        <f>IF('12 - Device_Configuration'!H350="","",'12 - Device_Configuration'!H350)</f>
        <v/>
      </c>
      <c r="D349" s="29" t="str">
        <f>IF('12 - Device_Configuration'!AE350="","",'12 - Device_Configuration'!AE350)</f>
        <v/>
      </c>
      <c r="E349" s="29" t="str">
        <f>IF('12 - Device_Configuration'!AF350="","",'12 - Device_Configuration'!AF350)</f>
        <v/>
      </c>
      <c r="F349" s="29" t="str">
        <f>IF('12 - Device_Configuration'!AG350="","",'12 - Device_Configuration'!AG350)</f>
        <v/>
      </c>
      <c r="G349" s="29" t="str">
        <f>IF('12 - Device_Configuration'!AH350="","",'12 - Device_Configuration'!AH350)</f>
        <v/>
      </c>
      <c r="H349" s="29" t="str">
        <f>IF('12 - Device_Configuration'!A350="","",'12 - Device_Configuration'!A350)</f>
        <v/>
      </c>
      <c r="I349" s="29" t="str">
        <f>IF('12 - Device_Configuration'!AI350="","",'12 - Device_Configuration'!AI350)</f>
        <v/>
      </c>
      <c r="J349" s="29" t="str">
        <f>IF('12 - Device_Configuration'!AJ350="","",'12 - Device_Configuration'!AJ350)</f>
        <v/>
      </c>
      <c r="K349" s="29" t="str">
        <f>IF('12 - Device_Configuration'!AA350="","",'12 - Device_Configuration'!AA350)</f>
        <v/>
      </c>
      <c r="L349" s="29" t="str">
        <f>IF('12 - Device_Configuration'!I350="","",'12 - Device_Configuration'!I350)</f>
        <v/>
      </c>
      <c r="M349" s="30"/>
      <c r="N349" s="29" t="str">
        <f>IF('12 - Device_Configuration'!J350="","",'12 - Device_Configuration'!J350)</f>
        <v/>
      </c>
      <c r="O349" s="29" t="str">
        <f>IF('12 - Device_Configuration'!K350="","",'12 - Device_Configuration'!K350)</f>
        <v/>
      </c>
      <c r="P349" s="29" t="str">
        <f>IF('12 - Device_Configuration'!L350="","",'12 - Device_Configuration'!L350)</f>
        <v/>
      </c>
      <c r="Q349" s="30"/>
      <c r="R349" s="29" t="str">
        <f>IF('12 - Device_Configuration'!AY350="","",'12 - Device_Configuration'!AY350)</f>
        <v/>
      </c>
      <c r="S349" s="29" t="str">
        <f>IF('12 - Device_Configuration'!AX350="","",'12 - Device_Configuration'!AX350)</f>
        <v/>
      </c>
      <c r="T349" s="29" t="str">
        <f>IF('12 - Device_Configuration'!AV350="","",'12 - Device_Configuration'!AV350)</f>
        <v/>
      </c>
      <c r="U349" s="29" t="str">
        <f>IF('12 - Device_Configuration'!AW350="","",'12 - Device_Configuration'!AW350)</f>
        <v/>
      </c>
      <c r="V349" s="29" t="str">
        <f>IF('12 - Device_Configuration'!BA350="","",'12 - Device_Configuration'!BA350)</f>
        <v/>
      </c>
      <c r="W349" s="29" t="str">
        <f>IF('12 - Device_Configuration'!BC350="","",'12 - Device_Configuration'!BC350)</f>
        <v/>
      </c>
      <c r="X349" s="29" t="str">
        <f>IF('12 - Device_Configuration'!BK350="","",'12 - Device_Configuration'!BK350)</f>
        <v/>
      </c>
      <c r="Y349" s="29" t="str">
        <f>IF('12 - Device_Configuration'!BB350="","",'12 - Device_Configuration'!BB350)</f>
        <v/>
      </c>
      <c r="Z349" s="29" t="str">
        <f>IF('12 - Device_Configuration'!P350="","",'12 - Device_Configuration'!P350)</f>
        <v/>
      </c>
      <c r="AA349" s="29" t="str">
        <f>IF('12 - Device_Configuration'!Q350="","",'12 - Device_Configuration'!Q350)</f>
        <v/>
      </c>
    </row>
    <row r="350" spans="1:27">
      <c r="A350" s="30"/>
      <c r="B350" s="30"/>
      <c r="C350" s="29" t="str">
        <f>IF('12 - Device_Configuration'!H351="","",'12 - Device_Configuration'!H351)</f>
        <v/>
      </c>
      <c r="D350" s="29" t="str">
        <f>IF('12 - Device_Configuration'!AE351="","",'12 - Device_Configuration'!AE351)</f>
        <v/>
      </c>
      <c r="E350" s="29" t="str">
        <f>IF('12 - Device_Configuration'!AF351="","",'12 - Device_Configuration'!AF351)</f>
        <v/>
      </c>
      <c r="F350" s="29" t="str">
        <f>IF('12 - Device_Configuration'!AG351="","",'12 - Device_Configuration'!AG351)</f>
        <v/>
      </c>
      <c r="G350" s="29" t="str">
        <f>IF('12 - Device_Configuration'!AH351="","",'12 - Device_Configuration'!AH351)</f>
        <v/>
      </c>
      <c r="H350" s="29" t="str">
        <f>IF('12 - Device_Configuration'!A351="","",'12 - Device_Configuration'!A351)</f>
        <v/>
      </c>
      <c r="I350" s="29" t="str">
        <f>IF('12 - Device_Configuration'!AI351="","",'12 - Device_Configuration'!AI351)</f>
        <v/>
      </c>
      <c r="J350" s="29" t="str">
        <f>IF('12 - Device_Configuration'!AJ351="","",'12 - Device_Configuration'!AJ351)</f>
        <v/>
      </c>
      <c r="K350" s="29" t="str">
        <f>IF('12 - Device_Configuration'!AA351="","",'12 - Device_Configuration'!AA351)</f>
        <v/>
      </c>
      <c r="L350" s="29" t="str">
        <f>IF('12 - Device_Configuration'!I351="","",'12 - Device_Configuration'!I351)</f>
        <v/>
      </c>
      <c r="M350" s="30"/>
      <c r="N350" s="29" t="str">
        <f>IF('12 - Device_Configuration'!J351="","",'12 - Device_Configuration'!J351)</f>
        <v/>
      </c>
      <c r="O350" s="29" t="str">
        <f>IF('12 - Device_Configuration'!K351="","",'12 - Device_Configuration'!K351)</f>
        <v/>
      </c>
      <c r="P350" s="29" t="str">
        <f>IF('12 - Device_Configuration'!L351="","",'12 - Device_Configuration'!L351)</f>
        <v/>
      </c>
      <c r="Q350" s="30"/>
      <c r="R350" s="29" t="str">
        <f>IF('12 - Device_Configuration'!AY351="","",'12 - Device_Configuration'!AY351)</f>
        <v/>
      </c>
      <c r="S350" s="29" t="str">
        <f>IF('12 - Device_Configuration'!AX351="","",'12 - Device_Configuration'!AX351)</f>
        <v/>
      </c>
      <c r="T350" s="29" t="str">
        <f>IF('12 - Device_Configuration'!AV351="","",'12 - Device_Configuration'!AV351)</f>
        <v/>
      </c>
      <c r="U350" s="29" t="str">
        <f>IF('12 - Device_Configuration'!AW351="","",'12 - Device_Configuration'!AW351)</f>
        <v/>
      </c>
      <c r="V350" s="29" t="str">
        <f>IF('12 - Device_Configuration'!BA351="","",'12 - Device_Configuration'!BA351)</f>
        <v/>
      </c>
      <c r="W350" s="29" t="str">
        <f>IF('12 - Device_Configuration'!BC351="","",'12 - Device_Configuration'!BC351)</f>
        <v/>
      </c>
      <c r="X350" s="29" t="str">
        <f>IF('12 - Device_Configuration'!BK351="","",'12 - Device_Configuration'!BK351)</f>
        <v/>
      </c>
      <c r="Y350" s="29" t="str">
        <f>IF('12 - Device_Configuration'!BB351="","",'12 - Device_Configuration'!BB351)</f>
        <v/>
      </c>
      <c r="Z350" s="29" t="str">
        <f>IF('12 - Device_Configuration'!P351="","",'12 - Device_Configuration'!P351)</f>
        <v/>
      </c>
      <c r="AA350" s="29" t="str">
        <f>IF('12 - Device_Configuration'!Q351="","",'12 - Device_Configuration'!Q351)</f>
        <v/>
      </c>
    </row>
    <row r="351" spans="1:27">
      <c r="A351" s="30"/>
      <c r="B351" s="30"/>
      <c r="C351" s="29" t="str">
        <f>IF('12 - Device_Configuration'!H352="","",'12 - Device_Configuration'!H352)</f>
        <v/>
      </c>
      <c r="D351" s="29" t="str">
        <f>IF('12 - Device_Configuration'!AE352="","",'12 - Device_Configuration'!AE352)</f>
        <v/>
      </c>
      <c r="E351" s="29" t="str">
        <f>IF('12 - Device_Configuration'!AF352="","",'12 - Device_Configuration'!AF352)</f>
        <v/>
      </c>
      <c r="F351" s="29" t="str">
        <f>IF('12 - Device_Configuration'!AG352="","",'12 - Device_Configuration'!AG352)</f>
        <v/>
      </c>
      <c r="G351" s="29" t="str">
        <f>IF('12 - Device_Configuration'!AH352="","",'12 - Device_Configuration'!AH352)</f>
        <v/>
      </c>
      <c r="H351" s="29" t="str">
        <f>IF('12 - Device_Configuration'!A352="","",'12 - Device_Configuration'!A352)</f>
        <v/>
      </c>
      <c r="I351" s="29" t="str">
        <f>IF('12 - Device_Configuration'!AI352="","",'12 - Device_Configuration'!AI352)</f>
        <v/>
      </c>
      <c r="J351" s="29" t="str">
        <f>IF('12 - Device_Configuration'!AJ352="","",'12 - Device_Configuration'!AJ352)</f>
        <v/>
      </c>
      <c r="K351" s="29" t="str">
        <f>IF('12 - Device_Configuration'!AA352="","",'12 - Device_Configuration'!AA352)</f>
        <v/>
      </c>
      <c r="L351" s="29" t="str">
        <f>IF('12 - Device_Configuration'!I352="","",'12 - Device_Configuration'!I352)</f>
        <v/>
      </c>
      <c r="M351" s="30"/>
      <c r="N351" s="29" t="str">
        <f>IF('12 - Device_Configuration'!J352="","",'12 - Device_Configuration'!J352)</f>
        <v/>
      </c>
      <c r="O351" s="29" t="str">
        <f>IF('12 - Device_Configuration'!K352="","",'12 - Device_Configuration'!K352)</f>
        <v/>
      </c>
      <c r="P351" s="29" t="str">
        <f>IF('12 - Device_Configuration'!L352="","",'12 - Device_Configuration'!L352)</f>
        <v/>
      </c>
      <c r="Q351" s="30"/>
      <c r="R351" s="29" t="str">
        <f>IF('12 - Device_Configuration'!AY352="","",'12 - Device_Configuration'!AY352)</f>
        <v/>
      </c>
      <c r="S351" s="29" t="str">
        <f>IF('12 - Device_Configuration'!AX352="","",'12 - Device_Configuration'!AX352)</f>
        <v/>
      </c>
      <c r="T351" s="29" t="str">
        <f>IF('12 - Device_Configuration'!AV352="","",'12 - Device_Configuration'!AV352)</f>
        <v/>
      </c>
      <c r="U351" s="29" t="str">
        <f>IF('12 - Device_Configuration'!AW352="","",'12 - Device_Configuration'!AW352)</f>
        <v/>
      </c>
      <c r="V351" s="29" t="str">
        <f>IF('12 - Device_Configuration'!BA352="","",'12 - Device_Configuration'!BA352)</f>
        <v/>
      </c>
      <c r="W351" s="29" t="str">
        <f>IF('12 - Device_Configuration'!BC352="","",'12 - Device_Configuration'!BC352)</f>
        <v/>
      </c>
      <c r="X351" s="29" t="str">
        <f>IF('12 - Device_Configuration'!BK352="","",'12 - Device_Configuration'!BK352)</f>
        <v/>
      </c>
      <c r="Y351" s="29" t="str">
        <f>IF('12 - Device_Configuration'!BB352="","",'12 - Device_Configuration'!BB352)</f>
        <v/>
      </c>
      <c r="Z351" s="29" t="str">
        <f>IF('12 - Device_Configuration'!P352="","",'12 - Device_Configuration'!P352)</f>
        <v/>
      </c>
      <c r="AA351" s="29" t="str">
        <f>IF('12 - Device_Configuration'!Q352="","",'12 - Device_Configuration'!Q352)</f>
        <v/>
      </c>
    </row>
    <row r="352" spans="1:27">
      <c r="A352" s="30"/>
      <c r="B352" s="30"/>
      <c r="C352" s="29" t="str">
        <f>IF('12 - Device_Configuration'!H353="","",'12 - Device_Configuration'!H353)</f>
        <v/>
      </c>
      <c r="D352" s="29" t="str">
        <f>IF('12 - Device_Configuration'!AE353="","",'12 - Device_Configuration'!AE353)</f>
        <v/>
      </c>
      <c r="E352" s="29" t="str">
        <f>IF('12 - Device_Configuration'!AF353="","",'12 - Device_Configuration'!AF353)</f>
        <v/>
      </c>
      <c r="F352" s="29" t="str">
        <f>IF('12 - Device_Configuration'!AG353="","",'12 - Device_Configuration'!AG353)</f>
        <v/>
      </c>
      <c r="G352" s="29" t="str">
        <f>IF('12 - Device_Configuration'!AH353="","",'12 - Device_Configuration'!AH353)</f>
        <v/>
      </c>
      <c r="H352" s="29" t="str">
        <f>IF('12 - Device_Configuration'!A353="","",'12 - Device_Configuration'!A353)</f>
        <v/>
      </c>
      <c r="I352" s="29" t="str">
        <f>IF('12 - Device_Configuration'!AI353="","",'12 - Device_Configuration'!AI353)</f>
        <v/>
      </c>
      <c r="J352" s="29" t="str">
        <f>IF('12 - Device_Configuration'!AJ353="","",'12 - Device_Configuration'!AJ353)</f>
        <v/>
      </c>
      <c r="K352" s="29" t="str">
        <f>IF('12 - Device_Configuration'!AA353="","",'12 - Device_Configuration'!AA353)</f>
        <v/>
      </c>
      <c r="L352" s="29" t="str">
        <f>IF('12 - Device_Configuration'!I353="","",'12 - Device_Configuration'!I353)</f>
        <v/>
      </c>
      <c r="M352" s="30"/>
      <c r="N352" s="29" t="str">
        <f>IF('12 - Device_Configuration'!J353="","",'12 - Device_Configuration'!J353)</f>
        <v/>
      </c>
      <c r="O352" s="29" t="str">
        <f>IF('12 - Device_Configuration'!K353="","",'12 - Device_Configuration'!K353)</f>
        <v/>
      </c>
      <c r="P352" s="29" t="str">
        <f>IF('12 - Device_Configuration'!L353="","",'12 - Device_Configuration'!L353)</f>
        <v/>
      </c>
      <c r="Q352" s="30"/>
      <c r="R352" s="29" t="str">
        <f>IF('12 - Device_Configuration'!AY353="","",'12 - Device_Configuration'!AY353)</f>
        <v/>
      </c>
      <c r="S352" s="29" t="str">
        <f>IF('12 - Device_Configuration'!AX353="","",'12 - Device_Configuration'!AX353)</f>
        <v/>
      </c>
      <c r="T352" s="29" t="str">
        <f>IF('12 - Device_Configuration'!AV353="","",'12 - Device_Configuration'!AV353)</f>
        <v/>
      </c>
      <c r="U352" s="29" t="str">
        <f>IF('12 - Device_Configuration'!AW353="","",'12 - Device_Configuration'!AW353)</f>
        <v/>
      </c>
      <c r="V352" s="29" t="str">
        <f>IF('12 - Device_Configuration'!BA353="","",'12 - Device_Configuration'!BA353)</f>
        <v/>
      </c>
      <c r="W352" s="29" t="str">
        <f>IF('12 - Device_Configuration'!BC353="","",'12 - Device_Configuration'!BC353)</f>
        <v/>
      </c>
      <c r="X352" s="29" t="str">
        <f>IF('12 - Device_Configuration'!BK353="","",'12 - Device_Configuration'!BK353)</f>
        <v/>
      </c>
      <c r="Y352" s="29" t="str">
        <f>IF('12 - Device_Configuration'!BB353="","",'12 - Device_Configuration'!BB353)</f>
        <v/>
      </c>
      <c r="Z352" s="29" t="str">
        <f>IF('12 - Device_Configuration'!P353="","",'12 - Device_Configuration'!P353)</f>
        <v/>
      </c>
      <c r="AA352" s="29" t="str">
        <f>IF('12 - Device_Configuration'!Q353="","",'12 - Device_Configuration'!Q353)</f>
        <v/>
      </c>
    </row>
    <row r="353" spans="1:27">
      <c r="A353" s="30"/>
      <c r="B353" s="30"/>
      <c r="C353" s="29" t="str">
        <f>IF('12 - Device_Configuration'!H354="","",'12 - Device_Configuration'!H354)</f>
        <v/>
      </c>
      <c r="D353" s="29" t="str">
        <f>IF('12 - Device_Configuration'!AE354="","",'12 - Device_Configuration'!AE354)</f>
        <v/>
      </c>
      <c r="E353" s="29" t="str">
        <f>IF('12 - Device_Configuration'!AF354="","",'12 - Device_Configuration'!AF354)</f>
        <v/>
      </c>
      <c r="F353" s="29" t="str">
        <f>IF('12 - Device_Configuration'!AG354="","",'12 - Device_Configuration'!AG354)</f>
        <v/>
      </c>
      <c r="G353" s="29" t="str">
        <f>IF('12 - Device_Configuration'!AH354="","",'12 - Device_Configuration'!AH354)</f>
        <v/>
      </c>
      <c r="H353" s="29" t="str">
        <f>IF('12 - Device_Configuration'!A354="","",'12 - Device_Configuration'!A354)</f>
        <v/>
      </c>
      <c r="I353" s="29" t="str">
        <f>IF('12 - Device_Configuration'!AI354="","",'12 - Device_Configuration'!AI354)</f>
        <v/>
      </c>
      <c r="J353" s="29" t="str">
        <f>IF('12 - Device_Configuration'!AJ354="","",'12 - Device_Configuration'!AJ354)</f>
        <v/>
      </c>
      <c r="K353" s="29" t="str">
        <f>IF('12 - Device_Configuration'!AA354="","",'12 - Device_Configuration'!AA354)</f>
        <v/>
      </c>
      <c r="L353" s="29" t="str">
        <f>IF('12 - Device_Configuration'!I354="","",'12 - Device_Configuration'!I354)</f>
        <v/>
      </c>
      <c r="M353" s="30"/>
      <c r="N353" s="29" t="str">
        <f>IF('12 - Device_Configuration'!J354="","",'12 - Device_Configuration'!J354)</f>
        <v/>
      </c>
      <c r="O353" s="29" t="str">
        <f>IF('12 - Device_Configuration'!K354="","",'12 - Device_Configuration'!K354)</f>
        <v/>
      </c>
      <c r="P353" s="29" t="str">
        <f>IF('12 - Device_Configuration'!L354="","",'12 - Device_Configuration'!L354)</f>
        <v/>
      </c>
      <c r="Q353" s="30"/>
      <c r="R353" s="29" t="str">
        <f>IF('12 - Device_Configuration'!AY354="","",'12 - Device_Configuration'!AY354)</f>
        <v/>
      </c>
      <c r="S353" s="29" t="str">
        <f>IF('12 - Device_Configuration'!AX354="","",'12 - Device_Configuration'!AX354)</f>
        <v/>
      </c>
      <c r="T353" s="29" t="str">
        <f>IF('12 - Device_Configuration'!AV354="","",'12 - Device_Configuration'!AV354)</f>
        <v/>
      </c>
      <c r="U353" s="29" t="str">
        <f>IF('12 - Device_Configuration'!AW354="","",'12 - Device_Configuration'!AW354)</f>
        <v/>
      </c>
      <c r="V353" s="29" t="str">
        <f>IF('12 - Device_Configuration'!BA354="","",'12 - Device_Configuration'!BA354)</f>
        <v/>
      </c>
      <c r="W353" s="29" t="str">
        <f>IF('12 - Device_Configuration'!BC354="","",'12 - Device_Configuration'!BC354)</f>
        <v/>
      </c>
      <c r="X353" s="29" t="str">
        <f>IF('12 - Device_Configuration'!BK354="","",'12 - Device_Configuration'!BK354)</f>
        <v/>
      </c>
      <c r="Y353" s="29" t="str">
        <f>IF('12 - Device_Configuration'!BB354="","",'12 - Device_Configuration'!BB354)</f>
        <v/>
      </c>
      <c r="Z353" s="29" t="str">
        <f>IF('12 - Device_Configuration'!P354="","",'12 - Device_Configuration'!P354)</f>
        <v/>
      </c>
      <c r="AA353" s="29" t="str">
        <f>IF('12 - Device_Configuration'!Q354="","",'12 - Device_Configuration'!Q354)</f>
        <v/>
      </c>
    </row>
    <row r="354" spans="1:27">
      <c r="A354" s="30"/>
      <c r="B354" s="30"/>
      <c r="C354" s="29" t="str">
        <f>IF('12 - Device_Configuration'!H355="","",'12 - Device_Configuration'!H355)</f>
        <v/>
      </c>
      <c r="D354" s="29" t="str">
        <f>IF('12 - Device_Configuration'!AE355="","",'12 - Device_Configuration'!AE355)</f>
        <v/>
      </c>
      <c r="E354" s="29" t="str">
        <f>IF('12 - Device_Configuration'!AF355="","",'12 - Device_Configuration'!AF355)</f>
        <v/>
      </c>
      <c r="F354" s="29" t="str">
        <f>IF('12 - Device_Configuration'!AG355="","",'12 - Device_Configuration'!AG355)</f>
        <v/>
      </c>
      <c r="G354" s="29" t="str">
        <f>IF('12 - Device_Configuration'!AH355="","",'12 - Device_Configuration'!AH355)</f>
        <v/>
      </c>
      <c r="H354" s="29" t="str">
        <f>IF('12 - Device_Configuration'!A355="","",'12 - Device_Configuration'!A355)</f>
        <v/>
      </c>
      <c r="I354" s="29" t="str">
        <f>IF('12 - Device_Configuration'!AI355="","",'12 - Device_Configuration'!AI355)</f>
        <v/>
      </c>
      <c r="J354" s="29" t="str">
        <f>IF('12 - Device_Configuration'!AJ355="","",'12 - Device_Configuration'!AJ355)</f>
        <v/>
      </c>
      <c r="K354" s="29" t="str">
        <f>IF('12 - Device_Configuration'!AA355="","",'12 - Device_Configuration'!AA355)</f>
        <v/>
      </c>
      <c r="L354" s="29" t="str">
        <f>IF('12 - Device_Configuration'!I355="","",'12 - Device_Configuration'!I355)</f>
        <v/>
      </c>
      <c r="M354" s="30"/>
      <c r="N354" s="29" t="str">
        <f>IF('12 - Device_Configuration'!J355="","",'12 - Device_Configuration'!J355)</f>
        <v/>
      </c>
      <c r="O354" s="29" t="str">
        <f>IF('12 - Device_Configuration'!K355="","",'12 - Device_Configuration'!K355)</f>
        <v/>
      </c>
      <c r="P354" s="29" t="str">
        <f>IF('12 - Device_Configuration'!L355="","",'12 - Device_Configuration'!L355)</f>
        <v/>
      </c>
      <c r="Q354" s="30"/>
      <c r="R354" s="29" t="str">
        <f>IF('12 - Device_Configuration'!AY355="","",'12 - Device_Configuration'!AY355)</f>
        <v/>
      </c>
      <c r="S354" s="29" t="str">
        <f>IF('12 - Device_Configuration'!AX355="","",'12 - Device_Configuration'!AX355)</f>
        <v/>
      </c>
      <c r="T354" s="29" t="str">
        <f>IF('12 - Device_Configuration'!AV355="","",'12 - Device_Configuration'!AV355)</f>
        <v/>
      </c>
      <c r="U354" s="29" t="str">
        <f>IF('12 - Device_Configuration'!AW355="","",'12 - Device_Configuration'!AW355)</f>
        <v/>
      </c>
      <c r="V354" s="29" t="str">
        <f>IF('12 - Device_Configuration'!BA355="","",'12 - Device_Configuration'!BA355)</f>
        <v/>
      </c>
      <c r="W354" s="29" t="str">
        <f>IF('12 - Device_Configuration'!BC355="","",'12 - Device_Configuration'!BC355)</f>
        <v/>
      </c>
      <c r="X354" s="29" t="str">
        <f>IF('12 - Device_Configuration'!BK355="","",'12 - Device_Configuration'!BK355)</f>
        <v/>
      </c>
      <c r="Y354" s="29" t="str">
        <f>IF('12 - Device_Configuration'!BB355="","",'12 - Device_Configuration'!BB355)</f>
        <v/>
      </c>
      <c r="Z354" s="29" t="str">
        <f>IF('12 - Device_Configuration'!P355="","",'12 - Device_Configuration'!P355)</f>
        <v/>
      </c>
      <c r="AA354" s="29" t="str">
        <f>IF('12 - Device_Configuration'!Q355="","",'12 - Device_Configuration'!Q355)</f>
        <v/>
      </c>
    </row>
    <row r="355" spans="1:27">
      <c r="A355" s="30"/>
      <c r="B355" s="30"/>
      <c r="C355" s="29" t="str">
        <f>IF('12 - Device_Configuration'!H356="","",'12 - Device_Configuration'!H356)</f>
        <v/>
      </c>
      <c r="D355" s="29" t="str">
        <f>IF('12 - Device_Configuration'!AE356="","",'12 - Device_Configuration'!AE356)</f>
        <v/>
      </c>
      <c r="E355" s="29" t="str">
        <f>IF('12 - Device_Configuration'!AF356="","",'12 - Device_Configuration'!AF356)</f>
        <v/>
      </c>
      <c r="F355" s="29" t="str">
        <f>IF('12 - Device_Configuration'!AG356="","",'12 - Device_Configuration'!AG356)</f>
        <v/>
      </c>
      <c r="G355" s="29" t="str">
        <f>IF('12 - Device_Configuration'!AH356="","",'12 - Device_Configuration'!AH356)</f>
        <v/>
      </c>
      <c r="H355" s="29" t="str">
        <f>IF('12 - Device_Configuration'!A356="","",'12 - Device_Configuration'!A356)</f>
        <v/>
      </c>
      <c r="I355" s="29" t="str">
        <f>IF('12 - Device_Configuration'!AI356="","",'12 - Device_Configuration'!AI356)</f>
        <v/>
      </c>
      <c r="J355" s="29" t="str">
        <f>IF('12 - Device_Configuration'!AJ356="","",'12 - Device_Configuration'!AJ356)</f>
        <v/>
      </c>
      <c r="K355" s="29" t="str">
        <f>IF('12 - Device_Configuration'!AA356="","",'12 - Device_Configuration'!AA356)</f>
        <v/>
      </c>
      <c r="L355" s="29" t="str">
        <f>IF('12 - Device_Configuration'!I356="","",'12 - Device_Configuration'!I356)</f>
        <v/>
      </c>
      <c r="M355" s="30"/>
      <c r="N355" s="29" t="str">
        <f>IF('12 - Device_Configuration'!J356="","",'12 - Device_Configuration'!J356)</f>
        <v/>
      </c>
      <c r="O355" s="29" t="str">
        <f>IF('12 - Device_Configuration'!K356="","",'12 - Device_Configuration'!K356)</f>
        <v/>
      </c>
      <c r="P355" s="29" t="str">
        <f>IF('12 - Device_Configuration'!L356="","",'12 - Device_Configuration'!L356)</f>
        <v/>
      </c>
      <c r="Q355" s="30"/>
      <c r="R355" s="29" t="str">
        <f>IF('12 - Device_Configuration'!AY356="","",'12 - Device_Configuration'!AY356)</f>
        <v/>
      </c>
      <c r="S355" s="29" t="str">
        <f>IF('12 - Device_Configuration'!AX356="","",'12 - Device_Configuration'!AX356)</f>
        <v/>
      </c>
      <c r="T355" s="29" t="str">
        <f>IF('12 - Device_Configuration'!AV356="","",'12 - Device_Configuration'!AV356)</f>
        <v/>
      </c>
      <c r="U355" s="29" t="str">
        <f>IF('12 - Device_Configuration'!AW356="","",'12 - Device_Configuration'!AW356)</f>
        <v/>
      </c>
      <c r="V355" s="29" t="str">
        <f>IF('12 - Device_Configuration'!BA356="","",'12 - Device_Configuration'!BA356)</f>
        <v/>
      </c>
      <c r="W355" s="29" t="str">
        <f>IF('12 - Device_Configuration'!BC356="","",'12 - Device_Configuration'!BC356)</f>
        <v/>
      </c>
      <c r="X355" s="29" t="str">
        <f>IF('12 - Device_Configuration'!BK356="","",'12 - Device_Configuration'!BK356)</f>
        <v/>
      </c>
      <c r="Y355" s="29" t="str">
        <f>IF('12 - Device_Configuration'!BB356="","",'12 - Device_Configuration'!BB356)</f>
        <v/>
      </c>
      <c r="Z355" s="29" t="str">
        <f>IF('12 - Device_Configuration'!P356="","",'12 - Device_Configuration'!P356)</f>
        <v/>
      </c>
      <c r="AA355" s="29" t="str">
        <f>IF('12 - Device_Configuration'!Q356="","",'12 - Device_Configuration'!Q356)</f>
        <v/>
      </c>
    </row>
    <row r="356" spans="1:27">
      <c r="A356" s="30"/>
      <c r="B356" s="30"/>
      <c r="C356" s="29" t="str">
        <f>IF('12 - Device_Configuration'!H357="","",'12 - Device_Configuration'!H357)</f>
        <v/>
      </c>
      <c r="D356" s="29" t="str">
        <f>IF('12 - Device_Configuration'!AE357="","",'12 - Device_Configuration'!AE357)</f>
        <v/>
      </c>
      <c r="E356" s="29" t="str">
        <f>IF('12 - Device_Configuration'!AF357="","",'12 - Device_Configuration'!AF357)</f>
        <v/>
      </c>
      <c r="F356" s="29" t="str">
        <f>IF('12 - Device_Configuration'!AG357="","",'12 - Device_Configuration'!AG357)</f>
        <v/>
      </c>
      <c r="G356" s="29" t="str">
        <f>IF('12 - Device_Configuration'!AH357="","",'12 - Device_Configuration'!AH357)</f>
        <v/>
      </c>
      <c r="H356" s="29" t="str">
        <f>IF('12 - Device_Configuration'!A357="","",'12 - Device_Configuration'!A357)</f>
        <v/>
      </c>
      <c r="I356" s="29" t="str">
        <f>IF('12 - Device_Configuration'!AI357="","",'12 - Device_Configuration'!AI357)</f>
        <v/>
      </c>
      <c r="J356" s="29" t="str">
        <f>IF('12 - Device_Configuration'!AJ357="","",'12 - Device_Configuration'!AJ357)</f>
        <v/>
      </c>
      <c r="K356" s="29" t="str">
        <f>IF('12 - Device_Configuration'!AA357="","",'12 - Device_Configuration'!AA357)</f>
        <v/>
      </c>
      <c r="L356" s="29" t="str">
        <f>IF('12 - Device_Configuration'!I357="","",'12 - Device_Configuration'!I357)</f>
        <v/>
      </c>
      <c r="M356" s="30"/>
      <c r="N356" s="29" t="str">
        <f>IF('12 - Device_Configuration'!J357="","",'12 - Device_Configuration'!J357)</f>
        <v/>
      </c>
      <c r="O356" s="29" t="str">
        <f>IF('12 - Device_Configuration'!K357="","",'12 - Device_Configuration'!K357)</f>
        <v/>
      </c>
      <c r="P356" s="29" t="str">
        <f>IF('12 - Device_Configuration'!L357="","",'12 - Device_Configuration'!L357)</f>
        <v/>
      </c>
      <c r="Q356" s="30"/>
      <c r="R356" s="29" t="str">
        <f>IF('12 - Device_Configuration'!AY357="","",'12 - Device_Configuration'!AY357)</f>
        <v/>
      </c>
      <c r="S356" s="29" t="str">
        <f>IF('12 - Device_Configuration'!AX357="","",'12 - Device_Configuration'!AX357)</f>
        <v/>
      </c>
      <c r="T356" s="29" t="str">
        <f>IF('12 - Device_Configuration'!AV357="","",'12 - Device_Configuration'!AV357)</f>
        <v/>
      </c>
      <c r="U356" s="29" t="str">
        <f>IF('12 - Device_Configuration'!AW357="","",'12 - Device_Configuration'!AW357)</f>
        <v/>
      </c>
      <c r="V356" s="29" t="str">
        <f>IF('12 - Device_Configuration'!BA357="","",'12 - Device_Configuration'!BA357)</f>
        <v/>
      </c>
      <c r="W356" s="29" t="str">
        <f>IF('12 - Device_Configuration'!BC357="","",'12 - Device_Configuration'!BC357)</f>
        <v/>
      </c>
      <c r="X356" s="29" t="str">
        <f>IF('12 - Device_Configuration'!BK357="","",'12 - Device_Configuration'!BK357)</f>
        <v/>
      </c>
      <c r="Y356" s="29" t="str">
        <f>IF('12 - Device_Configuration'!BB357="","",'12 - Device_Configuration'!BB357)</f>
        <v/>
      </c>
      <c r="Z356" s="29" t="str">
        <f>IF('12 - Device_Configuration'!P357="","",'12 - Device_Configuration'!P357)</f>
        <v/>
      </c>
      <c r="AA356" s="29" t="str">
        <f>IF('12 - Device_Configuration'!Q357="","",'12 - Device_Configuration'!Q357)</f>
        <v/>
      </c>
    </row>
    <row r="357" spans="1:27">
      <c r="A357" s="30"/>
      <c r="B357" s="30"/>
      <c r="C357" s="29" t="str">
        <f>IF('12 - Device_Configuration'!H358="","",'12 - Device_Configuration'!H358)</f>
        <v/>
      </c>
      <c r="D357" s="29" t="str">
        <f>IF('12 - Device_Configuration'!AE358="","",'12 - Device_Configuration'!AE358)</f>
        <v/>
      </c>
      <c r="E357" s="29" t="str">
        <f>IF('12 - Device_Configuration'!AF358="","",'12 - Device_Configuration'!AF358)</f>
        <v/>
      </c>
      <c r="F357" s="29" t="str">
        <f>IF('12 - Device_Configuration'!AG358="","",'12 - Device_Configuration'!AG358)</f>
        <v/>
      </c>
      <c r="G357" s="29" t="str">
        <f>IF('12 - Device_Configuration'!AH358="","",'12 - Device_Configuration'!AH358)</f>
        <v/>
      </c>
      <c r="H357" s="29" t="str">
        <f>IF('12 - Device_Configuration'!A358="","",'12 - Device_Configuration'!A358)</f>
        <v/>
      </c>
      <c r="I357" s="29" t="str">
        <f>IF('12 - Device_Configuration'!AI358="","",'12 - Device_Configuration'!AI358)</f>
        <v/>
      </c>
      <c r="J357" s="29" t="str">
        <f>IF('12 - Device_Configuration'!AJ358="","",'12 - Device_Configuration'!AJ358)</f>
        <v/>
      </c>
      <c r="K357" s="29" t="str">
        <f>IF('12 - Device_Configuration'!AA358="","",'12 - Device_Configuration'!AA358)</f>
        <v/>
      </c>
      <c r="L357" s="29" t="str">
        <f>IF('12 - Device_Configuration'!I358="","",'12 - Device_Configuration'!I358)</f>
        <v/>
      </c>
      <c r="M357" s="30"/>
      <c r="N357" s="29" t="str">
        <f>IF('12 - Device_Configuration'!J358="","",'12 - Device_Configuration'!J358)</f>
        <v/>
      </c>
      <c r="O357" s="29" t="str">
        <f>IF('12 - Device_Configuration'!K358="","",'12 - Device_Configuration'!K358)</f>
        <v/>
      </c>
      <c r="P357" s="29" t="str">
        <f>IF('12 - Device_Configuration'!L358="","",'12 - Device_Configuration'!L358)</f>
        <v/>
      </c>
      <c r="Q357" s="30"/>
      <c r="R357" s="29" t="str">
        <f>IF('12 - Device_Configuration'!AY358="","",'12 - Device_Configuration'!AY358)</f>
        <v/>
      </c>
      <c r="S357" s="29" t="str">
        <f>IF('12 - Device_Configuration'!AX358="","",'12 - Device_Configuration'!AX358)</f>
        <v/>
      </c>
      <c r="T357" s="29" t="str">
        <f>IF('12 - Device_Configuration'!AV358="","",'12 - Device_Configuration'!AV358)</f>
        <v/>
      </c>
      <c r="U357" s="29" t="str">
        <f>IF('12 - Device_Configuration'!AW358="","",'12 - Device_Configuration'!AW358)</f>
        <v/>
      </c>
      <c r="V357" s="29" t="str">
        <f>IF('12 - Device_Configuration'!BA358="","",'12 - Device_Configuration'!BA358)</f>
        <v/>
      </c>
      <c r="W357" s="29" t="str">
        <f>IF('12 - Device_Configuration'!BC358="","",'12 - Device_Configuration'!BC358)</f>
        <v/>
      </c>
      <c r="X357" s="29" t="str">
        <f>IF('12 - Device_Configuration'!BK358="","",'12 - Device_Configuration'!BK358)</f>
        <v/>
      </c>
      <c r="Y357" s="29" t="str">
        <f>IF('12 - Device_Configuration'!BB358="","",'12 - Device_Configuration'!BB358)</f>
        <v/>
      </c>
      <c r="Z357" s="29" t="str">
        <f>IF('12 - Device_Configuration'!P358="","",'12 - Device_Configuration'!P358)</f>
        <v/>
      </c>
      <c r="AA357" s="29" t="str">
        <f>IF('12 - Device_Configuration'!Q358="","",'12 - Device_Configuration'!Q358)</f>
        <v/>
      </c>
    </row>
    <row r="358" spans="1:27">
      <c r="A358" s="30"/>
      <c r="B358" s="30"/>
      <c r="C358" s="29" t="str">
        <f>IF('12 - Device_Configuration'!H359="","",'12 - Device_Configuration'!H359)</f>
        <v/>
      </c>
      <c r="D358" s="29" t="str">
        <f>IF('12 - Device_Configuration'!AE359="","",'12 - Device_Configuration'!AE359)</f>
        <v/>
      </c>
      <c r="E358" s="29" t="str">
        <f>IF('12 - Device_Configuration'!AF359="","",'12 - Device_Configuration'!AF359)</f>
        <v/>
      </c>
      <c r="F358" s="29" t="str">
        <f>IF('12 - Device_Configuration'!AG359="","",'12 - Device_Configuration'!AG359)</f>
        <v/>
      </c>
      <c r="G358" s="29" t="str">
        <f>IF('12 - Device_Configuration'!AH359="","",'12 - Device_Configuration'!AH359)</f>
        <v/>
      </c>
      <c r="H358" s="29" t="str">
        <f>IF('12 - Device_Configuration'!A359="","",'12 - Device_Configuration'!A359)</f>
        <v/>
      </c>
      <c r="I358" s="29" t="str">
        <f>IF('12 - Device_Configuration'!AI359="","",'12 - Device_Configuration'!AI359)</f>
        <v/>
      </c>
      <c r="J358" s="29" t="str">
        <f>IF('12 - Device_Configuration'!AJ359="","",'12 - Device_Configuration'!AJ359)</f>
        <v/>
      </c>
      <c r="K358" s="29" t="str">
        <f>IF('12 - Device_Configuration'!AA359="","",'12 - Device_Configuration'!AA359)</f>
        <v/>
      </c>
      <c r="L358" s="29" t="str">
        <f>IF('12 - Device_Configuration'!I359="","",'12 - Device_Configuration'!I359)</f>
        <v/>
      </c>
      <c r="M358" s="30"/>
      <c r="N358" s="29" t="str">
        <f>IF('12 - Device_Configuration'!J359="","",'12 - Device_Configuration'!J359)</f>
        <v/>
      </c>
      <c r="O358" s="29" t="str">
        <f>IF('12 - Device_Configuration'!K359="","",'12 - Device_Configuration'!K359)</f>
        <v/>
      </c>
      <c r="P358" s="29" t="str">
        <f>IF('12 - Device_Configuration'!L359="","",'12 - Device_Configuration'!L359)</f>
        <v/>
      </c>
      <c r="Q358" s="30"/>
      <c r="R358" s="29" t="str">
        <f>IF('12 - Device_Configuration'!AY359="","",'12 - Device_Configuration'!AY359)</f>
        <v/>
      </c>
      <c r="S358" s="29" t="str">
        <f>IF('12 - Device_Configuration'!AX359="","",'12 - Device_Configuration'!AX359)</f>
        <v/>
      </c>
      <c r="T358" s="29" t="str">
        <f>IF('12 - Device_Configuration'!AV359="","",'12 - Device_Configuration'!AV359)</f>
        <v/>
      </c>
      <c r="U358" s="29" t="str">
        <f>IF('12 - Device_Configuration'!AW359="","",'12 - Device_Configuration'!AW359)</f>
        <v/>
      </c>
      <c r="V358" s="29" t="str">
        <f>IF('12 - Device_Configuration'!BA359="","",'12 - Device_Configuration'!BA359)</f>
        <v/>
      </c>
      <c r="W358" s="29" t="str">
        <f>IF('12 - Device_Configuration'!BC359="","",'12 - Device_Configuration'!BC359)</f>
        <v/>
      </c>
      <c r="X358" s="29" t="str">
        <f>IF('12 - Device_Configuration'!BK359="","",'12 - Device_Configuration'!BK359)</f>
        <v/>
      </c>
      <c r="Y358" s="29" t="str">
        <f>IF('12 - Device_Configuration'!BB359="","",'12 - Device_Configuration'!BB359)</f>
        <v/>
      </c>
      <c r="Z358" s="29" t="str">
        <f>IF('12 - Device_Configuration'!P359="","",'12 - Device_Configuration'!P359)</f>
        <v/>
      </c>
      <c r="AA358" s="29" t="str">
        <f>IF('12 - Device_Configuration'!Q359="","",'12 - Device_Configuration'!Q359)</f>
        <v/>
      </c>
    </row>
    <row r="359" spans="1:27">
      <c r="A359" s="30"/>
      <c r="B359" s="30"/>
      <c r="C359" s="29" t="str">
        <f>IF('12 - Device_Configuration'!H360="","",'12 - Device_Configuration'!H360)</f>
        <v/>
      </c>
      <c r="D359" s="29" t="str">
        <f>IF('12 - Device_Configuration'!AE360="","",'12 - Device_Configuration'!AE360)</f>
        <v/>
      </c>
      <c r="E359" s="29" t="str">
        <f>IF('12 - Device_Configuration'!AF360="","",'12 - Device_Configuration'!AF360)</f>
        <v/>
      </c>
      <c r="F359" s="29" t="str">
        <f>IF('12 - Device_Configuration'!AG360="","",'12 - Device_Configuration'!AG360)</f>
        <v/>
      </c>
      <c r="G359" s="29" t="str">
        <f>IF('12 - Device_Configuration'!AH360="","",'12 - Device_Configuration'!AH360)</f>
        <v/>
      </c>
      <c r="H359" s="29" t="str">
        <f>IF('12 - Device_Configuration'!A360="","",'12 - Device_Configuration'!A360)</f>
        <v/>
      </c>
      <c r="I359" s="29" t="str">
        <f>IF('12 - Device_Configuration'!AI360="","",'12 - Device_Configuration'!AI360)</f>
        <v/>
      </c>
      <c r="J359" s="29" t="str">
        <f>IF('12 - Device_Configuration'!AJ360="","",'12 - Device_Configuration'!AJ360)</f>
        <v/>
      </c>
      <c r="K359" s="29" t="str">
        <f>IF('12 - Device_Configuration'!AA360="","",'12 - Device_Configuration'!AA360)</f>
        <v/>
      </c>
      <c r="L359" s="29" t="str">
        <f>IF('12 - Device_Configuration'!I360="","",'12 - Device_Configuration'!I360)</f>
        <v/>
      </c>
      <c r="M359" s="30"/>
      <c r="N359" s="29" t="str">
        <f>IF('12 - Device_Configuration'!J360="","",'12 - Device_Configuration'!J360)</f>
        <v/>
      </c>
      <c r="O359" s="29" t="str">
        <f>IF('12 - Device_Configuration'!K360="","",'12 - Device_Configuration'!K360)</f>
        <v/>
      </c>
      <c r="P359" s="29" t="str">
        <f>IF('12 - Device_Configuration'!L360="","",'12 - Device_Configuration'!L360)</f>
        <v/>
      </c>
      <c r="Q359" s="30"/>
      <c r="R359" s="29" t="str">
        <f>IF('12 - Device_Configuration'!AY360="","",'12 - Device_Configuration'!AY360)</f>
        <v/>
      </c>
      <c r="S359" s="29" t="str">
        <f>IF('12 - Device_Configuration'!AX360="","",'12 - Device_Configuration'!AX360)</f>
        <v/>
      </c>
      <c r="T359" s="29" t="str">
        <f>IF('12 - Device_Configuration'!AV360="","",'12 - Device_Configuration'!AV360)</f>
        <v/>
      </c>
      <c r="U359" s="29" t="str">
        <f>IF('12 - Device_Configuration'!AW360="","",'12 - Device_Configuration'!AW360)</f>
        <v/>
      </c>
      <c r="V359" s="29" t="str">
        <f>IF('12 - Device_Configuration'!BA360="","",'12 - Device_Configuration'!BA360)</f>
        <v/>
      </c>
      <c r="W359" s="29" t="str">
        <f>IF('12 - Device_Configuration'!BC360="","",'12 - Device_Configuration'!BC360)</f>
        <v/>
      </c>
      <c r="X359" s="29" t="str">
        <f>IF('12 - Device_Configuration'!BK360="","",'12 - Device_Configuration'!BK360)</f>
        <v/>
      </c>
      <c r="Y359" s="29" t="str">
        <f>IF('12 - Device_Configuration'!BB360="","",'12 - Device_Configuration'!BB360)</f>
        <v/>
      </c>
      <c r="Z359" s="29" t="str">
        <f>IF('12 - Device_Configuration'!P360="","",'12 - Device_Configuration'!P360)</f>
        <v/>
      </c>
      <c r="AA359" s="29" t="str">
        <f>IF('12 - Device_Configuration'!Q360="","",'12 - Device_Configuration'!Q360)</f>
        <v/>
      </c>
    </row>
    <row r="360" spans="1:27">
      <c r="A360" s="30"/>
      <c r="B360" s="30"/>
      <c r="C360" s="29" t="str">
        <f>IF('12 - Device_Configuration'!H361="","",'12 - Device_Configuration'!H361)</f>
        <v/>
      </c>
      <c r="D360" s="29" t="str">
        <f>IF('12 - Device_Configuration'!AE361="","",'12 - Device_Configuration'!AE361)</f>
        <v/>
      </c>
      <c r="E360" s="29" t="str">
        <f>IF('12 - Device_Configuration'!AF361="","",'12 - Device_Configuration'!AF361)</f>
        <v/>
      </c>
      <c r="F360" s="29" t="str">
        <f>IF('12 - Device_Configuration'!AG361="","",'12 - Device_Configuration'!AG361)</f>
        <v/>
      </c>
      <c r="G360" s="29" t="str">
        <f>IF('12 - Device_Configuration'!AH361="","",'12 - Device_Configuration'!AH361)</f>
        <v/>
      </c>
      <c r="H360" s="29" t="str">
        <f>IF('12 - Device_Configuration'!A361="","",'12 - Device_Configuration'!A361)</f>
        <v/>
      </c>
      <c r="I360" s="29" t="str">
        <f>IF('12 - Device_Configuration'!AI361="","",'12 - Device_Configuration'!AI361)</f>
        <v/>
      </c>
      <c r="J360" s="29" t="str">
        <f>IF('12 - Device_Configuration'!AJ361="","",'12 - Device_Configuration'!AJ361)</f>
        <v/>
      </c>
      <c r="K360" s="29" t="str">
        <f>IF('12 - Device_Configuration'!AA361="","",'12 - Device_Configuration'!AA361)</f>
        <v/>
      </c>
      <c r="L360" s="29" t="str">
        <f>IF('12 - Device_Configuration'!I361="","",'12 - Device_Configuration'!I361)</f>
        <v/>
      </c>
      <c r="M360" s="30"/>
      <c r="N360" s="29" t="str">
        <f>IF('12 - Device_Configuration'!J361="","",'12 - Device_Configuration'!J361)</f>
        <v/>
      </c>
      <c r="O360" s="29" t="str">
        <f>IF('12 - Device_Configuration'!K361="","",'12 - Device_Configuration'!K361)</f>
        <v/>
      </c>
      <c r="P360" s="29" t="str">
        <f>IF('12 - Device_Configuration'!L361="","",'12 - Device_Configuration'!L361)</f>
        <v/>
      </c>
      <c r="Q360" s="30"/>
      <c r="R360" s="29" t="str">
        <f>IF('12 - Device_Configuration'!AY361="","",'12 - Device_Configuration'!AY361)</f>
        <v/>
      </c>
      <c r="S360" s="29" t="str">
        <f>IF('12 - Device_Configuration'!AX361="","",'12 - Device_Configuration'!AX361)</f>
        <v/>
      </c>
      <c r="T360" s="29" t="str">
        <f>IF('12 - Device_Configuration'!AV361="","",'12 - Device_Configuration'!AV361)</f>
        <v/>
      </c>
      <c r="U360" s="29" t="str">
        <f>IF('12 - Device_Configuration'!AW361="","",'12 - Device_Configuration'!AW361)</f>
        <v/>
      </c>
      <c r="V360" s="29" t="str">
        <f>IF('12 - Device_Configuration'!BA361="","",'12 - Device_Configuration'!BA361)</f>
        <v/>
      </c>
      <c r="W360" s="29" t="str">
        <f>IF('12 - Device_Configuration'!BC361="","",'12 - Device_Configuration'!BC361)</f>
        <v/>
      </c>
      <c r="X360" s="29" t="str">
        <f>IF('12 - Device_Configuration'!BK361="","",'12 - Device_Configuration'!BK361)</f>
        <v/>
      </c>
      <c r="Y360" s="29" t="str">
        <f>IF('12 - Device_Configuration'!BB361="","",'12 - Device_Configuration'!BB361)</f>
        <v/>
      </c>
      <c r="Z360" s="29" t="str">
        <f>IF('12 - Device_Configuration'!P361="","",'12 - Device_Configuration'!P361)</f>
        <v/>
      </c>
      <c r="AA360" s="29" t="str">
        <f>IF('12 - Device_Configuration'!Q361="","",'12 - Device_Configuration'!Q361)</f>
        <v/>
      </c>
    </row>
    <row r="361" spans="1:27">
      <c r="A361" s="30"/>
      <c r="B361" s="30"/>
      <c r="C361" s="29" t="str">
        <f>IF('12 - Device_Configuration'!H362="","",'12 - Device_Configuration'!H362)</f>
        <v/>
      </c>
      <c r="D361" s="29" t="str">
        <f>IF('12 - Device_Configuration'!AE362="","",'12 - Device_Configuration'!AE362)</f>
        <v/>
      </c>
      <c r="E361" s="29" t="str">
        <f>IF('12 - Device_Configuration'!AF362="","",'12 - Device_Configuration'!AF362)</f>
        <v/>
      </c>
      <c r="F361" s="29" t="str">
        <f>IF('12 - Device_Configuration'!AG362="","",'12 - Device_Configuration'!AG362)</f>
        <v/>
      </c>
      <c r="G361" s="29" t="str">
        <f>IF('12 - Device_Configuration'!AH362="","",'12 - Device_Configuration'!AH362)</f>
        <v/>
      </c>
      <c r="H361" s="29" t="str">
        <f>IF('12 - Device_Configuration'!A362="","",'12 - Device_Configuration'!A362)</f>
        <v/>
      </c>
      <c r="I361" s="29" t="str">
        <f>IF('12 - Device_Configuration'!AI362="","",'12 - Device_Configuration'!AI362)</f>
        <v/>
      </c>
      <c r="J361" s="29" t="str">
        <f>IF('12 - Device_Configuration'!AJ362="","",'12 - Device_Configuration'!AJ362)</f>
        <v/>
      </c>
      <c r="K361" s="29" t="str">
        <f>IF('12 - Device_Configuration'!AA362="","",'12 - Device_Configuration'!AA362)</f>
        <v/>
      </c>
      <c r="L361" s="29" t="str">
        <f>IF('12 - Device_Configuration'!I362="","",'12 - Device_Configuration'!I362)</f>
        <v/>
      </c>
      <c r="M361" s="30"/>
      <c r="N361" s="29" t="str">
        <f>IF('12 - Device_Configuration'!J362="","",'12 - Device_Configuration'!J362)</f>
        <v/>
      </c>
      <c r="O361" s="29" t="str">
        <f>IF('12 - Device_Configuration'!K362="","",'12 - Device_Configuration'!K362)</f>
        <v/>
      </c>
      <c r="P361" s="29" t="str">
        <f>IF('12 - Device_Configuration'!L362="","",'12 - Device_Configuration'!L362)</f>
        <v/>
      </c>
      <c r="Q361" s="30"/>
      <c r="R361" s="29" t="str">
        <f>IF('12 - Device_Configuration'!AY362="","",'12 - Device_Configuration'!AY362)</f>
        <v/>
      </c>
      <c r="S361" s="29" t="str">
        <f>IF('12 - Device_Configuration'!AX362="","",'12 - Device_Configuration'!AX362)</f>
        <v/>
      </c>
      <c r="T361" s="29" t="str">
        <f>IF('12 - Device_Configuration'!AV362="","",'12 - Device_Configuration'!AV362)</f>
        <v/>
      </c>
      <c r="U361" s="29" t="str">
        <f>IF('12 - Device_Configuration'!AW362="","",'12 - Device_Configuration'!AW362)</f>
        <v/>
      </c>
      <c r="V361" s="29" t="str">
        <f>IF('12 - Device_Configuration'!BA362="","",'12 - Device_Configuration'!BA362)</f>
        <v/>
      </c>
      <c r="W361" s="29" t="str">
        <f>IF('12 - Device_Configuration'!BC362="","",'12 - Device_Configuration'!BC362)</f>
        <v/>
      </c>
      <c r="X361" s="29" t="str">
        <f>IF('12 - Device_Configuration'!BK362="","",'12 - Device_Configuration'!BK362)</f>
        <v/>
      </c>
      <c r="Y361" s="29" t="str">
        <f>IF('12 - Device_Configuration'!BB362="","",'12 - Device_Configuration'!BB362)</f>
        <v/>
      </c>
      <c r="Z361" s="29" t="str">
        <f>IF('12 - Device_Configuration'!P362="","",'12 - Device_Configuration'!P362)</f>
        <v/>
      </c>
      <c r="AA361" s="29" t="str">
        <f>IF('12 - Device_Configuration'!Q362="","",'12 - Device_Configuration'!Q362)</f>
        <v/>
      </c>
    </row>
    <row r="362" spans="1:27">
      <c r="A362" s="30"/>
      <c r="B362" s="30"/>
      <c r="C362" s="29" t="str">
        <f>IF('12 - Device_Configuration'!H363="","",'12 - Device_Configuration'!H363)</f>
        <v/>
      </c>
      <c r="D362" s="29" t="str">
        <f>IF('12 - Device_Configuration'!AE363="","",'12 - Device_Configuration'!AE363)</f>
        <v/>
      </c>
      <c r="E362" s="29" t="str">
        <f>IF('12 - Device_Configuration'!AF363="","",'12 - Device_Configuration'!AF363)</f>
        <v/>
      </c>
      <c r="F362" s="29" t="str">
        <f>IF('12 - Device_Configuration'!AG363="","",'12 - Device_Configuration'!AG363)</f>
        <v/>
      </c>
      <c r="G362" s="29" t="str">
        <f>IF('12 - Device_Configuration'!AH363="","",'12 - Device_Configuration'!AH363)</f>
        <v/>
      </c>
      <c r="H362" s="29" t="str">
        <f>IF('12 - Device_Configuration'!A363="","",'12 - Device_Configuration'!A363)</f>
        <v/>
      </c>
      <c r="I362" s="29" t="str">
        <f>IF('12 - Device_Configuration'!AI363="","",'12 - Device_Configuration'!AI363)</f>
        <v/>
      </c>
      <c r="J362" s="29" t="str">
        <f>IF('12 - Device_Configuration'!AJ363="","",'12 - Device_Configuration'!AJ363)</f>
        <v/>
      </c>
      <c r="K362" s="29" t="str">
        <f>IF('12 - Device_Configuration'!AA363="","",'12 - Device_Configuration'!AA363)</f>
        <v/>
      </c>
      <c r="L362" s="29" t="str">
        <f>IF('12 - Device_Configuration'!I363="","",'12 - Device_Configuration'!I363)</f>
        <v/>
      </c>
      <c r="M362" s="30"/>
      <c r="N362" s="29" t="str">
        <f>IF('12 - Device_Configuration'!J363="","",'12 - Device_Configuration'!J363)</f>
        <v/>
      </c>
      <c r="O362" s="29" t="str">
        <f>IF('12 - Device_Configuration'!K363="","",'12 - Device_Configuration'!K363)</f>
        <v/>
      </c>
      <c r="P362" s="29" t="str">
        <f>IF('12 - Device_Configuration'!L363="","",'12 - Device_Configuration'!L363)</f>
        <v/>
      </c>
      <c r="Q362" s="30"/>
      <c r="R362" s="29" t="str">
        <f>IF('12 - Device_Configuration'!AY363="","",'12 - Device_Configuration'!AY363)</f>
        <v/>
      </c>
      <c r="S362" s="29" t="str">
        <f>IF('12 - Device_Configuration'!AX363="","",'12 - Device_Configuration'!AX363)</f>
        <v/>
      </c>
      <c r="T362" s="29" t="str">
        <f>IF('12 - Device_Configuration'!AV363="","",'12 - Device_Configuration'!AV363)</f>
        <v/>
      </c>
      <c r="U362" s="29" t="str">
        <f>IF('12 - Device_Configuration'!AW363="","",'12 - Device_Configuration'!AW363)</f>
        <v/>
      </c>
      <c r="V362" s="29" t="str">
        <f>IF('12 - Device_Configuration'!BA363="","",'12 - Device_Configuration'!BA363)</f>
        <v/>
      </c>
      <c r="W362" s="29" t="str">
        <f>IF('12 - Device_Configuration'!BC363="","",'12 - Device_Configuration'!BC363)</f>
        <v/>
      </c>
      <c r="X362" s="29" t="str">
        <f>IF('12 - Device_Configuration'!BK363="","",'12 - Device_Configuration'!BK363)</f>
        <v/>
      </c>
      <c r="Y362" s="29" t="str">
        <f>IF('12 - Device_Configuration'!BB363="","",'12 - Device_Configuration'!BB363)</f>
        <v/>
      </c>
      <c r="Z362" s="29" t="str">
        <f>IF('12 - Device_Configuration'!P363="","",'12 - Device_Configuration'!P363)</f>
        <v/>
      </c>
      <c r="AA362" s="29" t="str">
        <f>IF('12 - Device_Configuration'!Q363="","",'12 - Device_Configuration'!Q363)</f>
        <v/>
      </c>
    </row>
    <row r="363" spans="1:27">
      <c r="A363" s="30"/>
      <c r="B363" s="30"/>
      <c r="C363" s="29" t="str">
        <f>IF('12 - Device_Configuration'!H364="","",'12 - Device_Configuration'!H364)</f>
        <v/>
      </c>
      <c r="D363" s="29" t="str">
        <f>IF('12 - Device_Configuration'!AE364="","",'12 - Device_Configuration'!AE364)</f>
        <v/>
      </c>
      <c r="E363" s="29" t="str">
        <f>IF('12 - Device_Configuration'!AF364="","",'12 - Device_Configuration'!AF364)</f>
        <v/>
      </c>
      <c r="F363" s="29" t="str">
        <f>IF('12 - Device_Configuration'!AG364="","",'12 - Device_Configuration'!AG364)</f>
        <v/>
      </c>
      <c r="G363" s="29" t="str">
        <f>IF('12 - Device_Configuration'!AH364="","",'12 - Device_Configuration'!AH364)</f>
        <v/>
      </c>
      <c r="H363" s="29" t="str">
        <f>IF('12 - Device_Configuration'!A364="","",'12 - Device_Configuration'!A364)</f>
        <v/>
      </c>
      <c r="I363" s="29" t="str">
        <f>IF('12 - Device_Configuration'!AI364="","",'12 - Device_Configuration'!AI364)</f>
        <v/>
      </c>
      <c r="J363" s="29" t="str">
        <f>IF('12 - Device_Configuration'!AJ364="","",'12 - Device_Configuration'!AJ364)</f>
        <v/>
      </c>
      <c r="K363" s="29" t="str">
        <f>IF('12 - Device_Configuration'!AA364="","",'12 - Device_Configuration'!AA364)</f>
        <v/>
      </c>
      <c r="L363" s="29" t="str">
        <f>IF('12 - Device_Configuration'!I364="","",'12 - Device_Configuration'!I364)</f>
        <v/>
      </c>
      <c r="M363" s="30"/>
      <c r="N363" s="29" t="str">
        <f>IF('12 - Device_Configuration'!J364="","",'12 - Device_Configuration'!J364)</f>
        <v/>
      </c>
      <c r="O363" s="29" t="str">
        <f>IF('12 - Device_Configuration'!K364="","",'12 - Device_Configuration'!K364)</f>
        <v/>
      </c>
      <c r="P363" s="29" t="str">
        <f>IF('12 - Device_Configuration'!L364="","",'12 - Device_Configuration'!L364)</f>
        <v/>
      </c>
      <c r="Q363" s="30"/>
      <c r="R363" s="29" t="str">
        <f>IF('12 - Device_Configuration'!AY364="","",'12 - Device_Configuration'!AY364)</f>
        <v/>
      </c>
      <c r="S363" s="29" t="str">
        <f>IF('12 - Device_Configuration'!AX364="","",'12 - Device_Configuration'!AX364)</f>
        <v/>
      </c>
      <c r="T363" s="29" t="str">
        <f>IF('12 - Device_Configuration'!AV364="","",'12 - Device_Configuration'!AV364)</f>
        <v/>
      </c>
      <c r="U363" s="29" t="str">
        <f>IF('12 - Device_Configuration'!AW364="","",'12 - Device_Configuration'!AW364)</f>
        <v/>
      </c>
      <c r="V363" s="29" t="str">
        <f>IF('12 - Device_Configuration'!BA364="","",'12 - Device_Configuration'!BA364)</f>
        <v/>
      </c>
      <c r="W363" s="29" t="str">
        <f>IF('12 - Device_Configuration'!BC364="","",'12 - Device_Configuration'!BC364)</f>
        <v/>
      </c>
      <c r="X363" s="29" t="str">
        <f>IF('12 - Device_Configuration'!BK364="","",'12 - Device_Configuration'!BK364)</f>
        <v/>
      </c>
      <c r="Y363" s="29" t="str">
        <f>IF('12 - Device_Configuration'!BB364="","",'12 - Device_Configuration'!BB364)</f>
        <v/>
      </c>
      <c r="Z363" s="29" t="str">
        <f>IF('12 - Device_Configuration'!P364="","",'12 - Device_Configuration'!P364)</f>
        <v/>
      </c>
      <c r="AA363" s="29" t="str">
        <f>IF('12 - Device_Configuration'!Q364="","",'12 - Device_Configuration'!Q364)</f>
        <v/>
      </c>
    </row>
    <row r="364" spans="1:27">
      <c r="A364" s="30"/>
      <c r="B364" s="30"/>
      <c r="C364" s="29" t="str">
        <f>IF('12 - Device_Configuration'!H365="","",'12 - Device_Configuration'!H365)</f>
        <v/>
      </c>
      <c r="D364" s="29" t="str">
        <f>IF('12 - Device_Configuration'!AE365="","",'12 - Device_Configuration'!AE365)</f>
        <v/>
      </c>
      <c r="E364" s="29" t="str">
        <f>IF('12 - Device_Configuration'!AF365="","",'12 - Device_Configuration'!AF365)</f>
        <v/>
      </c>
      <c r="F364" s="29" t="str">
        <f>IF('12 - Device_Configuration'!AG365="","",'12 - Device_Configuration'!AG365)</f>
        <v/>
      </c>
      <c r="G364" s="29" t="str">
        <f>IF('12 - Device_Configuration'!AH365="","",'12 - Device_Configuration'!AH365)</f>
        <v/>
      </c>
      <c r="H364" s="29" t="str">
        <f>IF('12 - Device_Configuration'!A365="","",'12 - Device_Configuration'!A365)</f>
        <v/>
      </c>
      <c r="I364" s="29" t="str">
        <f>IF('12 - Device_Configuration'!AI365="","",'12 - Device_Configuration'!AI365)</f>
        <v/>
      </c>
      <c r="J364" s="29" t="str">
        <f>IF('12 - Device_Configuration'!AJ365="","",'12 - Device_Configuration'!AJ365)</f>
        <v/>
      </c>
      <c r="K364" s="29" t="str">
        <f>IF('12 - Device_Configuration'!AA365="","",'12 - Device_Configuration'!AA365)</f>
        <v/>
      </c>
      <c r="L364" s="29" t="str">
        <f>IF('12 - Device_Configuration'!I365="","",'12 - Device_Configuration'!I365)</f>
        <v/>
      </c>
      <c r="M364" s="30"/>
      <c r="N364" s="29" t="str">
        <f>IF('12 - Device_Configuration'!J365="","",'12 - Device_Configuration'!J365)</f>
        <v/>
      </c>
      <c r="O364" s="29" t="str">
        <f>IF('12 - Device_Configuration'!K365="","",'12 - Device_Configuration'!K365)</f>
        <v/>
      </c>
      <c r="P364" s="29" t="str">
        <f>IF('12 - Device_Configuration'!L365="","",'12 - Device_Configuration'!L365)</f>
        <v/>
      </c>
      <c r="Q364" s="30"/>
      <c r="R364" s="29" t="str">
        <f>IF('12 - Device_Configuration'!AY365="","",'12 - Device_Configuration'!AY365)</f>
        <v/>
      </c>
      <c r="S364" s="29" t="str">
        <f>IF('12 - Device_Configuration'!AX365="","",'12 - Device_Configuration'!AX365)</f>
        <v/>
      </c>
      <c r="T364" s="29" t="str">
        <f>IF('12 - Device_Configuration'!AV365="","",'12 - Device_Configuration'!AV365)</f>
        <v/>
      </c>
      <c r="U364" s="29" t="str">
        <f>IF('12 - Device_Configuration'!AW365="","",'12 - Device_Configuration'!AW365)</f>
        <v/>
      </c>
      <c r="V364" s="29" t="str">
        <f>IF('12 - Device_Configuration'!BA365="","",'12 - Device_Configuration'!BA365)</f>
        <v/>
      </c>
      <c r="W364" s="29" t="str">
        <f>IF('12 - Device_Configuration'!BC365="","",'12 - Device_Configuration'!BC365)</f>
        <v/>
      </c>
      <c r="X364" s="29" t="str">
        <f>IF('12 - Device_Configuration'!BK365="","",'12 - Device_Configuration'!BK365)</f>
        <v/>
      </c>
      <c r="Y364" s="29" t="str">
        <f>IF('12 - Device_Configuration'!BB365="","",'12 - Device_Configuration'!BB365)</f>
        <v/>
      </c>
      <c r="Z364" s="29" t="str">
        <f>IF('12 - Device_Configuration'!P365="","",'12 - Device_Configuration'!P365)</f>
        <v/>
      </c>
      <c r="AA364" s="29" t="str">
        <f>IF('12 - Device_Configuration'!Q365="","",'12 - Device_Configuration'!Q365)</f>
        <v/>
      </c>
    </row>
    <row r="365" spans="1:27">
      <c r="A365" s="30"/>
      <c r="B365" s="30"/>
      <c r="C365" s="29" t="str">
        <f>IF('12 - Device_Configuration'!H366="","",'12 - Device_Configuration'!H366)</f>
        <v/>
      </c>
      <c r="D365" s="29" t="str">
        <f>IF('12 - Device_Configuration'!AE366="","",'12 - Device_Configuration'!AE366)</f>
        <v/>
      </c>
      <c r="E365" s="29" t="str">
        <f>IF('12 - Device_Configuration'!AF366="","",'12 - Device_Configuration'!AF366)</f>
        <v/>
      </c>
      <c r="F365" s="29" t="str">
        <f>IF('12 - Device_Configuration'!AG366="","",'12 - Device_Configuration'!AG366)</f>
        <v/>
      </c>
      <c r="G365" s="29" t="str">
        <f>IF('12 - Device_Configuration'!AH366="","",'12 - Device_Configuration'!AH366)</f>
        <v/>
      </c>
      <c r="H365" s="29" t="str">
        <f>IF('12 - Device_Configuration'!A366="","",'12 - Device_Configuration'!A366)</f>
        <v/>
      </c>
      <c r="I365" s="29" t="str">
        <f>IF('12 - Device_Configuration'!AI366="","",'12 - Device_Configuration'!AI366)</f>
        <v/>
      </c>
      <c r="J365" s="29" t="str">
        <f>IF('12 - Device_Configuration'!AJ366="","",'12 - Device_Configuration'!AJ366)</f>
        <v/>
      </c>
      <c r="K365" s="29" t="str">
        <f>IF('12 - Device_Configuration'!AA366="","",'12 - Device_Configuration'!AA366)</f>
        <v/>
      </c>
      <c r="L365" s="29" t="str">
        <f>IF('12 - Device_Configuration'!I366="","",'12 - Device_Configuration'!I366)</f>
        <v/>
      </c>
      <c r="M365" s="30"/>
      <c r="N365" s="29" t="str">
        <f>IF('12 - Device_Configuration'!J366="","",'12 - Device_Configuration'!J366)</f>
        <v/>
      </c>
      <c r="O365" s="29" t="str">
        <f>IF('12 - Device_Configuration'!K366="","",'12 - Device_Configuration'!K366)</f>
        <v/>
      </c>
      <c r="P365" s="29" t="str">
        <f>IF('12 - Device_Configuration'!L366="","",'12 - Device_Configuration'!L366)</f>
        <v/>
      </c>
      <c r="Q365" s="30"/>
      <c r="R365" s="29" t="str">
        <f>IF('12 - Device_Configuration'!AY366="","",'12 - Device_Configuration'!AY366)</f>
        <v/>
      </c>
      <c r="S365" s="29" t="str">
        <f>IF('12 - Device_Configuration'!AX366="","",'12 - Device_Configuration'!AX366)</f>
        <v/>
      </c>
      <c r="T365" s="29" t="str">
        <f>IF('12 - Device_Configuration'!AV366="","",'12 - Device_Configuration'!AV366)</f>
        <v/>
      </c>
      <c r="U365" s="29" t="str">
        <f>IF('12 - Device_Configuration'!AW366="","",'12 - Device_Configuration'!AW366)</f>
        <v/>
      </c>
      <c r="V365" s="29" t="str">
        <f>IF('12 - Device_Configuration'!BA366="","",'12 - Device_Configuration'!BA366)</f>
        <v/>
      </c>
      <c r="W365" s="29" t="str">
        <f>IF('12 - Device_Configuration'!BC366="","",'12 - Device_Configuration'!BC366)</f>
        <v/>
      </c>
      <c r="X365" s="29" t="str">
        <f>IF('12 - Device_Configuration'!BK366="","",'12 - Device_Configuration'!BK366)</f>
        <v/>
      </c>
      <c r="Y365" s="29" t="str">
        <f>IF('12 - Device_Configuration'!BB366="","",'12 - Device_Configuration'!BB366)</f>
        <v/>
      </c>
      <c r="Z365" s="29" t="str">
        <f>IF('12 - Device_Configuration'!P366="","",'12 - Device_Configuration'!P366)</f>
        <v/>
      </c>
      <c r="AA365" s="29" t="str">
        <f>IF('12 - Device_Configuration'!Q366="","",'12 - Device_Configuration'!Q366)</f>
        <v/>
      </c>
    </row>
    <row r="366" spans="1:27">
      <c r="A366" s="30"/>
      <c r="B366" s="30"/>
      <c r="C366" s="29" t="str">
        <f>IF('12 - Device_Configuration'!H367="","",'12 - Device_Configuration'!H367)</f>
        <v/>
      </c>
      <c r="D366" s="29" t="str">
        <f>IF('12 - Device_Configuration'!AE367="","",'12 - Device_Configuration'!AE367)</f>
        <v/>
      </c>
      <c r="E366" s="29" t="str">
        <f>IF('12 - Device_Configuration'!AF367="","",'12 - Device_Configuration'!AF367)</f>
        <v/>
      </c>
      <c r="F366" s="29" t="str">
        <f>IF('12 - Device_Configuration'!AG367="","",'12 - Device_Configuration'!AG367)</f>
        <v/>
      </c>
      <c r="G366" s="29" t="str">
        <f>IF('12 - Device_Configuration'!AH367="","",'12 - Device_Configuration'!AH367)</f>
        <v/>
      </c>
      <c r="H366" s="29" t="str">
        <f>IF('12 - Device_Configuration'!A367="","",'12 - Device_Configuration'!A367)</f>
        <v/>
      </c>
      <c r="I366" s="29" t="str">
        <f>IF('12 - Device_Configuration'!AI367="","",'12 - Device_Configuration'!AI367)</f>
        <v/>
      </c>
      <c r="J366" s="29" t="str">
        <f>IF('12 - Device_Configuration'!AJ367="","",'12 - Device_Configuration'!AJ367)</f>
        <v/>
      </c>
      <c r="K366" s="29" t="str">
        <f>IF('12 - Device_Configuration'!AA367="","",'12 - Device_Configuration'!AA367)</f>
        <v/>
      </c>
      <c r="L366" s="29" t="str">
        <f>IF('12 - Device_Configuration'!I367="","",'12 - Device_Configuration'!I367)</f>
        <v/>
      </c>
      <c r="M366" s="30"/>
      <c r="N366" s="29" t="str">
        <f>IF('12 - Device_Configuration'!J367="","",'12 - Device_Configuration'!J367)</f>
        <v/>
      </c>
      <c r="O366" s="29" t="str">
        <f>IF('12 - Device_Configuration'!K367="","",'12 - Device_Configuration'!K367)</f>
        <v/>
      </c>
      <c r="P366" s="29" t="str">
        <f>IF('12 - Device_Configuration'!L367="","",'12 - Device_Configuration'!L367)</f>
        <v/>
      </c>
      <c r="Q366" s="30"/>
      <c r="R366" s="29" t="str">
        <f>IF('12 - Device_Configuration'!AY367="","",'12 - Device_Configuration'!AY367)</f>
        <v/>
      </c>
      <c r="S366" s="29" t="str">
        <f>IF('12 - Device_Configuration'!AX367="","",'12 - Device_Configuration'!AX367)</f>
        <v/>
      </c>
      <c r="T366" s="29" t="str">
        <f>IF('12 - Device_Configuration'!AV367="","",'12 - Device_Configuration'!AV367)</f>
        <v/>
      </c>
      <c r="U366" s="29" t="str">
        <f>IF('12 - Device_Configuration'!AW367="","",'12 - Device_Configuration'!AW367)</f>
        <v/>
      </c>
      <c r="V366" s="29" t="str">
        <f>IF('12 - Device_Configuration'!BA367="","",'12 - Device_Configuration'!BA367)</f>
        <v/>
      </c>
      <c r="W366" s="29" t="str">
        <f>IF('12 - Device_Configuration'!BC367="","",'12 - Device_Configuration'!BC367)</f>
        <v/>
      </c>
      <c r="X366" s="29" t="str">
        <f>IF('12 - Device_Configuration'!BK367="","",'12 - Device_Configuration'!BK367)</f>
        <v/>
      </c>
      <c r="Y366" s="29" t="str">
        <f>IF('12 - Device_Configuration'!BB367="","",'12 - Device_Configuration'!BB367)</f>
        <v/>
      </c>
      <c r="Z366" s="29" t="str">
        <f>IF('12 - Device_Configuration'!P367="","",'12 - Device_Configuration'!P367)</f>
        <v/>
      </c>
      <c r="AA366" s="29" t="str">
        <f>IF('12 - Device_Configuration'!Q367="","",'12 - Device_Configuration'!Q367)</f>
        <v/>
      </c>
    </row>
    <row r="367" spans="1:27">
      <c r="A367" s="30"/>
      <c r="B367" s="30"/>
      <c r="C367" s="29" t="str">
        <f>IF('12 - Device_Configuration'!H368="","",'12 - Device_Configuration'!H368)</f>
        <v/>
      </c>
      <c r="D367" s="29" t="str">
        <f>IF('12 - Device_Configuration'!AE368="","",'12 - Device_Configuration'!AE368)</f>
        <v/>
      </c>
      <c r="E367" s="29" t="str">
        <f>IF('12 - Device_Configuration'!AF368="","",'12 - Device_Configuration'!AF368)</f>
        <v/>
      </c>
      <c r="F367" s="29" t="str">
        <f>IF('12 - Device_Configuration'!AG368="","",'12 - Device_Configuration'!AG368)</f>
        <v/>
      </c>
      <c r="G367" s="29" t="str">
        <f>IF('12 - Device_Configuration'!AH368="","",'12 - Device_Configuration'!AH368)</f>
        <v/>
      </c>
      <c r="H367" s="29" t="str">
        <f>IF('12 - Device_Configuration'!A368="","",'12 - Device_Configuration'!A368)</f>
        <v/>
      </c>
      <c r="I367" s="29" t="str">
        <f>IF('12 - Device_Configuration'!AI368="","",'12 - Device_Configuration'!AI368)</f>
        <v/>
      </c>
      <c r="J367" s="29" t="str">
        <f>IF('12 - Device_Configuration'!AJ368="","",'12 - Device_Configuration'!AJ368)</f>
        <v/>
      </c>
      <c r="K367" s="29" t="str">
        <f>IF('12 - Device_Configuration'!AA368="","",'12 - Device_Configuration'!AA368)</f>
        <v/>
      </c>
      <c r="L367" s="29" t="str">
        <f>IF('12 - Device_Configuration'!I368="","",'12 - Device_Configuration'!I368)</f>
        <v/>
      </c>
      <c r="M367" s="30"/>
      <c r="N367" s="29" t="str">
        <f>IF('12 - Device_Configuration'!J368="","",'12 - Device_Configuration'!J368)</f>
        <v/>
      </c>
      <c r="O367" s="29" t="str">
        <f>IF('12 - Device_Configuration'!K368="","",'12 - Device_Configuration'!K368)</f>
        <v/>
      </c>
      <c r="P367" s="29" t="str">
        <f>IF('12 - Device_Configuration'!L368="","",'12 - Device_Configuration'!L368)</f>
        <v/>
      </c>
      <c r="Q367" s="30"/>
      <c r="R367" s="29" t="str">
        <f>IF('12 - Device_Configuration'!AY368="","",'12 - Device_Configuration'!AY368)</f>
        <v/>
      </c>
      <c r="S367" s="29" t="str">
        <f>IF('12 - Device_Configuration'!AX368="","",'12 - Device_Configuration'!AX368)</f>
        <v/>
      </c>
      <c r="T367" s="29" t="str">
        <f>IF('12 - Device_Configuration'!AV368="","",'12 - Device_Configuration'!AV368)</f>
        <v/>
      </c>
      <c r="U367" s="29" t="str">
        <f>IF('12 - Device_Configuration'!AW368="","",'12 - Device_Configuration'!AW368)</f>
        <v/>
      </c>
      <c r="V367" s="29" t="str">
        <f>IF('12 - Device_Configuration'!BA368="","",'12 - Device_Configuration'!BA368)</f>
        <v/>
      </c>
      <c r="W367" s="29" t="str">
        <f>IF('12 - Device_Configuration'!BC368="","",'12 - Device_Configuration'!BC368)</f>
        <v/>
      </c>
      <c r="X367" s="29" t="str">
        <f>IF('12 - Device_Configuration'!BK368="","",'12 - Device_Configuration'!BK368)</f>
        <v/>
      </c>
      <c r="Y367" s="29" t="str">
        <f>IF('12 - Device_Configuration'!BB368="","",'12 - Device_Configuration'!BB368)</f>
        <v/>
      </c>
      <c r="Z367" s="29" t="str">
        <f>IF('12 - Device_Configuration'!P368="","",'12 - Device_Configuration'!P368)</f>
        <v/>
      </c>
      <c r="AA367" s="29" t="str">
        <f>IF('12 - Device_Configuration'!Q368="","",'12 - Device_Configuration'!Q368)</f>
        <v/>
      </c>
    </row>
    <row r="368" spans="1:27">
      <c r="A368" s="30"/>
      <c r="B368" s="30"/>
      <c r="C368" s="29" t="str">
        <f>IF('12 - Device_Configuration'!H369="","",'12 - Device_Configuration'!H369)</f>
        <v/>
      </c>
      <c r="D368" s="29" t="str">
        <f>IF('12 - Device_Configuration'!AE369="","",'12 - Device_Configuration'!AE369)</f>
        <v/>
      </c>
      <c r="E368" s="29" t="str">
        <f>IF('12 - Device_Configuration'!AF369="","",'12 - Device_Configuration'!AF369)</f>
        <v/>
      </c>
      <c r="F368" s="29" t="str">
        <f>IF('12 - Device_Configuration'!AG369="","",'12 - Device_Configuration'!AG369)</f>
        <v/>
      </c>
      <c r="G368" s="29" t="str">
        <f>IF('12 - Device_Configuration'!AH369="","",'12 - Device_Configuration'!AH369)</f>
        <v/>
      </c>
      <c r="H368" s="29" t="str">
        <f>IF('12 - Device_Configuration'!A369="","",'12 - Device_Configuration'!A369)</f>
        <v/>
      </c>
      <c r="I368" s="29" t="str">
        <f>IF('12 - Device_Configuration'!AI369="","",'12 - Device_Configuration'!AI369)</f>
        <v/>
      </c>
      <c r="J368" s="29" t="str">
        <f>IF('12 - Device_Configuration'!AJ369="","",'12 - Device_Configuration'!AJ369)</f>
        <v/>
      </c>
      <c r="K368" s="29" t="str">
        <f>IF('12 - Device_Configuration'!AA369="","",'12 - Device_Configuration'!AA369)</f>
        <v/>
      </c>
      <c r="L368" s="29" t="str">
        <f>IF('12 - Device_Configuration'!I369="","",'12 - Device_Configuration'!I369)</f>
        <v/>
      </c>
      <c r="M368" s="30"/>
      <c r="N368" s="29" t="str">
        <f>IF('12 - Device_Configuration'!J369="","",'12 - Device_Configuration'!J369)</f>
        <v/>
      </c>
      <c r="O368" s="29" t="str">
        <f>IF('12 - Device_Configuration'!K369="","",'12 - Device_Configuration'!K369)</f>
        <v/>
      </c>
      <c r="P368" s="29" t="str">
        <f>IF('12 - Device_Configuration'!L369="","",'12 - Device_Configuration'!L369)</f>
        <v/>
      </c>
      <c r="Q368" s="30"/>
      <c r="R368" s="29" t="str">
        <f>IF('12 - Device_Configuration'!AY369="","",'12 - Device_Configuration'!AY369)</f>
        <v/>
      </c>
      <c r="S368" s="29" t="str">
        <f>IF('12 - Device_Configuration'!AX369="","",'12 - Device_Configuration'!AX369)</f>
        <v/>
      </c>
      <c r="T368" s="29" t="str">
        <f>IF('12 - Device_Configuration'!AV369="","",'12 - Device_Configuration'!AV369)</f>
        <v/>
      </c>
      <c r="U368" s="29" t="str">
        <f>IF('12 - Device_Configuration'!AW369="","",'12 - Device_Configuration'!AW369)</f>
        <v/>
      </c>
      <c r="V368" s="29" t="str">
        <f>IF('12 - Device_Configuration'!BA369="","",'12 - Device_Configuration'!BA369)</f>
        <v/>
      </c>
      <c r="W368" s="29" t="str">
        <f>IF('12 - Device_Configuration'!BC369="","",'12 - Device_Configuration'!BC369)</f>
        <v/>
      </c>
      <c r="X368" s="29" t="str">
        <f>IF('12 - Device_Configuration'!BK369="","",'12 - Device_Configuration'!BK369)</f>
        <v/>
      </c>
      <c r="Y368" s="29" t="str">
        <f>IF('12 - Device_Configuration'!BB369="","",'12 - Device_Configuration'!BB369)</f>
        <v/>
      </c>
      <c r="Z368" s="29" t="str">
        <f>IF('12 - Device_Configuration'!P369="","",'12 - Device_Configuration'!P369)</f>
        <v/>
      </c>
      <c r="AA368" s="29" t="str">
        <f>IF('12 - Device_Configuration'!Q369="","",'12 - Device_Configuration'!Q369)</f>
        <v/>
      </c>
    </row>
    <row r="369" spans="1:27">
      <c r="A369" s="30"/>
      <c r="B369" s="30"/>
      <c r="C369" s="29" t="str">
        <f>IF('12 - Device_Configuration'!H370="","",'12 - Device_Configuration'!H370)</f>
        <v/>
      </c>
      <c r="D369" s="29" t="str">
        <f>IF('12 - Device_Configuration'!AE370="","",'12 - Device_Configuration'!AE370)</f>
        <v/>
      </c>
      <c r="E369" s="29" t="str">
        <f>IF('12 - Device_Configuration'!AF370="","",'12 - Device_Configuration'!AF370)</f>
        <v/>
      </c>
      <c r="F369" s="29" t="str">
        <f>IF('12 - Device_Configuration'!AG370="","",'12 - Device_Configuration'!AG370)</f>
        <v/>
      </c>
      <c r="G369" s="29" t="str">
        <f>IF('12 - Device_Configuration'!AH370="","",'12 - Device_Configuration'!AH370)</f>
        <v/>
      </c>
      <c r="H369" s="29" t="str">
        <f>IF('12 - Device_Configuration'!A370="","",'12 - Device_Configuration'!A370)</f>
        <v/>
      </c>
      <c r="I369" s="29" t="str">
        <f>IF('12 - Device_Configuration'!AI370="","",'12 - Device_Configuration'!AI370)</f>
        <v/>
      </c>
      <c r="J369" s="29" t="str">
        <f>IF('12 - Device_Configuration'!AJ370="","",'12 - Device_Configuration'!AJ370)</f>
        <v/>
      </c>
      <c r="K369" s="29" t="str">
        <f>IF('12 - Device_Configuration'!AA370="","",'12 - Device_Configuration'!AA370)</f>
        <v/>
      </c>
      <c r="L369" s="29" t="str">
        <f>IF('12 - Device_Configuration'!I370="","",'12 - Device_Configuration'!I370)</f>
        <v/>
      </c>
      <c r="M369" s="30"/>
      <c r="N369" s="29" t="str">
        <f>IF('12 - Device_Configuration'!J370="","",'12 - Device_Configuration'!J370)</f>
        <v/>
      </c>
      <c r="O369" s="29" t="str">
        <f>IF('12 - Device_Configuration'!K370="","",'12 - Device_Configuration'!K370)</f>
        <v/>
      </c>
      <c r="P369" s="29" t="str">
        <f>IF('12 - Device_Configuration'!L370="","",'12 - Device_Configuration'!L370)</f>
        <v/>
      </c>
      <c r="Q369" s="30"/>
      <c r="R369" s="29" t="str">
        <f>IF('12 - Device_Configuration'!AY370="","",'12 - Device_Configuration'!AY370)</f>
        <v/>
      </c>
      <c r="S369" s="29" t="str">
        <f>IF('12 - Device_Configuration'!AX370="","",'12 - Device_Configuration'!AX370)</f>
        <v/>
      </c>
      <c r="T369" s="29" t="str">
        <f>IF('12 - Device_Configuration'!AV370="","",'12 - Device_Configuration'!AV370)</f>
        <v/>
      </c>
      <c r="U369" s="29" t="str">
        <f>IF('12 - Device_Configuration'!AW370="","",'12 - Device_Configuration'!AW370)</f>
        <v/>
      </c>
      <c r="V369" s="29" t="str">
        <f>IF('12 - Device_Configuration'!BA370="","",'12 - Device_Configuration'!BA370)</f>
        <v/>
      </c>
      <c r="W369" s="29" t="str">
        <f>IF('12 - Device_Configuration'!BC370="","",'12 - Device_Configuration'!BC370)</f>
        <v/>
      </c>
      <c r="X369" s="29" t="str">
        <f>IF('12 - Device_Configuration'!BK370="","",'12 - Device_Configuration'!BK370)</f>
        <v/>
      </c>
      <c r="Y369" s="29" t="str">
        <f>IF('12 - Device_Configuration'!BB370="","",'12 - Device_Configuration'!BB370)</f>
        <v/>
      </c>
      <c r="Z369" s="29" t="str">
        <f>IF('12 - Device_Configuration'!P370="","",'12 - Device_Configuration'!P370)</f>
        <v/>
      </c>
      <c r="AA369" s="29" t="str">
        <f>IF('12 - Device_Configuration'!Q370="","",'12 - Device_Configuration'!Q370)</f>
        <v/>
      </c>
    </row>
    <row r="370" spans="1:27">
      <c r="A370" s="30"/>
      <c r="B370" s="30"/>
      <c r="C370" s="29" t="str">
        <f>IF('12 - Device_Configuration'!H371="","",'12 - Device_Configuration'!H371)</f>
        <v/>
      </c>
      <c r="D370" s="29" t="str">
        <f>IF('12 - Device_Configuration'!AE371="","",'12 - Device_Configuration'!AE371)</f>
        <v/>
      </c>
      <c r="E370" s="29" t="str">
        <f>IF('12 - Device_Configuration'!AF371="","",'12 - Device_Configuration'!AF371)</f>
        <v/>
      </c>
      <c r="F370" s="29" t="str">
        <f>IF('12 - Device_Configuration'!AG371="","",'12 - Device_Configuration'!AG371)</f>
        <v/>
      </c>
      <c r="G370" s="29" t="str">
        <f>IF('12 - Device_Configuration'!AH371="","",'12 - Device_Configuration'!AH371)</f>
        <v/>
      </c>
      <c r="H370" s="29" t="str">
        <f>IF('12 - Device_Configuration'!A371="","",'12 - Device_Configuration'!A371)</f>
        <v/>
      </c>
      <c r="I370" s="29" t="str">
        <f>IF('12 - Device_Configuration'!AI371="","",'12 - Device_Configuration'!AI371)</f>
        <v/>
      </c>
      <c r="J370" s="29" t="str">
        <f>IF('12 - Device_Configuration'!AJ371="","",'12 - Device_Configuration'!AJ371)</f>
        <v/>
      </c>
      <c r="K370" s="29" t="str">
        <f>IF('12 - Device_Configuration'!AA371="","",'12 - Device_Configuration'!AA371)</f>
        <v/>
      </c>
      <c r="L370" s="29" t="str">
        <f>IF('12 - Device_Configuration'!I371="","",'12 - Device_Configuration'!I371)</f>
        <v/>
      </c>
      <c r="M370" s="30"/>
      <c r="N370" s="29" t="str">
        <f>IF('12 - Device_Configuration'!J371="","",'12 - Device_Configuration'!J371)</f>
        <v/>
      </c>
      <c r="O370" s="29" t="str">
        <f>IF('12 - Device_Configuration'!K371="","",'12 - Device_Configuration'!K371)</f>
        <v/>
      </c>
      <c r="P370" s="29" t="str">
        <f>IF('12 - Device_Configuration'!L371="","",'12 - Device_Configuration'!L371)</f>
        <v/>
      </c>
      <c r="Q370" s="30"/>
      <c r="R370" s="29" t="str">
        <f>IF('12 - Device_Configuration'!AY371="","",'12 - Device_Configuration'!AY371)</f>
        <v/>
      </c>
      <c r="S370" s="29" t="str">
        <f>IF('12 - Device_Configuration'!AX371="","",'12 - Device_Configuration'!AX371)</f>
        <v/>
      </c>
      <c r="T370" s="29" t="str">
        <f>IF('12 - Device_Configuration'!AV371="","",'12 - Device_Configuration'!AV371)</f>
        <v/>
      </c>
      <c r="U370" s="29" t="str">
        <f>IF('12 - Device_Configuration'!AW371="","",'12 - Device_Configuration'!AW371)</f>
        <v/>
      </c>
      <c r="V370" s="29" t="str">
        <f>IF('12 - Device_Configuration'!BA371="","",'12 - Device_Configuration'!BA371)</f>
        <v/>
      </c>
      <c r="W370" s="29" t="str">
        <f>IF('12 - Device_Configuration'!BC371="","",'12 - Device_Configuration'!BC371)</f>
        <v/>
      </c>
      <c r="X370" s="29" t="str">
        <f>IF('12 - Device_Configuration'!BK371="","",'12 - Device_Configuration'!BK371)</f>
        <v/>
      </c>
      <c r="Y370" s="29" t="str">
        <f>IF('12 - Device_Configuration'!BB371="","",'12 - Device_Configuration'!BB371)</f>
        <v/>
      </c>
      <c r="Z370" s="29" t="str">
        <f>IF('12 - Device_Configuration'!P371="","",'12 - Device_Configuration'!P371)</f>
        <v/>
      </c>
      <c r="AA370" s="29" t="str">
        <f>IF('12 - Device_Configuration'!Q371="","",'12 - Device_Configuration'!Q371)</f>
        <v/>
      </c>
    </row>
    <row r="371" spans="1:27">
      <c r="A371" s="30"/>
      <c r="B371" s="30"/>
      <c r="C371" s="29" t="str">
        <f>IF('12 - Device_Configuration'!H372="","",'12 - Device_Configuration'!H372)</f>
        <v/>
      </c>
      <c r="D371" s="29" t="str">
        <f>IF('12 - Device_Configuration'!AE372="","",'12 - Device_Configuration'!AE372)</f>
        <v/>
      </c>
      <c r="E371" s="29" t="str">
        <f>IF('12 - Device_Configuration'!AF372="","",'12 - Device_Configuration'!AF372)</f>
        <v/>
      </c>
      <c r="F371" s="29" t="str">
        <f>IF('12 - Device_Configuration'!AG372="","",'12 - Device_Configuration'!AG372)</f>
        <v/>
      </c>
      <c r="G371" s="29" t="str">
        <f>IF('12 - Device_Configuration'!AH372="","",'12 - Device_Configuration'!AH372)</f>
        <v/>
      </c>
      <c r="H371" s="29" t="str">
        <f>IF('12 - Device_Configuration'!A372="","",'12 - Device_Configuration'!A372)</f>
        <v/>
      </c>
      <c r="I371" s="29" t="str">
        <f>IF('12 - Device_Configuration'!AI372="","",'12 - Device_Configuration'!AI372)</f>
        <v/>
      </c>
      <c r="J371" s="29" t="str">
        <f>IF('12 - Device_Configuration'!AJ372="","",'12 - Device_Configuration'!AJ372)</f>
        <v/>
      </c>
      <c r="K371" s="29" t="str">
        <f>IF('12 - Device_Configuration'!AA372="","",'12 - Device_Configuration'!AA372)</f>
        <v/>
      </c>
      <c r="L371" s="29" t="str">
        <f>IF('12 - Device_Configuration'!I372="","",'12 - Device_Configuration'!I372)</f>
        <v/>
      </c>
      <c r="M371" s="30"/>
      <c r="N371" s="29" t="str">
        <f>IF('12 - Device_Configuration'!J372="","",'12 - Device_Configuration'!J372)</f>
        <v/>
      </c>
      <c r="O371" s="29" t="str">
        <f>IF('12 - Device_Configuration'!K372="","",'12 - Device_Configuration'!K372)</f>
        <v/>
      </c>
      <c r="P371" s="29" t="str">
        <f>IF('12 - Device_Configuration'!L372="","",'12 - Device_Configuration'!L372)</f>
        <v/>
      </c>
      <c r="Q371" s="30"/>
      <c r="R371" s="29" t="str">
        <f>IF('12 - Device_Configuration'!AY372="","",'12 - Device_Configuration'!AY372)</f>
        <v/>
      </c>
      <c r="S371" s="29" t="str">
        <f>IF('12 - Device_Configuration'!AX372="","",'12 - Device_Configuration'!AX372)</f>
        <v/>
      </c>
      <c r="T371" s="29" t="str">
        <f>IF('12 - Device_Configuration'!AV372="","",'12 - Device_Configuration'!AV372)</f>
        <v/>
      </c>
      <c r="U371" s="29" t="str">
        <f>IF('12 - Device_Configuration'!AW372="","",'12 - Device_Configuration'!AW372)</f>
        <v/>
      </c>
      <c r="V371" s="29" t="str">
        <f>IF('12 - Device_Configuration'!BA372="","",'12 - Device_Configuration'!BA372)</f>
        <v/>
      </c>
      <c r="W371" s="29" t="str">
        <f>IF('12 - Device_Configuration'!BC372="","",'12 - Device_Configuration'!BC372)</f>
        <v/>
      </c>
      <c r="X371" s="29" t="str">
        <f>IF('12 - Device_Configuration'!BK372="","",'12 - Device_Configuration'!BK372)</f>
        <v/>
      </c>
      <c r="Y371" s="29" t="str">
        <f>IF('12 - Device_Configuration'!BB372="","",'12 - Device_Configuration'!BB372)</f>
        <v/>
      </c>
      <c r="Z371" s="29" t="str">
        <f>IF('12 - Device_Configuration'!P372="","",'12 - Device_Configuration'!P372)</f>
        <v/>
      </c>
      <c r="AA371" s="29" t="str">
        <f>IF('12 - Device_Configuration'!Q372="","",'12 - Device_Configuration'!Q372)</f>
        <v/>
      </c>
    </row>
    <row r="372" spans="1:27">
      <c r="A372" s="30"/>
      <c r="B372" s="30"/>
      <c r="C372" s="29" t="str">
        <f>IF('12 - Device_Configuration'!H373="","",'12 - Device_Configuration'!H373)</f>
        <v/>
      </c>
      <c r="D372" s="29" t="str">
        <f>IF('12 - Device_Configuration'!AE373="","",'12 - Device_Configuration'!AE373)</f>
        <v/>
      </c>
      <c r="E372" s="29" t="str">
        <f>IF('12 - Device_Configuration'!AF373="","",'12 - Device_Configuration'!AF373)</f>
        <v/>
      </c>
      <c r="F372" s="29" t="str">
        <f>IF('12 - Device_Configuration'!AG373="","",'12 - Device_Configuration'!AG373)</f>
        <v/>
      </c>
      <c r="G372" s="29" t="str">
        <f>IF('12 - Device_Configuration'!AH373="","",'12 - Device_Configuration'!AH373)</f>
        <v/>
      </c>
      <c r="H372" s="29" t="str">
        <f>IF('12 - Device_Configuration'!A373="","",'12 - Device_Configuration'!A373)</f>
        <v/>
      </c>
      <c r="I372" s="29" t="str">
        <f>IF('12 - Device_Configuration'!AI373="","",'12 - Device_Configuration'!AI373)</f>
        <v/>
      </c>
      <c r="J372" s="29" t="str">
        <f>IF('12 - Device_Configuration'!AJ373="","",'12 - Device_Configuration'!AJ373)</f>
        <v/>
      </c>
      <c r="K372" s="29" t="str">
        <f>IF('12 - Device_Configuration'!AA373="","",'12 - Device_Configuration'!AA373)</f>
        <v/>
      </c>
      <c r="L372" s="29" t="str">
        <f>IF('12 - Device_Configuration'!I373="","",'12 - Device_Configuration'!I373)</f>
        <v/>
      </c>
      <c r="M372" s="30"/>
      <c r="N372" s="29" t="str">
        <f>IF('12 - Device_Configuration'!J373="","",'12 - Device_Configuration'!J373)</f>
        <v/>
      </c>
      <c r="O372" s="29" t="str">
        <f>IF('12 - Device_Configuration'!K373="","",'12 - Device_Configuration'!K373)</f>
        <v/>
      </c>
      <c r="P372" s="29" t="str">
        <f>IF('12 - Device_Configuration'!L373="","",'12 - Device_Configuration'!L373)</f>
        <v/>
      </c>
      <c r="Q372" s="30"/>
      <c r="R372" s="29" t="str">
        <f>IF('12 - Device_Configuration'!AY373="","",'12 - Device_Configuration'!AY373)</f>
        <v/>
      </c>
      <c r="S372" s="29" t="str">
        <f>IF('12 - Device_Configuration'!AX373="","",'12 - Device_Configuration'!AX373)</f>
        <v/>
      </c>
      <c r="T372" s="29" t="str">
        <f>IF('12 - Device_Configuration'!AV373="","",'12 - Device_Configuration'!AV373)</f>
        <v/>
      </c>
      <c r="U372" s="29" t="str">
        <f>IF('12 - Device_Configuration'!AW373="","",'12 - Device_Configuration'!AW373)</f>
        <v/>
      </c>
      <c r="V372" s="29" t="str">
        <f>IF('12 - Device_Configuration'!BA373="","",'12 - Device_Configuration'!BA373)</f>
        <v/>
      </c>
      <c r="W372" s="29" t="str">
        <f>IF('12 - Device_Configuration'!BC373="","",'12 - Device_Configuration'!BC373)</f>
        <v/>
      </c>
      <c r="X372" s="29" t="str">
        <f>IF('12 - Device_Configuration'!BK373="","",'12 - Device_Configuration'!BK373)</f>
        <v/>
      </c>
      <c r="Y372" s="29" t="str">
        <f>IF('12 - Device_Configuration'!BB373="","",'12 - Device_Configuration'!BB373)</f>
        <v/>
      </c>
      <c r="Z372" s="29" t="str">
        <f>IF('12 - Device_Configuration'!P373="","",'12 - Device_Configuration'!P373)</f>
        <v/>
      </c>
      <c r="AA372" s="29" t="str">
        <f>IF('12 - Device_Configuration'!Q373="","",'12 - Device_Configuration'!Q373)</f>
        <v/>
      </c>
    </row>
    <row r="373" spans="1:27">
      <c r="A373" s="30"/>
      <c r="B373" s="30"/>
      <c r="C373" s="29" t="str">
        <f>IF('12 - Device_Configuration'!H374="","",'12 - Device_Configuration'!H374)</f>
        <v/>
      </c>
      <c r="D373" s="29" t="str">
        <f>IF('12 - Device_Configuration'!AE374="","",'12 - Device_Configuration'!AE374)</f>
        <v/>
      </c>
      <c r="E373" s="29" t="str">
        <f>IF('12 - Device_Configuration'!AF374="","",'12 - Device_Configuration'!AF374)</f>
        <v/>
      </c>
      <c r="F373" s="29" t="str">
        <f>IF('12 - Device_Configuration'!AG374="","",'12 - Device_Configuration'!AG374)</f>
        <v/>
      </c>
      <c r="G373" s="29" t="str">
        <f>IF('12 - Device_Configuration'!AH374="","",'12 - Device_Configuration'!AH374)</f>
        <v/>
      </c>
      <c r="H373" s="29" t="str">
        <f>IF('12 - Device_Configuration'!A374="","",'12 - Device_Configuration'!A374)</f>
        <v/>
      </c>
      <c r="I373" s="29" t="str">
        <f>IF('12 - Device_Configuration'!AI374="","",'12 - Device_Configuration'!AI374)</f>
        <v/>
      </c>
      <c r="J373" s="29" t="str">
        <f>IF('12 - Device_Configuration'!AJ374="","",'12 - Device_Configuration'!AJ374)</f>
        <v/>
      </c>
      <c r="K373" s="29" t="str">
        <f>IF('12 - Device_Configuration'!AA374="","",'12 - Device_Configuration'!AA374)</f>
        <v/>
      </c>
      <c r="L373" s="29" t="str">
        <f>IF('12 - Device_Configuration'!I374="","",'12 - Device_Configuration'!I374)</f>
        <v/>
      </c>
      <c r="M373" s="30"/>
      <c r="N373" s="29" t="str">
        <f>IF('12 - Device_Configuration'!J374="","",'12 - Device_Configuration'!J374)</f>
        <v/>
      </c>
      <c r="O373" s="29" t="str">
        <f>IF('12 - Device_Configuration'!K374="","",'12 - Device_Configuration'!K374)</f>
        <v/>
      </c>
      <c r="P373" s="29" t="str">
        <f>IF('12 - Device_Configuration'!L374="","",'12 - Device_Configuration'!L374)</f>
        <v/>
      </c>
      <c r="Q373" s="30"/>
      <c r="R373" s="29" t="str">
        <f>IF('12 - Device_Configuration'!AY374="","",'12 - Device_Configuration'!AY374)</f>
        <v/>
      </c>
      <c r="S373" s="29" t="str">
        <f>IF('12 - Device_Configuration'!AX374="","",'12 - Device_Configuration'!AX374)</f>
        <v/>
      </c>
      <c r="T373" s="29" t="str">
        <f>IF('12 - Device_Configuration'!AV374="","",'12 - Device_Configuration'!AV374)</f>
        <v/>
      </c>
      <c r="U373" s="29" t="str">
        <f>IF('12 - Device_Configuration'!AW374="","",'12 - Device_Configuration'!AW374)</f>
        <v/>
      </c>
      <c r="V373" s="29" t="str">
        <f>IF('12 - Device_Configuration'!BA374="","",'12 - Device_Configuration'!BA374)</f>
        <v/>
      </c>
      <c r="W373" s="29" t="str">
        <f>IF('12 - Device_Configuration'!BC374="","",'12 - Device_Configuration'!BC374)</f>
        <v/>
      </c>
      <c r="X373" s="29" t="str">
        <f>IF('12 - Device_Configuration'!BK374="","",'12 - Device_Configuration'!BK374)</f>
        <v/>
      </c>
      <c r="Y373" s="29" t="str">
        <f>IF('12 - Device_Configuration'!BB374="","",'12 - Device_Configuration'!BB374)</f>
        <v/>
      </c>
      <c r="Z373" s="29" t="str">
        <f>IF('12 - Device_Configuration'!P374="","",'12 - Device_Configuration'!P374)</f>
        <v/>
      </c>
      <c r="AA373" s="29" t="str">
        <f>IF('12 - Device_Configuration'!Q374="","",'12 - Device_Configuration'!Q374)</f>
        <v/>
      </c>
    </row>
    <row r="374" spans="1:27">
      <c r="A374" s="30"/>
      <c r="B374" s="30"/>
      <c r="C374" s="29" t="str">
        <f>IF('12 - Device_Configuration'!H375="","",'12 - Device_Configuration'!H375)</f>
        <v/>
      </c>
      <c r="D374" s="29" t="str">
        <f>IF('12 - Device_Configuration'!AE375="","",'12 - Device_Configuration'!AE375)</f>
        <v/>
      </c>
      <c r="E374" s="29" t="str">
        <f>IF('12 - Device_Configuration'!AF375="","",'12 - Device_Configuration'!AF375)</f>
        <v/>
      </c>
      <c r="F374" s="29" t="str">
        <f>IF('12 - Device_Configuration'!AG375="","",'12 - Device_Configuration'!AG375)</f>
        <v/>
      </c>
      <c r="G374" s="29" t="str">
        <f>IF('12 - Device_Configuration'!AH375="","",'12 - Device_Configuration'!AH375)</f>
        <v/>
      </c>
      <c r="H374" s="29" t="str">
        <f>IF('12 - Device_Configuration'!A375="","",'12 - Device_Configuration'!A375)</f>
        <v/>
      </c>
      <c r="I374" s="29" t="str">
        <f>IF('12 - Device_Configuration'!AI375="","",'12 - Device_Configuration'!AI375)</f>
        <v/>
      </c>
      <c r="J374" s="29" t="str">
        <f>IF('12 - Device_Configuration'!AJ375="","",'12 - Device_Configuration'!AJ375)</f>
        <v/>
      </c>
      <c r="K374" s="29" t="str">
        <f>IF('12 - Device_Configuration'!AA375="","",'12 - Device_Configuration'!AA375)</f>
        <v/>
      </c>
      <c r="L374" s="29" t="str">
        <f>IF('12 - Device_Configuration'!I375="","",'12 - Device_Configuration'!I375)</f>
        <v/>
      </c>
      <c r="M374" s="30"/>
      <c r="N374" s="29" t="str">
        <f>IF('12 - Device_Configuration'!J375="","",'12 - Device_Configuration'!J375)</f>
        <v/>
      </c>
      <c r="O374" s="29" t="str">
        <f>IF('12 - Device_Configuration'!K375="","",'12 - Device_Configuration'!K375)</f>
        <v/>
      </c>
      <c r="P374" s="29" t="str">
        <f>IF('12 - Device_Configuration'!L375="","",'12 - Device_Configuration'!L375)</f>
        <v/>
      </c>
      <c r="Q374" s="30"/>
      <c r="R374" s="29" t="str">
        <f>IF('12 - Device_Configuration'!AY375="","",'12 - Device_Configuration'!AY375)</f>
        <v/>
      </c>
      <c r="S374" s="29" t="str">
        <f>IF('12 - Device_Configuration'!AX375="","",'12 - Device_Configuration'!AX375)</f>
        <v/>
      </c>
      <c r="T374" s="29" t="str">
        <f>IF('12 - Device_Configuration'!AV375="","",'12 - Device_Configuration'!AV375)</f>
        <v/>
      </c>
      <c r="U374" s="29" t="str">
        <f>IF('12 - Device_Configuration'!AW375="","",'12 - Device_Configuration'!AW375)</f>
        <v/>
      </c>
      <c r="V374" s="29" t="str">
        <f>IF('12 - Device_Configuration'!BA375="","",'12 - Device_Configuration'!BA375)</f>
        <v/>
      </c>
      <c r="W374" s="29" t="str">
        <f>IF('12 - Device_Configuration'!BC375="","",'12 - Device_Configuration'!BC375)</f>
        <v/>
      </c>
      <c r="X374" s="29" t="str">
        <f>IF('12 - Device_Configuration'!BK375="","",'12 - Device_Configuration'!BK375)</f>
        <v/>
      </c>
      <c r="Y374" s="29" t="str">
        <f>IF('12 - Device_Configuration'!BB375="","",'12 - Device_Configuration'!BB375)</f>
        <v/>
      </c>
      <c r="Z374" s="29" t="str">
        <f>IF('12 - Device_Configuration'!P375="","",'12 - Device_Configuration'!P375)</f>
        <v/>
      </c>
      <c r="AA374" s="29" t="str">
        <f>IF('12 - Device_Configuration'!Q375="","",'12 - Device_Configuration'!Q375)</f>
        <v/>
      </c>
    </row>
    <row r="375" spans="1:27">
      <c r="A375" s="30"/>
      <c r="B375" s="30"/>
      <c r="C375" s="29" t="str">
        <f>IF('12 - Device_Configuration'!H376="","",'12 - Device_Configuration'!H376)</f>
        <v/>
      </c>
      <c r="D375" s="29" t="str">
        <f>IF('12 - Device_Configuration'!AE376="","",'12 - Device_Configuration'!AE376)</f>
        <v/>
      </c>
      <c r="E375" s="29" t="str">
        <f>IF('12 - Device_Configuration'!AF376="","",'12 - Device_Configuration'!AF376)</f>
        <v/>
      </c>
      <c r="F375" s="29" t="str">
        <f>IF('12 - Device_Configuration'!AG376="","",'12 - Device_Configuration'!AG376)</f>
        <v/>
      </c>
      <c r="G375" s="29" t="str">
        <f>IF('12 - Device_Configuration'!AH376="","",'12 - Device_Configuration'!AH376)</f>
        <v/>
      </c>
      <c r="H375" s="29" t="str">
        <f>IF('12 - Device_Configuration'!A376="","",'12 - Device_Configuration'!A376)</f>
        <v/>
      </c>
      <c r="I375" s="29" t="str">
        <f>IF('12 - Device_Configuration'!AI376="","",'12 - Device_Configuration'!AI376)</f>
        <v/>
      </c>
      <c r="J375" s="29" t="str">
        <f>IF('12 - Device_Configuration'!AJ376="","",'12 - Device_Configuration'!AJ376)</f>
        <v/>
      </c>
      <c r="K375" s="29" t="str">
        <f>IF('12 - Device_Configuration'!AA376="","",'12 - Device_Configuration'!AA376)</f>
        <v/>
      </c>
      <c r="L375" s="29" t="str">
        <f>IF('12 - Device_Configuration'!I376="","",'12 - Device_Configuration'!I376)</f>
        <v/>
      </c>
      <c r="M375" s="30"/>
      <c r="N375" s="29" t="str">
        <f>IF('12 - Device_Configuration'!J376="","",'12 - Device_Configuration'!J376)</f>
        <v/>
      </c>
      <c r="O375" s="29" t="str">
        <f>IF('12 - Device_Configuration'!K376="","",'12 - Device_Configuration'!K376)</f>
        <v/>
      </c>
      <c r="P375" s="29" t="str">
        <f>IF('12 - Device_Configuration'!L376="","",'12 - Device_Configuration'!L376)</f>
        <v/>
      </c>
      <c r="Q375" s="30"/>
      <c r="R375" s="29" t="str">
        <f>IF('12 - Device_Configuration'!AY376="","",'12 - Device_Configuration'!AY376)</f>
        <v/>
      </c>
      <c r="S375" s="29" t="str">
        <f>IF('12 - Device_Configuration'!AX376="","",'12 - Device_Configuration'!AX376)</f>
        <v/>
      </c>
      <c r="T375" s="29" t="str">
        <f>IF('12 - Device_Configuration'!AV376="","",'12 - Device_Configuration'!AV376)</f>
        <v/>
      </c>
      <c r="U375" s="29" t="str">
        <f>IF('12 - Device_Configuration'!AW376="","",'12 - Device_Configuration'!AW376)</f>
        <v/>
      </c>
      <c r="V375" s="29" t="str">
        <f>IF('12 - Device_Configuration'!BA376="","",'12 - Device_Configuration'!BA376)</f>
        <v/>
      </c>
      <c r="W375" s="29" t="str">
        <f>IF('12 - Device_Configuration'!BC376="","",'12 - Device_Configuration'!BC376)</f>
        <v/>
      </c>
      <c r="X375" s="29" t="str">
        <f>IF('12 - Device_Configuration'!BK376="","",'12 - Device_Configuration'!BK376)</f>
        <v/>
      </c>
      <c r="Y375" s="29" t="str">
        <f>IF('12 - Device_Configuration'!BB376="","",'12 - Device_Configuration'!BB376)</f>
        <v/>
      </c>
      <c r="Z375" s="29" t="str">
        <f>IF('12 - Device_Configuration'!P376="","",'12 - Device_Configuration'!P376)</f>
        <v/>
      </c>
      <c r="AA375" s="29" t="str">
        <f>IF('12 - Device_Configuration'!Q376="","",'12 - Device_Configuration'!Q376)</f>
        <v/>
      </c>
    </row>
    <row r="376" spans="1:27">
      <c r="A376" s="30"/>
      <c r="B376" s="30"/>
      <c r="C376" s="29" t="str">
        <f>IF('12 - Device_Configuration'!H377="","",'12 - Device_Configuration'!H377)</f>
        <v/>
      </c>
      <c r="D376" s="29" t="str">
        <f>IF('12 - Device_Configuration'!AE377="","",'12 - Device_Configuration'!AE377)</f>
        <v/>
      </c>
      <c r="E376" s="29" t="str">
        <f>IF('12 - Device_Configuration'!AF377="","",'12 - Device_Configuration'!AF377)</f>
        <v/>
      </c>
      <c r="F376" s="29" t="str">
        <f>IF('12 - Device_Configuration'!AG377="","",'12 - Device_Configuration'!AG377)</f>
        <v/>
      </c>
      <c r="G376" s="29" t="str">
        <f>IF('12 - Device_Configuration'!AH377="","",'12 - Device_Configuration'!AH377)</f>
        <v/>
      </c>
      <c r="H376" s="29" t="str">
        <f>IF('12 - Device_Configuration'!A377="","",'12 - Device_Configuration'!A377)</f>
        <v/>
      </c>
      <c r="I376" s="29" t="str">
        <f>IF('12 - Device_Configuration'!AI377="","",'12 - Device_Configuration'!AI377)</f>
        <v/>
      </c>
      <c r="J376" s="29" t="str">
        <f>IF('12 - Device_Configuration'!AJ377="","",'12 - Device_Configuration'!AJ377)</f>
        <v/>
      </c>
      <c r="K376" s="29" t="str">
        <f>IF('12 - Device_Configuration'!AA377="","",'12 - Device_Configuration'!AA377)</f>
        <v/>
      </c>
      <c r="L376" s="29" t="str">
        <f>IF('12 - Device_Configuration'!I377="","",'12 - Device_Configuration'!I377)</f>
        <v/>
      </c>
      <c r="M376" s="30"/>
      <c r="N376" s="29" t="str">
        <f>IF('12 - Device_Configuration'!J377="","",'12 - Device_Configuration'!J377)</f>
        <v/>
      </c>
      <c r="O376" s="29" t="str">
        <f>IF('12 - Device_Configuration'!K377="","",'12 - Device_Configuration'!K377)</f>
        <v/>
      </c>
      <c r="P376" s="29" t="str">
        <f>IF('12 - Device_Configuration'!L377="","",'12 - Device_Configuration'!L377)</f>
        <v/>
      </c>
      <c r="Q376" s="30"/>
      <c r="R376" s="29" t="str">
        <f>IF('12 - Device_Configuration'!AY377="","",'12 - Device_Configuration'!AY377)</f>
        <v/>
      </c>
      <c r="S376" s="29" t="str">
        <f>IF('12 - Device_Configuration'!AX377="","",'12 - Device_Configuration'!AX377)</f>
        <v/>
      </c>
      <c r="T376" s="29" t="str">
        <f>IF('12 - Device_Configuration'!AV377="","",'12 - Device_Configuration'!AV377)</f>
        <v/>
      </c>
      <c r="U376" s="29" t="str">
        <f>IF('12 - Device_Configuration'!AW377="","",'12 - Device_Configuration'!AW377)</f>
        <v/>
      </c>
      <c r="V376" s="29" t="str">
        <f>IF('12 - Device_Configuration'!BA377="","",'12 - Device_Configuration'!BA377)</f>
        <v/>
      </c>
      <c r="W376" s="29" t="str">
        <f>IF('12 - Device_Configuration'!BC377="","",'12 - Device_Configuration'!BC377)</f>
        <v/>
      </c>
      <c r="X376" s="29" t="str">
        <f>IF('12 - Device_Configuration'!BK377="","",'12 - Device_Configuration'!BK377)</f>
        <v/>
      </c>
      <c r="Y376" s="29" t="str">
        <f>IF('12 - Device_Configuration'!BB377="","",'12 - Device_Configuration'!BB377)</f>
        <v/>
      </c>
      <c r="Z376" s="29" t="str">
        <f>IF('12 - Device_Configuration'!P377="","",'12 - Device_Configuration'!P377)</f>
        <v/>
      </c>
      <c r="AA376" s="29" t="str">
        <f>IF('12 - Device_Configuration'!Q377="","",'12 - Device_Configuration'!Q377)</f>
        <v/>
      </c>
    </row>
    <row r="377" spans="1:27">
      <c r="A377" s="30"/>
      <c r="B377" s="30"/>
      <c r="C377" s="29" t="str">
        <f>IF('12 - Device_Configuration'!H378="","",'12 - Device_Configuration'!H378)</f>
        <v/>
      </c>
      <c r="D377" s="29" t="str">
        <f>IF('12 - Device_Configuration'!AE378="","",'12 - Device_Configuration'!AE378)</f>
        <v/>
      </c>
      <c r="E377" s="29" t="str">
        <f>IF('12 - Device_Configuration'!AF378="","",'12 - Device_Configuration'!AF378)</f>
        <v/>
      </c>
      <c r="F377" s="29" t="str">
        <f>IF('12 - Device_Configuration'!AG378="","",'12 - Device_Configuration'!AG378)</f>
        <v/>
      </c>
      <c r="G377" s="29" t="str">
        <f>IF('12 - Device_Configuration'!AH378="","",'12 - Device_Configuration'!AH378)</f>
        <v/>
      </c>
      <c r="H377" s="29" t="str">
        <f>IF('12 - Device_Configuration'!A378="","",'12 - Device_Configuration'!A378)</f>
        <v/>
      </c>
      <c r="I377" s="29" t="str">
        <f>IF('12 - Device_Configuration'!AI378="","",'12 - Device_Configuration'!AI378)</f>
        <v/>
      </c>
      <c r="J377" s="29" t="str">
        <f>IF('12 - Device_Configuration'!AJ378="","",'12 - Device_Configuration'!AJ378)</f>
        <v/>
      </c>
      <c r="K377" s="29" t="str">
        <f>IF('12 - Device_Configuration'!AA378="","",'12 - Device_Configuration'!AA378)</f>
        <v/>
      </c>
      <c r="L377" s="29" t="str">
        <f>IF('12 - Device_Configuration'!I378="","",'12 - Device_Configuration'!I378)</f>
        <v/>
      </c>
      <c r="M377" s="30"/>
      <c r="N377" s="29" t="str">
        <f>IF('12 - Device_Configuration'!J378="","",'12 - Device_Configuration'!J378)</f>
        <v/>
      </c>
      <c r="O377" s="29" t="str">
        <f>IF('12 - Device_Configuration'!K378="","",'12 - Device_Configuration'!K378)</f>
        <v/>
      </c>
      <c r="P377" s="29" t="str">
        <f>IF('12 - Device_Configuration'!L378="","",'12 - Device_Configuration'!L378)</f>
        <v/>
      </c>
      <c r="Q377" s="30"/>
      <c r="R377" s="29" t="str">
        <f>IF('12 - Device_Configuration'!AY378="","",'12 - Device_Configuration'!AY378)</f>
        <v/>
      </c>
      <c r="S377" s="29" t="str">
        <f>IF('12 - Device_Configuration'!AX378="","",'12 - Device_Configuration'!AX378)</f>
        <v/>
      </c>
      <c r="T377" s="29" t="str">
        <f>IF('12 - Device_Configuration'!AV378="","",'12 - Device_Configuration'!AV378)</f>
        <v/>
      </c>
      <c r="U377" s="29" t="str">
        <f>IF('12 - Device_Configuration'!AW378="","",'12 - Device_Configuration'!AW378)</f>
        <v/>
      </c>
      <c r="V377" s="29" t="str">
        <f>IF('12 - Device_Configuration'!BA378="","",'12 - Device_Configuration'!BA378)</f>
        <v/>
      </c>
      <c r="W377" s="29" t="str">
        <f>IF('12 - Device_Configuration'!BC378="","",'12 - Device_Configuration'!BC378)</f>
        <v/>
      </c>
      <c r="X377" s="29" t="str">
        <f>IF('12 - Device_Configuration'!BK378="","",'12 - Device_Configuration'!BK378)</f>
        <v/>
      </c>
      <c r="Y377" s="29" t="str">
        <f>IF('12 - Device_Configuration'!BB378="","",'12 - Device_Configuration'!BB378)</f>
        <v/>
      </c>
      <c r="Z377" s="29" t="str">
        <f>IF('12 - Device_Configuration'!P378="","",'12 - Device_Configuration'!P378)</f>
        <v/>
      </c>
      <c r="AA377" s="29" t="str">
        <f>IF('12 - Device_Configuration'!Q378="","",'12 - Device_Configuration'!Q378)</f>
        <v/>
      </c>
    </row>
    <row r="378" spans="1:27">
      <c r="A378" s="30"/>
      <c r="B378" s="30"/>
      <c r="C378" s="29" t="str">
        <f>IF('12 - Device_Configuration'!H379="","",'12 - Device_Configuration'!H379)</f>
        <v/>
      </c>
      <c r="D378" s="29" t="str">
        <f>IF('12 - Device_Configuration'!AE379="","",'12 - Device_Configuration'!AE379)</f>
        <v/>
      </c>
      <c r="E378" s="29" t="str">
        <f>IF('12 - Device_Configuration'!AF379="","",'12 - Device_Configuration'!AF379)</f>
        <v/>
      </c>
      <c r="F378" s="29" t="str">
        <f>IF('12 - Device_Configuration'!AG379="","",'12 - Device_Configuration'!AG379)</f>
        <v/>
      </c>
      <c r="G378" s="29" t="str">
        <f>IF('12 - Device_Configuration'!AH379="","",'12 - Device_Configuration'!AH379)</f>
        <v/>
      </c>
      <c r="H378" s="29" t="str">
        <f>IF('12 - Device_Configuration'!A379="","",'12 - Device_Configuration'!A379)</f>
        <v/>
      </c>
      <c r="I378" s="29" t="str">
        <f>IF('12 - Device_Configuration'!AI379="","",'12 - Device_Configuration'!AI379)</f>
        <v/>
      </c>
      <c r="J378" s="29" t="str">
        <f>IF('12 - Device_Configuration'!AJ379="","",'12 - Device_Configuration'!AJ379)</f>
        <v/>
      </c>
      <c r="K378" s="29" t="str">
        <f>IF('12 - Device_Configuration'!AA379="","",'12 - Device_Configuration'!AA379)</f>
        <v/>
      </c>
      <c r="L378" s="29" t="str">
        <f>IF('12 - Device_Configuration'!I379="","",'12 - Device_Configuration'!I379)</f>
        <v/>
      </c>
      <c r="M378" s="30"/>
      <c r="N378" s="29" t="str">
        <f>IF('12 - Device_Configuration'!J379="","",'12 - Device_Configuration'!J379)</f>
        <v/>
      </c>
      <c r="O378" s="29" t="str">
        <f>IF('12 - Device_Configuration'!K379="","",'12 - Device_Configuration'!K379)</f>
        <v/>
      </c>
      <c r="P378" s="29" t="str">
        <f>IF('12 - Device_Configuration'!L379="","",'12 - Device_Configuration'!L379)</f>
        <v/>
      </c>
      <c r="Q378" s="30"/>
      <c r="R378" s="29" t="str">
        <f>IF('12 - Device_Configuration'!AY379="","",'12 - Device_Configuration'!AY379)</f>
        <v/>
      </c>
      <c r="S378" s="29" t="str">
        <f>IF('12 - Device_Configuration'!AX379="","",'12 - Device_Configuration'!AX379)</f>
        <v/>
      </c>
      <c r="T378" s="29" t="str">
        <f>IF('12 - Device_Configuration'!AV379="","",'12 - Device_Configuration'!AV379)</f>
        <v/>
      </c>
      <c r="U378" s="29" t="str">
        <f>IF('12 - Device_Configuration'!AW379="","",'12 - Device_Configuration'!AW379)</f>
        <v/>
      </c>
      <c r="V378" s="29" t="str">
        <f>IF('12 - Device_Configuration'!BA379="","",'12 - Device_Configuration'!BA379)</f>
        <v/>
      </c>
      <c r="W378" s="29" t="str">
        <f>IF('12 - Device_Configuration'!BC379="","",'12 - Device_Configuration'!BC379)</f>
        <v/>
      </c>
      <c r="X378" s="29" t="str">
        <f>IF('12 - Device_Configuration'!BK379="","",'12 - Device_Configuration'!BK379)</f>
        <v/>
      </c>
      <c r="Y378" s="29" t="str">
        <f>IF('12 - Device_Configuration'!BB379="","",'12 - Device_Configuration'!BB379)</f>
        <v/>
      </c>
      <c r="Z378" s="29" t="str">
        <f>IF('12 - Device_Configuration'!P379="","",'12 - Device_Configuration'!P379)</f>
        <v/>
      </c>
      <c r="AA378" s="29" t="str">
        <f>IF('12 - Device_Configuration'!Q379="","",'12 - Device_Configuration'!Q379)</f>
        <v/>
      </c>
    </row>
    <row r="379" spans="1:27">
      <c r="A379" s="30"/>
      <c r="B379" s="30"/>
      <c r="C379" s="29" t="str">
        <f>IF('12 - Device_Configuration'!H380="","",'12 - Device_Configuration'!H380)</f>
        <v/>
      </c>
      <c r="D379" s="29" t="str">
        <f>IF('12 - Device_Configuration'!AE380="","",'12 - Device_Configuration'!AE380)</f>
        <v/>
      </c>
      <c r="E379" s="29" t="str">
        <f>IF('12 - Device_Configuration'!AF380="","",'12 - Device_Configuration'!AF380)</f>
        <v/>
      </c>
      <c r="F379" s="29" t="str">
        <f>IF('12 - Device_Configuration'!AG380="","",'12 - Device_Configuration'!AG380)</f>
        <v/>
      </c>
      <c r="G379" s="29" t="str">
        <f>IF('12 - Device_Configuration'!AH380="","",'12 - Device_Configuration'!AH380)</f>
        <v/>
      </c>
      <c r="H379" s="29" t="str">
        <f>IF('12 - Device_Configuration'!A380="","",'12 - Device_Configuration'!A380)</f>
        <v/>
      </c>
      <c r="I379" s="29" t="str">
        <f>IF('12 - Device_Configuration'!AI380="","",'12 - Device_Configuration'!AI380)</f>
        <v/>
      </c>
      <c r="J379" s="29" t="str">
        <f>IF('12 - Device_Configuration'!AJ380="","",'12 - Device_Configuration'!AJ380)</f>
        <v/>
      </c>
      <c r="K379" s="29" t="str">
        <f>IF('12 - Device_Configuration'!AA380="","",'12 - Device_Configuration'!AA380)</f>
        <v/>
      </c>
      <c r="L379" s="29" t="str">
        <f>IF('12 - Device_Configuration'!I380="","",'12 - Device_Configuration'!I380)</f>
        <v/>
      </c>
      <c r="M379" s="30"/>
      <c r="N379" s="29" t="str">
        <f>IF('12 - Device_Configuration'!J380="","",'12 - Device_Configuration'!J380)</f>
        <v/>
      </c>
      <c r="O379" s="29" t="str">
        <f>IF('12 - Device_Configuration'!K380="","",'12 - Device_Configuration'!K380)</f>
        <v/>
      </c>
      <c r="P379" s="29" t="str">
        <f>IF('12 - Device_Configuration'!L380="","",'12 - Device_Configuration'!L380)</f>
        <v/>
      </c>
      <c r="Q379" s="30"/>
      <c r="R379" s="29" t="str">
        <f>IF('12 - Device_Configuration'!AY380="","",'12 - Device_Configuration'!AY380)</f>
        <v/>
      </c>
      <c r="S379" s="29" t="str">
        <f>IF('12 - Device_Configuration'!AX380="","",'12 - Device_Configuration'!AX380)</f>
        <v/>
      </c>
      <c r="T379" s="29" t="str">
        <f>IF('12 - Device_Configuration'!AV380="","",'12 - Device_Configuration'!AV380)</f>
        <v/>
      </c>
      <c r="U379" s="29" t="str">
        <f>IF('12 - Device_Configuration'!AW380="","",'12 - Device_Configuration'!AW380)</f>
        <v/>
      </c>
      <c r="V379" s="29" t="str">
        <f>IF('12 - Device_Configuration'!BA380="","",'12 - Device_Configuration'!BA380)</f>
        <v/>
      </c>
      <c r="W379" s="29" t="str">
        <f>IF('12 - Device_Configuration'!BC380="","",'12 - Device_Configuration'!BC380)</f>
        <v/>
      </c>
      <c r="X379" s="29" t="str">
        <f>IF('12 - Device_Configuration'!BK380="","",'12 - Device_Configuration'!BK380)</f>
        <v/>
      </c>
      <c r="Y379" s="29" t="str">
        <f>IF('12 - Device_Configuration'!BB380="","",'12 - Device_Configuration'!BB380)</f>
        <v/>
      </c>
      <c r="Z379" s="29" t="str">
        <f>IF('12 - Device_Configuration'!P380="","",'12 - Device_Configuration'!P380)</f>
        <v/>
      </c>
      <c r="AA379" s="29" t="str">
        <f>IF('12 - Device_Configuration'!Q380="","",'12 - Device_Configuration'!Q380)</f>
        <v/>
      </c>
    </row>
    <row r="380" spans="1:27">
      <c r="A380" s="30"/>
      <c r="B380" s="30"/>
      <c r="C380" s="29" t="str">
        <f>IF('12 - Device_Configuration'!H381="","",'12 - Device_Configuration'!H381)</f>
        <v/>
      </c>
      <c r="D380" s="29" t="str">
        <f>IF('12 - Device_Configuration'!AE381="","",'12 - Device_Configuration'!AE381)</f>
        <v/>
      </c>
      <c r="E380" s="29" t="str">
        <f>IF('12 - Device_Configuration'!AF381="","",'12 - Device_Configuration'!AF381)</f>
        <v/>
      </c>
      <c r="F380" s="29" t="str">
        <f>IF('12 - Device_Configuration'!AG381="","",'12 - Device_Configuration'!AG381)</f>
        <v/>
      </c>
      <c r="G380" s="29" t="str">
        <f>IF('12 - Device_Configuration'!AH381="","",'12 - Device_Configuration'!AH381)</f>
        <v/>
      </c>
      <c r="H380" s="29" t="str">
        <f>IF('12 - Device_Configuration'!A381="","",'12 - Device_Configuration'!A381)</f>
        <v/>
      </c>
      <c r="I380" s="29" t="str">
        <f>IF('12 - Device_Configuration'!AI381="","",'12 - Device_Configuration'!AI381)</f>
        <v/>
      </c>
      <c r="J380" s="29" t="str">
        <f>IF('12 - Device_Configuration'!AJ381="","",'12 - Device_Configuration'!AJ381)</f>
        <v/>
      </c>
      <c r="K380" s="29" t="str">
        <f>IF('12 - Device_Configuration'!AA381="","",'12 - Device_Configuration'!AA381)</f>
        <v/>
      </c>
      <c r="L380" s="29" t="str">
        <f>IF('12 - Device_Configuration'!I381="","",'12 - Device_Configuration'!I381)</f>
        <v/>
      </c>
      <c r="M380" s="30"/>
      <c r="N380" s="29" t="str">
        <f>IF('12 - Device_Configuration'!J381="","",'12 - Device_Configuration'!J381)</f>
        <v/>
      </c>
      <c r="O380" s="29" t="str">
        <f>IF('12 - Device_Configuration'!K381="","",'12 - Device_Configuration'!K381)</f>
        <v/>
      </c>
      <c r="P380" s="29" t="str">
        <f>IF('12 - Device_Configuration'!L381="","",'12 - Device_Configuration'!L381)</f>
        <v/>
      </c>
      <c r="Q380" s="30"/>
      <c r="R380" s="29" t="str">
        <f>IF('12 - Device_Configuration'!AY381="","",'12 - Device_Configuration'!AY381)</f>
        <v/>
      </c>
      <c r="S380" s="29" t="str">
        <f>IF('12 - Device_Configuration'!AX381="","",'12 - Device_Configuration'!AX381)</f>
        <v/>
      </c>
      <c r="T380" s="29" t="str">
        <f>IF('12 - Device_Configuration'!AV381="","",'12 - Device_Configuration'!AV381)</f>
        <v/>
      </c>
      <c r="U380" s="29" t="str">
        <f>IF('12 - Device_Configuration'!AW381="","",'12 - Device_Configuration'!AW381)</f>
        <v/>
      </c>
      <c r="V380" s="29" t="str">
        <f>IF('12 - Device_Configuration'!BA381="","",'12 - Device_Configuration'!BA381)</f>
        <v/>
      </c>
      <c r="W380" s="29" t="str">
        <f>IF('12 - Device_Configuration'!BC381="","",'12 - Device_Configuration'!BC381)</f>
        <v/>
      </c>
      <c r="X380" s="29" t="str">
        <f>IF('12 - Device_Configuration'!BK381="","",'12 - Device_Configuration'!BK381)</f>
        <v/>
      </c>
      <c r="Y380" s="29" t="str">
        <f>IF('12 - Device_Configuration'!BB381="","",'12 - Device_Configuration'!BB381)</f>
        <v/>
      </c>
      <c r="Z380" s="29" t="str">
        <f>IF('12 - Device_Configuration'!P381="","",'12 - Device_Configuration'!P381)</f>
        <v/>
      </c>
      <c r="AA380" s="29" t="str">
        <f>IF('12 - Device_Configuration'!Q381="","",'12 - Device_Configuration'!Q381)</f>
        <v/>
      </c>
    </row>
    <row r="381" spans="1:27">
      <c r="A381" s="30"/>
      <c r="B381" s="30"/>
      <c r="C381" s="29" t="str">
        <f>IF('12 - Device_Configuration'!H382="","",'12 - Device_Configuration'!H382)</f>
        <v/>
      </c>
      <c r="D381" s="29" t="str">
        <f>IF('12 - Device_Configuration'!AE382="","",'12 - Device_Configuration'!AE382)</f>
        <v/>
      </c>
      <c r="E381" s="29" t="str">
        <f>IF('12 - Device_Configuration'!AF382="","",'12 - Device_Configuration'!AF382)</f>
        <v/>
      </c>
      <c r="F381" s="29" t="str">
        <f>IF('12 - Device_Configuration'!AG382="","",'12 - Device_Configuration'!AG382)</f>
        <v/>
      </c>
      <c r="G381" s="29" t="str">
        <f>IF('12 - Device_Configuration'!AH382="","",'12 - Device_Configuration'!AH382)</f>
        <v/>
      </c>
      <c r="H381" s="29" t="str">
        <f>IF('12 - Device_Configuration'!A382="","",'12 - Device_Configuration'!A382)</f>
        <v/>
      </c>
      <c r="I381" s="29" t="str">
        <f>IF('12 - Device_Configuration'!AI382="","",'12 - Device_Configuration'!AI382)</f>
        <v/>
      </c>
      <c r="J381" s="29" t="str">
        <f>IF('12 - Device_Configuration'!AJ382="","",'12 - Device_Configuration'!AJ382)</f>
        <v/>
      </c>
      <c r="K381" s="29" t="str">
        <f>IF('12 - Device_Configuration'!AA382="","",'12 - Device_Configuration'!AA382)</f>
        <v/>
      </c>
      <c r="L381" s="29" t="str">
        <f>IF('12 - Device_Configuration'!I382="","",'12 - Device_Configuration'!I382)</f>
        <v/>
      </c>
      <c r="M381" s="30"/>
      <c r="N381" s="29" t="str">
        <f>IF('12 - Device_Configuration'!J382="","",'12 - Device_Configuration'!J382)</f>
        <v/>
      </c>
      <c r="O381" s="29" t="str">
        <f>IF('12 - Device_Configuration'!K382="","",'12 - Device_Configuration'!K382)</f>
        <v/>
      </c>
      <c r="P381" s="29" t="str">
        <f>IF('12 - Device_Configuration'!L382="","",'12 - Device_Configuration'!L382)</f>
        <v/>
      </c>
      <c r="Q381" s="30"/>
      <c r="R381" s="29" t="str">
        <f>IF('12 - Device_Configuration'!AY382="","",'12 - Device_Configuration'!AY382)</f>
        <v/>
      </c>
      <c r="S381" s="29" t="str">
        <f>IF('12 - Device_Configuration'!AX382="","",'12 - Device_Configuration'!AX382)</f>
        <v/>
      </c>
      <c r="T381" s="29" t="str">
        <f>IF('12 - Device_Configuration'!AV382="","",'12 - Device_Configuration'!AV382)</f>
        <v/>
      </c>
      <c r="U381" s="29" t="str">
        <f>IF('12 - Device_Configuration'!AW382="","",'12 - Device_Configuration'!AW382)</f>
        <v/>
      </c>
      <c r="V381" s="29" t="str">
        <f>IF('12 - Device_Configuration'!BA382="","",'12 - Device_Configuration'!BA382)</f>
        <v/>
      </c>
      <c r="W381" s="29" t="str">
        <f>IF('12 - Device_Configuration'!BC382="","",'12 - Device_Configuration'!BC382)</f>
        <v/>
      </c>
      <c r="X381" s="29" t="str">
        <f>IF('12 - Device_Configuration'!BK382="","",'12 - Device_Configuration'!BK382)</f>
        <v/>
      </c>
      <c r="Y381" s="29" t="str">
        <f>IF('12 - Device_Configuration'!BB382="","",'12 - Device_Configuration'!BB382)</f>
        <v/>
      </c>
      <c r="Z381" s="29" t="str">
        <f>IF('12 - Device_Configuration'!P382="","",'12 - Device_Configuration'!P382)</f>
        <v/>
      </c>
      <c r="AA381" s="29" t="str">
        <f>IF('12 - Device_Configuration'!Q382="","",'12 - Device_Configuration'!Q382)</f>
        <v/>
      </c>
    </row>
    <row r="382" spans="1:27">
      <c r="A382" s="30"/>
      <c r="B382" s="30"/>
      <c r="C382" s="29" t="str">
        <f>IF('12 - Device_Configuration'!H383="","",'12 - Device_Configuration'!H383)</f>
        <v/>
      </c>
      <c r="D382" s="29" t="str">
        <f>IF('12 - Device_Configuration'!AE383="","",'12 - Device_Configuration'!AE383)</f>
        <v/>
      </c>
      <c r="E382" s="29" t="str">
        <f>IF('12 - Device_Configuration'!AF383="","",'12 - Device_Configuration'!AF383)</f>
        <v/>
      </c>
      <c r="F382" s="29" t="str">
        <f>IF('12 - Device_Configuration'!AG383="","",'12 - Device_Configuration'!AG383)</f>
        <v/>
      </c>
      <c r="G382" s="29" t="str">
        <f>IF('12 - Device_Configuration'!AH383="","",'12 - Device_Configuration'!AH383)</f>
        <v/>
      </c>
      <c r="H382" s="29" t="str">
        <f>IF('12 - Device_Configuration'!A383="","",'12 - Device_Configuration'!A383)</f>
        <v/>
      </c>
      <c r="I382" s="29" t="str">
        <f>IF('12 - Device_Configuration'!AI383="","",'12 - Device_Configuration'!AI383)</f>
        <v/>
      </c>
      <c r="J382" s="29" t="str">
        <f>IF('12 - Device_Configuration'!AJ383="","",'12 - Device_Configuration'!AJ383)</f>
        <v/>
      </c>
      <c r="K382" s="29" t="str">
        <f>IF('12 - Device_Configuration'!AA383="","",'12 - Device_Configuration'!AA383)</f>
        <v/>
      </c>
      <c r="L382" s="29" t="str">
        <f>IF('12 - Device_Configuration'!I383="","",'12 - Device_Configuration'!I383)</f>
        <v/>
      </c>
      <c r="M382" s="30"/>
      <c r="N382" s="29" t="str">
        <f>IF('12 - Device_Configuration'!J383="","",'12 - Device_Configuration'!J383)</f>
        <v/>
      </c>
      <c r="O382" s="29" t="str">
        <f>IF('12 - Device_Configuration'!K383="","",'12 - Device_Configuration'!K383)</f>
        <v/>
      </c>
      <c r="P382" s="29" t="str">
        <f>IF('12 - Device_Configuration'!L383="","",'12 - Device_Configuration'!L383)</f>
        <v/>
      </c>
      <c r="Q382" s="30"/>
      <c r="R382" s="29" t="str">
        <f>IF('12 - Device_Configuration'!AY383="","",'12 - Device_Configuration'!AY383)</f>
        <v/>
      </c>
      <c r="S382" s="29" t="str">
        <f>IF('12 - Device_Configuration'!AX383="","",'12 - Device_Configuration'!AX383)</f>
        <v/>
      </c>
      <c r="T382" s="29" t="str">
        <f>IF('12 - Device_Configuration'!AV383="","",'12 - Device_Configuration'!AV383)</f>
        <v/>
      </c>
      <c r="U382" s="29" t="str">
        <f>IF('12 - Device_Configuration'!AW383="","",'12 - Device_Configuration'!AW383)</f>
        <v/>
      </c>
      <c r="V382" s="29" t="str">
        <f>IF('12 - Device_Configuration'!BA383="","",'12 - Device_Configuration'!BA383)</f>
        <v/>
      </c>
      <c r="W382" s="29" t="str">
        <f>IF('12 - Device_Configuration'!BC383="","",'12 - Device_Configuration'!BC383)</f>
        <v/>
      </c>
      <c r="X382" s="29" t="str">
        <f>IF('12 - Device_Configuration'!BK383="","",'12 - Device_Configuration'!BK383)</f>
        <v/>
      </c>
      <c r="Y382" s="29" t="str">
        <f>IF('12 - Device_Configuration'!BB383="","",'12 - Device_Configuration'!BB383)</f>
        <v/>
      </c>
      <c r="Z382" s="29" t="str">
        <f>IF('12 - Device_Configuration'!P383="","",'12 - Device_Configuration'!P383)</f>
        <v/>
      </c>
      <c r="AA382" s="29" t="str">
        <f>IF('12 - Device_Configuration'!Q383="","",'12 - Device_Configuration'!Q383)</f>
        <v/>
      </c>
    </row>
    <row r="383" spans="1:27">
      <c r="A383" s="30"/>
      <c r="B383" s="30"/>
      <c r="C383" s="29" t="str">
        <f>IF('12 - Device_Configuration'!H384="","",'12 - Device_Configuration'!H384)</f>
        <v/>
      </c>
      <c r="D383" s="29" t="str">
        <f>IF('12 - Device_Configuration'!AE384="","",'12 - Device_Configuration'!AE384)</f>
        <v/>
      </c>
      <c r="E383" s="29" t="str">
        <f>IF('12 - Device_Configuration'!AF384="","",'12 - Device_Configuration'!AF384)</f>
        <v/>
      </c>
      <c r="F383" s="29" t="str">
        <f>IF('12 - Device_Configuration'!AG384="","",'12 - Device_Configuration'!AG384)</f>
        <v/>
      </c>
      <c r="G383" s="29" t="str">
        <f>IF('12 - Device_Configuration'!AH384="","",'12 - Device_Configuration'!AH384)</f>
        <v/>
      </c>
      <c r="H383" s="29" t="str">
        <f>IF('12 - Device_Configuration'!A384="","",'12 - Device_Configuration'!A384)</f>
        <v/>
      </c>
      <c r="I383" s="29" t="str">
        <f>IF('12 - Device_Configuration'!AI384="","",'12 - Device_Configuration'!AI384)</f>
        <v/>
      </c>
      <c r="J383" s="29" t="str">
        <f>IF('12 - Device_Configuration'!AJ384="","",'12 - Device_Configuration'!AJ384)</f>
        <v/>
      </c>
      <c r="K383" s="29" t="str">
        <f>IF('12 - Device_Configuration'!AA384="","",'12 - Device_Configuration'!AA384)</f>
        <v/>
      </c>
      <c r="L383" s="29" t="str">
        <f>IF('12 - Device_Configuration'!I384="","",'12 - Device_Configuration'!I384)</f>
        <v/>
      </c>
      <c r="M383" s="30"/>
      <c r="N383" s="29" t="str">
        <f>IF('12 - Device_Configuration'!J384="","",'12 - Device_Configuration'!J384)</f>
        <v/>
      </c>
      <c r="O383" s="29" t="str">
        <f>IF('12 - Device_Configuration'!K384="","",'12 - Device_Configuration'!K384)</f>
        <v/>
      </c>
      <c r="P383" s="29" t="str">
        <f>IF('12 - Device_Configuration'!L384="","",'12 - Device_Configuration'!L384)</f>
        <v/>
      </c>
      <c r="Q383" s="30"/>
      <c r="R383" s="29" t="str">
        <f>IF('12 - Device_Configuration'!AY384="","",'12 - Device_Configuration'!AY384)</f>
        <v/>
      </c>
      <c r="S383" s="29" t="str">
        <f>IF('12 - Device_Configuration'!AX384="","",'12 - Device_Configuration'!AX384)</f>
        <v/>
      </c>
      <c r="T383" s="29" t="str">
        <f>IF('12 - Device_Configuration'!AV384="","",'12 - Device_Configuration'!AV384)</f>
        <v/>
      </c>
      <c r="U383" s="29" t="str">
        <f>IF('12 - Device_Configuration'!AW384="","",'12 - Device_Configuration'!AW384)</f>
        <v/>
      </c>
      <c r="V383" s="29" t="str">
        <f>IF('12 - Device_Configuration'!BA384="","",'12 - Device_Configuration'!BA384)</f>
        <v/>
      </c>
      <c r="W383" s="29" t="str">
        <f>IF('12 - Device_Configuration'!BC384="","",'12 - Device_Configuration'!BC384)</f>
        <v/>
      </c>
      <c r="X383" s="29" t="str">
        <f>IF('12 - Device_Configuration'!BK384="","",'12 - Device_Configuration'!BK384)</f>
        <v/>
      </c>
      <c r="Y383" s="29" t="str">
        <f>IF('12 - Device_Configuration'!BB384="","",'12 - Device_Configuration'!BB384)</f>
        <v/>
      </c>
      <c r="Z383" s="29" t="str">
        <f>IF('12 - Device_Configuration'!P384="","",'12 - Device_Configuration'!P384)</f>
        <v/>
      </c>
      <c r="AA383" s="29" t="str">
        <f>IF('12 - Device_Configuration'!Q384="","",'12 - Device_Configuration'!Q384)</f>
        <v/>
      </c>
    </row>
    <row r="384" spans="1:27">
      <c r="A384" s="30"/>
      <c r="B384" s="30"/>
      <c r="C384" s="29" t="str">
        <f>IF('12 - Device_Configuration'!H385="","",'12 - Device_Configuration'!H385)</f>
        <v/>
      </c>
      <c r="D384" s="29" t="str">
        <f>IF('12 - Device_Configuration'!AE385="","",'12 - Device_Configuration'!AE385)</f>
        <v/>
      </c>
      <c r="E384" s="29" t="str">
        <f>IF('12 - Device_Configuration'!AF385="","",'12 - Device_Configuration'!AF385)</f>
        <v/>
      </c>
      <c r="F384" s="29" t="str">
        <f>IF('12 - Device_Configuration'!AG385="","",'12 - Device_Configuration'!AG385)</f>
        <v/>
      </c>
      <c r="G384" s="29" t="str">
        <f>IF('12 - Device_Configuration'!AH385="","",'12 - Device_Configuration'!AH385)</f>
        <v/>
      </c>
      <c r="H384" s="29" t="str">
        <f>IF('12 - Device_Configuration'!A385="","",'12 - Device_Configuration'!A385)</f>
        <v/>
      </c>
      <c r="I384" s="29" t="str">
        <f>IF('12 - Device_Configuration'!AI385="","",'12 - Device_Configuration'!AI385)</f>
        <v/>
      </c>
      <c r="J384" s="29" t="str">
        <f>IF('12 - Device_Configuration'!AJ385="","",'12 - Device_Configuration'!AJ385)</f>
        <v/>
      </c>
      <c r="K384" s="29" t="str">
        <f>IF('12 - Device_Configuration'!AA385="","",'12 - Device_Configuration'!AA385)</f>
        <v/>
      </c>
      <c r="L384" s="29" t="str">
        <f>IF('12 - Device_Configuration'!I385="","",'12 - Device_Configuration'!I385)</f>
        <v/>
      </c>
      <c r="M384" s="30"/>
      <c r="N384" s="29" t="str">
        <f>IF('12 - Device_Configuration'!J385="","",'12 - Device_Configuration'!J385)</f>
        <v/>
      </c>
      <c r="O384" s="29" t="str">
        <f>IF('12 - Device_Configuration'!K385="","",'12 - Device_Configuration'!K385)</f>
        <v/>
      </c>
      <c r="P384" s="29" t="str">
        <f>IF('12 - Device_Configuration'!L385="","",'12 - Device_Configuration'!L385)</f>
        <v/>
      </c>
      <c r="Q384" s="30"/>
      <c r="R384" s="29" t="str">
        <f>IF('12 - Device_Configuration'!AY385="","",'12 - Device_Configuration'!AY385)</f>
        <v/>
      </c>
      <c r="S384" s="29" t="str">
        <f>IF('12 - Device_Configuration'!AX385="","",'12 - Device_Configuration'!AX385)</f>
        <v/>
      </c>
      <c r="T384" s="29" t="str">
        <f>IF('12 - Device_Configuration'!AV385="","",'12 - Device_Configuration'!AV385)</f>
        <v/>
      </c>
      <c r="U384" s="29" t="str">
        <f>IF('12 - Device_Configuration'!AW385="","",'12 - Device_Configuration'!AW385)</f>
        <v/>
      </c>
      <c r="V384" s="29" t="str">
        <f>IF('12 - Device_Configuration'!BA385="","",'12 - Device_Configuration'!BA385)</f>
        <v/>
      </c>
      <c r="W384" s="29" t="str">
        <f>IF('12 - Device_Configuration'!BC385="","",'12 - Device_Configuration'!BC385)</f>
        <v/>
      </c>
      <c r="X384" s="29" t="str">
        <f>IF('12 - Device_Configuration'!BK385="","",'12 - Device_Configuration'!BK385)</f>
        <v/>
      </c>
      <c r="Y384" s="29" t="str">
        <f>IF('12 - Device_Configuration'!BB385="","",'12 - Device_Configuration'!BB385)</f>
        <v/>
      </c>
      <c r="Z384" s="29" t="str">
        <f>IF('12 - Device_Configuration'!P385="","",'12 - Device_Configuration'!P385)</f>
        <v/>
      </c>
      <c r="AA384" s="29" t="str">
        <f>IF('12 - Device_Configuration'!Q385="","",'12 - Device_Configuration'!Q385)</f>
        <v/>
      </c>
    </row>
    <row r="385" spans="1:27">
      <c r="A385" s="30"/>
      <c r="B385" s="30"/>
      <c r="C385" s="29" t="str">
        <f>IF('12 - Device_Configuration'!H386="","",'12 - Device_Configuration'!H386)</f>
        <v/>
      </c>
      <c r="D385" s="29" t="str">
        <f>IF('12 - Device_Configuration'!AE386="","",'12 - Device_Configuration'!AE386)</f>
        <v/>
      </c>
      <c r="E385" s="29" t="str">
        <f>IF('12 - Device_Configuration'!AF386="","",'12 - Device_Configuration'!AF386)</f>
        <v/>
      </c>
      <c r="F385" s="29" t="str">
        <f>IF('12 - Device_Configuration'!AG386="","",'12 - Device_Configuration'!AG386)</f>
        <v/>
      </c>
      <c r="G385" s="29" t="str">
        <f>IF('12 - Device_Configuration'!AH386="","",'12 - Device_Configuration'!AH386)</f>
        <v/>
      </c>
      <c r="H385" s="29" t="str">
        <f>IF('12 - Device_Configuration'!A386="","",'12 - Device_Configuration'!A386)</f>
        <v/>
      </c>
      <c r="I385" s="29" t="str">
        <f>IF('12 - Device_Configuration'!AI386="","",'12 - Device_Configuration'!AI386)</f>
        <v/>
      </c>
      <c r="J385" s="29" t="str">
        <f>IF('12 - Device_Configuration'!AJ386="","",'12 - Device_Configuration'!AJ386)</f>
        <v/>
      </c>
      <c r="K385" s="29" t="str">
        <f>IF('12 - Device_Configuration'!AA386="","",'12 - Device_Configuration'!AA386)</f>
        <v/>
      </c>
      <c r="L385" s="29" t="str">
        <f>IF('12 - Device_Configuration'!I386="","",'12 - Device_Configuration'!I386)</f>
        <v/>
      </c>
      <c r="M385" s="30"/>
      <c r="N385" s="29" t="str">
        <f>IF('12 - Device_Configuration'!J386="","",'12 - Device_Configuration'!J386)</f>
        <v/>
      </c>
      <c r="O385" s="29" t="str">
        <f>IF('12 - Device_Configuration'!K386="","",'12 - Device_Configuration'!K386)</f>
        <v/>
      </c>
      <c r="P385" s="29" t="str">
        <f>IF('12 - Device_Configuration'!L386="","",'12 - Device_Configuration'!L386)</f>
        <v/>
      </c>
      <c r="Q385" s="30"/>
      <c r="R385" s="29" t="str">
        <f>IF('12 - Device_Configuration'!AY386="","",'12 - Device_Configuration'!AY386)</f>
        <v/>
      </c>
      <c r="S385" s="29" t="str">
        <f>IF('12 - Device_Configuration'!AX386="","",'12 - Device_Configuration'!AX386)</f>
        <v/>
      </c>
      <c r="T385" s="29" t="str">
        <f>IF('12 - Device_Configuration'!AV386="","",'12 - Device_Configuration'!AV386)</f>
        <v/>
      </c>
      <c r="U385" s="29" t="str">
        <f>IF('12 - Device_Configuration'!AW386="","",'12 - Device_Configuration'!AW386)</f>
        <v/>
      </c>
      <c r="V385" s="29" t="str">
        <f>IF('12 - Device_Configuration'!BA386="","",'12 - Device_Configuration'!BA386)</f>
        <v/>
      </c>
      <c r="W385" s="29" t="str">
        <f>IF('12 - Device_Configuration'!BC386="","",'12 - Device_Configuration'!BC386)</f>
        <v/>
      </c>
      <c r="X385" s="29" t="str">
        <f>IF('12 - Device_Configuration'!BK386="","",'12 - Device_Configuration'!BK386)</f>
        <v/>
      </c>
      <c r="Y385" s="29" t="str">
        <f>IF('12 - Device_Configuration'!BB386="","",'12 - Device_Configuration'!BB386)</f>
        <v/>
      </c>
      <c r="Z385" s="29" t="str">
        <f>IF('12 - Device_Configuration'!P386="","",'12 - Device_Configuration'!P386)</f>
        <v/>
      </c>
      <c r="AA385" s="29" t="str">
        <f>IF('12 - Device_Configuration'!Q386="","",'12 - Device_Configuration'!Q386)</f>
        <v/>
      </c>
    </row>
    <row r="386" spans="1:27">
      <c r="A386" s="30"/>
      <c r="B386" s="30"/>
      <c r="C386" s="29" t="str">
        <f>IF('12 - Device_Configuration'!H387="","",'12 - Device_Configuration'!H387)</f>
        <v/>
      </c>
      <c r="D386" s="29" t="str">
        <f>IF('12 - Device_Configuration'!AE387="","",'12 - Device_Configuration'!AE387)</f>
        <v/>
      </c>
      <c r="E386" s="29" t="str">
        <f>IF('12 - Device_Configuration'!AF387="","",'12 - Device_Configuration'!AF387)</f>
        <v/>
      </c>
      <c r="F386" s="29" t="str">
        <f>IF('12 - Device_Configuration'!AG387="","",'12 - Device_Configuration'!AG387)</f>
        <v/>
      </c>
      <c r="G386" s="29" t="str">
        <f>IF('12 - Device_Configuration'!AH387="","",'12 - Device_Configuration'!AH387)</f>
        <v/>
      </c>
      <c r="H386" s="29" t="str">
        <f>IF('12 - Device_Configuration'!A387="","",'12 - Device_Configuration'!A387)</f>
        <v/>
      </c>
      <c r="I386" s="29" t="str">
        <f>IF('12 - Device_Configuration'!AI387="","",'12 - Device_Configuration'!AI387)</f>
        <v/>
      </c>
      <c r="J386" s="29" t="str">
        <f>IF('12 - Device_Configuration'!AJ387="","",'12 - Device_Configuration'!AJ387)</f>
        <v/>
      </c>
      <c r="K386" s="29" t="str">
        <f>IF('12 - Device_Configuration'!AA387="","",'12 - Device_Configuration'!AA387)</f>
        <v/>
      </c>
      <c r="L386" s="29" t="str">
        <f>IF('12 - Device_Configuration'!I387="","",'12 - Device_Configuration'!I387)</f>
        <v/>
      </c>
      <c r="M386" s="30"/>
      <c r="N386" s="29" t="str">
        <f>IF('12 - Device_Configuration'!J387="","",'12 - Device_Configuration'!J387)</f>
        <v/>
      </c>
      <c r="O386" s="29" t="str">
        <f>IF('12 - Device_Configuration'!K387="","",'12 - Device_Configuration'!K387)</f>
        <v/>
      </c>
      <c r="P386" s="29" t="str">
        <f>IF('12 - Device_Configuration'!L387="","",'12 - Device_Configuration'!L387)</f>
        <v/>
      </c>
      <c r="Q386" s="30"/>
      <c r="R386" s="29" t="str">
        <f>IF('12 - Device_Configuration'!AY387="","",'12 - Device_Configuration'!AY387)</f>
        <v/>
      </c>
      <c r="S386" s="29" t="str">
        <f>IF('12 - Device_Configuration'!AX387="","",'12 - Device_Configuration'!AX387)</f>
        <v/>
      </c>
      <c r="T386" s="29" t="str">
        <f>IF('12 - Device_Configuration'!AV387="","",'12 - Device_Configuration'!AV387)</f>
        <v/>
      </c>
      <c r="U386" s="29" t="str">
        <f>IF('12 - Device_Configuration'!AW387="","",'12 - Device_Configuration'!AW387)</f>
        <v/>
      </c>
      <c r="V386" s="29" t="str">
        <f>IF('12 - Device_Configuration'!BA387="","",'12 - Device_Configuration'!BA387)</f>
        <v/>
      </c>
      <c r="W386" s="29" t="str">
        <f>IF('12 - Device_Configuration'!BC387="","",'12 - Device_Configuration'!BC387)</f>
        <v/>
      </c>
      <c r="X386" s="29" t="str">
        <f>IF('12 - Device_Configuration'!BK387="","",'12 - Device_Configuration'!BK387)</f>
        <v/>
      </c>
      <c r="Y386" s="29" t="str">
        <f>IF('12 - Device_Configuration'!BB387="","",'12 - Device_Configuration'!BB387)</f>
        <v/>
      </c>
      <c r="Z386" s="29" t="str">
        <f>IF('12 - Device_Configuration'!P387="","",'12 - Device_Configuration'!P387)</f>
        <v/>
      </c>
      <c r="AA386" s="29" t="str">
        <f>IF('12 - Device_Configuration'!Q387="","",'12 - Device_Configuration'!Q387)</f>
        <v/>
      </c>
    </row>
    <row r="387" spans="1:27">
      <c r="A387" s="30"/>
      <c r="B387" s="30"/>
      <c r="C387" s="29" t="str">
        <f>IF('12 - Device_Configuration'!H388="","",'12 - Device_Configuration'!H388)</f>
        <v/>
      </c>
      <c r="D387" s="29" t="str">
        <f>IF('12 - Device_Configuration'!AE388="","",'12 - Device_Configuration'!AE388)</f>
        <v/>
      </c>
      <c r="E387" s="29" t="str">
        <f>IF('12 - Device_Configuration'!AF388="","",'12 - Device_Configuration'!AF388)</f>
        <v/>
      </c>
      <c r="F387" s="29" t="str">
        <f>IF('12 - Device_Configuration'!AG388="","",'12 - Device_Configuration'!AG388)</f>
        <v/>
      </c>
      <c r="G387" s="29" t="str">
        <f>IF('12 - Device_Configuration'!AH388="","",'12 - Device_Configuration'!AH388)</f>
        <v/>
      </c>
      <c r="H387" s="29" t="str">
        <f>IF('12 - Device_Configuration'!A388="","",'12 - Device_Configuration'!A388)</f>
        <v/>
      </c>
      <c r="I387" s="29" t="str">
        <f>IF('12 - Device_Configuration'!AI388="","",'12 - Device_Configuration'!AI388)</f>
        <v/>
      </c>
      <c r="J387" s="29" t="str">
        <f>IF('12 - Device_Configuration'!AJ388="","",'12 - Device_Configuration'!AJ388)</f>
        <v/>
      </c>
      <c r="K387" s="29" t="str">
        <f>IF('12 - Device_Configuration'!AA388="","",'12 - Device_Configuration'!AA388)</f>
        <v/>
      </c>
      <c r="L387" s="29" t="str">
        <f>IF('12 - Device_Configuration'!I388="","",'12 - Device_Configuration'!I388)</f>
        <v/>
      </c>
      <c r="M387" s="30"/>
      <c r="N387" s="29" t="str">
        <f>IF('12 - Device_Configuration'!J388="","",'12 - Device_Configuration'!J388)</f>
        <v/>
      </c>
      <c r="O387" s="29" t="str">
        <f>IF('12 - Device_Configuration'!K388="","",'12 - Device_Configuration'!K388)</f>
        <v/>
      </c>
      <c r="P387" s="29" t="str">
        <f>IF('12 - Device_Configuration'!L388="","",'12 - Device_Configuration'!L388)</f>
        <v/>
      </c>
      <c r="Q387" s="30"/>
      <c r="R387" s="29" t="str">
        <f>IF('12 - Device_Configuration'!AY388="","",'12 - Device_Configuration'!AY388)</f>
        <v/>
      </c>
      <c r="S387" s="29" t="str">
        <f>IF('12 - Device_Configuration'!AX388="","",'12 - Device_Configuration'!AX388)</f>
        <v/>
      </c>
      <c r="T387" s="29" t="str">
        <f>IF('12 - Device_Configuration'!AV388="","",'12 - Device_Configuration'!AV388)</f>
        <v/>
      </c>
      <c r="U387" s="29" t="str">
        <f>IF('12 - Device_Configuration'!AW388="","",'12 - Device_Configuration'!AW388)</f>
        <v/>
      </c>
      <c r="V387" s="29" t="str">
        <f>IF('12 - Device_Configuration'!BA388="","",'12 - Device_Configuration'!BA388)</f>
        <v/>
      </c>
      <c r="W387" s="29" t="str">
        <f>IF('12 - Device_Configuration'!BC388="","",'12 - Device_Configuration'!BC388)</f>
        <v/>
      </c>
      <c r="X387" s="29" t="str">
        <f>IF('12 - Device_Configuration'!BK388="","",'12 - Device_Configuration'!BK388)</f>
        <v/>
      </c>
      <c r="Y387" s="29" t="str">
        <f>IF('12 - Device_Configuration'!BB388="","",'12 - Device_Configuration'!BB388)</f>
        <v/>
      </c>
      <c r="Z387" s="29" t="str">
        <f>IF('12 - Device_Configuration'!P388="","",'12 - Device_Configuration'!P388)</f>
        <v/>
      </c>
      <c r="AA387" s="29" t="str">
        <f>IF('12 - Device_Configuration'!Q388="","",'12 - Device_Configuration'!Q388)</f>
        <v/>
      </c>
    </row>
    <row r="388" spans="1:27">
      <c r="A388" s="30"/>
      <c r="B388" s="30"/>
      <c r="C388" s="29" t="str">
        <f>IF('12 - Device_Configuration'!H389="","",'12 - Device_Configuration'!H389)</f>
        <v/>
      </c>
      <c r="D388" s="29" t="str">
        <f>IF('12 - Device_Configuration'!AE389="","",'12 - Device_Configuration'!AE389)</f>
        <v/>
      </c>
      <c r="E388" s="29" t="str">
        <f>IF('12 - Device_Configuration'!AF389="","",'12 - Device_Configuration'!AF389)</f>
        <v/>
      </c>
      <c r="F388" s="29" t="str">
        <f>IF('12 - Device_Configuration'!AG389="","",'12 - Device_Configuration'!AG389)</f>
        <v/>
      </c>
      <c r="G388" s="29" t="str">
        <f>IF('12 - Device_Configuration'!AH389="","",'12 - Device_Configuration'!AH389)</f>
        <v/>
      </c>
      <c r="H388" s="29" t="str">
        <f>IF('12 - Device_Configuration'!A389="","",'12 - Device_Configuration'!A389)</f>
        <v/>
      </c>
      <c r="I388" s="29" t="str">
        <f>IF('12 - Device_Configuration'!AI389="","",'12 - Device_Configuration'!AI389)</f>
        <v/>
      </c>
      <c r="J388" s="29" t="str">
        <f>IF('12 - Device_Configuration'!AJ389="","",'12 - Device_Configuration'!AJ389)</f>
        <v/>
      </c>
      <c r="K388" s="29" t="str">
        <f>IF('12 - Device_Configuration'!AA389="","",'12 - Device_Configuration'!AA389)</f>
        <v/>
      </c>
      <c r="L388" s="29" t="str">
        <f>IF('12 - Device_Configuration'!I389="","",'12 - Device_Configuration'!I389)</f>
        <v/>
      </c>
      <c r="M388" s="30"/>
      <c r="N388" s="29" t="str">
        <f>IF('12 - Device_Configuration'!J389="","",'12 - Device_Configuration'!J389)</f>
        <v/>
      </c>
      <c r="O388" s="29" t="str">
        <f>IF('12 - Device_Configuration'!K389="","",'12 - Device_Configuration'!K389)</f>
        <v/>
      </c>
      <c r="P388" s="29" t="str">
        <f>IF('12 - Device_Configuration'!L389="","",'12 - Device_Configuration'!L389)</f>
        <v/>
      </c>
      <c r="Q388" s="30"/>
      <c r="R388" s="29" t="str">
        <f>IF('12 - Device_Configuration'!AY389="","",'12 - Device_Configuration'!AY389)</f>
        <v/>
      </c>
      <c r="S388" s="29" t="str">
        <f>IF('12 - Device_Configuration'!AX389="","",'12 - Device_Configuration'!AX389)</f>
        <v/>
      </c>
      <c r="T388" s="29" t="str">
        <f>IF('12 - Device_Configuration'!AV389="","",'12 - Device_Configuration'!AV389)</f>
        <v/>
      </c>
      <c r="U388" s="29" t="str">
        <f>IF('12 - Device_Configuration'!AW389="","",'12 - Device_Configuration'!AW389)</f>
        <v/>
      </c>
      <c r="V388" s="29" t="str">
        <f>IF('12 - Device_Configuration'!BA389="","",'12 - Device_Configuration'!BA389)</f>
        <v/>
      </c>
      <c r="W388" s="29" t="str">
        <f>IF('12 - Device_Configuration'!BC389="","",'12 - Device_Configuration'!BC389)</f>
        <v/>
      </c>
      <c r="X388" s="29" t="str">
        <f>IF('12 - Device_Configuration'!BK389="","",'12 - Device_Configuration'!BK389)</f>
        <v/>
      </c>
      <c r="Y388" s="29" t="str">
        <f>IF('12 - Device_Configuration'!BB389="","",'12 - Device_Configuration'!BB389)</f>
        <v/>
      </c>
      <c r="Z388" s="29" t="str">
        <f>IF('12 - Device_Configuration'!P389="","",'12 - Device_Configuration'!P389)</f>
        <v/>
      </c>
      <c r="AA388" s="29" t="str">
        <f>IF('12 - Device_Configuration'!Q389="","",'12 - Device_Configuration'!Q389)</f>
        <v/>
      </c>
    </row>
    <row r="389" spans="1:27">
      <c r="A389" s="30"/>
      <c r="B389" s="30"/>
      <c r="C389" s="29" t="str">
        <f>IF('12 - Device_Configuration'!H390="","",'12 - Device_Configuration'!H390)</f>
        <v/>
      </c>
      <c r="D389" s="29" t="str">
        <f>IF('12 - Device_Configuration'!AE390="","",'12 - Device_Configuration'!AE390)</f>
        <v/>
      </c>
      <c r="E389" s="29" t="str">
        <f>IF('12 - Device_Configuration'!AF390="","",'12 - Device_Configuration'!AF390)</f>
        <v/>
      </c>
      <c r="F389" s="29" t="str">
        <f>IF('12 - Device_Configuration'!AG390="","",'12 - Device_Configuration'!AG390)</f>
        <v/>
      </c>
      <c r="G389" s="29" t="str">
        <f>IF('12 - Device_Configuration'!AH390="","",'12 - Device_Configuration'!AH390)</f>
        <v/>
      </c>
      <c r="H389" s="29" t="str">
        <f>IF('12 - Device_Configuration'!A390="","",'12 - Device_Configuration'!A390)</f>
        <v/>
      </c>
      <c r="I389" s="29" t="str">
        <f>IF('12 - Device_Configuration'!AI390="","",'12 - Device_Configuration'!AI390)</f>
        <v/>
      </c>
      <c r="J389" s="29" t="str">
        <f>IF('12 - Device_Configuration'!AJ390="","",'12 - Device_Configuration'!AJ390)</f>
        <v/>
      </c>
      <c r="K389" s="29" t="str">
        <f>IF('12 - Device_Configuration'!AA390="","",'12 - Device_Configuration'!AA390)</f>
        <v/>
      </c>
      <c r="L389" s="29" t="str">
        <f>IF('12 - Device_Configuration'!I390="","",'12 - Device_Configuration'!I390)</f>
        <v/>
      </c>
      <c r="M389" s="30"/>
      <c r="N389" s="29" t="str">
        <f>IF('12 - Device_Configuration'!J390="","",'12 - Device_Configuration'!J390)</f>
        <v/>
      </c>
      <c r="O389" s="29" t="str">
        <f>IF('12 - Device_Configuration'!K390="","",'12 - Device_Configuration'!K390)</f>
        <v/>
      </c>
      <c r="P389" s="29" t="str">
        <f>IF('12 - Device_Configuration'!L390="","",'12 - Device_Configuration'!L390)</f>
        <v/>
      </c>
      <c r="Q389" s="30"/>
      <c r="R389" s="29" t="str">
        <f>IF('12 - Device_Configuration'!AY390="","",'12 - Device_Configuration'!AY390)</f>
        <v/>
      </c>
      <c r="S389" s="29" t="str">
        <f>IF('12 - Device_Configuration'!AX390="","",'12 - Device_Configuration'!AX390)</f>
        <v/>
      </c>
      <c r="T389" s="29" t="str">
        <f>IF('12 - Device_Configuration'!AV390="","",'12 - Device_Configuration'!AV390)</f>
        <v/>
      </c>
      <c r="U389" s="29" t="str">
        <f>IF('12 - Device_Configuration'!AW390="","",'12 - Device_Configuration'!AW390)</f>
        <v/>
      </c>
      <c r="V389" s="29" t="str">
        <f>IF('12 - Device_Configuration'!BA390="","",'12 - Device_Configuration'!BA390)</f>
        <v/>
      </c>
      <c r="W389" s="29" t="str">
        <f>IF('12 - Device_Configuration'!BC390="","",'12 - Device_Configuration'!BC390)</f>
        <v/>
      </c>
      <c r="X389" s="29" t="str">
        <f>IF('12 - Device_Configuration'!BK390="","",'12 - Device_Configuration'!BK390)</f>
        <v/>
      </c>
      <c r="Y389" s="29" t="str">
        <f>IF('12 - Device_Configuration'!BB390="","",'12 - Device_Configuration'!BB390)</f>
        <v/>
      </c>
      <c r="Z389" s="29" t="str">
        <f>IF('12 - Device_Configuration'!P390="","",'12 - Device_Configuration'!P390)</f>
        <v/>
      </c>
      <c r="AA389" s="29" t="str">
        <f>IF('12 - Device_Configuration'!Q390="","",'12 - Device_Configuration'!Q390)</f>
        <v/>
      </c>
    </row>
    <row r="390" spans="1:27">
      <c r="A390" s="30"/>
      <c r="B390" s="30"/>
      <c r="C390" s="29" t="str">
        <f>IF('12 - Device_Configuration'!H391="","",'12 - Device_Configuration'!H391)</f>
        <v/>
      </c>
      <c r="D390" s="29" t="str">
        <f>IF('12 - Device_Configuration'!AE391="","",'12 - Device_Configuration'!AE391)</f>
        <v/>
      </c>
      <c r="E390" s="29" t="str">
        <f>IF('12 - Device_Configuration'!AF391="","",'12 - Device_Configuration'!AF391)</f>
        <v/>
      </c>
      <c r="F390" s="29" t="str">
        <f>IF('12 - Device_Configuration'!AG391="","",'12 - Device_Configuration'!AG391)</f>
        <v/>
      </c>
      <c r="G390" s="29" t="str">
        <f>IF('12 - Device_Configuration'!AH391="","",'12 - Device_Configuration'!AH391)</f>
        <v/>
      </c>
      <c r="H390" s="29" t="str">
        <f>IF('12 - Device_Configuration'!A391="","",'12 - Device_Configuration'!A391)</f>
        <v/>
      </c>
      <c r="I390" s="29" t="str">
        <f>IF('12 - Device_Configuration'!AI391="","",'12 - Device_Configuration'!AI391)</f>
        <v/>
      </c>
      <c r="J390" s="29" t="str">
        <f>IF('12 - Device_Configuration'!AJ391="","",'12 - Device_Configuration'!AJ391)</f>
        <v/>
      </c>
      <c r="K390" s="29" t="str">
        <f>IF('12 - Device_Configuration'!AA391="","",'12 - Device_Configuration'!AA391)</f>
        <v/>
      </c>
      <c r="L390" s="29" t="str">
        <f>IF('12 - Device_Configuration'!I391="","",'12 - Device_Configuration'!I391)</f>
        <v/>
      </c>
      <c r="M390" s="30"/>
      <c r="N390" s="29" t="str">
        <f>IF('12 - Device_Configuration'!J391="","",'12 - Device_Configuration'!J391)</f>
        <v/>
      </c>
      <c r="O390" s="29" t="str">
        <f>IF('12 - Device_Configuration'!K391="","",'12 - Device_Configuration'!K391)</f>
        <v/>
      </c>
      <c r="P390" s="29" t="str">
        <f>IF('12 - Device_Configuration'!L391="","",'12 - Device_Configuration'!L391)</f>
        <v/>
      </c>
      <c r="Q390" s="30"/>
      <c r="R390" s="29" t="str">
        <f>IF('12 - Device_Configuration'!AY391="","",'12 - Device_Configuration'!AY391)</f>
        <v/>
      </c>
      <c r="S390" s="29" t="str">
        <f>IF('12 - Device_Configuration'!AX391="","",'12 - Device_Configuration'!AX391)</f>
        <v/>
      </c>
      <c r="T390" s="29" t="str">
        <f>IF('12 - Device_Configuration'!AV391="","",'12 - Device_Configuration'!AV391)</f>
        <v/>
      </c>
      <c r="U390" s="29" t="str">
        <f>IF('12 - Device_Configuration'!AW391="","",'12 - Device_Configuration'!AW391)</f>
        <v/>
      </c>
      <c r="V390" s="29" t="str">
        <f>IF('12 - Device_Configuration'!BA391="","",'12 - Device_Configuration'!BA391)</f>
        <v/>
      </c>
      <c r="W390" s="29" t="str">
        <f>IF('12 - Device_Configuration'!BC391="","",'12 - Device_Configuration'!BC391)</f>
        <v/>
      </c>
      <c r="X390" s="29" t="str">
        <f>IF('12 - Device_Configuration'!BK391="","",'12 - Device_Configuration'!BK391)</f>
        <v/>
      </c>
      <c r="Y390" s="29" t="str">
        <f>IF('12 - Device_Configuration'!BB391="","",'12 - Device_Configuration'!BB391)</f>
        <v/>
      </c>
      <c r="Z390" s="29" t="str">
        <f>IF('12 - Device_Configuration'!P391="","",'12 - Device_Configuration'!P391)</f>
        <v/>
      </c>
      <c r="AA390" s="29" t="str">
        <f>IF('12 - Device_Configuration'!Q391="","",'12 - Device_Configuration'!Q391)</f>
        <v/>
      </c>
    </row>
    <row r="391" spans="1:27">
      <c r="A391" s="30"/>
      <c r="B391" s="30"/>
      <c r="C391" s="29" t="str">
        <f>IF('12 - Device_Configuration'!H392="","",'12 - Device_Configuration'!H392)</f>
        <v/>
      </c>
      <c r="D391" s="29" t="str">
        <f>IF('12 - Device_Configuration'!AE392="","",'12 - Device_Configuration'!AE392)</f>
        <v/>
      </c>
      <c r="E391" s="29" t="str">
        <f>IF('12 - Device_Configuration'!AF392="","",'12 - Device_Configuration'!AF392)</f>
        <v/>
      </c>
      <c r="F391" s="29" t="str">
        <f>IF('12 - Device_Configuration'!AG392="","",'12 - Device_Configuration'!AG392)</f>
        <v/>
      </c>
      <c r="G391" s="29" t="str">
        <f>IF('12 - Device_Configuration'!AH392="","",'12 - Device_Configuration'!AH392)</f>
        <v/>
      </c>
      <c r="H391" s="29" t="str">
        <f>IF('12 - Device_Configuration'!A392="","",'12 - Device_Configuration'!A392)</f>
        <v/>
      </c>
      <c r="I391" s="29" t="str">
        <f>IF('12 - Device_Configuration'!AI392="","",'12 - Device_Configuration'!AI392)</f>
        <v/>
      </c>
      <c r="J391" s="29" t="str">
        <f>IF('12 - Device_Configuration'!AJ392="","",'12 - Device_Configuration'!AJ392)</f>
        <v/>
      </c>
      <c r="K391" s="29" t="str">
        <f>IF('12 - Device_Configuration'!AA392="","",'12 - Device_Configuration'!AA392)</f>
        <v/>
      </c>
      <c r="L391" s="29" t="str">
        <f>IF('12 - Device_Configuration'!I392="","",'12 - Device_Configuration'!I392)</f>
        <v/>
      </c>
      <c r="M391" s="30"/>
      <c r="N391" s="29" t="str">
        <f>IF('12 - Device_Configuration'!J392="","",'12 - Device_Configuration'!J392)</f>
        <v/>
      </c>
      <c r="O391" s="29" t="str">
        <f>IF('12 - Device_Configuration'!K392="","",'12 - Device_Configuration'!K392)</f>
        <v/>
      </c>
      <c r="P391" s="29" t="str">
        <f>IF('12 - Device_Configuration'!L392="","",'12 - Device_Configuration'!L392)</f>
        <v/>
      </c>
      <c r="Q391" s="30"/>
      <c r="R391" s="29" t="str">
        <f>IF('12 - Device_Configuration'!AY392="","",'12 - Device_Configuration'!AY392)</f>
        <v/>
      </c>
      <c r="S391" s="29" t="str">
        <f>IF('12 - Device_Configuration'!AX392="","",'12 - Device_Configuration'!AX392)</f>
        <v/>
      </c>
      <c r="T391" s="29" t="str">
        <f>IF('12 - Device_Configuration'!AV392="","",'12 - Device_Configuration'!AV392)</f>
        <v/>
      </c>
      <c r="U391" s="29" t="str">
        <f>IF('12 - Device_Configuration'!AW392="","",'12 - Device_Configuration'!AW392)</f>
        <v/>
      </c>
      <c r="V391" s="29" t="str">
        <f>IF('12 - Device_Configuration'!BA392="","",'12 - Device_Configuration'!BA392)</f>
        <v/>
      </c>
      <c r="W391" s="29" t="str">
        <f>IF('12 - Device_Configuration'!BC392="","",'12 - Device_Configuration'!BC392)</f>
        <v/>
      </c>
      <c r="X391" s="29" t="str">
        <f>IF('12 - Device_Configuration'!BK392="","",'12 - Device_Configuration'!BK392)</f>
        <v/>
      </c>
      <c r="Y391" s="29" t="str">
        <f>IF('12 - Device_Configuration'!BB392="","",'12 - Device_Configuration'!BB392)</f>
        <v/>
      </c>
      <c r="Z391" s="29" t="str">
        <f>IF('12 - Device_Configuration'!P392="","",'12 - Device_Configuration'!P392)</f>
        <v/>
      </c>
      <c r="AA391" s="29" t="str">
        <f>IF('12 - Device_Configuration'!Q392="","",'12 - Device_Configuration'!Q392)</f>
        <v/>
      </c>
    </row>
    <row r="392" spans="1:27">
      <c r="A392" s="30"/>
      <c r="B392" s="30"/>
      <c r="C392" s="29" t="str">
        <f>IF('12 - Device_Configuration'!H393="","",'12 - Device_Configuration'!H393)</f>
        <v/>
      </c>
      <c r="D392" s="29" t="str">
        <f>IF('12 - Device_Configuration'!AE393="","",'12 - Device_Configuration'!AE393)</f>
        <v/>
      </c>
      <c r="E392" s="29" t="str">
        <f>IF('12 - Device_Configuration'!AF393="","",'12 - Device_Configuration'!AF393)</f>
        <v/>
      </c>
      <c r="F392" s="29" t="str">
        <f>IF('12 - Device_Configuration'!AG393="","",'12 - Device_Configuration'!AG393)</f>
        <v/>
      </c>
      <c r="G392" s="29" t="str">
        <f>IF('12 - Device_Configuration'!AH393="","",'12 - Device_Configuration'!AH393)</f>
        <v/>
      </c>
      <c r="H392" s="29" t="str">
        <f>IF('12 - Device_Configuration'!A393="","",'12 - Device_Configuration'!A393)</f>
        <v/>
      </c>
      <c r="I392" s="29" t="str">
        <f>IF('12 - Device_Configuration'!AI393="","",'12 - Device_Configuration'!AI393)</f>
        <v/>
      </c>
      <c r="J392" s="29" t="str">
        <f>IF('12 - Device_Configuration'!AJ393="","",'12 - Device_Configuration'!AJ393)</f>
        <v/>
      </c>
      <c r="K392" s="29" t="str">
        <f>IF('12 - Device_Configuration'!AA393="","",'12 - Device_Configuration'!AA393)</f>
        <v/>
      </c>
      <c r="L392" s="29" t="str">
        <f>IF('12 - Device_Configuration'!I393="","",'12 - Device_Configuration'!I393)</f>
        <v/>
      </c>
      <c r="M392" s="30"/>
      <c r="N392" s="29" t="str">
        <f>IF('12 - Device_Configuration'!J393="","",'12 - Device_Configuration'!J393)</f>
        <v/>
      </c>
      <c r="O392" s="29" t="str">
        <f>IF('12 - Device_Configuration'!K393="","",'12 - Device_Configuration'!K393)</f>
        <v/>
      </c>
      <c r="P392" s="29" t="str">
        <f>IF('12 - Device_Configuration'!L393="","",'12 - Device_Configuration'!L393)</f>
        <v/>
      </c>
      <c r="Q392" s="30"/>
      <c r="R392" s="29" t="str">
        <f>IF('12 - Device_Configuration'!AY393="","",'12 - Device_Configuration'!AY393)</f>
        <v/>
      </c>
      <c r="S392" s="29" t="str">
        <f>IF('12 - Device_Configuration'!AX393="","",'12 - Device_Configuration'!AX393)</f>
        <v/>
      </c>
      <c r="T392" s="29" t="str">
        <f>IF('12 - Device_Configuration'!AV393="","",'12 - Device_Configuration'!AV393)</f>
        <v/>
      </c>
      <c r="U392" s="29" t="str">
        <f>IF('12 - Device_Configuration'!AW393="","",'12 - Device_Configuration'!AW393)</f>
        <v/>
      </c>
      <c r="V392" s="29" t="str">
        <f>IF('12 - Device_Configuration'!BA393="","",'12 - Device_Configuration'!BA393)</f>
        <v/>
      </c>
      <c r="W392" s="29" t="str">
        <f>IF('12 - Device_Configuration'!BC393="","",'12 - Device_Configuration'!BC393)</f>
        <v/>
      </c>
      <c r="X392" s="29" t="str">
        <f>IF('12 - Device_Configuration'!BK393="","",'12 - Device_Configuration'!BK393)</f>
        <v/>
      </c>
      <c r="Y392" s="29" t="str">
        <f>IF('12 - Device_Configuration'!BB393="","",'12 - Device_Configuration'!BB393)</f>
        <v/>
      </c>
      <c r="Z392" s="29" t="str">
        <f>IF('12 - Device_Configuration'!P393="","",'12 - Device_Configuration'!P393)</f>
        <v/>
      </c>
      <c r="AA392" s="29" t="str">
        <f>IF('12 - Device_Configuration'!Q393="","",'12 - Device_Configuration'!Q393)</f>
        <v/>
      </c>
    </row>
    <row r="393" spans="1:27">
      <c r="A393" s="30"/>
      <c r="B393" s="30"/>
      <c r="C393" s="29" t="str">
        <f>IF('12 - Device_Configuration'!H394="","",'12 - Device_Configuration'!H394)</f>
        <v/>
      </c>
      <c r="D393" s="29" t="str">
        <f>IF('12 - Device_Configuration'!AE394="","",'12 - Device_Configuration'!AE394)</f>
        <v/>
      </c>
      <c r="E393" s="29" t="str">
        <f>IF('12 - Device_Configuration'!AF394="","",'12 - Device_Configuration'!AF394)</f>
        <v/>
      </c>
      <c r="F393" s="29" t="str">
        <f>IF('12 - Device_Configuration'!AG394="","",'12 - Device_Configuration'!AG394)</f>
        <v/>
      </c>
      <c r="G393" s="29" t="str">
        <f>IF('12 - Device_Configuration'!AH394="","",'12 - Device_Configuration'!AH394)</f>
        <v/>
      </c>
      <c r="H393" s="29" t="str">
        <f>IF('12 - Device_Configuration'!A394="","",'12 - Device_Configuration'!A394)</f>
        <v/>
      </c>
      <c r="I393" s="29" t="str">
        <f>IF('12 - Device_Configuration'!AI394="","",'12 - Device_Configuration'!AI394)</f>
        <v/>
      </c>
      <c r="J393" s="29" t="str">
        <f>IF('12 - Device_Configuration'!AJ394="","",'12 - Device_Configuration'!AJ394)</f>
        <v/>
      </c>
      <c r="K393" s="29" t="str">
        <f>IF('12 - Device_Configuration'!AA394="","",'12 - Device_Configuration'!AA394)</f>
        <v/>
      </c>
      <c r="L393" s="29" t="str">
        <f>IF('12 - Device_Configuration'!I394="","",'12 - Device_Configuration'!I394)</f>
        <v/>
      </c>
      <c r="M393" s="30"/>
      <c r="N393" s="29" t="str">
        <f>IF('12 - Device_Configuration'!J394="","",'12 - Device_Configuration'!J394)</f>
        <v/>
      </c>
      <c r="O393" s="29" t="str">
        <f>IF('12 - Device_Configuration'!K394="","",'12 - Device_Configuration'!K394)</f>
        <v/>
      </c>
      <c r="P393" s="29" t="str">
        <f>IF('12 - Device_Configuration'!L394="","",'12 - Device_Configuration'!L394)</f>
        <v/>
      </c>
      <c r="Q393" s="30"/>
      <c r="R393" s="29" t="str">
        <f>IF('12 - Device_Configuration'!AY394="","",'12 - Device_Configuration'!AY394)</f>
        <v/>
      </c>
      <c r="S393" s="29" t="str">
        <f>IF('12 - Device_Configuration'!AX394="","",'12 - Device_Configuration'!AX394)</f>
        <v/>
      </c>
      <c r="T393" s="29" t="str">
        <f>IF('12 - Device_Configuration'!AV394="","",'12 - Device_Configuration'!AV394)</f>
        <v/>
      </c>
      <c r="U393" s="29" t="str">
        <f>IF('12 - Device_Configuration'!AW394="","",'12 - Device_Configuration'!AW394)</f>
        <v/>
      </c>
      <c r="V393" s="29" t="str">
        <f>IF('12 - Device_Configuration'!BA394="","",'12 - Device_Configuration'!BA394)</f>
        <v/>
      </c>
      <c r="W393" s="29" t="str">
        <f>IF('12 - Device_Configuration'!BC394="","",'12 - Device_Configuration'!BC394)</f>
        <v/>
      </c>
      <c r="X393" s="29" t="str">
        <f>IF('12 - Device_Configuration'!BK394="","",'12 - Device_Configuration'!BK394)</f>
        <v/>
      </c>
      <c r="Y393" s="29" t="str">
        <f>IF('12 - Device_Configuration'!BB394="","",'12 - Device_Configuration'!BB394)</f>
        <v/>
      </c>
      <c r="Z393" s="29" t="str">
        <f>IF('12 - Device_Configuration'!P394="","",'12 - Device_Configuration'!P394)</f>
        <v/>
      </c>
      <c r="AA393" s="29" t="str">
        <f>IF('12 - Device_Configuration'!Q394="","",'12 - Device_Configuration'!Q394)</f>
        <v/>
      </c>
    </row>
    <row r="394" spans="1:27">
      <c r="A394" s="30"/>
      <c r="B394" s="30"/>
      <c r="C394" s="29" t="str">
        <f>IF('12 - Device_Configuration'!H395="","",'12 - Device_Configuration'!H395)</f>
        <v/>
      </c>
      <c r="D394" s="29" t="str">
        <f>IF('12 - Device_Configuration'!AE395="","",'12 - Device_Configuration'!AE395)</f>
        <v/>
      </c>
      <c r="E394" s="29" t="str">
        <f>IF('12 - Device_Configuration'!AF395="","",'12 - Device_Configuration'!AF395)</f>
        <v/>
      </c>
      <c r="F394" s="29" t="str">
        <f>IF('12 - Device_Configuration'!AG395="","",'12 - Device_Configuration'!AG395)</f>
        <v/>
      </c>
      <c r="G394" s="29" t="str">
        <f>IF('12 - Device_Configuration'!AH395="","",'12 - Device_Configuration'!AH395)</f>
        <v/>
      </c>
      <c r="H394" s="29" t="str">
        <f>IF('12 - Device_Configuration'!A395="","",'12 - Device_Configuration'!A395)</f>
        <v/>
      </c>
      <c r="I394" s="29" t="str">
        <f>IF('12 - Device_Configuration'!AI395="","",'12 - Device_Configuration'!AI395)</f>
        <v/>
      </c>
      <c r="J394" s="29" t="str">
        <f>IF('12 - Device_Configuration'!AJ395="","",'12 - Device_Configuration'!AJ395)</f>
        <v/>
      </c>
      <c r="K394" s="29" t="str">
        <f>IF('12 - Device_Configuration'!AA395="","",'12 - Device_Configuration'!AA395)</f>
        <v/>
      </c>
      <c r="L394" s="29" t="str">
        <f>IF('12 - Device_Configuration'!I395="","",'12 - Device_Configuration'!I395)</f>
        <v/>
      </c>
      <c r="M394" s="30"/>
      <c r="N394" s="29" t="str">
        <f>IF('12 - Device_Configuration'!J395="","",'12 - Device_Configuration'!J395)</f>
        <v/>
      </c>
      <c r="O394" s="29" t="str">
        <f>IF('12 - Device_Configuration'!K395="","",'12 - Device_Configuration'!K395)</f>
        <v/>
      </c>
      <c r="P394" s="29" t="str">
        <f>IF('12 - Device_Configuration'!L395="","",'12 - Device_Configuration'!L395)</f>
        <v/>
      </c>
      <c r="Q394" s="30"/>
      <c r="R394" s="29" t="str">
        <f>IF('12 - Device_Configuration'!AY395="","",'12 - Device_Configuration'!AY395)</f>
        <v/>
      </c>
      <c r="S394" s="29" t="str">
        <f>IF('12 - Device_Configuration'!AX395="","",'12 - Device_Configuration'!AX395)</f>
        <v/>
      </c>
      <c r="T394" s="29" t="str">
        <f>IF('12 - Device_Configuration'!AV395="","",'12 - Device_Configuration'!AV395)</f>
        <v/>
      </c>
      <c r="U394" s="29" t="str">
        <f>IF('12 - Device_Configuration'!AW395="","",'12 - Device_Configuration'!AW395)</f>
        <v/>
      </c>
      <c r="V394" s="29" t="str">
        <f>IF('12 - Device_Configuration'!BA395="","",'12 - Device_Configuration'!BA395)</f>
        <v/>
      </c>
      <c r="W394" s="29" t="str">
        <f>IF('12 - Device_Configuration'!BC395="","",'12 - Device_Configuration'!BC395)</f>
        <v/>
      </c>
      <c r="X394" s="29" t="str">
        <f>IF('12 - Device_Configuration'!BK395="","",'12 - Device_Configuration'!BK395)</f>
        <v/>
      </c>
      <c r="Y394" s="29" t="str">
        <f>IF('12 - Device_Configuration'!BB395="","",'12 - Device_Configuration'!BB395)</f>
        <v/>
      </c>
      <c r="Z394" s="29" t="str">
        <f>IF('12 - Device_Configuration'!P395="","",'12 - Device_Configuration'!P395)</f>
        <v/>
      </c>
      <c r="AA394" s="29" t="str">
        <f>IF('12 - Device_Configuration'!Q395="","",'12 - Device_Configuration'!Q395)</f>
        <v/>
      </c>
    </row>
    <row r="395" spans="1:27">
      <c r="A395" s="30"/>
      <c r="B395" s="30"/>
      <c r="C395" s="29" t="str">
        <f>IF('12 - Device_Configuration'!H396="","",'12 - Device_Configuration'!H396)</f>
        <v/>
      </c>
      <c r="D395" s="29" t="str">
        <f>IF('12 - Device_Configuration'!AE396="","",'12 - Device_Configuration'!AE396)</f>
        <v/>
      </c>
      <c r="E395" s="29" t="str">
        <f>IF('12 - Device_Configuration'!AF396="","",'12 - Device_Configuration'!AF396)</f>
        <v/>
      </c>
      <c r="F395" s="29" t="str">
        <f>IF('12 - Device_Configuration'!AG396="","",'12 - Device_Configuration'!AG396)</f>
        <v/>
      </c>
      <c r="G395" s="29" t="str">
        <f>IF('12 - Device_Configuration'!AH396="","",'12 - Device_Configuration'!AH396)</f>
        <v/>
      </c>
      <c r="H395" s="29" t="str">
        <f>IF('12 - Device_Configuration'!A396="","",'12 - Device_Configuration'!A396)</f>
        <v/>
      </c>
      <c r="I395" s="29" t="str">
        <f>IF('12 - Device_Configuration'!AI396="","",'12 - Device_Configuration'!AI396)</f>
        <v/>
      </c>
      <c r="J395" s="29" t="str">
        <f>IF('12 - Device_Configuration'!AJ396="","",'12 - Device_Configuration'!AJ396)</f>
        <v/>
      </c>
      <c r="K395" s="29" t="str">
        <f>IF('12 - Device_Configuration'!AA396="","",'12 - Device_Configuration'!AA396)</f>
        <v/>
      </c>
      <c r="L395" s="29" t="str">
        <f>IF('12 - Device_Configuration'!I396="","",'12 - Device_Configuration'!I396)</f>
        <v/>
      </c>
      <c r="M395" s="30"/>
      <c r="N395" s="29" t="str">
        <f>IF('12 - Device_Configuration'!J396="","",'12 - Device_Configuration'!J396)</f>
        <v/>
      </c>
      <c r="O395" s="29" t="str">
        <f>IF('12 - Device_Configuration'!K396="","",'12 - Device_Configuration'!K396)</f>
        <v/>
      </c>
      <c r="P395" s="29" t="str">
        <f>IF('12 - Device_Configuration'!L396="","",'12 - Device_Configuration'!L396)</f>
        <v/>
      </c>
      <c r="Q395" s="30"/>
      <c r="R395" s="29" t="str">
        <f>IF('12 - Device_Configuration'!AY396="","",'12 - Device_Configuration'!AY396)</f>
        <v/>
      </c>
      <c r="S395" s="29" t="str">
        <f>IF('12 - Device_Configuration'!AX396="","",'12 - Device_Configuration'!AX396)</f>
        <v/>
      </c>
      <c r="T395" s="29" t="str">
        <f>IF('12 - Device_Configuration'!AV396="","",'12 - Device_Configuration'!AV396)</f>
        <v/>
      </c>
      <c r="U395" s="29" t="str">
        <f>IF('12 - Device_Configuration'!AW396="","",'12 - Device_Configuration'!AW396)</f>
        <v/>
      </c>
      <c r="V395" s="29" t="str">
        <f>IF('12 - Device_Configuration'!BA396="","",'12 - Device_Configuration'!BA396)</f>
        <v/>
      </c>
      <c r="W395" s="29" t="str">
        <f>IF('12 - Device_Configuration'!BC396="","",'12 - Device_Configuration'!BC396)</f>
        <v/>
      </c>
      <c r="X395" s="29" t="str">
        <f>IF('12 - Device_Configuration'!BK396="","",'12 - Device_Configuration'!BK396)</f>
        <v/>
      </c>
      <c r="Y395" s="29" t="str">
        <f>IF('12 - Device_Configuration'!BB396="","",'12 - Device_Configuration'!BB396)</f>
        <v/>
      </c>
      <c r="Z395" s="29" t="str">
        <f>IF('12 - Device_Configuration'!P396="","",'12 - Device_Configuration'!P396)</f>
        <v/>
      </c>
      <c r="AA395" s="29" t="str">
        <f>IF('12 - Device_Configuration'!Q396="","",'12 - Device_Configuration'!Q396)</f>
        <v/>
      </c>
    </row>
    <row r="396" spans="1:27">
      <c r="A396" s="30"/>
      <c r="B396" s="30"/>
      <c r="C396" s="29" t="str">
        <f>IF('12 - Device_Configuration'!H397="","",'12 - Device_Configuration'!H397)</f>
        <v/>
      </c>
      <c r="D396" s="29" t="str">
        <f>IF('12 - Device_Configuration'!AE397="","",'12 - Device_Configuration'!AE397)</f>
        <v/>
      </c>
      <c r="E396" s="29" t="str">
        <f>IF('12 - Device_Configuration'!AF397="","",'12 - Device_Configuration'!AF397)</f>
        <v/>
      </c>
      <c r="F396" s="29" t="str">
        <f>IF('12 - Device_Configuration'!AG397="","",'12 - Device_Configuration'!AG397)</f>
        <v/>
      </c>
      <c r="G396" s="29" t="str">
        <f>IF('12 - Device_Configuration'!AH397="","",'12 - Device_Configuration'!AH397)</f>
        <v/>
      </c>
      <c r="H396" s="29" t="str">
        <f>IF('12 - Device_Configuration'!A397="","",'12 - Device_Configuration'!A397)</f>
        <v/>
      </c>
      <c r="I396" s="29" t="str">
        <f>IF('12 - Device_Configuration'!AI397="","",'12 - Device_Configuration'!AI397)</f>
        <v/>
      </c>
      <c r="J396" s="29" t="str">
        <f>IF('12 - Device_Configuration'!AJ397="","",'12 - Device_Configuration'!AJ397)</f>
        <v/>
      </c>
      <c r="K396" s="29" t="str">
        <f>IF('12 - Device_Configuration'!AA397="","",'12 - Device_Configuration'!AA397)</f>
        <v/>
      </c>
      <c r="L396" s="29" t="str">
        <f>IF('12 - Device_Configuration'!I397="","",'12 - Device_Configuration'!I397)</f>
        <v/>
      </c>
      <c r="M396" s="30"/>
      <c r="N396" s="29" t="str">
        <f>IF('12 - Device_Configuration'!J397="","",'12 - Device_Configuration'!J397)</f>
        <v/>
      </c>
      <c r="O396" s="29" t="str">
        <f>IF('12 - Device_Configuration'!K397="","",'12 - Device_Configuration'!K397)</f>
        <v/>
      </c>
      <c r="P396" s="29" t="str">
        <f>IF('12 - Device_Configuration'!L397="","",'12 - Device_Configuration'!L397)</f>
        <v/>
      </c>
      <c r="Q396" s="30"/>
      <c r="R396" s="29" t="str">
        <f>IF('12 - Device_Configuration'!AY397="","",'12 - Device_Configuration'!AY397)</f>
        <v/>
      </c>
      <c r="S396" s="29" t="str">
        <f>IF('12 - Device_Configuration'!AX397="","",'12 - Device_Configuration'!AX397)</f>
        <v/>
      </c>
      <c r="T396" s="29" t="str">
        <f>IF('12 - Device_Configuration'!AV397="","",'12 - Device_Configuration'!AV397)</f>
        <v/>
      </c>
      <c r="U396" s="29" t="str">
        <f>IF('12 - Device_Configuration'!AW397="","",'12 - Device_Configuration'!AW397)</f>
        <v/>
      </c>
      <c r="V396" s="29" t="str">
        <f>IF('12 - Device_Configuration'!BA397="","",'12 - Device_Configuration'!BA397)</f>
        <v/>
      </c>
      <c r="W396" s="29" t="str">
        <f>IF('12 - Device_Configuration'!BC397="","",'12 - Device_Configuration'!BC397)</f>
        <v/>
      </c>
      <c r="X396" s="29" t="str">
        <f>IF('12 - Device_Configuration'!BK397="","",'12 - Device_Configuration'!BK397)</f>
        <v/>
      </c>
      <c r="Y396" s="29" t="str">
        <f>IF('12 - Device_Configuration'!BB397="","",'12 - Device_Configuration'!BB397)</f>
        <v/>
      </c>
      <c r="Z396" s="29" t="str">
        <f>IF('12 - Device_Configuration'!P397="","",'12 - Device_Configuration'!P397)</f>
        <v/>
      </c>
      <c r="AA396" s="29" t="str">
        <f>IF('12 - Device_Configuration'!Q397="","",'12 - Device_Configuration'!Q397)</f>
        <v/>
      </c>
    </row>
    <row r="397" spans="1:27">
      <c r="A397" s="30"/>
      <c r="B397" s="30"/>
      <c r="C397" s="29" t="str">
        <f>IF('12 - Device_Configuration'!H398="","",'12 - Device_Configuration'!H398)</f>
        <v/>
      </c>
      <c r="D397" s="29" t="str">
        <f>IF('12 - Device_Configuration'!AE398="","",'12 - Device_Configuration'!AE398)</f>
        <v/>
      </c>
      <c r="E397" s="29" t="str">
        <f>IF('12 - Device_Configuration'!AF398="","",'12 - Device_Configuration'!AF398)</f>
        <v/>
      </c>
      <c r="F397" s="29" t="str">
        <f>IF('12 - Device_Configuration'!AG398="","",'12 - Device_Configuration'!AG398)</f>
        <v/>
      </c>
      <c r="G397" s="29" t="str">
        <f>IF('12 - Device_Configuration'!AH398="","",'12 - Device_Configuration'!AH398)</f>
        <v/>
      </c>
      <c r="H397" s="29" t="str">
        <f>IF('12 - Device_Configuration'!A398="","",'12 - Device_Configuration'!A398)</f>
        <v/>
      </c>
      <c r="I397" s="29" t="str">
        <f>IF('12 - Device_Configuration'!AI398="","",'12 - Device_Configuration'!AI398)</f>
        <v/>
      </c>
      <c r="J397" s="29" t="str">
        <f>IF('12 - Device_Configuration'!AJ398="","",'12 - Device_Configuration'!AJ398)</f>
        <v/>
      </c>
      <c r="K397" s="29" t="str">
        <f>IF('12 - Device_Configuration'!AA398="","",'12 - Device_Configuration'!AA398)</f>
        <v/>
      </c>
      <c r="L397" s="29" t="str">
        <f>IF('12 - Device_Configuration'!I398="","",'12 - Device_Configuration'!I398)</f>
        <v/>
      </c>
      <c r="M397" s="30"/>
      <c r="N397" s="29" t="str">
        <f>IF('12 - Device_Configuration'!J398="","",'12 - Device_Configuration'!J398)</f>
        <v/>
      </c>
      <c r="O397" s="29" t="str">
        <f>IF('12 - Device_Configuration'!K398="","",'12 - Device_Configuration'!K398)</f>
        <v/>
      </c>
      <c r="P397" s="29" t="str">
        <f>IF('12 - Device_Configuration'!L398="","",'12 - Device_Configuration'!L398)</f>
        <v/>
      </c>
      <c r="Q397" s="30"/>
      <c r="R397" s="29" t="str">
        <f>IF('12 - Device_Configuration'!AY398="","",'12 - Device_Configuration'!AY398)</f>
        <v/>
      </c>
      <c r="S397" s="29" t="str">
        <f>IF('12 - Device_Configuration'!AX398="","",'12 - Device_Configuration'!AX398)</f>
        <v/>
      </c>
      <c r="T397" s="29" t="str">
        <f>IF('12 - Device_Configuration'!AV398="","",'12 - Device_Configuration'!AV398)</f>
        <v/>
      </c>
      <c r="U397" s="29" t="str">
        <f>IF('12 - Device_Configuration'!AW398="","",'12 - Device_Configuration'!AW398)</f>
        <v/>
      </c>
      <c r="V397" s="29" t="str">
        <f>IF('12 - Device_Configuration'!BA398="","",'12 - Device_Configuration'!BA398)</f>
        <v/>
      </c>
      <c r="W397" s="29" t="str">
        <f>IF('12 - Device_Configuration'!BC398="","",'12 - Device_Configuration'!BC398)</f>
        <v/>
      </c>
      <c r="X397" s="29" t="str">
        <f>IF('12 - Device_Configuration'!BK398="","",'12 - Device_Configuration'!BK398)</f>
        <v/>
      </c>
      <c r="Y397" s="29" t="str">
        <f>IF('12 - Device_Configuration'!BB398="","",'12 - Device_Configuration'!BB398)</f>
        <v/>
      </c>
      <c r="Z397" s="29" t="str">
        <f>IF('12 - Device_Configuration'!P398="","",'12 - Device_Configuration'!P398)</f>
        <v/>
      </c>
      <c r="AA397" s="29" t="str">
        <f>IF('12 - Device_Configuration'!Q398="","",'12 - Device_Configuration'!Q398)</f>
        <v/>
      </c>
    </row>
    <row r="398" spans="1:27">
      <c r="A398" s="30"/>
      <c r="B398" s="30"/>
      <c r="C398" s="29" t="str">
        <f>IF('12 - Device_Configuration'!H399="","",'12 - Device_Configuration'!H399)</f>
        <v/>
      </c>
      <c r="D398" s="29" t="str">
        <f>IF('12 - Device_Configuration'!AE399="","",'12 - Device_Configuration'!AE399)</f>
        <v/>
      </c>
      <c r="E398" s="29" t="str">
        <f>IF('12 - Device_Configuration'!AF399="","",'12 - Device_Configuration'!AF399)</f>
        <v/>
      </c>
      <c r="F398" s="29" t="str">
        <f>IF('12 - Device_Configuration'!AG399="","",'12 - Device_Configuration'!AG399)</f>
        <v/>
      </c>
      <c r="G398" s="29" t="str">
        <f>IF('12 - Device_Configuration'!AH399="","",'12 - Device_Configuration'!AH399)</f>
        <v/>
      </c>
      <c r="H398" s="29" t="str">
        <f>IF('12 - Device_Configuration'!A399="","",'12 - Device_Configuration'!A399)</f>
        <v/>
      </c>
      <c r="I398" s="29" t="str">
        <f>IF('12 - Device_Configuration'!AI399="","",'12 - Device_Configuration'!AI399)</f>
        <v/>
      </c>
      <c r="J398" s="29" t="str">
        <f>IF('12 - Device_Configuration'!AJ399="","",'12 - Device_Configuration'!AJ399)</f>
        <v/>
      </c>
      <c r="K398" s="29" t="str">
        <f>IF('12 - Device_Configuration'!AA399="","",'12 - Device_Configuration'!AA399)</f>
        <v/>
      </c>
      <c r="L398" s="29" t="str">
        <f>IF('12 - Device_Configuration'!I399="","",'12 - Device_Configuration'!I399)</f>
        <v/>
      </c>
      <c r="M398" s="30"/>
      <c r="N398" s="29" t="str">
        <f>IF('12 - Device_Configuration'!J399="","",'12 - Device_Configuration'!J399)</f>
        <v/>
      </c>
      <c r="O398" s="29" t="str">
        <f>IF('12 - Device_Configuration'!K399="","",'12 - Device_Configuration'!K399)</f>
        <v/>
      </c>
      <c r="P398" s="29" t="str">
        <f>IF('12 - Device_Configuration'!L399="","",'12 - Device_Configuration'!L399)</f>
        <v/>
      </c>
      <c r="Q398" s="30"/>
      <c r="R398" s="29" t="str">
        <f>IF('12 - Device_Configuration'!AY399="","",'12 - Device_Configuration'!AY399)</f>
        <v/>
      </c>
      <c r="S398" s="29" t="str">
        <f>IF('12 - Device_Configuration'!AX399="","",'12 - Device_Configuration'!AX399)</f>
        <v/>
      </c>
      <c r="T398" s="29" t="str">
        <f>IF('12 - Device_Configuration'!AV399="","",'12 - Device_Configuration'!AV399)</f>
        <v/>
      </c>
      <c r="U398" s="29" t="str">
        <f>IF('12 - Device_Configuration'!AW399="","",'12 - Device_Configuration'!AW399)</f>
        <v/>
      </c>
      <c r="V398" s="29" t="str">
        <f>IF('12 - Device_Configuration'!BA399="","",'12 - Device_Configuration'!BA399)</f>
        <v/>
      </c>
      <c r="W398" s="29" t="str">
        <f>IF('12 - Device_Configuration'!BC399="","",'12 - Device_Configuration'!BC399)</f>
        <v/>
      </c>
      <c r="X398" s="29" t="str">
        <f>IF('12 - Device_Configuration'!BK399="","",'12 - Device_Configuration'!BK399)</f>
        <v/>
      </c>
      <c r="Y398" s="29" t="str">
        <f>IF('12 - Device_Configuration'!BB399="","",'12 - Device_Configuration'!BB399)</f>
        <v/>
      </c>
      <c r="Z398" s="29" t="str">
        <f>IF('12 - Device_Configuration'!P399="","",'12 - Device_Configuration'!P399)</f>
        <v/>
      </c>
      <c r="AA398" s="29" t="str">
        <f>IF('12 - Device_Configuration'!Q399="","",'12 - Device_Configuration'!Q399)</f>
        <v/>
      </c>
    </row>
    <row r="399" spans="1:27">
      <c r="A399" s="30"/>
      <c r="B399" s="30"/>
      <c r="C399" s="29" t="str">
        <f>IF('12 - Device_Configuration'!H400="","",'12 - Device_Configuration'!H400)</f>
        <v/>
      </c>
      <c r="D399" s="29" t="str">
        <f>IF('12 - Device_Configuration'!AE400="","",'12 - Device_Configuration'!AE400)</f>
        <v/>
      </c>
      <c r="E399" s="29" t="str">
        <f>IF('12 - Device_Configuration'!AF400="","",'12 - Device_Configuration'!AF400)</f>
        <v/>
      </c>
      <c r="F399" s="29" t="str">
        <f>IF('12 - Device_Configuration'!AG400="","",'12 - Device_Configuration'!AG400)</f>
        <v/>
      </c>
      <c r="G399" s="29" t="str">
        <f>IF('12 - Device_Configuration'!AH400="","",'12 - Device_Configuration'!AH400)</f>
        <v/>
      </c>
      <c r="H399" s="29" t="str">
        <f>IF('12 - Device_Configuration'!A400="","",'12 - Device_Configuration'!A400)</f>
        <v/>
      </c>
      <c r="I399" s="29" t="str">
        <f>IF('12 - Device_Configuration'!AI400="","",'12 - Device_Configuration'!AI400)</f>
        <v/>
      </c>
      <c r="J399" s="29" t="str">
        <f>IF('12 - Device_Configuration'!AJ400="","",'12 - Device_Configuration'!AJ400)</f>
        <v/>
      </c>
      <c r="K399" s="29" t="str">
        <f>IF('12 - Device_Configuration'!AA400="","",'12 - Device_Configuration'!AA400)</f>
        <v/>
      </c>
      <c r="L399" s="29" t="str">
        <f>IF('12 - Device_Configuration'!I400="","",'12 - Device_Configuration'!I400)</f>
        <v/>
      </c>
      <c r="M399" s="30"/>
      <c r="N399" s="29" t="str">
        <f>IF('12 - Device_Configuration'!J400="","",'12 - Device_Configuration'!J400)</f>
        <v/>
      </c>
      <c r="O399" s="29" t="str">
        <f>IF('12 - Device_Configuration'!K400="","",'12 - Device_Configuration'!K400)</f>
        <v/>
      </c>
      <c r="P399" s="29" t="str">
        <f>IF('12 - Device_Configuration'!L400="","",'12 - Device_Configuration'!L400)</f>
        <v/>
      </c>
      <c r="Q399" s="30"/>
      <c r="R399" s="29" t="str">
        <f>IF('12 - Device_Configuration'!AY400="","",'12 - Device_Configuration'!AY400)</f>
        <v/>
      </c>
      <c r="S399" s="29" t="str">
        <f>IF('12 - Device_Configuration'!AX400="","",'12 - Device_Configuration'!AX400)</f>
        <v/>
      </c>
      <c r="T399" s="29" t="str">
        <f>IF('12 - Device_Configuration'!AV400="","",'12 - Device_Configuration'!AV400)</f>
        <v/>
      </c>
      <c r="U399" s="29" t="str">
        <f>IF('12 - Device_Configuration'!AW400="","",'12 - Device_Configuration'!AW400)</f>
        <v/>
      </c>
      <c r="V399" s="29" t="str">
        <f>IF('12 - Device_Configuration'!BA400="","",'12 - Device_Configuration'!BA400)</f>
        <v/>
      </c>
      <c r="W399" s="29" t="str">
        <f>IF('12 - Device_Configuration'!BC400="","",'12 - Device_Configuration'!BC400)</f>
        <v/>
      </c>
      <c r="X399" s="29" t="str">
        <f>IF('12 - Device_Configuration'!BK400="","",'12 - Device_Configuration'!BK400)</f>
        <v/>
      </c>
      <c r="Y399" s="29" t="str">
        <f>IF('12 - Device_Configuration'!BB400="","",'12 - Device_Configuration'!BB400)</f>
        <v/>
      </c>
      <c r="Z399" s="29" t="str">
        <f>IF('12 - Device_Configuration'!P400="","",'12 - Device_Configuration'!P400)</f>
        <v/>
      </c>
      <c r="AA399" s="29" t="str">
        <f>IF('12 - Device_Configuration'!Q400="","",'12 - Device_Configuration'!Q400)</f>
        <v/>
      </c>
    </row>
    <row r="400" spans="1:27">
      <c r="A400" s="30"/>
      <c r="B400" s="30"/>
      <c r="C400" s="29" t="str">
        <f>IF('12 - Device_Configuration'!H401="","",'12 - Device_Configuration'!H401)</f>
        <v/>
      </c>
      <c r="D400" s="29" t="str">
        <f>IF('12 - Device_Configuration'!AE401="","",'12 - Device_Configuration'!AE401)</f>
        <v/>
      </c>
      <c r="E400" s="29" t="str">
        <f>IF('12 - Device_Configuration'!AF401="","",'12 - Device_Configuration'!AF401)</f>
        <v/>
      </c>
      <c r="F400" s="29" t="str">
        <f>IF('12 - Device_Configuration'!AG401="","",'12 - Device_Configuration'!AG401)</f>
        <v/>
      </c>
      <c r="G400" s="29" t="str">
        <f>IF('12 - Device_Configuration'!AH401="","",'12 - Device_Configuration'!AH401)</f>
        <v/>
      </c>
      <c r="H400" s="29" t="str">
        <f>IF('12 - Device_Configuration'!A401="","",'12 - Device_Configuration'!A401)</f>
        <v/>
      </c>
      <c r="I400" s="29" t="str">
        <f>IF('12 - Device_Configuration'!AI401="","",'12 - Device_Configuration'!AI401)</f>
        <v/>
      </c>
      <c r="J400" s="29" t="str">
        <f>IF('12 - Device_Configuration'!AJ401="","",'12 - Device_Configuration'!AJ401)</f>
        <v/>
      </c>
      <c r="K400" s="29" t="str">
        <f>IF('12 - Device_Configuration'!AA401="","",'12 - Device_Configuration'!AA401)</f>
        <v/>
      </c>
      <c r="L400" s="29" t="str">
        <f>IF('12 - Device_Configuration'!I401="","",'12 - Device_Configuration'!I401)</f>
        <v/>
      </c>
      <c r="M400" s="30"/>
      <c r="N400" s="29" t="str">
        <f>IF('12 - Device_Configuration'!J401="","",'12 - Device_Configuration'!J401)</f>
        <v/>
      </c>
      <c r="O400" s="29" t="str">
        <f>IF('12 - Device_Configuration'!K401="","",'12 - Device_Configuration'!K401)</f>
        <v/>
      </c>
      <c r="P400" s="29" t="str">
        <f>IF('12 - Device_Configuration'!L401="","",'12 - Device_Configuration'!L401)</f>
        <v/>
      </c>
      <c r="Q400" s="30"/>
      <c r="R400" s="29" t="str">
        <f>IF('12 - Device_Configuration'!AY401="","",'12 - Device_Configuration'!AY401)</f>
        <v/>
      </c>
      <c r="S400" s="29" t="str">
        <f>IF('12 - Device_Configuration'!AX401="","",'12 - Device_Configuration'!AX401)</f>
        <v/>
      </c>
      <c r="T400" s="29" t="str">
        <f>IF('12 - Device_Configuration'!AV401="","",'12 - Device_Configuration'!AV401)</f>
        <v/>
      </c>
      <c r="U400" s="29" t="str">
        <f>IF('12 - Device_Configuration'!AW401="","",'12 - Device_Configuration'!AW401)</f>
        <v/>
      </c>
      <c r="V400" s="29" t="str">
        <f>IF('12 - Device_Configuration'!BA401="","",'12 - Device_Configuration'!BA401)</f>
        <v/>
      </c>
      <c r="W400" s="29" t="str">
        <f>IF('12 - Device_Configuration'!BC401="","",'12 - Device_Configuration'!BC401)</f>
        <v/>
      </c>
      <c r="X400" s="29" t="str">
        <f>IF('12 - Device_Configuration'!BK401="","",'12 - Device_Configuration'!BK401)</f>
        <v/>
      </c>
      <c r="Y400" s="29" t="str">
        <f>IF('12 - Device_Configuration'!BB401="","",'12 - Device_Configuration'!BB401)</f>
        <v/>
      </c>
      <c r="Z400" s="29" t="str">
        <f>IF('12 - Device_Configuration'!P401="","",'12 - Device_Configuration'!P401)</f>
        <v/>
      </c>
      <c r="AA400" s="29" t="str">
        <f>IF('12 - Device_Configuration'!Q401="","",'12 - Device_Configuration'!Q401)</f>
        <v/>
      </c>
    </row>
    <row r="401" spans="1:27">
      <c r="A401" s="30"/>
      <c r="B401" s="30"/>
      <c r="C401" s="29" t="str">
        <f>IF('12 - Device_Configuration'!H402="","",'12 - Device_Configuration'!H402)</f>
        <v/>
      </c>
      <c r="D401" s="29" t="str">
        <f>IF('12 - Device_Configuration'!AE402="","",'12 - Device_Configuration'!AE402)</f>
        <v/>
      </c>
      <c r="E401" s="29" t="str">
        <f>IF('12 - Device_Configuration'!AF402="","",'12 - Device_Configuration'!AF402)</f>
        <v/>
      </c>
      <c r="F401" s="29" t="str">
        <f>IF('12 - Device_Configuration'!AG402="","",'12 - Device_Configuration'!AG402)</f>
        <v/>
      </c>
      <c r="G401" s="29" t="str">
        <f>IF('12 - Device_Configuration'!AH402="","",'12 - Device_Configuration'!AH402)</f>
        <v/>
      </c>
      <c r="H401" s="29" t="str">
        <f>IF('12 - Device_Configuration'!A402="","",'12 - Device_Configuration'!A402)</f>
        <v/>
      </c>
      <c r="I401" s="29" t="str">
        <f>IF('12 - Device_Configuration'!AI402="","",'12 - Device_Configuration'!AI402)</f>
        <v/>
      </c>
      <c r="J401" s="29" t="str">
        <f>IF('12 - Device_Configuration'!AJ402="","",'12 - Device_Configuration'!AJ402)</f>
        <v/>
      </c>
      <c r="K401" s="29" t="str">
        <f>IF('12 - Device_Configuration'!AA402="","",'12 - Device_Configuration'!AA402)</f>
        <v/>
      </c>
      <c r="L401" s="29" t="str">
        <f>IF('12 - Device_Configuration'!I402="","",'12 - Device_Configuration'!I402)</f>
        <v/>
      </c>
      <c r="M401" s="30"/>
      <c r="N401" s="29" t="str">
        <f>IF('12 - Device_Configuration'!J402="","",'12 - Device_Configuration'!J402)</f>
        <v/>
      </c>
      <c r="O401" s="29" t="str">
        <f>IF('12 - Device_Configuration'!K402="","",'12 - Device_Configuration'!K402)</f>
        <v/>
      </c>
      <c r="P401" s="29" t="str">
        <f>IF('12 - Device_Configuration'!L402="","",'12 - Device_Configuration'!L402)</f>
        <v/>
      </c>
      <c r="Q401" s="30"/>
      <c r="R401" s="29" t="str">
        <f>IF('12 - Device_Configuration'!AY402="","",'12 - Device_Configuration'!AY402)</f>
        <v/>
      </c>
      <c r="S401" s="29" t="str">
        <f>IF('12 - Device_Configuration'!AX402="","",'12 - Device_Configuration'!AX402)</f>
        <v/>
      </c>
      <c r="T401" s="29" t="str">
        <f>IF('12 - Device_Configuration'!AV402="","",'12 - Device_Configuration'!AV402)</f>
        <v/>
      </c>
      <c r="U401" s="29" t="str">
        <f>IF('12 - Device_Configuration'!AW402="","",'12 - Device_Configuration'!AW402)</f>
        <v/>
      </c>
      <c r="V401" s="29" t="str">
        <f>IF('12 - Device_Configuration'!BA402="","",'12 - Device_Configuration'!BA402)</f>
        <v/>
      </c>
      <c r="W401" s="29" t="str">
        <f>IF('12 - Device_Configuration'!BC402="","",'12 - Device_Configuration'!BC402)</f>
        <v/>
      </c>
      <c r="X401" s="29" t="str">
        <f>IF('12 - Device_Configuration'!BK402="","",'12 - Device_Configuration'!BK402)</f>
        <v/>
      </c>
      <c r="Y401" s="29" t="str">
        <f>IF('12 - Device_Configuration'!BB402="","",'12 - Device_Configuration'!BB402)</f>
        <v/>
      </c>
      <c r="Z401" s="29" t="str">
        <f>IF('12 - Device_Configuration'!P402="","",'12 - Device_Configuration'!P402)</f>
        <v/>
      </c>
      <c r="AA401" s="29" t="str">
        <f>IF('12 - Device_Configuration'!Q402="","",'12 - Device_Configuration'!Q402)</f>
        <v/>
      </c>
    </row>
    <row r="402" spans="1:27">
      <c r="A402" s="30"/>
      <c r="B402" s="30"/>
      <c r="C402" s="29" t="str">
        <f>IF('12 - Device_Configuration'!H403="","",'12 - Device_Configuration'!H403)</f>
        <v/>
      </c>
      <c r="D402" s="29" t="str">
        <f>IF('12 - Device_Configuration'!AE403="","",'12 - Device_Configuration'!AE403)</f>
        <v/>
      </c>
      <c r="E402" s="29" t="str">
        <f>IF('12 - Device_Configuration'!AF403="","",'12 - Device_Configuration'!AF403)</f>
        <v/>
      </c>
      <c r="F402" s="29" t="str">
        <f>IF('12 - Device_Configuration'!AG403="","",'12 - Device_Configuration'!AG403)</f>
        <v/>
      </c>
      <c r="G402" s="29" t="str">
        <f>IF('12 - Device_Configuration'!AH403="","",'12 - Device_Configuration'!AH403)</f>
        <v/>
      </c>
      <c r="H402" s="29" t="str">
        <f>IF('12 - Device_Configuration'!A403="","",'12 - Device_Configuration'!A403)</f>
        <v/>
      </c>
      <c r="I402" s="29" t="str">
        <f>IF('12 - Device_Configuration'!AI403="","",'12 - Device_Configuration'!AI403)</f>
        <v/>
      </c>
      <c r="J402" s="29" t="str">
        <f>IF('12 - Device_Configuration'!AJ403="","",'12 - Device_Configuration'!AJ403)</f>
        <v/>
      </c>
      <c r="K402" s="29" t="str">
        <f>IF('12 - Device_Configuration'!AA403="","",'12 - Device_Configuration'!AA403)</f>
        <v/>
      </c>
      <c r="L402" s="29" t="str">
        <f>IF('12 - Device_Configuration'!I403="","",'12 - Device_Configuration'!I403)</f>
        <v/>
      </c>
      <c r="M402" s="30"/>
      <c r="N402" s="29" t="str">
        <f>IF('12 - Device_Configuration'!J403="","",'12 - Device_Configuration'!J403)</f>
        <v/>
      </c>
      <c r="O402" s="29" t="str">
        <f>IF('12 - Device_Configuration'!K403="","",'12 - Device_Configuration'!K403)</f>
        <v/>
      </c>
      <c r="P402" s="29" t="str">
        <f>IF('12 - Device_Configuration'!L403="","",'12 - Device_Configuration'!L403)</f>
        <v/>
      </c>
      <c r="Q402" s="30"/>
      <c r="R402" s="29" t="str">
        <f>IF('12 - Device_Configuration'!AY403="","",'12 - Device_Configuration'!AY403)</f>
        <v/>
      </c>
      <c r="S402" s="29" t="str">
        <f>IF('12 - Device_Configuration'!AX403="","",'12 - Device_Configuration'!AX403)</f>
        <v/>
      </c>
      <c r="T402" s="29" t="str">
        <f>IF('12 - Device_Configuration'!AV403="","",'12 - Device_Configuration'!AV403)</f>
        <v/>
      </c>
      <c r="U402" s="29" t="str">
        <f>IF('12 - Device_Configuration'!AW403="","",'12 - Device_Configuration'!AW403)</f>
        <v/>
      </c>
      <c r="V402" s="29" t="str">
        <f>IF('12 - Device_Configuration'!BA403="","",'12 - Device_Configuration'!BA403)</f>
        <v/>
      </c>
      <c r="W402" s="29" t="str">
        <f>IF('12 - Device_Configuration'!BC403="","",'12 - Device_Configuration'!BC403)</f>
        <v/>
      </c>
      <c r="X402" s="29" t="str">
        <f>IF('12 - Device_Configuration'!BK403="","",'12 - Device_Configuration'!BK403)</f>
        <v/>
      </c>
      <c r="Y402" s="29" t="str">
        <f>IF('12 - Device_Configuration'!BB403="","",'12 - Device_Configuration'!BB403)</f>
        <v/>
      </c>
      <c r="Z402" s="29" t="str">
        <f>IF('12 - Device_Configuration'!P403="","",'12 - Device_Configuration'!P403)</f>
        <v/>
      </c>
      <c r="AA402" s="29" t="str">
        <f>IF('12 - Device_Configuration'!Q403="","",'12 - Device_Configuration'!Q403)</f>
        <v/>
      </c>
    </row>
    <row r="403" spans="1:27">
      <c r="A403" s="30"/>
      <c r="B403" s="30"/>
      <c r="C403" s="29" t="str">
        <f>IF('12 - Device_Configuration'!H404="","",'12 - Device_Configuration'!H404)</f>
        <v/>
      </c>
      <c r="D403" s="29" t="str">
        <f>IF('12 - Device_Configuration'!AE404="","",'12 - Device_Configuration'!AE404)</f>
        <v/>
      </c>
      <c r="E403" s="29" t="str">
        <f>IF('12 - Device_Configuration'!AF404="","",'12 - Device_Configuration'!AF404)</f>
        <v/>
      </c>
      <c r="F403" s="29" t="str">
        <f>IF('12 - Device_Configuration'!AG404="","",'12 - Device_Configuration'!AG404)</f>
        <v/>
      </c>
      <c r="G403" s="29" t="str">
        <f>IF('12 - Device_Configuration'!AH404="","",'12 - Device_Configuration'!AH404)</f>
        <v/>
      </c>
      <c r="H403" s="29" t="str">
        <f>IF('12 - Device_Configuration'!A404="","",'12 - Device_Configuration'!A404)</f>
        <v/>
      </c>
      <c r="I403" s="29" t="str">
        <f>IF('12 - Device_Configuration'!AI404="","",'12 - Device_Configuration'!AI404)</f>
        <v/>
      </c>
      <c r="J403" s="29" t="str">
        <f>IF('12 - Device_Configuration'!AJ404="","",'12 - Device_Configuration'!AJ404)</f>
        <v/>
      </c>
      <c r="K403" s="29" t="str">
        <f>IF('12 - Device_Configuration'!AA404="","",'12 - Device_Configuration'!AA404)</f>
        <v/>
      </c>
      <c r="L403" s="29" t="str">
        <f>IF('12 - Device_Configuration'!I404="","",'12 - Device_Configuration'!I404)</f>
        <v/>
      </c>
      <c r="M403" s="30"/>
      <c r="N403" s="29" t="str">
        <f>IF('12 - Device_Configuration'!J404="","",'12 - Device_Configuration'!J404)</f>
        <v/>
      </c>
      <c r="O403" s="29" t="str">
        <f>IF('12 - Device_Configuration'!K404="","",'12 - Device_Configuration'!K404)</f>
        <v/>
      </c>
      <c r="P403" s="29" t="str">
        <f>IF('12 - Device_Configuration'!L404="","",'12 - Device_Configuration'!L404)</f>
        <v/>
      </c>
      <c r="Q403" s="30"/>
      <c r="R403" s="29" t="str">
        <f>IF('12 - Device_Configuration'!AY404="","",'12 - Device_Configuration'!AY404)</f>
        <v/>
      </c>
      <c r="S403" s="29" t="str">
        <f>IF('12 - Device_Configuration'!AX404="","",'12 - Device_Configuration'!AX404)</f>
        <v/>
      </c>
      <c r="T403" s="29" t="str">
        <f>IF('12 - Device_Configuration'!AV404="","",'12 - Device_Configuration'!AV404)</f>
        <v/>
      </c>
      <c r="U403" s="29" t="str">
        <f>IF('12 - Device_Configuration'!AW404="","",'12 - Device_Configuration'!AW404)</f>
        <v/>
      </c>
      <c r="V403" s="29" t="str">
        <f>IF('12 - Device_Configuration'!BA404="","",'12 - Device_Configuration'!BA404)</f>
        <v/>
      </c>
      <c r="W403" s="29" t="str">
        <f>IF('12 - Device_Configuration'!BC404="","",'12 - Device_Configuration'!BC404)</f>
        <v/>
      </c>
      <c r="X403" s="29" t="str">
        <f>IF('12 - Device_Configuration'!BK404="","",'12 - Device_Configuration'!BK404)</f>
        <v/>
      </c>
      <c r="Y403" s="29" t="str">
        <f>IF('12 - Device_Configuration'!BB404="","",'12 - Device_Configuration'!BB404)</f>
        <v/>
      </c>
      <c r="Z403" s="29" t="str">
        <f>IF('12 - Device_Configuration'!P404="","",'12 - Device_Configuration'!P404)</f>
        <v/>
      </c>
      <c r="AA403" s="29" t="str">
        <f>IF('12 - Device_Configuration'!Q404="","",'12 - Device_Configuration'!Q404)</f>
        <v/>
      </c>
    </row>
    <row r="404" spans="1:27">
      <c r="A404" s="30"/>
      <c r="B404" s="30"/>
      <c r="C404" s="29" t="str">
        <f>IF('12 - Device_Configuration'!H405="","",'12 - Device_Configuration'!H405)</f>
        <v/>
      </c>
      <c r="D404" s="29" t="str">
        <f>IF('12 - Device_Configuration'!AE405="","",'12 - Device_Configuration'!AE405)</f>
        <v/>
      </c>
      <c r="E404" s="29" t="str">
        <f>IF('12 - Device_Configuration'!AF405="","",'12 - Device_Configuration'!AF405)</f>
        <v/>
      </c>
      <c r="F404" s="29" t="str">
        <f>IF('12 - Device_Configuration'!AG405="","",'12 - Device_Configuration'!AG405)</f>
        <v/>
      </c>
      <c r="G404" s="29" t="str">
        <f>IF('12 - Device_Configuration'!AH405="","",'12 - Device_Configuration'!AH405)</f>
        <v/>
      </c>
      <c r="H404" s="29" t="str">
        <f>IF('12 - Device_Configuration'!A405="","",'12 - Device_Configuration'!A405)</f>
        <v/>
      </c>
      <c r="I404" s="29" t="str">
        <f>IF('12 - Device_Configuration'!AI405="","",'12 - Device_Configuration'!AI405)</f>
        <v/>
      </c>
      <c r="J404" s="29" t="str">
        <f>IF('12 - Device_Configuration'!AJ405="","",'12 - Device_Configuration'!AJ405)</f>
        <v/>
      </c>
      <c r="K404" s="29" t="str">
        <f>IF('12 - Device_Configuration'!AA405="","",'12 - Device_Configuration'!AA405)</f>
        <v/>
      </c>
      <c r="L404" s="29" t="str">
        <f>IF('12 - Device_Configuration'!I405="","",'12 - Device_Configuration'!I405)</f>
        <v/>
      </c>
      <c r="M404" s="30"/>
      <c r="N404" s="29" t="str">
        <f>IF('12 - Device_Configuration'!J405="","",'12 - Device_Configuration'!J405)</f>
        <v/>
      </c>
      <c r="O404" s="29" t="str">
        <f>IF('12 - Device_Configuration'!K405="","",'12 - Device_Configuration'!K405)</f>
        <v/>
      </c>
      <c r="P404" s="29" t="str">
        <f>IF('12 - Device_Configuration'!L405="","",'12 - Device_Configuration'!L405)</f>
        <v/>
      </c>
      <c r="Q404" s="30"/>
      <c r="R404" s="29" t="str">
        <f>IF('12 - Device_Configuration'!AY405="","",'12 - Device_Configuration'!AY405)</f>
        <v/>
      </c>
      <c r="S404" s="29" t="str">
        <f>IF('12 - Device_Configuration'!AX405="","",'12 - Device_Configuration'!AX405)</f>
        <v/>
      </c>
      <c r="T404" s="29" t="str">
        <f>IF('12 - Device_Configuration'!AV405="","",'12 - Device_Configuration'!AV405)</f>
        <v/>
      </c>
      <c r="U404" s="29" t="str">
        <f>IF('12 - Device_Configuration'!AW405="","",'12 - Device_Configuration'!AW405)</f>
        <v/>
      </c>
      <c r="V404" s="29" t="str">
        <f>IF('12 - Device_Configuration'!BA405="","",'12 - Device_Configuration'!BA405)</f>
        <v/>
      </c>
      <c r="W404" s="29" t="str">
        <f>IF('12 - Device_Configuration'!BC405="","",'12 - Device_Configuration'!BC405)</f>
        <v/>
      </c>
      <c r="X404" s="29" t="str">
        <f>IF('12 - Device_Configuration'!BK405="","",'12 - Device_Configuration'!BK405)</f>
        <v/>
      </c>
      <c r="Y404" s="29" t="str">
        <f>IF('12 - Device_Configuration'!BB405="","",'12 - Device_Configuration'!BB405)</f>
        <v/>
      </c>
      <c r="Z404" s="29" t="str">
        <f>IF('12 - Device_Configuration'!P405="","",'12 - Device_Configuration'!P405)</f>
        <v/>
      </c>
      <c r="AA404" s="29" t="str">
        <f>IF('12 - Device_Configuration'!Q405="","",'12 - Device_Configuration'!Q405)</f>
        <v/>
      </c>
    </row>
    <row r="405" spans="1:27">
      <c r="A405" s="30"/>
      <c r="B405" s="30"/>
      <c r="C405" s="29" t="str">
        <f>IF('12 - Device_Configuration'!H406="","",'12 - Device_Configuration'!H406)</f>
        <v/>
      </c>
      <c r="D405" s="29" t="str">
        <f>IF('12 - Device_Configuration'!AE406="","",'12 - Device_Configuration'!AE406)</f>
        <v/>
      </c>
      <c r="E405" s="29" t="str">
        <f>IF('12 - Device_Configuration'!AF406="","",'12 - Device_Configuration'!AF406)</f>
        <v/>
      </c>
      <c r="F405" s="29" t="str">
        <f>IF('12 - Device_Configuration'!AG406="","",'12 - Device_Configuration'!AG406)</f>
        <v/>
      </c>
      <c r="G405" s="29" t="str">
        <f>IF('12 - Device_Configuration'!AH406="","",'12 - Device_Configuration'!AH406)</f>
        <v/>
      </c>
      <c r="H405" s="29" t="str">
        <f>IF('12 - Device_Configuration'!A406="","",'12 - Device_Configuration'!A406)</f>
        <v/>
      </c>
      <c r="I405" s="29" t="str">
        <f>IF('12 - Device_Configuration'!AI406="","",'12 - Device_Configuration'!AI406)</f>
        <v/>
      </c>
      <c r="J405" s="29" t="str">
        <f>IF('12 - Device_Configuration'!AJ406="","",'12 - Device_Configuration'!AJ406)</f>
        <v/>
      </c>
      <c r="K405" s="29" t="str">
        <f>IF('12 - Device_Configuration'!AA406="","",'12 - Device_Configuration'!AA406)</f>
        <v/>
      </c>
      <c r="L405" s="29" t="str">
        <f>IF('12 - Device_Configuration'!I406="","",'12 - Device_Configuration'!I406)</f>
        <v/>
      </c>
      <c r="M405" s="30"/>
      <c r="N405" s="29" t="str">
        <f>IF('12 - Device_Configuration'!J406="","",'12 - Device_Configuration'!J406)</f>
        <v/>
      </c>
      <c r="O405" s="29" t="str">
        <f>IF('12 - Device_Configuration'!K406="","",'12 - Device_Configuration'!K406)</f>
        <v/>
      </c>
      <c r="P405" s="29" t="str">
        <f>IF('12 - Device_Configuration'!L406="","",'12 - Device_Configuration'!L406)</f>
        <v/>
      </c>
      <c r="Q405" s="30"/>
      <c r="R405" s="29" t="str">
        <f>IF('12 - Device_Configuration'!AY406="","",'12 - Device_Configuration'!AY406)</f>
        <v/>
      </c>
      <c r="S405" s="29" t="str">
        <f>IF('12 - Device_Configuration'!AX406="","",'12 - Device_Configuration'!AX406)</f>
        <v/>
      </c>
      <c r="T405" s="29" t="str">
        <f>IF('12 - Device_Configuration'!AV406="","",'12 - Device_Configuration'!AV406)</f>
        <v/>
      </c>
      <c r="U405" s="29" t="str">
        <f>IF('12 - Device_Configuration'!AW406="","",'12 - Device_Configuration'!AW406)</f>
        <v/>
      </c>
      <c r="V405" s="29" t="str">
        <f>IF('12 - Device_Configuration'!BA406="","",'12 - Device_Configuration'!BA406)</f>
        <v/>
      </c>
      <c r="W405" s="29" t="str">
        <f>IF('12 - Device_Configuration'!BC406="","",'12 - Device_Configuration'!BC406)</f>
        <v/>
      </c>
      <c r="X405" s="29" t="str">
        <f>IF('12 - Device_Configuration'!BK406="","",'12 - Device_Configuration'!BK406)</f>
        <v/>
      </c>
      <c r="Y405" s="29" t="str">
        <f>IF('12 - Device_Configuration'!BB406="","",'12 - Device_Configuration'!BB406)</f>
        <v/>
      </c>
      <c r="Z405" s="29" t="str">
        <f>IF('12 - Device_Configuration'!P406="","",'12 - Device_Configuration'!P406)</f>
        <v/>
      </c>
      <c r="AA405" s="29" t="str">
        <f>IF('12 - Device_Configuration'!Q406="","",'12 - Device_Configuration'!Q406)</f>
        <v/>
      </c>
    </row>
    <row r="406" spans="1:27">
      <c r="A406" s="30"/>
      <c r="B406" s="30"/>
      <c r="C406" s="29" t="str">
        <f>IF('12 - Device_Configuration'!H407="","",'12 - Device_Configuration'!H407)</f>
        <v/>
      </c>
      <c r="D406" s="29" t="str">
        <f>IF('12 - Device_Configuration'!AE407="","",'12 - Device_Configuration'!AE407)</f>
        <v/>
      </c>
      <c r="E406" s="29" t="str">
        <f>IF('12 - Device_Configuration'!AF407="","",'12 - Device_Configuration'!AF407)</f>
        <v/>
      </c>
      <c r="F406" s="29" t="str">
        <f>IF('12 - Device_Configuration'!AG407="","",'12 - Device_Configuration'!AG407)</f>
        <v/>
      </c>
      <c r="G406" s="29" t="str">
        <f>IF('12 - Device_Configuration'!AH407="","",'12 - Device_Configuration'!AH407)</f>
        <v/>
      </c>
      <c r="H406" s="29" t="str">
        <f>IF('12 - Device_Configuration'!A407="","",'12 - Device_Configuration'!A407)</f>
        <v/>
      </c>
      <c r="I406" s="29" t="str">
        <f>IF('12 - Device_Configuration'!AI407="","",'12 - Device_Configuration'!AI407)</f>
        <v/>
      </c>
      <c r="J406" s="29" t="str">
        <f>IF('12 - Device_Configuration'!AJ407="","",'12 - Device_Configuration'!AJ407)</f>
        <v/>
      </c>
      <c r="K406" s="29" t="str">
        <f>IF('12 - Device_Configuration'!AA407="","",'12 - Device_Configuration'!AA407)</f>
        <v/>
      </c>
      <c r="L406" s="29" t="str">
        <f>IF('12 - Device_Configuration'!I407="","",'12 - Device_Configuration'!I407)</f>
        <v/>
      </c>
      <c r="M406" s="30"/>
      <c r="N406" s="29" t="str">
        <f>IF('12 - Device_Configuration'!J407="","",'12 - Device_Configuration'!J407)</f>
        <v/>
      </c>
      <c r="O406" s="29" t="str">
        <f>IF('12 - Device_Configuration'!K407="","",'12 - Device_Configuration'!K407)</f>
        <v/>
      </c>
      <c r="P406" s="29" t="str">
        <f>IF('12 - Device_Configuration'!L407="","",'12 - Device_Configuration'!L407)</f>
        <v/>
      </c>
      <c r="Q406" s="30"/>
      <c r="R406" s="29" t="str">
        <f>IF('12 - Device_Configuration'!AY407="","",'12 - Device_Configuration'!AY407)</f>
        <v/>
      </c>
      <c r="S406" s="29" t="str">
        <f>IF('12 - Device_Configuration'!AX407="","",'12 - Device_Configuration'!AX407)</f>
        <v/>
      </c>
      <c r="T406" s="29" t="str">
        <f>IF('12 - Device_Configuration'!AV407="","",'12 - Device_Configuration'!AV407)</f>
        <v/>
      </c>
      <c r="U406" s="29" t="str">
        <f>IF('12 - Device_Configuration'!AW407="","",'12 - Device_Configuration'!AW407)</f>
        <v/>
      </c>
      <c r="V406" s="29" t="str">
        <f>IF('12 - Device_Configuration'!BA407="","",'12 - Device_Configuration'!BA407)</f>
        <v/>
      </c>
      <c r="W406" s="29" t="str">
        <f>IF('12 - Device_Configuration'!BC407="","",'12 - Device_Configuration'!BC407)</f>
        <v/>
      </c>
      <c r="X406" s="29" t="str">
        <f>IF('12 - Device_Configuration'!BK407="","",'12 - Device_Configuration'!BK407)</f>
        <v/>
      </c>
      <c r="Y406" s="29" t="str">
        <f>IF('12 - Device_Configuration'!BB407="","",'12 - Device_Configuration'!BB407)</f>
        <v/>
      </c>
      <c r="Z406" s="29" t="str">
        <f>IF('12 - Device_Configuration'!P407="","",'12 - Device_Configuration'!P407)</f>
        <v/>
      </c>
      <c r="AA406" s="29" t="str">
        <f>IF('12 - Device_Configuration'!Q407="","",'12 - Device_Configuration'!Q407)</f>
        <v/>
      </c>
    </row>
    <row r="407" spans="1:27">
      <c r="A407" s="30"/>
      <c r="B407" s="30"/>
      <c r="C407" s="29" t="str">
        <f>IF('12 - Device_Configuration'!H408="","",'12 - Device_Configuration'!H408)</f>
        <v/>
      </c>
      <c r="D407" s="29" t="str">
        <f>IF('12 - Device_Configuration'!AE408="","",'12 - Device_Configuration'!AE408)</f>
        <v/>
      </c>
      <c r="E407" s="29" t="str">
        <f>IF('12 - Device_Configuration'!AF408="","",'12 - Device_Configuration'!AF408)</f>
        <v/>
      </c>
      <c r="F407" s="29" t="str">
        <f>IF('12 - Device_Configuration'!AG408="","",'12 - Device_Configuration'!AG408)</f>
        <v/>
      </c>
      <c r="G407" s="29" t="str">
        <f>IF('12 - Device_Configuration'!AH408="","",'12 - Device_Configuration'!AH408)</f>
        <v/>
      </c>
      <c r="H407" s="29" t="str">
        <f>IF('12 - Device_Configuration'!A408="","",'12 - Device_Configuration'!A408)</f>
        <v/>
      </c>
      <c r="I407" s="29" t="str">
        <f>IF('12 - Device_Configuration'!AI408="","",'12 - Device_Configuration'!AI408)</f>
        <v/>
      </c>
      <c r="J407" s="29" t="str">
        <f>IF('12 - Device_Configuration'!AJ408="","",'12 - Device_Configuration'!AJ408)</f>
        <v/>
      </c>
      <c r="K407" s="29" t="str">
        <f>IF('12 - Device_Configuration'!AA408="","",'12 - Device_Configuration'!AA408)</f>
        <v/>
      </c>
      <c r="L407" s="29" t="str">
        <f>IF('12 - Device_Configuration'!I408="","",'12 - Device_Configuration'!I408)</f>
        <v/>
      </c>
      <c r="M407" s="30"/>
      <c r="N407" s="29" t="str">
        <f>IF('12 - Device_Configuration'!J408="","",'12 - Device_Configuration'!J408)</f>
        <v/>
      </c>
      <c r="O407" s="29" t="str">
        <f>IF('12 - Device_Configuration'!K408="","",'12 - Device_Configuration'!K408)</f>
        <v/>
      </c>
      <c r="P407" s="29" t="str">
        <f>IF('12 - Device_Configuration'!L408="","",'12 - Device_Configuration'!L408)</f>
        <v/>
      </c>
      <c r="Q407" s="30"/>
      <c r="R407" s="29" t="str">
        <f>IF('12 - Device_Configuration'!AY408="","",'12 - Device_Configuration'!AY408)</f>
        <v/>
      </c>
      <c r="S407" s="29" t="str">
        <f>IF('12 - Device_Configuration'!AX408="","",'12 - Device_Configuration'!AX408)</f>
        <v/>
      </c>
      <c r="T407" s="29" t="str">
        <f>IF('12 - Device_Configuration'!AV408="","",'12 - Device_Configuration'!AV408)</f>
        <v/>
      </c>
      <c r="U407" s="29" t="str">
        <f>IF('12 - Device_Configuration'!AW408="","",'12 - Device_Configuration'!AW408)</f>
        <v/>
      </c>
      <c r="V407" s="29" t="str">
        <f>IF('12 - Device_Configuration'!BA408="","",'12 - Device_Configuration'!BA408)</f>
        <v/>
      </c>
      <c r="W407" s="29" t="str">
        <f>IF('12 - Device_Configuration'!BC408="","",'12 - Device_Configuration'!BC408)</f>
        <v/>
      </c>
      <c r="X407" s="29" t="str">
        <f>IF('12 - Device_Configuration'!BK408="","",'12 - Device_Configuration'!BK408)</f>
        <v/>
      </c>
      <c r="Y407" s="29" t="str">
        <f>IF('12 - Device_Configuration'!BB408="","",'12 - Device_Configuration'!BB408)</f>
        <v/>
      </c>
      <c r="Z407" s="29" t="str">
        <f>IF('12 - Device_Configuration'!P408="","",'12 - Device_Configuration'!P408)</f>
        <v/>
      </c>
      <c r="AA407" s="29" t="str">
        <f>IF('12 - Device_Configuration'!Q408="","",'12 - Device_Configuration'!Q408)</f>
        <v/>
      </c>
    </row>
    <row r="408" spans="1:27">
      <c r="A408" s="30"/>
      <c r="B408" s="30"/>
      <c r="C408" s="29" t="str">
        <f>IF('12 - Device_Configuration'!H409="","",'12 - Device_Configuration'!H409)</f>
        <v/>
      </c>
      <c r="D408" s="29" t="str">
        <f>IF('12 - Device_Configuration'!AE409="","",'12 - Device_Configuration'!AE409)</f>
        <v/>
      </c>
      <c r="E408" s="29" t="str">
        <f>IF('12 - Device_Configuration'!AF409="","",'12 - Device_Configuration'!AF409)</f>
        <v/>
      </c>
      <c r="F408" s="29" t="str">
        <f>IF('12 - Device_Configuration'!AG409="","",'12 - Device_Configuration'!AG409)</f>
        <v/>
      </c>
      <c r="G408" s="29" t="str">
        <f>IF('12 - Device_Configuration'!AH409="","",'12 - Device_Configuration'!AH409)</f>
        <v/>
      </c>
      <c r="H408" s="29" t="str">
        <f>IF('12 - Device_Configuration'!A409="","",'12 - Device_Configuration'!A409)</f>
        <v/>
      </c>
      <c r="I408" s="29" t="str">
        <f>IF('12 - Device_Configuration'!AI409="","",'12 - Device_Configuration'!AI409)</f>
        <v/>
      </c>
      <c r="J408" s="29" t="str">
        <f>IF('12 - Device_Configuration'!AJ409="","",'12 - Device_Configuration'!AJ409)</f>
        <v/>
      </c>
      <c r="K408" s="29" t="str">
        <f>IF('12 - Device_Configuration'!AA409="","",'12 - Device_Configuration'!AA409)</f>
        <v/>
      </c>
      <c r="L408" s="29" t="str">
        <f>IF('12 - Device_Configuration'!I409="","",'12 - Device_Configuration'!I409)</f>
        <v/>
      </c>
      <c r="M408" s="30"/>
      <c r="N408" s="29" t="str">
        <f>IF('12 - Device_Configuration'!J409="","",'12 - Device_Configuration'!J409)</f>
        <v/>
      </c>
      <c r="O408" s="29" t="str">
        <f>IF('12 - Device_Configuration'!K409="","",'12 - Device_Configuration'!K409)</f>
        <v/>
      </c>
      <c r="P408" s="29" t="str">
        <f>IF('12 - Device_Configuration'!L409="","",'12 - Device_Configuration'!L409)</f>
        <v/>
      </c>
      <c r="Q408" s="30"/>
      <c r="R408" s="29" t="str">
        <f>IF('12 - Device_Configuration'!AY409="","",'12 - Device_Configuration'!AY409)</f>
        <v/>
      </c>
      <c r="S408" s="29" t="str">
        <f>IF('12 - Device_Configuration'!AX409="","",'12 - Device_Configuration'!AX409)</f>
        <v/>
      </c>
      <c r="T408" s="29" t="str">
        <f>IF('12 - Device_Configuration'!AV409="","",'12 - Device_Configuration'!AV409)</f>
        <v/>
      </c>
      <c r="U408" s="29" t="str">
        <f>IF('12 - Device_Configuration'!AW409="","",'12 - Device_Configuration'!AW409)</f>
        <v/>
      </c>
      <c r="V408" s="29" t="str">
        <f>IF('12 - Device_Configuration'!BA409="","",'12 - Device_Configuration'!BA409)</f>
        <v/>
      </c>
      <c r="W408" s="29" t="str">
        <f>IF('12 - Device_Configuration'!BC409="","",'12 - Device_Configuration'!BC409)</f>
        <v/>
      </c>
      <c r="X408" s="29" t="str">
        <f>IF('12 - Device_Configuration'!BK409="","",'12 - Device_Configuration'!BK409)</f>
        <v/>
      </c>
      <c r="Y408" s="29" t="str">
        <f>IF('12 - Device_Configuration'!BB409="","",'12 - Device_Configuration'!BB409)</f>
        <v/>
      </c>
      <c r="Z408" s="29" t="str">
        <f>IF('12 - Device_Configuration'!P409="","",'12 - Device_Configuration'!P409)</f>
        <v/>
      </c>
      <c r="AA408" s="29" t="str">
        <f>IF('12 - Device_Configuration'!Q409="","",'12 - Device_Configuration'!Q409)</f>
        <v/>
      </c>
    </row>
    <row r="409" spans="1:27">
      <c r="A409" s="30"/>
      <c r="B409" s="30"/>
      <c r="C409" s="29" t="str">
        <f>IF('12 - Device_Configuration'!H410="","",'12 - Device_Configuration'!H410)</f>
        <v/>
      </c>
      <c r="D409" s="29" t="str">
        <f>IF('12 - Device_Configuration'!AE410="","",'12 - Device_Configuration'!AE410)</f>
        <v/>
      </c>
      <c r="E409" s="29" t="str">
        <f>IF('12 - Device_Configuration'!AF410="","",'12 - Device_Configuration'!AF410)</f>
        <v/>
      </c>
      <c r="F409" s="29" t="str">
        <f>IF('12 - Device_Configuration'!AG410="","",'12 - Device_Configuration'!AG410)</f>
        <v/>
      </c>
      <c r="G409" s="29" t="str">
        <f>IF('12 - Device_Configuration'!AH410="","",'12 - Device_Configuration'!AH410)</f>
        <v/>
      </c>
      <c r="H409" s="29" t="str">
        <f>IF('12 - Device_Configuration'!A410="","",'12 - Device_Configuration'!A410)</f>
        <v/>
      </c>
      <c r="I409" s="29" t="str">
        <f>IF('12 - Device_Configuration'!AI410="","",'12 - Device_Configuration'!AI410)</f>
        <v/>
      </c>
      <c r="J409" s="29" t="str">
        <f>IF('12 - Device_Configuration'!AJ410="","",'12 - Device_Configuration'!AJ410)</f>
        <v/>
      </c>
      <c r="K409" s="29" t="str">
        <f>IF('12 - Device_Configuration'!AA410="","",'12 - Device_Configuration'!AA410)</f>
        <v/>
      </c>
      <c r="L409" s="29" t="str">
        <f>IF('12 - Device_Configuration'!I410="","",'12 - Device_Configuration'!I410)</f>
        <v/>
      </c>
      <c r="M409" s="30"/>
      <c r="N409" s="29" t="str">
        <f>IF('12 - Device_Configuration'!J410="","",'12 - Device_Configuration'!J410)</f>
        <v/>
      </c>
      <c r="O409" s="29" t="str">
        <f>IF('12 - Device_Configuration'!K410="","",'12 - Device_Configuration'!K410)</f>
        <v/>
      </c>
      <c r="P409" s="29" t="str">
        <f>IF('12 - Device_Configuration'!L410="","",'12 - Device_Configuration'!L410)</f>
        <v/>
      </c>
      <c r="Q409" s="30"/>
      <c r="R409" s="29" t="str">
        <f>IF('12 - Device_Configuration'!AY410="","",'12 - Device_Configuration'!AY410)</f>
        <v/>
      </c>
      <c r="S409" s="29" t="str">
        <f>IF('12 - Device_Configuration'!AX410="","",'12 - Device_Configuration'!AX410)</f>
        <v/>
      </c>
      <c r="T409" s="29" t="str">
        <f>IF('12 - Device_Configuration'!AV410="","",'12 - Device_Configuration'!AV410)</f>
        <v/>
      </c>
      <c r="U409" s="29" t="str">
        <f>IF('12 - Device_Configuration'!AW410="","",'12 - Device_Configuration'!AW410)</f>
        <v/>
      </c>
      <c r="V409" s="29" t="str">
        <f>IF('12 - Device_Configuration'!BA410="","",'12 - Device_Configuration'!BA410)</f>
        <v/>
      </c>
      <c r="W409" s="29" t="str">
        <f>IF('12 - Device_Configuration'!BC410="","",'12 - Device_Configuration'!BC410)</f>
        <v/>
      </c>
      <c r="X409" s="29" t="str">
        <f>IF('12 - Device_Configuration'!BK410="","",'12 - Device_Configuration'!BK410)</f>
        <v/>
      </c>
      <c r="Y409" s="29" t="str">
        <f>IF('12 - Device_Configuration'!BB410="","",'12 - Device_Configuration'!BB410)</f>
        <v/>
      </c>
      <c r="Z409" s="29" t="str">
        <f>IF('12 - Device_Configuration'!P410="","",'12 - Device_Configuration'!P410)</f>
        <v/>
      </c>
      <c r="AA409" s="29" t="str">
        <f>IF('12 - Device_Configuration'!Q410="","",'12 - Device_Configuration'!Q410)</f>
        <v/>
      </c>
    </row>
    <row r="410" spans="1:27">
      <c r="A410" s="30"/>
      <c r="B410" s="30"/>
      <c r="C410" s="29" t="str">
        <f>IF('12 - Device_Configuration'!H411="","",'12 - Device_Configuration'!H411)</f>
        <v/>
      </c>
      <c r="D410" s="29" t="str">
        <f>IF('12 - Device_Configuration'!AE411="","",'12 - Device_Configuration'!AE411)</f>
        <v/>
      </c>
      <c r="E410" s="29" t="str">
        <f>IF('12 - Device_Configuration'!AF411="","",'12 - Device_Configuration'!AF411)</f>
        <v/>
      </c>
      <c r="F410" s="29" t="str">
        <f>IF('12 - Device_Configuration'!AG411="","",'12 - Device_Configuration'!AG411)</f>
        <v/>
      </c>
      <c r="G410" s="29" t="str">
        <f>IF('12 - Device_Configuration'!AH411="","",'12 - Device_Configuration'!AH411)</f>
        <v/>
      </c>
      <c r="H410" s="29" t="str">
        <f>IF('12 - Device_Configuration'!A411="","",'12 - Device_Configuration'!A411)</f>
        <v/>
      </c>
      <c r="I410" s="29" t="str">
        <f>IF('12 - Device_Configuration'!AI411="","",'12 - Device_Configuration'!AI411)</f>
        <v/>
      </c>
      <c r="J410" s="29" t="str">
        <f>IF('12 - Device_Configuration'!AJ411="","",'12 - Device_Configuration'!AJ411)</f>
        <v/>
      </c>
      <c r="K410" s="29" t="str">
        <f>IF('12 - Device_Configuration'!AA411="","",'12 - Device_Configuration'!AA411)</f>
        <v/>
      </c>
      <c r="L410" s="29" t="str">
        <f>IF('12 - Device_Configuration'!I411="","",'12 - Device_Configuration'!I411)</f>
        <v/>
      </c>
      <c r="M410" s="30"/>
      <c r="N410" s="29" t="str">
        <f>IF('12 - Device_Configuration'!J411="","",'12 - Device_Configuration'!J411)</f>
        <v/>
      </c>
      <c r="O410" s="29" t="str">
        <f>IF('12 - Device_Configuration'!K411="","",'12 - Device_Configuration'!K411)</f>
        <v/>
      </c>
      <c r="P410" s="29" t="str">
        <f>IF('12 - Device_Configuration'!L411="","",'12 - Device_Configuration'!L411)</f>
        <v/>
      </c>
      <c r="Q410" s="30"/>
      <c r="R410" s="29" t="str">
        <f>IF('12 - Device_Configuration'!AY411="","",'12 - Device_Configuration'!AY411)</f>
        <v/>
      </c>
      <c r="S410" s="29" t="str">
        <f>IF('12 - Device_Configuration'!AX411="","",'12 - Device_Configuration'!AX411)</f>
        <v/>
      </c>
      <c r="T410" s="29" t="str">
        <f>IF('12 - Device_Configuration'!AV411="","",'12 - Device_Configuration'!AV411)</f>
        <v/>
      </c>
      <c r="U410" s="29" t="str">
        <f>IF('12 - Device_Configuration'!AW411="","",'12 - Device_Configuration'!AW411)</f>
        <v/>
      </c>
      <c r="V410" s="29" t="str">
        <f>IF('12 - Device_Configuration'!BA411="","",'12 - Device_Configuration'!BA411)</f>
        <v/>
      </c>
      <c r="W410" s="29" t="str">
        <f>IF('12 - Device_Configuration'!BC411="","",'12 - Device_Configuration'!BC411)</f>
        <v/>
      </c>
      <c r="X410" s="29" t="str">
        <f>IF('12 - Device_Configuration'!BK411="","",'12 - Device_Configuration'!BK411)</f>
        <v/>
      </c>
      <c r="Y410" s="29" t="str">
        <f>IF('12 - Device_Configuration'!BB411="","",'12 - Device_Configuration'!BB411)</f>
        <v/>
      </c>
      <c r="Z410" s="29" t="str">
        <f>IF('12 - Device_Configuration'!P411="","",'12 - Device_Configuration'!P411)</f>
        <v/>
      </c>
      <c r="AA410" s="29" t="str">
        <f>IF('12 - Device_Configuration'!Q411="","",'12 - Device_Configuration'!Q411)</f>
        <v/>
      </c>
    </row>
    <row r="411" spans="1:27">
      <c r="A411" s="30"/>
      <c r="B411" s="30"/>
      <c r="C411" s="29" t="str">
        <f>IF('12 - Device_Configuration'!H412="","",'12 - Device_Configuration'!H412)</f>
        <v/>
      </c>
      <c r="D411" s="29" t="str">
        <f>IF('12 - Device_Configuration'!AE412="","",'12 - Device_Configuration'!AE412)</f>
        <v/>
      </c>
      <c r="E411" s="29" t="str">
        <f>IF('12 - Device_Configuration'!AF412="","",'12 - Device_Configuration'!AF412)</f>
        <v/>
      </c>
      <c r="F411" s="29" t="str">
        <f>IF('12 - Device_Configuration'!AG412="","",'12 - Device_Configuration'!AG412)</f>
        <v/>
      </c>
      <c r="G411" s="29" t="str">
        <f>IF('12 - Device_Configuration'!AH412="","",'12 - Device_Configuration'!AH412)</f>
        <v/>
      </c>
      <c r="H411" s="29" t="str">
        <f>IF('12 - Device_Configuration'!A412="","",'12 - Device_Configuration'!A412)</f>
        <v/>
      </c>
      <c r="I411" s="29" t="str">
        <f>IF('12 - Device_Configuration'!AI412="","",'12 - Device_Configuration'!AI412)</f>
        <v/>
      </c>
      <c r="J411" s="29" t="str">
        <f>IF('12 - Device_Configuration'!AJ412="","",'12 - Device_Configuration'!AJ412)</f>
        <v/>
      </c>
      <c r="K411" s="29" t="str">
        <f>IF('12 - Device_Configuration'!AA412="","",'12 - Device_Configuration'!AA412)</f>
        <v/>
      </c>
      <c r="L411" s="29" t="str">
        <f>IF('12 - Device_Configuration'!I412="","",'12 - Device_Configuration'!I412)</f>
        <v/>
      </c>
      <c r="M411" s="30"/>
      <c r="N411" s="29" t="str">
        <f>IF('12 - Device_Configuration'!J412="","",'12 - Device_Configuration'!J412)</f>
        <v/>
      </c>
      <c r="O411" s="29" t="str">
        <f>IF('12 - Device_Configuration'!K412="","",'12 - Device_Configuration'!K412)</f>
        <v/>
      </c>
      <c r="P411" s="29" t="str">
        <f>IF('12 - Device_Configuration'!L412="","",'12 - Device_Configuration'!L412)</f>
        <v/>
      </c>
      <c r="Q411" s="30"/>
      <c r="R411" s="29" t="str">
        <f>IF('12 - Device_Configuration'!AY412="","",'12 - Device_Configuration'!AY412)</f>
        <v/>
      </c>
      <c r="S411" s="29" t="str">
        <f>IF('12 - Device_Configuration'!AX412="","",'12 - Device_Configuration'!AX412)</f>
        <v/>
      </c>
      <c r="T411" s="29" t="str">
        <f>IF('12 - Device_Configuration'!AV412="","",'12 - Device_Configuration'!AV412)</f>
        <v/>
      </c>
      <c r="U411" s="29" t="str">
        <f>IF('12 - Device_Configuration'!AW412="","",'12 - Device_Configuration'!AW412)</f>
        <v/>
      </c>
      <c r="V411" s="29" t="str">
        <f>IF('12 - Device_Configuration'!BA412="","",'12 - Device_Configuration'!BA412)</f>
        <v/>
      </c>
      <c r="W411" s="29" t="str">
        <f>IF('12 - Device_Configuration'!BC412="","",'12 - Device_Configuration'!BC412)</f>
        <v/>
      </c>
      <c r="X411" s="29" t="str">
        <f>IF('12 - Device_Configuration'!BK412="","",'12 - Device_Configuration'!BK412)</f>
        <v/>
      </c>
      <c r="Y411" s="29" t="str">
        <f>IF('12 - Device_Configuration'!BB412="","",'12 - Device_Configuration'!BB412)</f>
        <v/>
      </c>
      <c r="Z411" s="29" t="str">
        <f>IF('12 - Device_Configuration'!P412="","",'12 - Device_Configuration'!P412)</f>
        <v/>
      </c>
      <c r="AA411" s="29" t="str">
        <f>IF('12 - Device_Configuration'!Q412="","",'12 - Device_Configuration'!Q412)</f>
        <v/>
      </c>
    </row>
    <row r="412" spans="1:27">
      <c r="A412" s="30"/>
      <c r="B412" s="30"/>
      <c r="C412" s="29" t="str">
        <f>IF('12 - Device_Configuration'!H413="","",'12 - Device_Configuration'!H413)</f>
        <v/>
      </c>
      <c r="D412" s="29" t="str">
        <f>IF('12 - Device_Configuration'!AE413="","",'12 - Device_Configuration'!AE413)</f>
        <v/>
      </c>
      <c r="E412" s="29" t="str">
        <f>IF('12 - Device_Configuration'!AF413="","",'12 - Device_Configuration'!AF413)</f>
        <v/>
      </c>
      <c r="F412" s="29" t="str">
        <f>IF('12 - Device_Configuration'!AG413="","",'12 - Device_Configuration'!AG413)</f>
        <v/>
      </c>
      <c r="G412" s="29" t="str">
        <f>IF('12 - Device_Configuration'!AH413="","",'12 - Device_Configuration'!AH413)</f>
        <v/>
      </c>
      <c r="H412" s="29" t="str">
        <f>IF('12 - Device_Configuration'!A413="","",'12 - Device_Configuration'!A413)</f>
        <v/>
      </c>
      <c r="I412" s="29" t="str">
        <f>IF('12 - Device_Configuration'!AI413="","",'12 - Device_Configuration'!AI413)</f>
        <v/>
      </c>
      <c r="J412" s="29" t="str">
        <f>IF('12 - Device_Configuration'!AJ413="","",'12 - Device_Configuration'!AJ413)</f>
        <v/>
      </c>
      <c r="K412" s="29" t="str">
        <f>IF('12 - Device_Configuration'!AA413="","",'12 - Device_Configuration'!AA413)</f>
        <v/>
      </c>
      <c r="L412" s="29" t="str">
        <f>IF('12 - Device_Configuration'!I413="","",'12 - Device_Configuration'!I413)</f>
        <v/>
      </c>
      <c r="M412" s="30"/>
      <c r="N412" s="29" t="str">
        <f>IF('12 - Device_Configuration'!J413="","",'12 - Device_Configuration'!J413)</f>
        <v/>
      </c>
      <c r="O412" s="29" t="str">
        <f>IF('12 - Device_Configuration'!K413="","",'12 - Device_Configuration'!K413)</f>
        <v/>
      </c>
      <c r="P412" s="29" t="str">
        <f>IF('12 - Device_Configuration'!L413="","",'12 - Device_Configuration'!L413)</f>
        <v/>
      </c>
      <c r="Q412" s="30"/>
      <c r="R412" s="29" t="str">
        <f>IF('12 - Device_Configuration'!AY413="","",'12 - Device_Configuration'!AY413)</f>
        <v/>
      </c>
      <c r="S412" s="29" t="str">
        <f>IF('12 - Device_Configuration'!AX413="","",'12 - Device_Configuration'!AX413)</f>
        <v/>
      </c>
      <c r="T412" s="29" t="str">
        <f>IF('12 - Device_Configuration'!AV413="","",'12 - Device_Configuration'!AV413)</f>
        <v/>
      </c>
      <c r="U412" s="29" t="str">
        <f>IF('12 - Device_Configuration'!AW413="","",'12 - Device_Configuration'!AW413)</f>
        <v/>
      </c>
      <c r="V412" s="29" t="str">
        <f>IF('12 - Device_Configuration'!BA413="","",'12 - Device_Configuration'!BA413)</f>
        <v/>
      </c>
      <c r="W412" s="29" t="str">
        <f>IF('12 - Device_Configuration'!BC413="","",'12 - Device_Configuration'!BC413)</f>
        <v/>
      </c>
      <c r="X412" s="29" t="str">
        <f>IF('12 - Device_Configuration'!BK413="","",'12 - Device_Configuration'!BK413)</f>
        <v/>
      </c>
      <c r="Y412" s="29" t="str">
        <f>IF('12 - Device_Configuration'!BB413="","",'12 - Device_Configuration'!BB413)</f>
        <v/>
      </c>
      <c r="Z412" s="29" t="str">
        <f>IF('12 - Device_Configuration'!P413="","",'12 - Device_Configuration'!P413)</f>
        <v/>
      </c>
      <c r="AA412" s="29" t="str">
        <f>IF('12 - Device_Configuration'!Q413="","",'12 - Device_Configuration'!Q413)</f>
        <v/>
      </c>
    </row>
    <row r="413" spans="1:27">
      <c r="A413" s="30"/>
      <c r="B413" s="30"/>
      <c r="C413" s="29" t="str">
        <f>IF('12 - Device_Configuration'!H414="","",'12 - Device_Configuration'!H414)</f>
        <v/>
      </c>
      <c r="D413" s="29" t="str">
        <f>IF('12 - Device_Configuration'!AE414="","",'12 - Device_Configuration'!AE414)</f>
        <v/>
      </c>
      <c r="E413" s="29" t="str">
        <f>IF('12 - Device_Configuration'!AF414="","",'12 - Device_Configuration'!AF414)</f>
        <v/>
      </c>
      <c r="F413" s="29" t="str">
        <f>IF('12 - Device_Configuration'!AG414="","",'12 - Device_Configuration'!AG414)</f>
        <v/>
      </c>
      <c r="G413" s="29" t="str">
        <f>IF('12 - Device_Configuration'!AH414="","",'12 - Device_Configuration'!AH414)</f>
        <v/>
      </c>
      <c r="H413" s="29" t="str">
        <f>IF('12 - Device_Configuration'!A414="","",'12 - Device_Configuration'!A414)</f>
        <v/>
      </c>
      <c r="I413" s="29" t="str">
        <f>IF('12 - Device_Configuration'!AI414="","",'12 - Device_Configuration'!AI414)</f>
        <v/>
      </c>
      <c r="J413" s="29" t="str">
        <f>IF('12 - Device_Configuration'!AJ414="","",'12 - Device_Configuration'!AJ414)</f>
        <v/>
      </c>
      <c r="K413" s="29" t="str">
        <f>IF('12 - Device_Configuration'!AA414="","",'12 - Device_Configuration'!AA414)</f>
        <v/>
      </c>
      <c r="L413" s="29" t="str">
        <f>IF('12 - Device_Configuration'!I414="","",'12 - Device_Configuration'!I414)</f>
        <v/>
      </c>
      <c r="M413" s="30"/>
      <c r="N413" s="29" t="str">
        <f>IF('12 - Device_Configuration'!J414="","",'12 - Device_Configuration'!J414)</f>
        <v/>
      </c>
      <c r="O413" s="29" t="str">
        <f>IF('12 - Device_Configuration'!K414="","",'12 - Device_Configuration'!K414)</f>
        <v/>
      </c>
      <c r="P413" s="29" t="str">
        <f>IF('12 - Device_Configuration'!L414="","",'12 - Device_Configuration'!L414)</f>
        <v/>
      </c>
      <c r="Q413" s="30"/>
      <c r="R413" s="29" t="str">
        <f>IF('12 - Device_Configuration'!AY414="","",'12 - Device_Configuration'!AY414)</f>
        <v/>
      </c>
      <c r="S413" s="29" t="str">
        <f>IF('12 - Device_Configuration'!AX414="","",'12 - Device_Configuration'!AX414)</f>
        <v/>
      </c>
      <c r="T413" s="29" t="str">
        <f>IF('12 - Device_Configuration'!AV414="","",'12 - Device_Configuration'!AV414)</f>
        <v/>
      </c>
      <c r="U413" s="29" t="str">
        <f>IF('12 - Device_Configuration'!AW414="","",'12 - Device_Configuration'!AW414)</f>
        <v/>
      </c>
      <c r="V413" s="29" t="str">
        <f>IF('12 - Device_Configuration'!BA414="","",'12 - Device_Configuration'!BA414)</f>
        <v/>
      </c>
      <c r="W413" s="29" t="str">
        <f>IF('12 - Device_Configuration'!BC414="","",'12 - Device_Configuration'!BC414)</f>
        <v/>
      </c>
      <c r="X413" s="29" t="str">
        <f>IF('12 - Device_Configuration'!BK414="","",'12 - Device_Configuration'!BK414)</f>
        <v/>
      </c>
      <c r="Y413" s="29" t="str">
        <f>IF('12 - Device_Configuration'!BB414="","",'12 - Device_Configuration'!BB414)</f>
        <v/>
      </c>
      <c r="Z413" s="29" t="str">
        <f>IF('12 - Device_Configuration'!P414="","",'12 - Device_Configuration'!P414)</f>
        <v/>
      </c>
      <c r="AA413" s="29" t="str">
        <f>IF('12 - Device_Configuration'!Q414="","",'12 - Device_Configuration'!Q414)</f>
        <v/>
      </c>
    </row>
    <row r="414" spans="1:27">
      <c r="A414" s="30"/>
      <c r="B414" s="30"/>
      <c r="C414" s="29" t="str">
        <f>IF('12 - Device_Configuration'!H415="","",'12 - Device_Configuration'!H415)</f>
        <v/>
      </c>
      <c r="D414" s="29" t="str">
        <f>IF('12 - Device_Configuration'!AE415="","",'12 - Device_Configuration'!AE415)</f>
        <v/>
      </c>
      <c r="E414" s="29" t="str">
        <f>IF('12 - Device_Configuration'!AF415="","",'12 - Device_Configuration'!AF415)</f>
        <v/>
      </c>
      <c r="F414" s="29" t="str">
        <f>IF('12 - Device_Configuration'!AG415="","",'12 - Device_Configuration'!AG415)</f>
        <v/>
      </c>
      <c r="G414" s="29" t="str">
        <f>IF('12 - Device_Configuration'!AH415="","",'12 - Device_Configuration'!AH415)</f>
        <v/>
      </c>
      <c r="H414" s="29" t="str">
        <f>IF('12 - Device_Configuration'!A415="","",'12 - Device_Configuration'!A415)</f>
        <v/>
      </c>
      <c r="I414" s="29" t="str">
        <f>IF('12 - Device_Configuration'!AI415="","",'12 - Device_Configuration'!AI415)</f>
        <v/>
      </c>
      <c r="J414" s="29" t="str">
        <f>IF('12 - Device_Configuration'!AJ415="","",'12 - Device_Configuration'!AJ415)</f>
        <v/>
      </c>
      <c r="K414" s="29" t="str">
        <f>IF('12 - Device_Configuration'!AA415="","",'12 - Device_Configuration'!AA415)</f>
        <v/>
      </c>
      <c r="L414" s="29" t="str">
        <f>IF('12 - Device_Configuration'!I415="","",'12 - Device_Configuration'!I415)</f>
        <v/>
      </c>
      <c r="M414" s="30"/>
      <c r="N414" s="29" t="str">
        <f>IF('12 - Device_Configuration'!J415="","",'12 - Device_Configuration'!J415)</f>
        <v/>
      </c>
      <c r="O414" s="29" t="str">
        <f>IF('12 - Device_Configuration'!K415="","",'12 - Device_Configuration'!K415)</f>
        <v/>
      </c>
      <c r="P414" s="29" t="str">
        <f>IF('12 - Device_Configuration'!L415="","",'12 - Device_Configuration'!L415)</f>
        <v/>
      </c>
      <c r="Q414" s="30"/>
      <c r="R414" s="29" t="str">
        <f>IF('12 - Device_Configuration'!AY415="","",'12 - Device_Configuration'!AY415)</f>
        <v/>
      </c>
      <c r="S414" s="29" t="str">
        <f>IF('12 - Device_Configuration'!AX415="","",'12 - Device_Configuration'!AX415)</f>
        <v/>
      </c>
      <c r="T414" s="29" t="str">
        <f>IF('12 - Device_Configuration'!AV415="","",'12 - Device_Configuration'!AV415)</f>
        <v/>
      </c>
      <c r="U414" s="29" t="str">
        <f>IF('12 - Device_Configuration'!AW415="","",'12 - Device_Configuration'!AW415)</f>
        <v/>
      </c>
      <c r="V414" s="29" t="str">
        <f>IF('12 - Device_Configuration'!BA415="","",'12 - Device_Configuration'!BA415)</f>
        <v/>
      </c>
      <c r="W414" s="29" t="str">
        <f>IF('12 - Device_Configuration'!BC415="","",'12 - Device_Configuration'!BC415)</f>
        <v/>
      </c>
      <c r="X414" s="29" t="str">
        <f>IF('12 - Device_Configuration'!BK415="","",'12 - Device_Configuration'!BK415)</f>
        <v/>
      </c>
      <c r="Y414" s="29" t="str">
        <f>IF('12 - Device_Configuration'!BB415="","",'12 - Device_Configuration'!BB415)</f>
        <v/>
      </c>
      <c r="Z414" s="29" t="str">
        <f>IF('12 - Device_Configuration'!P415="","",'12 - Device_Configuration'!P415)</f>
        <v/>
      </c>
      <c r="AA414" s="29" t="str">
        <f>IF('12 - Device_Configuration'!Q415="","",'12 - Device_Configuration'!Q415)</f>
        <v/>
      </c>
    </row>
    <row r="415" spans="1:27">
      <c r="A415" s="30"/>
      <c r="B415" s="30"/>
      <c r="C415" s="29" t="str">
        <f>IF('12 - Device_Configuration'!H416="","",'12 - Device_Configuration'!H416)</f>
        <v/>
      </c>
      <c r="D415" s="29" t="str">
        <f>IF('12 - Device_Configuration'!AE416="","",'12 - Device_Configuration'!AE416)</f>
        <v/>
      </c>
      <c r="E415" s="29" t="str">
        <f>IF('12 - Device_Configuration'!AF416="","",'12 - Device_Configuration'!AF416)</f>
        <v/>
      </c>
      <c r="F415" s="29" t="str">
        <f>IF('12 - Device_Configuration'!AG416="","",'12 - Device_Configuration'!AG416)</f>
        <v/>
      </c>
      <c r="G415" s="29" t="str">
        <f>IF('12 - Device_Configuration'!AH416="","",'12 - Device_Configuration'!AH416)</f>
        <v/>
      </c>
      <c r="H415" s="29" t="str">
        <f>IF('12 - Device_Configuration'!A416="","",'12 - Device_Configuration'!A416)</f>
        <v/>
      </c>
      <c r="I415" s="29" t="str">
        <f>IF('12 - Device_Configuration'!AI416="","",'12 - Device_Configuration'!AI416)</f>
        <v/>
      </c>
      <c r="J415" s="29" t="str">
        <f>IF('12 - Device_Configuration'!AJ416="","",'12 - Device_Configuration'!AJ416)</f>
        <v/>
      </c>
      <c r="K415" s="29" t="str">
        <f>IF('12 - Device_Configuration'!AA416="","",'12 - Device_Configuration'!AA416)</f>
        <v/>
      </c>
      <c r="L415" s="29" t="str">
        <f>IF('12 - Device_Configuration'!I416="","",'12 - Device_Configuration'!I416)</f>
        <v/>
      </c>
      <c r="M415" s="30"/>
      <c r="N415" s="29" t="str">
        <f>IF('12 - Device_Configuration'!J416="","",'12 - Device_Configuration'!J416)</f>
        <v/>
      </c>
      <c r="O415" s="29" t="str">
        <f>IF('12 - Device_Configuration'!K416="","",'12 - Device_Configuration'!K416)</f>
        <v/>
      </c>
      <c r="P415" s="29" t="str">
        <f>IF('12 - Device_Configuration'!L416="","",'12 - Device_Configuration'!L416)</f>
        <v/>
      </c>
      <c r="Q415" s="30"/>
      <c r="R415" s="29" t="str">
        <f>IF('12 - Device_Configuration'!AY416="","",'12 - Device_Configuration'!AY416)</f>
        <v/>
      </c>
      <c r="S415" s="29" t="str">
        <f>IF('12 - Device_Configuration'!AX416="","",'12 - Device_Configuration'!AX416)</f>
        <v/>
      </c>
      <c r="T415" s="29" t="str">
        <f>IF('12 - Device_Configuration'!AV416="","",'12 - Device_Configuration'!AV416)</f>
        <v/>
      </c>
      <c r="U415" s="29" t="str">
        <f>IF('12 - Device_Configuration'!AW416="","",'12 - Device_Configuration'!AW416)</f>
        <v/>
      </c>
      <c r="V415" s="29" t="str">
        <f>IF('12 - Device_Configuration'!BA416="","",'12 - Device_Configuration'!BA416)</f>
        <v/>
      </c>
      <c r="W415" s="29" t="str">
        <f>IF('12 - Device_Configuration'!BC416="","",'12 - Device_Configuration'!BC416)</f>
        <v/>
      </c>
      <c r="X415" s="29" t="str">
        <f>IF('12 - Device_Configuration'!BK416="","",'12 - Device_Configuration'!BK416)</f>
        <v/>
      </c>
      <c r="Y415" s="29" t="str">
        <f>IF('12 - Device_Configuration'!BB416="","",'12 - Device_Configuration'!BB416)</f>
        <v/>
      </c>
      <c r="Z415" s="29" t="str">
        <f>IF('12 - Device_Configuration'!P416="","",'12 - Device_Configuration'!P416)</f>
        <v/>
      </c>
      <c r="AA415" s="29" t="str">
        <f>IF('12 - Device_Configuration'!Q416="","",'12 - Device_Configuration'!Q416)</f>
        <v/>
      </c>
    </row>
    <row r="416" spans="1:27">
      <c r="A416" s="30"/>
      <c r="B416" s="30"/>
      <c r="C416" s="29" t="str">
        <f>IF('12 - Device_Configuration'!H417="","",'12 - Device_Configuration'!H417)</f>
        <v/>
      </c>
      <c r="D416" s="29" t="str">
        <f>IF('12 - Device_Configuration'!AE417="","",'12 - Device_Configuration'!AE417)</f>
        <v/>
      </c>
      <c r="E416" s="29" t="str">
        <f>IF('12 - Device_Configuration'!AF417="","",'12 - Device_Configuration'!AF417)</f>
        <v/>
      </c>
      <c r="F416" s="29" t="str">
        <f>IF('12 - Device_Configuration'!AG417="","",'12 - Device_Configuration'!AG417)</f>
        <v/>
      </c>
      <c r="G416" s="29" t="str">
        <f>IF('12 - Device_Configuration'!AH417="","",'12 - Device_Configuration'!AH417)</f>
        <v/>
      </c>
      <c r="H416" s="29" t="str">
        <f>IF('12 - Device_Configuration'!A417="","",'12 - Device_Configuration'!A417)</f>
        <v/>
      </c>
      <c r="I416" s="29" t="str">
        <f>IF('12 - Device_Configuration'!AI417="","",'12 - Device_Configuration'!AI417)</f>
        <v/>
      </c>
      <c r="J416" s="29" t="str">
        <f>IF('12 - Device_Configuration'!AJ417="","",'12 - Device_Configuration'!AJ417)</f>
        <v/>
      </c>
      <c r="K416" s="29" t="str">
        <f>IF('12 - Device_Configuration'!AA417="","",'12 - Device_Configuration'!AA417)</f>
        <v/>
      </c>
      <c r="L416" s="29" t="str">
        <f>IF('12 - Device_Configuration'!I417="","",'12 - Device_Configuration'!I417)</f>
        <v/>
      </c>
      <c r="M416" s="30"/>
      <c r="N416" s="29" t="str">
        <f>IF('12 - Device_Configuration'!J417="","",'12 - Device_Configuration'!J417)</f>
        <v/>
      </c>
      <c r="O416" s="29" t="str">
        <f>IF('12 - Device_Configuration'!K417="","",'12 - Device_Configuration'!K417)</f>
        <v/>
      </c>
      <c r="P416" s="29" t="str">
        <f>IF('12 - Device_Configuration'!L417="","",'12 - Device_Configuration'!L417)</f>
        <v/>
      </c>
      <c r="Q416" s="30"/>
      <c r="R416" s="29" t="str">
        <f>IF('12 - Device_Configuration'!AY417="","",'12 - Device_Configuration'!AY417)</f>
        <v/>
      </c>
      <c r="S416" s="29" t="str">
        <f>IF('12 - Device_Configuration'!AX417="","",'12 - Device_Configuration'!AX417)</f>
        <v/>
      </c>
      <c r="T416" s="29" t="str">
        <f>IF('12 - Device_Configuration'!AV417="","",'12 - Device_Configuration'!AV417)</f>
        <v/>
      </c>
      <c r="U416" s="29" t="str">
        <f>IF('12 - Device_Configuration'!AW417="","",'12 - Device_Configuration'!AW417)</f>
        <v/>
      </c>
      <c r="V416" s="29" t="str">
        <f>IF('12 - Device_Configuration'!BA417="","",'12 - Device_Configuration'!BA417)</f>
        <v/>
      </c>
      <c r="W416" s="29" t="str">
        <f>IF('12 - Device_Configuration'!BC417="","",'12 - Device_Configuration'!BC417)</f>
        <v/>
      </c>
      <c r="X416" s="29" t="str">
        <f>IF('12 - Device_Configuration'!BK417="","",'12 - Device_Configuration'!BK417)</f>
        <v/>
      </c>
      <c r="Y416" s="29" t="str">
        <f>IF('12 - Device_Configuration'!BB417="","",'12 - Device_Configuration'!BB417)</f>
        <v/>
      </c>
      <c r="Z416" s="29" t="str">
        <f>IF('12 - Device_Configuration'!P417="","",'12 - Device_Configuration'!P417)</f>
        <v/>
      </c>
      <c r="AA416" s="29" t="str">
        <f>IF('12 - Device_Configuration'!Q417="","",'12 - Device_Configuration'!Q417)</f>
        <v/>
      </c>
    </row>
    <row r="417" spans="1:27">
      <c r="A417" s="30"/>
      <c r="B417" s="30"/>
      <c r="C417" s="29" t="str">
        <f>IF('12 - Device_Configuration'!H418="","",'12 - Device_Configuration'!H418)</f>
        <v/>
      </c>
      <c r="D417" s="29" t="str">
        <f>IF('12 - Device_Configuration'!AE418="","",'12 - Device_Configuration'!AE418)</f>
        <v/>
      </c>
      <c r="E417" s="29" t="str">
        <f>IF('12 - Device_Configuration'!AF418="","",'12 - Device_Configuration'!AF418)</f>
        <v/>
      </c>
      <c r="F417" s="29" t="str">
        <f>IF('12 - Device_Configuration'!AG418="","",'12 - Device_Configuration'!AG418)</f>
        <v/>
      </c>
      <c r="G417" s="29" t="str">
        <f>IF('12 - Device_Configuration'!AH418="","",'12 - Device_Configuration'!AH418)</f>
        <v/>
      </c>
      <c r="H417" s="29" t="str">
        <f>IF('12 - Device_Configuration'!A418="","",'12 - Device_Configuration'!A418)</f>
        <v/>
      </c>
      <c r="I417" s="29" t="str">
        <f>IF('12 - Device_Configuration'!AI418="","",'12 - Device_Configuration'!AI418)</f>
        <v/>
      </c>
      <c r="J417" s="29" t="str">
        <f>IF('12 - Device_Configuration'!AJ418="","",'12 - Device_Configuration'!AJ418)</f>
        <v/>
      </c>
      <c r="K417" s="29" t="str">
        <f>IF('12 - Device_Configuration'!AA418="","",'12 - Device_Configuration'!AA418)</f>
        <v/>
      </c>
      <c r="L417" s="29" t="str">
        <f>IF('12 - Device_Configuration'!I418="","",'12 - Device_Configuration'!I418)</f>
        <v/>
      </c>
      <c r="M417" s="30"/>
      <c r="N417" s="29" t="str">
        <f>IF('12 - Device_Configuration'!J418="","",'12 - Device_Configuration'!J418)</f>
        <v/>
      </c>
      <c r="O417" s="29" t="str">
        <f>IF('12 - Device_Configuration'!K418="","",'12 - Device_Configuration'!K418)</f>
        <v/>
      </c>
      <c r="P417" s="29" t="str">
        <f>IF('12 - Device_Configuration'!L418="","",'12 - Device_Configuration'!L418)</f>
        <v/>
      </c>
      <c r="Q417" s="30"/>
      <c r="R417" s="29" t="str">
        <f>IF('12 - Device_Configuration'!AY418="","",'12 - Device_Configuration'!AY418)</f>
        <v/>
      </c>
      <c r="S417" s="29" t="str">
        <f>IF('12 - Device_Configuration'!AX418="","",'12 - Device_Configuration'!AX418)</f>
        <v/>
      </c>
      <c r="T417" s="29" t="str">
        <f>IF('12 - Device_Configuration'!AV418="","",'12 - Device_Configuration'!AV418)</f>
        <v/>
      </c>
      <c r="U417" s="29" t="str">
        <f>IF('12 - Device_Configuration'!AW418="","",'12 - Device_Configuration'!AW418)</f>
        <v/>
      </c>
      <c r="V417" s="29" t="str">
        <f>IF('12 - Device_Configuration'!BA418="","",'12 - Device_Configuration'!BA418)</f>
        <v/>
      </c>
      <c r="W417" s="29" t="str">
        <f>IF('12 - Device_Configuration'!BC418="","",'12 - Device_Configuration'!BC418)</f>
        <v/>
      </c>
      <c r="X417" s="29" t="str">
        <f>IF('12 - Device_Configuration'!BK418="","",'12 - Device_Configuration'!BK418)</f>
        <v/>
      </c>
      <c r="Y417" s="29" t="str">
        <f>IF('12 - Device_Configuration'!BB418="","",'12 - Device_Configuration'!BB418)</f>
        <v/>
      </c>
      <c r="Z417" s="29" t="str">
        <f>IF('12 - Device_Configuration'!P418="","",'12 - Device_Configuration'!P418)</f>
        <v/>
      </c>
      <c r="AA417" s="29" t="str">
        <f>IF('12 - Device_Configuration'!Q418="","",'12 - Device_Configuration'!Q418)</f>
        <v/>
      </c>
    </row>
    <row r="418" spans="1:27">
      <c r="A418" s="30"/>
      <c r="B418" s="30"/>
      <c r="C418" s="29" t="str">
        <f>IF('12 - Device_Configuration'!H419="","",'12 - Device_Configuration'!H419)</f>
        <v/>
      </c>
      <c r="D418" s="29" t="str">
        <f>IF('12 - Device_Configuration'!AE419="","",'12 - Device_Configuration'!AE419)</f>
        <v/>
      </c>
      <c r="E418" s="29" t="str">
        <f>IF('12 - Device_Configuration'!AF419="","",'12 - Device_Configuration'!AF419)</f>
        <v/>
      </c>
      <c r="F418" s="29" t="str">
        <f>IF('12 - Device_Configuration'!AG419="","",'12 - Device_Configuration'!AG419)</f>
        <v/>
      </c>
      <c r="G418" s="29" t="str">
        <f>IF('12 - Device_Configuration'!AH419="","",'12 - Device_Configuration'!AH419)</f>
        <v/>
      </c>
      <c r="H418" s="29" t="str">
        <f>IF('12 - Device_Configuration'!A419="","",'12 - Device_Configuration'!A419)</f>
        <v/>
      </c>
      <c r="I418" s="29" t="str">
        <f>IF('12 - Device_Configuration'!AI419="","",'12 - Device_Configuration'!AI419)</f>
        <v/>
      </c>
      <c r="J418" s="29" t="str">
        <f>IF('12 - Device_Configuration'!AJ419="","",'12 - Device_Configuration'!AJ419)</f>
        <v/>
      </c>
      <c r="K418" s="29" t="str">
        <f>IF('12 - Device_Configuration'!AA419="","",'12 - Device_Configuration'!AA419)</f>
        <v/>
      </c>
      <c r="L418" s="29" t="str">
        <f>IF('12 - Device_Configuration'!I419="","",'12 - Device_Configuration'!I419)</f>
        <v/>
      </c>
      <c r="M418" s="30"/>
      <c r="N418" s="29" t="str">
        <f>IF('12 - Device_Configuration'!J419="","",'12 - Device_Configuration'!J419)</f>
        <v/>
      </c>
      <c r="O418" s="29" t="str">
        <f>IF('12 - Device_Configuration'!K419="","",'12 - Device_Configuration'!K419)</f>
        <v/>
      </c>
      <c r="P418" s="29" t="str">
        <f>IF('12 - Device_Configuration'!L419="","",'12 - Device_Configuration'!L419)</f>
        <v/>
      </c>
      <c r="Q418" s="30"/>
      <c r="R418" s="29" t="str">
        <f>IF('12 - Device_Configuration'!AY419="","",'12 - Device_Configuration'!AY419)</f>
        <v/>
      </c>
      <c r="S418" s="29" t="str">
        <f>IF('12 - Device_Configuration'!AX419="","",'12 - Device_Configuration'!AX419)</f>
        <v/>
      </c>
      <c r="T418" s="29" t="str">
        <f>IF('12 - Device_Configuration'!AV419="","",'12 - Device_Configuration'!AV419)</f>
        <v/>
      </c>
      <c r="U418" s="29" t="str">
        <f>IF('12 - Device_Configuration'!AW419="","",'12 - Device_Configuration'!AW419)</f>
        <v/>
      </c>
      <c r="V418" s="29" t="str">
        <f>IF('12 - Device_Configuration'!BA419="","",'12 - Device_Configuration'!BA419)</f>
        <v/>
      </c>
      <c r="W418" s="29" t="str">
        <f>IF('12 - Device_Configuration'!BC419="","",'12 - Device_Configuration'!BC419)</f>
        <v/>
      </c>
      <c r="X418" s="29" t="str">
        <f>IF('12 - Device_Configuration'!BK419="","",'12 - Device_Configuration'!BK419)</f>
        <v/>
      </c>
      <c r="Y418" s="29" t="str">
        <f>IF('12 - Device_Configuration'!BB419="","",'12 - Device_Configuration'!BB419)</f>
        <v/>
      </c>
      <c r="Z418" s="29" t="str">
        <f>IF('12 - Device_Configuration'!P419="","",'12 - Device_Configuration'!P419)</f>
        <v/>
      </c>
      <c r="AA418" s="29" t="str">
        <f>IF('12 - Device_Configuration'!Q419="","",'12 - Device_Configuration'!Q419)</f>
        <v/>
      </c>
    </row>
    <row r="419" spans="1:27">
      <c r="A419" s="30"/>
      <c r="B419" s="30"/>
      <c r="C419" s="29" t="str">
        <f>IF('12 - Device_Configuration'!H420="","",'12 - Device_Configuration'!H420)</f>
        <v/>
      </c>
      <c r="D419" s="29" t="str">
        <f>IF('12 - Device_Configuration'!AE420="","",'12 - Device_Configuration'!AE420)</f>
        <v/>
      </c>
      <c r="E419" s="29" t="str">
        <f>IF('12 - Device_Configuration'!AF420="","",'12 - Device_Configuration'!AF420)</f>
        <v/>
      </c>
      <c r="F419" s="29" t="str">
        <f>IF('12 - Device_Configuration'!AG420="","",'12 - Device_Configuration'!AG420)</f>
        <v/>
      </c>
      <c r="G419" s="29" t="str">
        <f>IF('12 - Device_Configuration'!AH420="","",'12 - Device_Configuration'!AH420)</f>
        <v/>
      </c>
      <c r="H419" s="29" t="str">
        <f>IF('12 - Device_Configuration'!A420="","",'12 - Device_Configuration'!A420)</f>
        <v/>
      </c>
      <c r="I419" s="29" t="str">
        <f>IF('12 - Device_Configuration'!AI420="","",'12 - Device_Configuration'!AI420)</f>
        <v/>
      </c>
      <c r="J419" s="29" t="str">
        <f>IF('12 - Device_Configuration'!AJ420="","",'12 - Device_Configuration'!AJ420)</f>
        <v/>
      </c>
      <c r="K419" s="29" t="str">
        <f>IF('12 - Device_Configuration'!AA420="","",'12 - Device_Configuration'!AA420)</f>
        <v/>
      </c>
      <c r="L419" s="29" t="str">
        <f>IF('12 - Device_Configuration'!I420="","",'12 - Device_Configuration'!I420)</f>
        <v/>
      </c>
      <c r="M419" s="30"/>
      <c r="N419" s="29" t="str">
        <f>IF('12 - Device_Configuration'!J420="","",'12 - Device_Configuration'!J420)</f>
        <v/>
      </c>
      <c r="O419" s="29" t="str">
        <f>IF('12 - Device_Configuration'!K420="","",'12 - Device_Configuration'!K420)</f>
        <v/>
      </c>
      <c r="P419" s="29" t="str">
        <f>IF('12 - Device_Configuration'!L420="","",'12 - Device_Configuration'!L420)</f>
        <v/>
      </c>
      <c r="Q419" s="30"/>
      <c r="R419" s="29" t="str">
        <f>IF('12 - Device_Configuration'!AY420="","",'12 - Device_Configuration'!AY420)</f>
        <v/>
      </c>
      <c r="S419" s="29" t="str">
        <f>IF('12 - Device_Configuration'!AX420="","",'12 - Device_Configuration'!AX420)</f>
        <v/>
      </c>
      <c r="T419" s="29" t="str">
        <f>IF('12 - Device_Configuration'!AV420="","",'12 - Device_Configuration'!AV420)</f>
        <v/>
      </c>
      <c r="U419" s="29" t="str">
        <f>IF('12 - Device_Configuration'!AW420="","",'12 - Device_Configuration'!AW420)</f>
        <v/>
      </c>
      <c r="V419" s="29" t="str">
        <f>IF('12 - Device_Configuration'!BA420="","",'12 - Device_Configuration'!BA420)</f>
        <v/>
      </c>
      <c r="W419" s="29" t="str">
        <f>IF('12 - Device_Configuration'!BC420="","",'12 - Device_Configuration'!BC420)</f>
        <v/>
      </c>
      <c r="X419" s="29" t="str">
        <f>IF('12 - Device_Configuration'!BK420="","",'12 - Device_Configuration'!BK420)</f>
        <v/>
      </c>
      <c r="Y419" s="29" t="str">
        <f>IF('12 - Device_Configuration'!BB420="","",'12 - Device_Configuration'!BB420)</f>
        <v/>
      </c>
      <c r="Z419" s="29" t="str">
        <f>IF('12 - Device_Configuration'!P420="","",'12 - Device_Configuration'!P420)</f>
        <v/>
      </c>
      <c r="AA419" s="29" t="str">
        <f>IF('12 - Device_Configuration'!Q420="","",'12 - Device_Configuration'!Q420)</f>
        <v/>
      </c>
    </row>
    <row r="420" spans="1:27">
      <c r="A420" s="30"/>
      <c r="B420" s="30"/>
      <c r="C420" s="29" t="str">
        <f>IF('12 - Device_Configuration'!H421="","",'12 - Device_Configuration'!H421)</f>
        <v/>
      </c>
      <c r="D420" s="29" t="str">
        <f>IF('12 - Device_Configuration'!AE421="","",'12 - Device_Configuration'!AE421)</f>
        <v/>
      </c>
      <c r="E420" s="29" t="str">
        <f>IF('12 - Device_Configuration'!AF421="","",'12 - Device_Configuration'!AF421)</f>
        <v/>
      </c>
      <c r="F420" s="29" t="str">
        <f>IF('12 - Device_Configuration'!AG421="","",'12 - Device_Configuration'!AG421)</f>
        <v/>
      </c>
      <c r="G420" s="29" t="str">
        <f>IF('12 - Device_Configuration'!AH421="","",'12 - Device_Configuration'!AH421)</f>
        <v/>
      </c>
      <c r="H420" s="29" t="str">
        <f>IF('12 - Device_Configuration'!A421="","",'12 - Device_Configuration'!A421)</f>
        <v/>
      </c>
      <c r="I420" s="29" t="str">
        <f>IF('12 - Device_Configuration'!AI421="","",'12 - Device_Configuration'!AI421)</f>
        <v/>
      </c>
      <c r="J420" s="29" t="str">
        <f>IF('12 - Device_Configuration'!AJ421="","",'12 - Device_Configuration'!AJ421)</f>
        <v/>
      </c>
      <c r="K420" s="29" t="str">
        <f>IF('12 - Device_Configuration'!AA421="","",'12 - Device_Configuration'!AA421)</f>
        <v/>
      </c>
      <c r="L420" s="29" t="str">
        <f>IF('12 - Device_Configuration'!I421="","",'12 - Device_Configuration'!I421)</f>
        <v/>
      </c>
      <c r="M420" s="30"/>
      <c r="N420" s="29" t="str">
        <f>IF('12 - Device_Configuration'!J421="","",'12 - Device_Configuration'!J421)</f>
        <v/>
      </c>
      <c r="O420" s="29" t="str">
        <f>IF('12 - Device_Configuration'!K421="","",'12 - Device_Configuration'!K421)</f>
        <v/>
      </c>
      <c r="P420" s="29" t="str">
        <f>IF('12 - Device_Configuration'!L421="","",'12 - Device_Configuration'!L421)</f>
        <v/>
      </c>
      <c r="Q420" s="30"/>
      <c r="R420" s="29" t="str">
        <f>IF('12 - Device_Configuration'!AY421="","",'12 - Device_Configuration'!AY421)</f>
        <v/>
      </c>
      <c r="S420" s="29" t="str">
        <f>IF('12 - Device_Configuration'!AX421="","",'12 - Device_Configuration'!AX421)</f>
        <v/>
      </c>
      <c r="T420" s="29" t="str">
        <f>IF('12 - Device_Configuration'!AV421="","",'12 - Device_Configuration'!AV421)</f>
        <v/>
      </c>
      <c r="U420" s="29" t="str">
        <f>IF('12 - Device_Configuration'!AW421="","",'12 - Device_Configuration'!AW421)</f>
        <v/>
      </c>
      <c r="V420" s="29" t="str">
        <f>IF('12 - Device_Configuration'!BA421="","",'12 - Device_Configuration'!BA421)</f>
        <v/>
      </c>
      <c r="W420" s="29" t="str">
        <f>IF('12 - Device_Configuration'!BC421="","",'12 - Device_Configuration'!BC421)</f>
        <v/>
      </c>
      <c r="X420" s="29" t="str">
        <f>IF('12 - Device_Configuration'!BK421="","",'12 - Device_Configuration'!BK421)</f>
        <v/>
      </c>
      <c r="Y420" s="29" t="str">
        <f>IF('12 - Device_Configuration'!BB421="","",'12 - Device_Configuration'!BB421)</f>
        <v/>
      </c>
      <c r="Z420" s="29" t="str">
        <f>IF('12 - Device_Configuration'!P421="","",'12 - Device_Configuration'!P421)</f>
        <v/>
      </c>
      <c r="AA420" s="29" t="str">
        <f>IF('12 - Device_Configuration'!Q421="","",'12 - Device_Configuration'!Q421)</f>
        <v/>
      </c>
    </row>
    <row r="421" spans="1:27">
      <c r="A421" s="30"/>
      <c r="B421" s="30"/>
      <c r="C421" s="29" t="str">
        <f>IF('12 - Device_Configuration'!H422="","",'12 - Device_Configuration'!H422)</f>
        <v/>
      </c>
      <c r="D421" s="29" t="str">
        <f>IF('12 - Device_Configuration'!AE422="","",'12 - Device_Configuration'!AE422)</f>
        <v/>
      </c>
      <c r="E421" s="29" t="str">
        <f>IF('12 - Device_Configuration'!AF422="","",'12 - Device_Configuration'!AF422)</f>
        <v/>
      </c>
      <c r="F421" s="29" t="str">
        <f>IF('12 - Device_Configuration'!AG422="","",'12 - Device_Configuration'!AG422)</f>
        <v/>
      </c>
      <c r="G421" s="29" t="str">
        <f>IF('12 - Device_Configuration'!AH422="","",'12 - Device_Configuration'!AH422)</f>
        <v/>
      </c>
      <c r="H421" s="29" t="str">
        <f>IF('12 - Device_Configuration'!A422="","",'12 - Device_Configuration'!A422)</f>
        <v/>
      </c>
      <c r="I421" s="29" t="str">
        <f>IF('12 - Device_Configuration'!AI422="","",'12 - Device_Configuration'!AI422)</f>
        <v/>
      </c>
      <c r="J421" s="29" t="str">
        <f>IF('12 - Device_Configuration'!AJ422="","",'12 - Device_Configuration'!AJ422)</f>
        <v/>
      </c>
      <c r="K421" s="29" t="str">
        <f>IF('12 - Device_Configuration'!AA422="","",'12 - Device_Configuration'!AA422)</f>
        <v/>
      </c>
      <c r="L421" s="29" t="str">
        <f>IF('12 - Device_Configuration'!I422="","",'12 - Device_Configuration'!I422)</f>
        <v/>
      </c>
      <c r="M421" s="30"/>
      <c r="N421" s="29" t="str">
        <f>IF('12 - Device_Configuration'!J422="","",'12 - Device_Configuration'!J422)</f>
        <v/>
      </c>
      <c r="O421" s="29" t="str">
        <f>IF('12 - Device_Configuration'!K422="","",'12 - Device_Configuration'!K422)</f>
        <v/>
      </c>
      <c r="P421" s="29" t="str">
        <f>IF('12 - Device_Configuration'!L422="","",'12 - Device_Configuration'!L422)</f>
        <v/>
      </c>
      <c r="Q421" s="30"/>
      <c r="R421" s="29" t="str">
        <f>IF('12 - Device_Configuration'!AY422="","",'12 - Device_Configuration'!AY422)</f>
        <v/>
      </c>
      <c r="S421" s="29" t="str">
        <f>IF('12 - Device_Configuration'!AX422="","",'12 - Device_Configuration'!AX422)</f>
        <v/>
      </c>
      <c r="T421" s="29" t="str">
        <f>IF('12 - Device_Configuration'!AV422="","",'12 - Device_Configuration'!AV422)</f>
        <v/>
      </c>
      <c r="U421" s="29" t="str">
        <f>IF('12 - Device_Configuration'!AW422="","",'12 - Device_Configuration'!AW422)</f>
        <v/>
      </c>
      <c r="V421" s="29" t="str">
        <f>IF('12 - Device_Configuration'!BA422="","",'12 - Device_Configuration'!BA422)</f>
        <v/>
      </c>
      <c r="W421" s="29" t="str">
        <f>IF('12 - Device_Configuration'!BC422="","",'12 - Device_Configuration'!BC422)</f>
        <v/>
      </c>
      <c r="X421" s="29" t="str">
        <f>IF('12 - Device_Configuration'!BK422="","",'12 - Device_Configuration'!BK422)</f>
        <v/>
      </c>
      <c r="Y421" s="29" t="str">
        <f>IF('12 - Device_Configuration'!BB422="","",'12 - Device_Configuration'!BB422)</f>
        <v/>
      </c>
      <c r="Z421" s="29" t="str">
        <f>IF('12 - Device_Configuration'!P422="","",'12 - Device_Configuration'!P422)</f>
        <v/>
      </c>
      <c r="AA421" s="29" t="str">
        <f>IF('12 - Device_Configuration'!Q422="","",'12 - Device_Configuration'!Q422)</f>
        <v/>
      </c>
    </row>
    <row r="422" spans="1:27">
      <c r="A422" s="30"/>
      <c r="B422" s="30"/>
      <c r="C422" s="29" t="str">
        <f>IF('12 - Device_Configuration'!H423="","",'12 - Device_Configuration'!H423)</f>
        <v/>
      </c>
      <c r="D422" s="29" t="str">
        <f>IF('12 - Device_Configuration'!AE423="","",'12 - Device_Configuration'!AE423)</f>
        <v/>
      </c>
      <c r="E422" s="29" t="str">
        <f>IF('12 - Device_Configuration'!AF423="","",'12 - Device_Configuration'!AF423)</f>
        <v/>
      </c>
      <c r="F422" s="29" t="str">
        <f>IF('12 - Device_Configuration'!AG423="","",'12 - Device_Configuration'!AG423)</f>
        <v/>
      </c>
      <c r="G422" s="29" t="str">
        <f>IF('12 - Device_Configuration'!AH423="","",'12 - Device_Configuration'!AH423)</f>
        <v/>
      </c>
      <c r="H422" s="29" t="str">
        <f>IF('12 - Device_Configuration'!A423="","",'12 - Device_Configuration'!A423)</f>
        <v/>
      </c>
      <c r="I422" s="29" t="str">
        <f>IF('12 - Device_Configuration'!AI423="","",'12 - Device_Configuration'!AI423)</f>
        <v/>
      </c>
      <c r="J422" s="29" t="str">
        <f>IF('12 - Device_Configuration'!AJ423="","",'12 - Device_Configuration'!AJ423)</f>
        <v/>
      </c>
      <c r="K422" s="29" t="str">
        <f>IF('12 - Device_Configuration'!AA423="","",'12 - Device_Configuration'!AA423)</f>
        <v/>
      </c>
      <c r="L422" s="29" t="str">
        <f>IF('12 - Device_Configuration'!I423="","",'12 - Device_Configuration'!I423)</f>
        <v/>
      </c>
      <c r="M422" s="30"/>
      <c r="N422" s="29" t="str">
        <f>IF('12 - Device_Configuration'!J423="","",'12 - Device_Configuration'!J423)</f>
        <v/>
      </c>
      <c r="O422" s="29" t="str">
        <f>IF('12 - Device_Configuration'!K423="","",'12 - Device_Configuration'!K423)</f>
        <v/>
      </c>
      <c r="P422" s="29" t="str">
        <f>IF('12 - Device_Configuration'!L423="","",'12 - Device_Configuration'!L423)</f>
        <v/>
      </c>
      <c r="Q422" s="30"/>
      <c r="R422" s="29" t="str">
        <f>IF('12 - Device_Configuration'!AY423="","",'12 - Device_Configuration'!AY423)</f>
        <v/>
      </c>
      <c r="S422" s="29" t="str">
        <f>IF('12 - Device_Configuration'!AX423="","",'12 - Device_Configuration'!AX423)</f>
        <v/>
      </c>
      <c r="T422" s="29" t="str">
        <f>IF('12 - Device_Configuration'!AV423="","",'12 - Device_Configuration'!AV423)</f>
        <v/>
      </c>
      <c r="U422" s="29" t="str">
        <f>IF('12 - Device_Configuration'!AW423="","",'12 - Device_Configuration'!AW423)</f>
        <v/>
      </c>
      <c r="V422" s="29" t="str">
        <f>IF('12 - Device_Configuration'!BA423="","",'12 - Device_Configuration'!BA423)</f>
        <v/>
      </c>
      <c r="W422" s="29" t="str">
        <f>IF('12 - Device_Configuration'!BC423="","",'12 - Device_Configuration'!BC423)</f>
        <v/>
      </c>
      <c r="X422" s="29" t="str">
        <f>IF('12 - Device_Configuration'!BK423="","",'12 - Device_Configuration'!BK423)</f>
        <v/>
      </c>
      <c r="Y422" s="29" t="str">
        <f>IF('12 - Device_Configuration'!BB423="","",'12 - Device_Configuration'!BB423)</f>
        <v/>
      </c>
      <c r="Z422" s="29" t="str">
        <f>IF('12 - Device_Configuration'!P423="","",'12 - Device_Configuration'!P423)</f>
        <v/>
      </c>
      <c r="AA422" s="29" t="str">
        <f>IF('12 - Device_Configuration'!Q423="","",'12 - Device_Configuration'!Q423)</f>
        <v/>
      </c>
    </row>
    <row r="423" spans="1:27">
      <c r="A423" s="30"/>
      <c r="B423" s="30"/>
      <c r="C423" s="29" t="str">
        <f>IF('12 - Device_Configuration'!H424="","",'12 - Device_Configuration'!H424)</f>
        <v/>
      </c>
      <c r="D423" s="29" t="str">
        <f>IF('12 - Device_Configuration'!AE424="","",'12 - Device_Configuration'!AE424)</f>
        <v/>
      </c>
      <c r="E423" s="29" t="str">
        <f>IF('12 - Device_Configuration'!AF424="","",'12 - Device_Configuration'!AF424)</f>
        <v/>
      </c>
      <c r="F423" s="29" t="str">
        <f>IF('12 - Device_Configuration'!AG424="","",'12 - Device_Configuration'!AG424)</f>
        <v/>
      </c>
      <c r="G423" s="29" t="str">
        <f>IF('12 - Device_Configuration'!AH424="","",'12 - Device_Configuration'!AH424)</f>
        <v/>
      </c>
      <c r="H423" s="29" t="str">
        <f>IF('12 - Device_Configuration'!A424="","",'12 - Device_Configuration'!A424)</f>
        <v/>
      </c>
      <c r="I423" s="29" t="str">
        <f>IF('12 - Device_Configuration'!AI424="","",'12 - Device_Configuration'!AI424)</f>
        <v/>
      </c>
      <c r="J423" s="29" t="str">
        <f>IF('12 - Device_Configuration'!AJ424="","",'12 - Device_Configuration'!AJ424)</f>
        <v/>
      </c>
      <c r="K423" s="29" t="str">
        <f>IF('12 - Device_Configuration'!AA424="","",'12 - Device_Configuration'!AA424)</f>
        <v/>
      </c>
      <c r="L423" s="29" t="str">
        <f>IF('12 - Device_Configuration'!I424="","",'12 - Device_Configuration'!I424)</f>
        <v/>
      </c>
      <c r="M423" s="30"/>
      <c r="N423" s="29" t="str">
        <f>IF('12 - Device_Configuration'!J424="","",'12 - Device_Configuration'!J424)</f>
        <v/>
      </c>
      <c r="O423" s="29" t="str">
        <f>IF('12 - Device_Configuration'!K424="","",'12 - Device_Configuration'!K424)</f>
        <v/>
      </c>
      <c r="P423" s="29" t="str">
        <f>IF('12 - Device_Configuration'!L424="","",'12 - Device_Configuration'!L424)</f>
        <v/>
      </c>
      <c r="Q423" s="30"/>
      <c r="R423" s="29" t="str">
        <f>IF('12 - Device_Configuration'!AY424="","",'12 - Device_Configuration'!AY424)</f>
        <v/>
      </c>
      <c r="S423" s="29" t="str">
        <f>IF('12 - Device_Configuration'!AX424="","",'12 - Device_Configuration'!AX424)</f>
        <v/>
      </c>
      <c r="T423" s="29" t="str">
        <f>IF('12 - Device_Configuration'!AV424="","",'12 - Device_Configuration'!AV424)</f>
        <v/>
      </c>
      <c r="U423" s="29" t="str">
        <f>IF('12 - Device_Configuration'!AW424="","",'12 - Device_Configuration'!AW424)</f>
        <v/>
      </c>
      <c r="V423" s="29" t="str">
        <f>IF('12 - Device_Configuration'!BA424="","",'12 - Device_Configuration'!BA424)</f>
        <v/>
      </c>
      <c r="W423" s="29" t="str">
        <f>IF('12 - Device_Configuration'!BC424="","",'12 - Device_Configuration'!BC424)</f>
        <v/>
      </c>
      <c r="X423" s="29" t="str">
        <f>IF('12 - Device_Configuration'!BK424="","",'12 - Device_Configuration'!BK424)</f>
        <v/>
      </c>
      <c r="Y423" s="29" t="str">
        <f>IF('12 - Device_Configuration'!BB424="","",'12 - Device_Configuration'!BB424)</f>
        <v/>
      </c>
      <c r="Z423" s="29" t="str">
        <f>IF('12 - Device_Configuration'!P424="","",'12 - Device_Configuration'!P424)</f>
        <v/>
      </c>
      <c r="AA423" s="29" t="str">
        <f>IF('12 - Device_Configuration'!Q424="","",'12 - Device_Configuration'!Q424)</f>
        <v/>
      </c>
    </row>
    <row r="424" spans="1:27">
      <c r="A424" s="30"/>
      <c r="B424" s="30"/>
      <c r="C424" s="29" t="str">
        <f>IF('12 - Device_Configuration'!H425="","",'12 - Device_Configuration'!H425)</f>
        <v/>
      </c>
      <c r="D424" s="29" t="str">
        <f>IF('12 - Device_Configuration'!AE425="","",'12 - Device_Configuration'!AE425)</f>
        <v/>
      </c>
      <c r="E424" s="29" t="str">
        <f>IF('12 - Device_Configuration'!AF425="","",'12 - Device_Configuration'!AF425)</f>
        <v/>
      </c>
      <c r="F424" s="29" t="str">
        <f>IF('12 - Device_Configuration'!AG425="","",'12 - Device_Configuration'!AG425)</f>
        <v/>
      </c>
      <c r="G424" s="29" t="str">
        <f>IF('12 - Device_Configuration'!AH425="","",'12 - Device_Configuration'!AH425)</f>
        <v/>
      </c>
      <c r="H424" s="29" t="str">
        <f>IF('12 - Device_Configuration'!A425="","",'12 - Device_Configuration'!A425)</f>
        <v/>
      </c>
      <c r="I424" s="29" t="str">
        <f>IF('12 - Device_Configuration'!AI425="","",'12 - Device_Configuration'!AI425)</f>
        <v/>
      </c>
      <c r="J424" s="29" t="str">
        <f>IF('12 - Device_Configuration'!AJ425="","",'12 - Device_Configuration'!AJ425)</f>
        <v/>
      </c>
      <c r="K424" s="29" t="str">
        <f>IF('12 - Device_Configuration'!AA425="","",'12 - Device_Configuration'!AA425)</f>
        <v/>
      </c>
      <c r="L424" s="29" t="str">
        <f>IF('12 - Device_Configuration'!I425="","",'12 - Device_Configuration'!I425)</f>
        <v/>
      </c>
      <c r="M424" s="30"/>
      <c r="N424" s="29" t="str">
        <f>IF('12 - Device_Configuration'!J425="","",'12 - Device_Configuration'!J425)</f>
        <v/>
      </c>
      <c r="O424" s="29" t="str">
        <f>IF('12 - Device_Configuration'!K425="","",'12 - Device_Configuration'!K425)</f>
        <v/>
      </c>
      <c r="P424" s="29" t="str">
        <f>IF('12 - Device_Configuration'!L425="","",'12 - Device_Configuration'!L425)</f>
        <v/>
      </c>
      <c r="Q424" s="30"/>
      <c r="R424" s="29" t="str">
        <f>IF('12 - Device_Configuration'!AY425="","",'12 - Device_Configuration'!AY425)</f>
        <v/>
      </c>
      <c r="S424" s="29" t="str">
        <f>IF('12 - Device_Configuration'!AX425="","",'12 - Device_Configuration'!AX425)</f>
        <v/>
      </c>
      <c r="T424" s="29" t="str">
        <f>IF('12 - Device_Configuration'!AV425="","",'12 - Device_Configuration'!AV425)</f>
        <v/>
      </c>
      <c r="U424" s="29" t="str">
        <f>IF('12 - Device_Configuration'!AW425="","",'12 - Device_Configuration'!AW425)</f>
        <v/>
      </c>
      <c r="V424" s="29" t="str">
        <f>IF('12 - Device_Configuration'!BA425="","",'12 - Device_Configuration'!BA425)</f>
        <v/>
      </c>
      <c r="W424" s="29" t="str">
        <f>IF('12 - Device_Configuration'!BC425="","",'12 - Device_Configuration'!BC425)</f>
        <v/>
      </c>
      <c r="X424" s="29" t="str">
        <f>IF('12 - Device_Configuration'!BK425="","",'12 - Device_Configuration'!BK425)</f>
        <v/>
      </c>
      <c r="Y424" s="29" t="str">
        <f>IF('12 - Device_Configuration'!BB425="","",'12 - Device_Configuration'!BB425)</f>
        <v/>
      </c>
      <c r="Z424" s="29" t="str">
        <f>IF('12 - Device_Configuration'!P425="","",'12 - Device_Configuration'!P425)</f>
        <v/>
      </c>
      <c r="AA424" s="29" t="str">
        <f>IF('12 - Device_Configuration'!Q425="","",'12 - Device_Configuration'!Q425)</f>
        <v/>
      </c>
    </row>
    <row r="425" spans="1:27">
      <c r="A425" s="30"/>
      <c r="B425" s="30"/>
      <c r="C425" s="29" t="str">
        <f>IF('12 - Device_Configuration'!H426="","",'12 - Device_Configuration'!H426)</f>
        <v/>
      </c>
      <c r="D425" s="29" t="str">
        <f>IF('12 - Device_Configuration'!AE426="","",'12 - Device_Configuration'!AE426)</f>
        <v/>
      </c>
      <c r="E425" s="29" t="str">
        <f>IF('12 - Device_Configuration'!AF426="","",'12 - Device_Configuration'!AF426)</f>
        <v/>
      </c>
      <c r="F425" s="29" t="str">
        <f>IF('12 - Device_Configuration'!AG426="","",'12 - Device_Configuration'!AG426)</f>
        <v/>
      </c>
      <c r="G425" s="29" t="str">
        <f>IF('12 - Device_Configuration'!AH426="","",'12 - Device_Configuration'!AH426)</f>
        <v/>
      </c>
      <c r="H425" s="29" t="str">
        <f>IF('12 - Device_Configuration'!A426="","",'12 - Device_Configuration'!A426)</f>
        <v/>
      </c>
      <c r="I425" s="29" t="str">
        <f>IF('12 - Device_Configuration'!AI426="","",'12 - Device_Configuration'!AI426)</f>
        <v/>
      </c>
      <c r="J425" s="29" t="str">
        <f>IF('12 - Device_Configuration'!AJ426="","",'12 - Device_Configuration'!AJ426)</f>
        <v/>
      </c>
      <c r="K425" s="29" t="str">
        <f>IF('12 - Device_Configuration'!AA426="","",'12 - Device_Configuration'!AA426)</f>
        <v/>
      </c>
      <c r="L425" s="29" t="str">
        <f>IF('12 - Device_Configuration'!I426="","",'12 - Device_Configuration'!I426)</f>
        <v/>
      </c>
      <c r="M425" s="30"/>
      <c r="N425" s="29" t="str">
        <f>IF('12 - Device_Configuration'!J426="","",'12 - Device_Configuration'!J426)</f>
        <v/>
      </c>
      <c r="O425" s="29" t="str">
        <f>IF('12 - Device_Configuration'!K426="","",'12 - Device_Configuration'!K426)</f>
        <v/>
      </c>
      <c r="P425" s="29" t="str">
        <f>IF('12 - Device_Configuration'!L426="","",'12 - Device_Configuration'!L426)</f>
        <v/>
      </c>
      <c r="Q425" s="30"/>
      <c r="R425" s="29" t="str">
        <f>IF('12 - Device_Configuration'!AY426="","",'12 - Device_Configuration'!AY426)</f>
        <v/>
      </c>
      <c r="S425" s="29" t="str">
        <f>IF('12 - Device_Configuration'!AX426="","",'12 - Device_Configuration'!AX426)</f>
        <v/>
      </c>
      <c r="T425" s="29" t="str">
        <f>IF('12 - Device_Configuration'!AV426="","",'12 - Device_Configuration'!AV426)</f>
        <v/>
      </c>
      <c r="U425" s="29" t="str">
        <f>IF('12 - Device_Configuration'!AW426="","",'12 - Device_Configuration'!AW426)</f>
        <v/>
      </c>
      <c r="V425" s="29" t="str">
        <f>IF('12 - Device_Configuration'!BA426="","",'12 - Device_Configuration'!BA426)</f>
        <v/>
      </c>
      <c r="W425" s="29" t="str">
        <f>IF('12 - Device_Configuration'!BC426="","",'12 - Device_Configuration'!BC426)</f>
        <v/>
      </c>
      <c r="X425" s="29" t="str">
        <f>IF('12 - Device_Configuration'!BK426="","",'12 - Device_Configuration'!BK426)</f>
        <v/>
      </c>
      <c r="Y425" s="29" t="str">
        <f>IF('12 - Device_Configuration'!BB426="","",'12 - Device_Configuration'!BB426)</f>
        <v/>
      </c>
      <c r="Z425" s="29" t="str">
        <f>IF('12 - Device_Configuration'!P426="","",'12 - Device_Configuration'!P426)</f>
        <v/>
      </c>
      <c r="AA425" s="29" t="str">
        <f>IF('12 - Device_Configuration'!Q426="","",'12 - Device_Configuration'!Q426)</f>
        <v/>
      </c>
    </row>
    <row r="426" spans="1:27">
      <c r="A426" s="30"/>
      <c r="B426" s="30"/>
      <c r="C426" s="29" t="str">
        <f>IF('12 - Device_Configuration'!H427="","",'12 - Device_Configuration'!H427)</f>
        <v/>
      </c>
      <c r="D426" s="29" t="str">
        <f>IF('12 - Device_Configuration'!AE427="","",'12 - Device_Configuration'!AE427)</f>
        <v/>
      </c>
      <c r="E426" s="29" t="str">
        <f>IF('12 - Device_Configuration'!AF427="","",'12 - Device_Configuration'!AF427)</f>
        <v/>
      </c>
      <c r="F426" s="29" t="str">
        <f>IF('12 - Device_Configuration'!AG427="","",'12 - Device_Configuration'!AG427)</f>
        <v/>
      </c>
      <c r="G426" s="29" t="str">
        <f>IF('12 - Device_Configuration'!AH427="","",'12 - Device_Configuration'!AH427)</f>
        <v/>
      </c>
      <c r="H426" s="29" t="str">
        <f>IF('12 - Device_Configuration'!A427="","",'12 - Device_Configuration'!A427)</f>
        <v/>
      </c>
      <c r="I426" s="29" t="str">
        <f>IF('12 - Device_Configuration'!AI427="","",'12 - Device_Configuration'!AI427)</f>
        <v/>
      </c>
      <c r="J426" s="29" t="str">
        <f>IF('12 - Device_Configuration'!AJ427="","",'12 - Device_Configuration'!AJ427)</f>
        <v/>
      </c>
      <c r="K426" s="29" t="str">
        <f>IF('12 - Device_Configuration'!AA427="","",'12 - Device_Configuration'!AA427)</f>
        <v/>
      </c>
      <c r="L426" s="29" t="str">
        <f>IF('12 - Device_Configuration'!I427="","",'12 - Device_Configuration'!I427)</f>
        <v/>
      </c>
      <c r="M426" s="30"/>
      <c r="N426" s="29" t="str">
        <f>IF('12 - Device_Configuration'!J427="","",'12 - Device_Configuration'!J427)</f>
        <v/>
      </c>
      <c r="O426" s="29" t="str">
        <f>IF('12 - Device_Configuration'!K427="","",'12 - Device_Configuration'!K427)</f>
        <v/>
      </c>
      <c r="P426" s="29" t="str">
        <f>IF('12 - Device_Configuration'!L427="","",'12 - Device_Configuration'!L427)</f>
        <v/>
      </c>
      <c r="Q426" s="30"/>
      <c r="R426" s="29" t="str">
        <f>IF('12 - Device_Configuration'!AY427="","",'12 - Device_Configuration'!AY427)</f>
        <v/>
      </c>
      <c r="S426" s="29" t="str">
        <f>IF('12 - Device_Configuration'!AX427="","",'12 - Device_Configuration'!AX427)</f>
        <v/>
      </c>
      <c r="T426" s="29" t="str">
        <f>IF('12 - Device_Configuration'!AV427="","",'12 - Device_Configuration'!AV427)</f>
        <v/>
      </c>
      <c r="U426" s="29" t="str">
        <f>IF('12 - Device_Configuration'!AW427="","",'12 - Device_Configuration'!AW427)</f>
        <v/>
      </c>
      <c r="V426" s="29" t="str">
        <f>IF('12 - Device_Configuration'!BA427="","",'12 - Device_Configuration'!BA427)</f>
        <v/>
      </c>
      <c r="W426" s="29" t="str">
        <f>IF('12 - Device_Configuration'!BC427="","",'12 - Device_Configuration'!BC427)</f>
        <v/>
      </c>
      <c r="X426" s="29" t="str">
        <f>IF('12 - Device_Configuration'!BK427="","",'12 - Device_Configuration'!BK427)</f>
        <v/>
      </c>
      <c r="Y426" s="29" t="str">
        <f>IF('12 - Device_Configuration'!BB427="","",'12 - Device_Configuration'!BB427)</f>
        <v/>
      </c>
      <c r="Z426" s="29" t="str">
        <f>IF('12 - Device_Configuration'!P427="","",'12 - Device_Configuration'!P427)</f>
        <v/>
      </c>
      <c r="AA426" s="29" t="str">
        <f>IF('12 - Device_Configuration'!Q427="","",'12 - Device_Configuration'!Q427)</f>
        <v/>
      </c>
    </row>
    <row r="427" spans="1:27">
      <c r="A427" s="30"/>
      <c r="B427" s="30"/>
      <c r="C427" s="29" t="str">
        <f>IF('12 - Device_Configuration'!H428="","",'12 - Device_Configuration'!H428)</f>
        <v/>
      </c>
      <c r="D427" s="29" t="str">
        <f>IF('12 - Device_Configuration'!AE428="","",'12 - Device_Configuration'!AE428)</f>
        <v/>
      </c>
      <c r="E427" s="29" t="str">
        <f>IF('12 - Device_Configuration'!AF428="","",'12 - Device_Configuration'!AF428)</f>
        <v/>
      </c>
      <c r="F427" s="29" t="str">
        <f>IF('12 - Device_Configuration'!AG428="","",'12 - Device_Configuration'!AG428)</f>
        <v/>
      </c>
      <c r="G427" s="29" t="str">
        <f>IF('12 - Device_Configuration'!AH428="","",'12 - Device_Configuration'!AH428)</f>
        <v/>
      </c>
      <c r="H427" s="29" t="str">
        <f>IF('12 - Device_Configuration'!A428="","",'12 - Device_Configuration'!A428)</f>
        <v/>
      </c>
      <c r="I427" s="29" t="str">
        <f>IF('12 - Device_Configuration'!AI428="","",'12 - Device_Configuration'!AI428)</f>
        <v/>
      </c>
      <c r="J427" s="29" t="str">
        <f>IF('12 - Device_Configuration'!AJ428="","",'12 - Device_Configuration'!AJ428)</f>
        <v/>
      </c>
      <c r="K427" s="29" t="str">
        <f>IF('12 - Device_Configuration'!AA428="","",'12 - Device_Configuration'!AA428)</f>
        <v/>
      </c>
      <c r="L427" s="29" t="str">
        <f>IF('12 - Device_Configuration'!I428="","",'12 - Device_Configuration'!I428)</f>
        <v/>
      </c>
      <c r="M427" s="30"/>
      <c r="N427" s="29" t="str">
        <f>IF('12 - Device_Configuration'!J428="","",'12 - Device_Configuration'!J428)</f>
        <v/>
      </c>
      <c r="O427" s="29" t="str">
        <f>IF('12 - Device_Configuration'!K428="","",'12 - Device_Configuration'!K428)</f>
        <v/>
      </c>
      <c r="P427" s="29" t="str">
        <f>IF('12 - Device_Configuration'!L428="","",'12 - Device_Configuration'!L428)</f>
        <v/>
      </c>
      <c r="Q427" s="30"/>
      <c r="R427" s="29" t="str">
        <f>IF('12 - Device_Configuration'!AY428="","",'12 - Device_Configuration'!AY428)</f>
        <v/>
      </c>
      <c r="S427" s="29" t="str">
        <f>IF('12 - Device_Configuration'!AX428="","",'12 - Device_Configuration'!AX428)</f>
        <v/>
      </c>
      <c r="T427" s="29" t="str">
        <f>IF('12 - Device_Configuration'!AV428="","",'12 - Device_Configuration'!AV428)</f>
        <v/>
      </c>
      <c r="U427" s="29" t="str">
        <f>IF('12 - Device_Configuration'!AW428="","",'12 - Device_Configuration'!AW428)</f>
        <v/>
      </c>
      <c r="V427" s="29" t="str">
        <f>IF('12 - Device_Configuration'!BA428="","",'12 - Device_Configuration'!BA428)</f>
        <v/>
      </c>
      <c r="W427" s="29" t="str">
        <f>IF('12 - Device_Configuration'!BC428="","",'12 - Device_Configuration'!BC428)</f>
        <v/>
      </c>
      <c r="X427" s="29" t="str">
        <f>IF('12 - Device_Configuration'!BK428="","",'12 - Device_Configuration'!BK428)</f>
        <v/>
      </c>
      <c r="Y427" s="29" t="str">
        <f>IF('12 - Device_Configuration'!BB428="","",'12 - Device_Configuration'!BB428)</f>
        <v/>
      </c>
      <c r="Z427" s="29" t="str">
        <f>IF('12 - Device_Configuration'!P428="","",'12 - Device_Configuration'!P428)</f>
        <v/>
      </c>
      <c r="AA427" s="29" t="str">
        <f>IF('12 - Device_Configuration'!Q428="","",'12 - Device_Configuration'!Q428)</f>
        <v/>
      </c>
    </row>
    <row r="428" spans="1:27">
      <c r="A428" s="30"/>
      <c r="B428" s="30"/>
      <c r="C428" s="29" t="str">
        <f>IF('12 - Device_Configuration'!H429="","",'12 - Device_Configuration'!H429)</f>
        <v/>
      </c>
      <c r="D428" s="29" t="str">
        <f>IF('12 - Device_Configuration'!AE429="","",'12 - Device_Configuration'!AE429)</f>
        <v/>
      </c>
      <c r="E428" s="29" t="str">
        <f>IF('12 - Device_Configuration'!AF429="","",'12 - Device_Configuration'!AF429)</f>
        <v/>
      </c>
      <c r="F428" s="29" t="str">
        <f>IF('12 - Device_Configuration'!AG429="","",'12 - Device_Configuration'!AG429)</f>
        <v/>
      </c>
      <c r="G428" s="29" t="str">
        <f>IF('12 - Device_Configuration'!AH429="","",'12 - Device_Configuration'!AH429)</f>
        <v/>
      </c>
      <c r="H428" s="29" t="str">
        <f>IF('12 - Device_Configuration'!A429="","",'12 - Device_Configuration'!A429)</f>
        <v/>
      </c>
      <c r="I428" s="29" t="str">
        <f>IF('12 - Device_Configuration'!AI429="","",'12 - Device_Configuration'!AI429)</f>
        <v/>
      </c>
      <c r="J428" s="29" t="str">
        <f>IF('12 - Device_Configuration'!AJ429="","",'12 - Device_Configuration'!AJ429)</f>
        <v/>
      </c>
      <c r="K428" s="29" t="str">
        <f>IF('12 - Device_Configuration'!AA429="","",'12 - Device_Configuration'!AA429)</f>
        <v/>
      </c>
      <c r="L428" s="29" t="str">
        <f>IF('12 - Device_Configuration'!I429="","",'12 - Device_Configuration'!I429)</f>
        <v/>
      </c>
      <c r="M428" s="30"/>
      <c r="N428" s="29" t="str">
        <f>IF('12 - Device_Configuration'!J429="","",'12 - Device_Configuration'!J429)</f>
        <v/>
      </c>
      <c r="O428" s="29" t="str">
        <f>IF('12 - Device_Configuration'!K429="","",'12 - Device_Configuration'!K429)</f>
        <v/>
      </c>
      <c r="P428" s="29" t="str">
        <f>IF('12 - Device_Configuration'!L429="","",'12 - Device_Configuration'!L429)</f>
        <v/>
      </c>
      <c r="Q428" s="30"/>
      <c r="R428" s="29" t="str">
        <f>IF('12 - Device_Configuration'!AY429="","",'12 - Device_Configuration'!AY429)</f>
        <v/>
      </c>
      <c r="S428" s="29" t="str">
        <f>IF('12 - Device_Configuration'!AX429="","",'12 - Device_Configuration'!AX429)</f>
        <v/>
      </c>
      <c r="T428" s="29" t="str">
        <f>IF('12 - Device_Configuration'!AV429="","",'12 - Device_Configuration'!AV429)</f>
        <v/>
      </c>
      <c r="U428" s="29" t="str">
        <f>IF('12 - Device_Configuration'!AW429="","",'12 - Device_Configuration'!AW429)</f>
        <v/>
      </c>
      <c r="V428" s="29" t="str">
        <f>IF('12 - Device_Configuration'!BA429="","",'12 - Device_Configuration'!BA429)</f>
        <v/>
      </c>
      <c r="W428" s="29" t="str">
        <f>IF('12 - Device_Configuration'!BC429="","",'12 - Device_Configuration'!BC429)</f>
        <v/>
      </c>
      <c r="X428" s="29" t="str">
        <f>IF('12 - Device_Configuration'!BK429="","",'12 - Device_Configuration'!BK429)</f>
        <v/>
      </c>
      <c r="Y428" s="29" t="str">
        <f>IF('12 - Device_Configuration'!BB429="","",'12 - Device_Configuration'!BB429)</f>
        <v/>
      </c>
      <c r="Z428" s="29" t="str">
        <f>IF('12 - Device_Configuration'!P429="","",'12 - Device_Configuration'!P429)</f>
        <v/>
      </c>
      <c r="AA428" s="29" t="str">
        <f>IF('12 - Device_Configuration'!Q429="","",'12 - Device_Configuration'!Q429)</f>
        <v/>
      </c>
    </row>
    <row r="429" spans="1:27">
      <c r="A429" s="30"/>
      <c r="B429" s="30"/>
      <c r="C429" s="29" t="str">
        <f>IF('12 - Device_Configuration'!H430="","",'12 - Device_Configuration'!H430)</f>
        <v/>
      </c>
      <c r="D429" s="29" t="str">
        <f>IF('12 - Device_Configuration'!AE430="","",'12 - Device_Configuration'!AE430)</f>
        <v/>
      </c>
      <c r="E429" s="29" t="str">
        <f>IF('12 - Device_Configuration'!AF430="","",'12 - Device_Configuration'!AF430)</f>
        <v/>
      </c>
      <c r="F429" s="29" t="str">
        <f>IF('12 - Device_Configuration'!AG430="","",'12 - Device_Configuration'!AG430)</f>
        <v/>
      </c>
      <c r="G429" s="29" t="str">
        <f>IF('12 - Device_Configuration'!AH430="","",'12 - Device_Configuration'!AH430)</f>
        <v/>
      </c>
      <c r="H429" s="29" t="str">
        <f>IF('12 - Device_Configuration'!A430="","",'12 - Device_Configuration'!A430)</f>
        <v/>
      </c>
      <c r="I429" s="29" t="str">
        <f>IF('12 - Device_Configuration'!AI430="","",'12 - Device_Configuration'!AI430)</f>
        <v/>
      </c>
      <c r="J429" s="29" t="str">
        <f>IF('12 - Device_Configuration'!AJ430="","",'12 - Device_Configuration'!AJ430)</f>
        <v/>
      </c>
      <c r="K429" s="29" t="str">
        <f>IF('12 - Device_Configuration'!AA430="","",'12 - Device_Configuration'!AA430)</f>
        <v/>
      </c>
      <c r="L429" s="29" t="str">
        <f>IF('12 - Device_Configuration'!I430="","",'12 - Device_Configuration'!I430)</f>
        <v/>
      </c>
      <c r="M429" s="30"/>
      <c r="N429" s="29" t="str">
        <f>IF('12 - Device_Configuration'!J430="","",'12 - Device_Configuration'!J430)</f>
        <v/>
      </c>
      <c r="O429" s="29" t="str">
        <f>IF('12 - Device_Configuration'!K430="","",'12 - Device_Configuration'!K430)</f>
        <v/>
      </c>
      <c r="P429" s="29" t="str">
        <f>IF('12 - Device_Configuration'!L430="","",'12 - Device_Configuration'!L430)</f>
        <v/>
      </c>
      <c r="Q429" s="30"/>
      <c r="R429" s="29" t="str">
        <f>IF('12 - Device_Configuration'!AY430="","",'12 - Device_Configuration'!AY430)</f>
        <v/>
      </c>
      <c r="S429" s="29" t="str">
        <f>IF('12 - Device_Configuration'!AX430="","",'12 - Device_Configuration'!AX430)</f>
        <v/>
      </c>
      <c r="T429" s="29" t="str">
        <f>IF('12 - Device_Configuration'!AV430="","",'12 - Device_Configuration'!AV430)</f>
        <v/>
      </c>
      <c r="U429" s="29" t="str">
        <f>IF('12 - Device_Configuration'!AW430="","",'12 - Device_Configuration'!AW430)</f>
        <v/>
      </c>
      <c r="V429" s="29" t="str">
        <f>IF('12 - Device_Configuration'!BA430="","",'12 - Device_Configuration'!BA430)</f>
        <v/>
      </c>
      <c r="W429" s="29" t="str">
        <f>IF('12 - Device_Configuration'!BC430="","",'12 - Device_Configuration'!BC430)</f>
        <v/>
      </c>
      <c r="X429" s="29" t="str">
        <f>IF('12 - Device_Configuration'!BK430="","",'12 - Device_Configuration'!BK430)</f>
        <v/>
      </c>
      <c r="Y429" s="29" t="str">
        <f>IF('12 - Device_Configuration'!BB430="","",'12 - Device_Configuration'!BB430)</f>
        <v/>
      </c>
      <c r="Z429" s="29" t="str">
        <f>IF('12 - Device_Configuration'!P430="","",'12 - Device_Configuration'!P430)</f>
        <v/>
      </c>
      <c r="AA429" s="29" t="str">
        <f>IF('12 - Device_Configuration'!Q430="","",'12 - Device_Configuration'!Q430)</f>
        <v/>
      </c>
    </row>
    <row r="430" spans="1:27">
      <c r="A430" s="30"/>
      <c r="B430" s="30"/>
      <c r="C430" s="29" t="str">
        <f>IF('12 - Device_Configuration'!H431="","",'12 - Device_Configuration'!H431)</f>
        <v/>
      </c>
      <c r="D430" s="29" t="str">
        <f>IF('12 - Device_Configuration'!AE431="","",'12 - Device_Configuration'!AE431)</f>
        <v/>
      </c>
      <c r="E430" s="29" t="str">
        <f>IF('12 - Device_Configuration'!AF431="","",'12 - Device_Configuration'!AF431)</f>
        <v/>
      </c>
      <c r="F430" s="29" t="str">
        <f>IF('12 - Device_Configuration'!AG431="","",'12 - Device_Configuration'!AG431)</f>
        <v/>
      </c>
      <c r="G430" s="29" t="str">
        <f>IF('12 - Device_Configuration'!AH431="","",'12 - Device_Configuration'!AH431)</f>
        <v/>
      </c>
      <c r="H430" s="29" t="str">
        <f>IF('12 - Device_Configuration'!A431="","",'12 - Device_Configuration'!A431)</f>
        <v/>
      </c>
      <c r="I430" s="29" t="str">
        <f>IF('12 - Device_Configuration'!AI431="","",'12 - Device_Configuration'!AI431)</f>
        <v/>
      </c>
      <c r="J430" s="29" t="str">
        <f>IF('12 - Device_Configuration'!AJ431="","",'12 - Device_Configuration'!AJ431)</f>
        <v/>
      </c>
      <c r="K430" s="29" t="str">
        <f>IF('12 - Device_Configuration'!AA431="","",'12 - Device_Configuration'!AA431)</f>
        <v/>
      </c>
      <c r="L430" s="29" t="str">
        <f>IF('12 - Device_Configuration'!I431="","",'12 - Device_Configuration'!I431)</f>
        <v/>
      </c>
      <c r="M430" s="30"/>
      <c r="N430" s="29" t="str">
        <f>IF('12 - Device_Configuration'!J431="","",'12 - Device_Configuration'!J431)</f>
        <v/>
      </c>
      <c r="O430" s="29" t="str">
        <f>IF('12 - Device_Configuration'!K431="","",'12 - Device_Configuration'!K431)</f>
        <v/>
      </c>
      <c r="P430" s="29" t="str">
        <f>IF('12 - Device_Configuration'!L431="","",'12 - Device_Configuration'!L431)</f>
        <v/>
      </c>
      <c r="Q430" s="30"/>
      <c r="R430" s="29" t="str">
        <f>IF('12 - Device_Configuration'!AY431="","",'12 - Device_Configuration'!AY431)</f>
        <v/>
      </c>
      <c r="S430" s="29" t="str">
        <f>IF('12 - Device_Configuration'!AX431="","",'12 - Device_Configuration'!AX431)</f>
        <v/>
      </c>
      <c r="T430" s="29" t="str">
        <f>IF('12 - Device_Configuration'!AV431="","",'12 - Device_Configuration'!AV431)</f>
        <v/>
      </c>
      <c r="U430" s="29" t="str">
        <f>IF('12 - Device_Configuration'!AW431="","",'12 - Device_Configuration'!AW431)</f>
        <v/>
      </c>
      <c r="V430" s="29" t="str">
        <f>IF('12 - Device_Configuration'!BA431="","",'12 - Device_Configuration'!BA431)</f>
        <v/>
      </c>
      <c r="W430" s="29" t="str">
        <f>IF('12 - Device_Configuration'!BC431="","",'12 - Device_Configuration'!BC431)</f>
        <v/>
      </c>
      <c r="X430" s="29" t="str">
        <f>IF('12 - Device_Configuration'!BK431="","",'12 - Device_Configuration'!BK431)</f>
        <v/>
      </c>
      <c r="Y430" s="29" t="str">
        <f>IF('12 - Device_Configuration'!BB431="","",'12 - Device_Configuration'!BB431)</f>
        <v/>
      </c>
      <c r="Z430" s="29" t="str">
        <f>IF('12 - Device_Configuration'!P431="","",'12 - Device_Configuration'!P431)</f>
        <v/>
      </c>
      <c r="AA430" s="29" t="str">
        <f>IF('12 - Device_Configuration'!Q431="","",'12 - Device_Configuration'!Q431)</f>
        <v/>
      </c>
    </row>
    <row r="431" spans="1:27">
      <c r="A431" s="30"/>
      <c r="B431" s="30"/>
      <c r="C431" s="29" t="str">
        <f>IF('12 - Device_Configuration'!H432="","",'12 - Device_Configuration'!H432)</f>
        <v/>
      </c>
      <c r="D431" s="29" t="str">
        <f>IF('12 - Device_Configuration'!AE432="","",'12 - Device_Configuration'!AE432)</f>
        <v/>
      </c>
      <c r="E431" s="29" t="str">
        <f>IF('12 - Device_Configuration'!AF432="","",'12 - Device_Configuration'!AF432)</f>
        <v/>
      </c>
      <c r="F431" s="29" t="str">
        <f>IF('12 - Device_Configuration'!AG432="","",'12 - Device_Configuration'!AG432)</f>
        <v/>
      </c>
      <c r="G431" s="29" t="str">
        <f>IF('12 - Device_Configuration'!AH432="","",'12 - Device_Configuration'!AH432)</f>
        <v/>
      </c>
      <c r="H431" s="29" t="str">
        <f>IF('12 - Device_Configuration'!A432="","",'12 - Device_Configuration'!A432)</f>
        <v/>
      </c>
      <c r="I431" s="29" t="str">
        <f>IF('12 - Device_Configuration'!AI432="","",'12 - Device_Configuration'!AI432)</f>
        <v/>
      </c>
      <c r="J431" s="29" t="str">
        <f>IF('12 - Device_Configuration'!AJ432="","",'12 - Device_Configuration'!AJ432)</f>
        <v/>
      </c>
      <c r="K431" s="29" t="str">
        <f>IF('12 - Device_Configuration'!AA432="","",'12 - Device_Configuration'!AA432)</f>
        <v/>
      </c>
      <c r="L431" s="29" t="str">
        <f>IF('12 - Device_Configuration'!I432="","",'12 - Device_Configuration'!I432)</f>
        <v/>
      </c>
      <c r="M431" s="30"/>
      <c r="N431" s="29" t="str">
        <f>IF('12 - Device_Configuration'!J432="","",'12 - Device_Configuration'!J432)</f>
        <v/>
      </c>
      <c r="O431" s="29" t="str">
        <f>IF('12 - Device_Configuration'!K432="","",'12 - Device_Configuration'!K432)</f>
        <v/>
      </c>
      <c r="P431" s="29" t="str">
        <f>IF('12 - Device_Configuration'!L432="","",'12 - Device_Configuration'!L432)</f>
        <v/>
      </c>
      <c r="Q431" s="30"/>
      <c r="R431" s="29" t="str">
        <f>IF('12 - Device_Configuration'!AY432="","",'12 - Device_Configuration'!AY432)</f>
        <v/>
      </c>
      <c r="S431" s="29" t="str">
        <f>IF('12 - Device_Configuration'!AX432="","",'12 - Device_Configuration'!AX432)</f>
        <v/>
      </c>
      <c r="T431" s="29" t="str">
        <f>IF('12 - Device_Configuration'!AV432="","",'12 - Device_Configuration'!AV432)</f>
        <v/>
      </c>
      <c r="U431" s="29" t="str">
        <f>IF('12 - Device_Configuration'!AW432="","",'12 - Device_Configuration'!AW432)</f>
        <v/>
      </c>
      <c r="V431" s="29" t="str">
        <f>IF('12 - Device_Configuration'!BA432="","",'12 - Device_Configuration'!BA432)</f>
        <v/>
      </c>
      <c r="W431" s="29" t="str">
        <f>IF('12 - Device_Configuration'!BC432="","",'12 - Device_Configuration'!BC432)</f>
        <v/>
      </c>
      <c r="X431" s="29" t="str">
        <f>IF('12 - Device_Configuration'!BK432="","",'12 - Device_Configuration'!BK432)</f>
        <v/>
      </c>
      <c r="Y431" s="29" t="str">
        <f>IF('12 - Device_Configuration'!BB432="","",'12 - Device_Configuration'!BB432)</f>
        <v/>
      </c>
      <c r="Z431" s="29" t="str">
        <f>IF('12 - Device_Configuration'!P432="","",'12 - Device_Configuration'!P432)</f>
        <v/>
      </c>
      <c r="AA431" s="29" t="str">
        <f>IF('12 - Device_Configuration'!Q432="","",'12 - Device_Configuration'!Q432)</f>
        <v/>
      </c>
    </row>
    <row r="432" spans="1:27">
      <c r="A432" s="30"/>
      <c r="B432" s="30"/>
      <c r="C432" s="29" t="str">
        <f>IF('12 - Device_Configuration'!H433="","",'12 - Device_Configuration'!H433)</f>
        <v/>
      </c>
      <c r="D432" s="29" t="str">
        <f>IF('12 - Device_Configuration'!AE433="","",'12 - Device_Configuration'!AE433)</f>
        <v/>
      </c>
      <c r="E432" s="29" t="str">
        <f>IF('12 - Device_Configuration'!AF433="","",'12 - Device_Configuration'!AF433)</f>
        <v/>
      </c>
      <c r="F432" s="29" t="str">
        <f>IF('12 - Device_Configuration'!AG433="","",'12 - Device_Configuration'!AG433)</f>
        <v/>
      </c>
      <c r="G432" s="29" t="str">
        <f>IF('12 - Device_Configuration'!AH433="","",'12 - Device_Configuration'!AH433)</f>
        <v/>
      </c>
      <c r="H432" s="29" t="str">
        <f>IF('12 - Device_Configuration'!A433="","",'12 - Device_Configuration'!A433)</f>
        <v/>
      </c>
      <c r="I432" s="29" t="str">
        <f>IF('12 - Device_Configuration'!AI433="","",'12 - Device_Configuration'!AI433)</f>
        <v/>
      </c>
      <c r="J432" s="29" t="str">
        <f>IF('12 - Device_Configuration'!AJ433="","",'12 - Device_Configuration'!AJ433)</f>
        <v/>
      </c>
      <c r="K432" s="29" t="str">
        <f>IF('12 - Device_Configuration'!AA433="","",'12 - Device_Configuration'!AA433)</f>
        <v/>
      </c>
      <c r="L432" s="29" t="str">
        <f>IF('12 - Device_Configuration'!I433="","",'12 - Device_Configuration'!I433)</f>
        <v/>
      </c>
      <c r="M432" s="30"/>
      <c r="N432" s="29" t="str">
        <f>IF('12 - Device_Configuration'!J433="","",'12 - Device_Configuration'!J433)</f>
        <v/>
      </c>
      <c r="O432" s="29" t="str">
        <f>IF('12 - Device_Configuration'!K433="","",'12 - Device_Configuration'!K433)</f>
        <v/>
      </c>
      <c r="P432" s="29" t="str">
        <f>IF('12 - Device_Configuration'!L433="","",'12 - Device_Configuration'!L433)</f>
        <v/>
      </c>
      <c r="Q432" s="30"/>
      <c r="R432" s="29" t="str">
        <f>IF('12 - Device_Configuration'!AY433="","",'12 - Device_Configuration'!AY433)</f>
        <v/>
      </c>
      <c r="S432" s="29" t="str">
        <f>IF('12 - Device_Configuration'!AX433="","",'12 - Device_Configuration'!AX433)</f>
        <v/>
      </c>
      <c r="T432" s="29" t="str">
        <f>IF('12 - Device_Configuration'!AV433="","",'12 - Device_Configuration'!AV433)</f>
        <v/>
      </c>
      <c r="U432" s="29" t="str">
        <f>IF('12 - Device_Configuration'!AW433="","",'12 - Device_Configuration'!AW433)</f>
        <v/>
      </c>
      <c r="V432" s="29" t="str">
        <f>IF('12 - Device_Configuration'!BA433="","",'12 - Device_Configuration'!BA433)</f>
        <v/>
      </c>
      <c r="W432" s="29" t="str">
        <f>IF('12 - Device_Configuration'!BC433="","",'12 - Device_Configuration'!BC433)</f>
        <v/>
      </c>
      <c r="X432" s="29" t="str">
        <f>IF('12 - Device_Configuration'!BK433="","",'12 - Device_Configuration'!BK433)</f>
        <v/>
      </c>
      <c r="Y432" s="29" t="str">
        <f>IF('12 - Device_Configuration'!BB433="","",'12 - Device_Configuration'!BB433)</f>
        <v/>
      </c>
      <c r="Z432" s="29" t="str">
        <f>IF('12 - Device_Configuration'!P433="","",'12 - Device_Configuration'!P433)</f>
        <v/>
      </c>
      <c r="AA432" s="29" t="str">
        <f>IF('12 - Device_Configuration'!Q433="","",'12 - Device_Configuration'!Q433)</f>
        <v/>
      </c>
    </row>
    <row r="433" spans="1:27">
      <c r="A433" s="30"/>
      <c r="B433" s="30"/>
      <c r="C433" s="29" t="str">
        <f>IF('12 - Device_Configuration'!H434="","",'12 - Device_Configuration'!H434)</f>
        <v/>
      </c>
      <c r="D433" s="29" t="str">
        <f>IF('12 - Device_Configuration'!AE434="","",'12 - Device_Configuration'!AE434)</f>
        <v/>
      </c>
      <c r="E433" s="29" t="str">
        <f>IF('12 - Device_Configuration'!AF434="","",'12 - Device_Configuration'!AF434)</f>
        <v/>
      </c>
      <c r="F433" s="29" t="str">
        <f>IF('12 - Device_Configuration'!AG434="","",'12 - Device_Configuration'!AG434)</f>
        <v/>
      </c>
      <c r="G433" s="29" t="str">
        <f>IF('12 - Device_Configuration'!AH434="","",'12 - Device_Configuration'!AH434)</f>
        <v/>
      </c>
      <c r="H433" s="29" t="str">
        <f>IF('12 - Device_Configuration'!A434="","",'12 - Device_Configuration'!A434)</f>
        <v/>
      </c>
      <c r="I433" s="29" t="str">
        <f>IF('12 - Device_Configuration'!AI434="","",'12 - Device_Configuration'!AI434)</f>
        <v/>
      </c>
      <c r="J433" s="29" t="str">
        <f>IF('12 - Device_Configuration'!AJ434="","",'12 - Device_Configuration'!AJ434)</f>
        <v/>
      </c>
      <c r="K433" s="29" t="str">
        <f>IF('12 - Device_Configuration'!AA434="","",'12 - Device_Configuration'!AA434)</f>
        <v/>
      </c>
      <c r="L433" s="29" t="str">
        <f>IF('12 - Device_Configuration'!I434="","",'12 - Device_Configuration'!I434)</f>
        <v/>
      </c>
      <c r="M433" s="30"/>
      <c r="N433" s="29" t="str">
        <f>IF('12 - Device_Configuration'!J434="","",'12 - Device_Configuration'!J434)</f>
        <v/>
      </c>
      <c r="O433" s="29" t="str">
        <f>IF('12 - Device_Configuration'!K434="","",'12 - Device_Configuration'!K434)</f>
        <v/>
      </c>
      <c r="P433" s="29" t="str">
        <f>IF('12 - Device_Configuration'!L434="","",'12 - Device_Configuration'!L434)</f>
        <v/>
      </c>
      <c r="Q433" s="30"/>
      <c r="R433" s="29" t="str">
        <f>IF('12 - Device_Configuration'!AY434="","",'12 - Device_Configuration'!AY434)</f>
        <v/>
      </c>
      <c r="S433" s="29" t="str">
        <f>IF('12 - Device_Configuration'!AX434="","",'12 - Device_Configuration'!AX434)</f>
        <v/>
      </c>
      <c r="T433" s="29" t="str">
        <f>IF('12 - Device_Configuration'!AV434="","",'12 - Device_Configuration'!AV434)</f>
        <v/>
      </c>
      <c r="U433" s="29" t="str">
        <f>IF('12 - Device_Configuration'!AW434="","",'12 - Device_Configuration'!AW434)</f>
        <v/>
      </c>
      <c r="V433" s="29" t="str">
        <f>IF('12 - Device_Configuration'!BA434="","",'12 - Device_Configuration'!BA434)</f>
        <v/>
      </c>
      <c r="W433" s="29" t="str">
        <f>IF('12 - Device_Configuration'!BC434="","",'12 - Device_Configuration'!BC434)</f>
        <v/>
      </c>
      <c r="X433" s="29" t="str">
        <f>IF('12 - Device_Configuration'!BK434="","",'12 - Device_Configuration'!BK434)</f>
        <v/>
      </c>
      <c r="Y433" s="29" t="str">
        <f>IF('12 - Device_Configuration'!BB434="","",'12 - Device_Configuration'!BB434)</f>
        <v/>
      </c>
      <c r="Z433" s="29" t="str">
        <f>IF('12 - Device_Configuration'!P434="","",'12 - Device_Configuration'!P434)</f>
        <v/>
      </c>
      <c r="AA433" s="29" t="str">
        <f>IF('12 - Device_Configuration'!Q434="","",'12 - Device_Configuration'!Q434)</f>
        <v/>
      </c>
    </row>
    <row r="434" spans="1:27">
      <c r="A434" s="30"/>
      <c r="B434" s="30"/>
      <c r="C434" s="29" t="str">
        <f>IF('12 - Device_Configuration'!H435="","",'12 - Device_Configuration'!H435)</f>
        <v/>
      </c>
      <c r="D434" s="29" t="str">
        <f>IF('12 - Device_Configuration'!AE435="","",'12 - Device_Configuration'!AE435)</f>
        <v/>
      </c>
      <c r="E434" s="29" t="str">
        <f>IF('12 - Device_Configuration'!AF435="","",'12 - Device_Configuration'!AF435)</f>
        <v/>
      </c>
      <c r="F434" s="29" t="str">
        <f>IF('12 - Device_Configuration'!AG435="","",'12 - Device_Configuration'!AG435)</f>
        <v/>
      </c>
      <c r="G434" s="29" t="str">
        <f>IF('12 - Device_Configuration'!AH435="","",'12 - Device_Configuration'!AH435)</f>
        <v/>
      </c>
      <c r="H434" s="29" t="str">
        <f>IF('12 - Device_Configuration'!A435="","",'12 - Device_Configuration'!A435)</f>
        <v/>
      </c>
      <c r="I434" s="29" t="str">
        <f>IF('12 - Device_Configuration'!AI435="","",'12 - Device_Configuration'!AI435)</f>
        <v/>
      </c>
      <c r="J434" s="29" t="str">
        <f>IF('12 - Device_Configuration'!AJ435="","",'12 - Device_Configuration'!AJ435)</f>
        <v/>
      </c>
      <c r="K434" s="29" t="str">
        <f>IF('12 - Device_Configuration'!AA435="","",'12 - Device_Configuration'!AA435)</f>
        <v/>
      </c>
      <c r="L434" s="29" t="str">
        <f>IF('12 - Device_Configuration'!I435="","",'12 - Device_Configuration'!I435)</f>
        <v/>
      </c>
      <c r="M434" s="30"/>
      <c r="N434" s="29" t="str">
        <f>IF('12 - Device_Configuration'!J435="","",'12 - Device_Configuration'!J435)</f>
        <v/>
      </c>
      <c r="O434" s="29" t="str">
        <f>IF('12 - Device_Configuration'!K435="","",'12 - Device_Configuration'!K435)</f>
        <v/>
      </c>
      <c r="P434" s="29" t="str">
        <f>IF('12 - Device_Configuration'!L435="","",'12 - Device_Configuration'!L435)</f>
        <v/>
      </c>
      <c r="Q434" s="30"/>
      <c r="R434" s="29" t="str">
        <f>IF('12 - Device_Configuration'!AY435="","",'12 - Device_Configuration'!AY435)</f>
        <v/>
      </c>
      <c r="S434" s="29" t="str">
        <f>IF('12 - Device_Configuration'!AX435="","",'12 - Device_Configuration'!AX435)</f>
        <v/>
      </c>
      <c r="T434" s="29" t="str">
        <f>IF('12 - Device_Configuration'!AV435="","",'12 - Device_Configuration'!AV435)</f>
        <v/>
      </c>
      <c r="U434" s="29" t="str">
        <f>IF('12 - Device_Configuration'!AW435="","",'12 - Device_Configuration'!AW435)</f>
        <v/>
      </c>
      <c r="V434" s="29" t="str">
        <f>IF('12 - Device_Configuration'!BA435="","",'12 - Device_Configuration'!BA435)</f>
        <v/>
      </c>
      <c r="W434" s="29" t="str">
        <f>IF('12 - Device_Configuration'!BC435="","",'12 - Device_Configuration'!BC435)</f>
        <v/>
      </c>
      <c r="X434" s="29" t="str">
        <f>IF('12 - Device_Configuration'!BK435="","",'12 - Device_Configuration'!BK435)</f>
        <v/>
      </c>
      <c r="Y434" s="29" t="str">
        <f>IF('12 - Device_Configuration'!BB435="","",'12 - Device_Configuration'!BB435)</f>
        <v/>
      </c>
      <c r="Z434" s="29" t="str">
        <f>IF('12 - Device_Configuration'!P435="","",'12 - Device_Configuration'!P435)</f>
        <v/>
      </c>
      <c r="AA434" s="29" t="str">
        <f>IF('12 - Device_Configuration'!Q435="","",'12 - Device_Configuration'!Q435)</f>
        <v/>
      </c>
    </row>
    <row r="435" spans="1:27">
      <c r="A435" s="30"/>
      <c r="B435" s="30"/>
      <c r="C435" s="29" t="str">
        <f>IF('12 - Device_Configuration'!H436="","",'12 - Device_Configuration'!H436)</f>
        <v/>
      </c>
      <c r="D435" s="29" t="str">
        <f>IF('12 - Device_Configuration'!AE436="","",'12 - Device_Configuration'!AE436)</f>
        <v/>
      </c>
      <c r="E435" s="29" t="str">
        <f>IF('12 - Device_Configuration'!AF436="","",'12 - Device_Configuration'!AF436)</f>
        <v/>
      </c>
      <c r="F435" s="29" t="str">
        <f>IF('12 - Device_Configuration'!AG436="","",'12 - Device_Configuration'!AG436)</f>
        <v/>
      </c>
      <c r="G435" s="29" t="str">
        <f>IF('12 - Device_Configuration'!AH436="","",'12 - Device_Configuration'!AH436)</f>
        <v/>
      </c>
      <c r="H435" s="29" t="str">
        <f>IF('12 - Device_Configuration'!A436="","",'12 - Device_Configuration'!A436)</f>
        <v/>
      </c>
      <c r="I435" s="29" t="str">
        <f>IF('12 - Device_Configuration'!AI436="","",'12 - Device_Configuration'!AI436)</f>
        <v/>
      </c>
      <c r="J435" s="29" t="str">
        <f>IF('12 - Device_Configuration'!AJ436="","",'12 - Device_Configuration'!AJ436)</f>
        <v/>
      </c>
      <c r="K435" s="29" t="str">
        <f>IF('12 - Device_Configuration'!AA436="","",'12 - Device_Configuration'!AA436)</f>
        <v/>
      </c>
      <c r="L435" s="29" t="str">
        <f>IF('12 - Device_Configuration'!I436="","",'12 - Device_Configuration'!I436)</f>
        <v/>
      </c>
      <c r="M435" s="30"/>
      <c r="N435" s="29" t="str">
        <f>IF('12 - Device_Configuration'!J436="","",'12 - Device_Configuration'!J436)</f>
        <v/>
      </c>
      <c r="O435" s="29" t="str">
        <f>IF('12 - Device_Configuration'!K436="","",'12 - Device_Configuration'!K436)</f>
        <v/>
      </c>
      <c r="P435" s="29" t="str">
        <f>IF('12 - Device_Configuration'!L436="","",'12 - Device_Configuration'!L436)</f>
        <v/>
      </c>
      <c r="Q435" s="30"/>
      <c r="R435" s="29" t="str">
        <f>IF('12 - Device_Configuration'!AY436="","",'12 - Device_Configuration'!AY436)</f>
        <v/>
      </c>
      <c r="S435" s="29" t="str">
        <f>IF('12 - Device_Configuration'!AX436="","",'12 - Device_Configuration'!AX436)</f>
        <v/>
      </c>
      <c r="T435" s="29" t="str">
        <f>IF('12 - Device_Configuration'!AV436="","",'12 - Device_Configuration'!AV436)</f>
        <v/>
      </c>
      <c r="U435" s="29" t="str">
        <f>IF('12 - Device_Configuration'!AW436="","",'12 - Device_Configuration'!AW436)</f>
        <v/>
      </c>
      <c r="V435" s="29" t="str">
        <f>IF('12 - Device_Configuration'!BA436="","",'12 - Device_Configuration'!BA436)</f>
        <v/>
      </c>
      <c r="W435" s="29" t="str">
        <f>IF('12 - Device_Configuration'!BC436="","",'12 - Device_Configuration'!BC436)</f>
        <v/>
      </c>
      <c r="X435" s="29" t="str">
        <f>IF('12 - Device_Configuration'!BK436="","",'12 - Device_Configuration'!BK436)</f>
        <v/>
      </c>
      <c r="Y435" s="29" t="str">
        <f>IF('12 - Device_Configuration'!BB436="","",'12 - Device_Configuration'!BB436)</f>
        <v/>
      </c>
      <c r="Z435" s="29" t="str">
        <f>IF('12 - Device_Configuration'!P436="","",'12 - Device_Configuration'!P436)</f>
        <v/>
      </c>
      <c r="AA435" s="29" t="str">
        <f>IF('12 - Device_Configuration'!Q436="","",'12 - Device_Configuration'!Q436)</f>
        <v/>
      </c>
    </row>
    <row r="436" spans="1:27">
      <c r="A436" s="30"/>
      <c r="B436" s="30"/>
      <c r="C436" s="29" t="str">
        <f>IF('12 - Device_Configuration'!H437="","",'12 - Device_Configuration'!H437)</f>
        <v/>
      </c>
      <c r="D436" s="29" t="str">
        <f>IF('12 - Device_Configuration'!AE437="","",'12 - Device_Configuration'!AE437)</f>
        <v/>
      </c>
      <c r="E436" s="29" t="str">
        <f>IF('12 - Device_Configuration'!AF437="","",'12 - Device_Configuration'!AF437)</f>
        <v/>
      </c>
      <c r="F436" s="29" t="str">
        <f>IF('12 - Device_Configuration'!AG437="","",'12 - Device_Configuration'!AG437)</f>
        <v/>
      </c>
      <c r="G436" s="29" t="str">
        <f>IF('12 - Device_Configuration'!AH437="","",'12 - Device_Configuration'!AH437)</f>
        <v/>
      </c>
      <c r="H436" s="29" t="str">
        <f>IF('12 - Device_Configuration'!A437="","",'12 - Device_Configuration'!A437)</f>
        <v/>
      </c>
      <c r="I436" s="29" t="str">
        <f>IF('12 - Device_Configuration'!AI437="","",'12 - Device_Configuration'!AI437)</f>
        <v/>
      </c>
      <c r="J436" s="29" t="str">
        <f>IF('12 - Device_Configuration'!AJ437="","",'12 - Device_Configuration'!AJ437)</f>
        <v/>
      </c>
      <c r="K436" s="29" t="str">
        <f>IF('12 - Device_Configuration'!AA437="","",'12 - Device_Configuration'!AA437)</f>
        <v/>
      </c>
      <c r="L436" s="29" t="str">
        <f>IF('12 - Device_Configuration'!I437="","",'12 - Device_Configuration'!I437)</f>
        <v/>
      </c>
      <c r="M436" s="30"/>
      <c r="N436" s="29" t="str">
        <f>IF('12 - Device_Configuration'!J437="","",'12 - Device_Configuration'!J437)</f>
        <v/>
      </c>
      <c r="O436" s="29" t="str">
        <f>IF('12 - Device_Configuration'!K437="","",'12 - Device_Configuration'!K437)</f>
        <v/>
      </c>
      <c r="P436" s="29" t="str">
        <f>IF('12 - Device_Configuration'!L437="","",'12 - Device_Configuration'!L437)</f>
        <v/>
      </c>
      <c r="Q436" s="30"/>
      <c r="R436" s="29" t="str">
        <f>IF('12 - Device_Configuration'!AY437="","",'12 - Device_Configuration'!AY437)</f>
        <v/>
      </c>
      <c r="S436" s="29" t="str">
        <f>IF('12 - Device_Configuration'!AX437="","",'12 - Device_Configuration'!AX437)</f>
        <v/>
      </c>
      <c r="T436" s="29" t="str">
        <f>IF('12 - Device_Configuration'!AV437="","",'12 - Device_Configuration'!AV437)</f>
        <v/>
      </c>
      <c r="U436" s="29" t="str">
        <f>IF('12 - Device_Configuration'!AW437="","",'12 - Device_Configuration'!AW437)</f>
        <v/>
      </c>
      <c r="V436" s="29" t="str">
        <f>IF('12 - Device_Configuration'!BA437="","",'12 - Device_Configuration'!BA437)</f>
        <v/>
      </c>
      <c r="W436" s="29" t="str">
        <f>IF('12 - Device_Configuration'!BC437="","",'12 - Device_Configuration'!BC437)</f>
        <v/>
      </c>
      <c r="X436" s="29" t="str">
        <f>IF('12 - Device_Configuration'!BK437="","",'12 - Device_Configuration'!BK437)</f>
        <v/>
      </c>
      <c r="Y436" s="29" t="str">
        <f>IF('12 - Device_Configuration'!BB437="","",'12 - Device_Configuration'!BB437)</f>
        <v/>
      </c>
      <c r="Z436" s="29" t="str">
        <f>IF('12 - Device_Configuration'!P437="","",'12 - Device_Configuration'!P437)</f>
        <v/>
      </c>
      <c r="AA436" s="29" t="str">
        <f>IF('12 - Device_Configuration'!Q437="","",'12 - Device_Configuration'!Q437)</f>
        <v/>
      </c>
    </row>
    <row r="437" spans="1:27">
      <c r="A437" s="30"/>
      <c r="B437" s="30"/>
      <c r="C437" s="29" t="str">
        <f>IF('12 - Device_Configuration'!H438="","",'12 - Device_Configuration'!H438)</f>
        <v/>
      </c>
      <c r="D437" s="29" t="str">
        <f>IF('12 - Device_Configuration'!AE438="","",'12 - Device_Configuration'!AE438)</f>
        <v/>
      </c>
      <c r="E437" s="29" t="str">
        <f>IF('12 - Device_Configuration'!AF438="","",'12 - Device_Configuration'!AF438)</f>
        <v/>
      </c>
      <c r="F437" s="29" t="str">
        <f>IF('12 - Device_Configuration'!AG438="","",'12 - Device_Configuration'!AG438)</f>
        <v/>
      </c>
      <c r="G437" s="29" t="str">
        <f>IF('12 - Device_Configuration'!AH438="","",'12 - Device_Configuration'!AH438)</f>
        <v/>
      </c>
      <c r="H437" s="29" t="str">
        <f>IF('12 - Device_Configuration'!A438="","",'12 - Device_Configuration'!A438)</f>
        <v/>
      </c>
      <c r="I437" s="29" t="str">
        <f>IF('12 - Device_Configuration'!AI438="","",'12 - Device_Configuration'!AI438)</f>
        <v/>
      </c>
      <c r="J437" s="29" t="str">
        <f>IF('12 - Device_Configuration'!AJ438="","",'12 - Device_Configuration'!AJ438)</f>
        <v/>
      </c>
      <c r="K437" s="29" t="str">
        <f>IF('12 - Device_Configuration'!AA438="","",'12 - Device_Configuration'!AA438)</f>
        <v/>
      </c>
      <c r="L437" s="29" t="str">
        <f>IF('12 - Device_Configuration'!I438="","",'12 - Device_Configuration'!I438)</f>
        <v/>
      </c>
      <c r="M437" s="30"/>
      <c r="N437" s="29" t="str">
        <f>IF('12 - Device_Configuration'!J438="","",'12 - Device_Configuration'!J438)</f>
        <v/>
      </c>
      <c r="O437" s="29" t="str">
        <f>IF('12 - Device_Configuration'!K438="","",'12 - Device_Configuration'!K438)</f>
        <v/>
      </c>
      <c r="P437" s="29" t="str">
        <f>IF('12 - Device_Configuration'!L438="","",'12 - Device_Configuration'!L438)</f>
        <v/>
      </c>
      <c r="Q437" s="30"/>
      <c r="R437" s="29" t="str">
        <f>IF('12 - Device_Configuration'!AY438="","",'12 - Device_Configuration'!AY438)</f>
        <v/>
      </c>
      <c r="S437" s="29" t="str">
        <f>IF('12 - Device_Configuration'!AX438="","",'12 - Device_Configuration'!AX438)</f>
        <v/>
      </c>
      <c r="T437" s="29" t="str">
        <f>IF('12 - Device_Configuration'!AV438="","",'12 - Device_Configuration'!AV438)</f>
        <v/>
      </c>
      <c r="U437" s="29" t="str">
        <f>IF('12 - Device_Configuration'!AW438="","",'12 - Device_Configuration'!AW438)</f>
        <v/>
      </c>
      <c r="V437" s="29" t="str">
        <f>IF('12 - Device_Configuration'!BA438="","",'12 - Device_Configuration'!BA438)</f>
        <v/>
      </c>
      <c r="W437" s="29" t="str">
        <f>IF('12 - Device_Configuration'!BC438="","",'12 - Device_Configuration'!BC438)</f>
        <v/>
      </c>
      <c r="X437" s="29" t="str">
        <f>IF('12 - Device_Configuration'!BK438="","",'12 - Device_Configuration'!BK438)</f>
        <v/>
      </c>
      <c r="Y437" s="29" t="str">
        <f>IF('12 - Device_Configuration'!BB438="","",'12 - Device_Configuration'!BB438)</f>
        <v/>
      </c>
      <c r="Z437" s="29" t="str">
        <f>IF('12 - Device_Configuration'!P438="","",'12 - Device_Configuration'!P438)</f>
        <v/>
      </c>
      <c r="AA437" s="29" t="str">
        <f>IF('12 - Device_Configuration'!Q438="","",'12 - Device_Configuration'!Q438)</f>
        <v/>
      </c>
    </row>
    <row r="438" spans="1:27">
      <c r="A438" s="30"/>
      <c r="B438" s="30"/>
      <c r="C438" s="29" t="str">
        <f>IF('12 - Device_Configuration'!H439="","",'12 - Device_Configuration'!H439)</f>
        <v/>
      </c>
      <c r="D438" s="29" t="str">
        <f>IF('12 - Device_Configuration'!AE439="","",'12 - Device_Configuration'!AE439)</f>
        <v/>
      </c>
      <c r="E438" s="29" t="str">
        <f>IF('12 - Device_Configuration'!AF439="","",'12 - Device_Configuration'!AF439)</f>
        <v/>
      </c>
      <c r="F438" s="29" t="str">
        <f>IF('12 - Device_Configuration'!AG439="","",'12 - Device_Configuration'!AG439)</f>
        <v/>
      </c>
      <c r="G438" s="29" t="str">
        <f>IF('12 - Device_Configuration'!AH439="","",'12 - Device_Configuration'!AH439)</f>
        <v/>
      </c>
      <c r="H438" s="29" t="str">
        <f>IF('12 - Device_Configuration'!A439="","",'12 - Device_Configuration'!A439)</f>
        <v/>
      </c>
      <c r="I438" s="29" t="str">
        <f>IF('12 - Device_Configuration'!AI439="","",'12 - Device_Configuration'!AI439)</f>
        <v/>
      </c>
      <c r="J438" s="29" t="str">
        <f>IF('12 - Device_Configuration'!AJ439="","",'12 - Device_Configuration'!AJ439)</f>
        <v/>
      </c>
      <c r="K438" s="29" t="str">
        <f>IF('12 - Device_Configuration'!AA439="","",'12 - Device_Configuration'!AA439)</f>
        <v/>
      </c>
      <c r="L438" s="29" t="str">
        <f>IF('12 - Device_Configuration'!I439="","",'12 - Device_Configuration'!I439)</f>
        <v/>
      </c>
      <c r="M438" s="30"/>
      <c r="N438" s="29" t="str">
        <f>IF('12 - Device_Configuration'!J439="","",'12 - Device_Configuration'!J439)</f>
        <v/>
      </c>
      <c r="O438" s="29" t="str">
        <f>IF('12 - Device_Configuration'!K439="","",'12 - Device_Configuration'!K439)</f>
        <v/>
      </c>
      <c r="P438" s="29" t="str">
        <f>IF('12 - Device_Configuration'!L439="","",'12 - Device_Configuration'!L439)</f>
        <v/>
      </c>
      <c r="Q438" s="30"/>
      <c r="R438" s="29" t="str">
        <f>IF('12 - Device_Configuration'!AY439="","",'12 - Device_Configuration'!AY439)</f>
        <v/>
      </c>
      <c r="S438" s="29" t="str">
        <f>IF('12 - Device_Configuration'!AX439="","",'12 - Device_Configuration'!AX439)</f>
        <v/>
      </c>
      <c r="T438" s="29" t="str">
        <f>IF('12 - Device_Configuration'!AV439="","",'12 - Device_Configuration'!AV439)</f>
        <v/>
      </c>
      <c r="U438" s="29" t="str">
        <f>IF('12 - Device_Configuration'!AW439="","",'12 - Device_Configuration'!AW439)</f>
        <v/>
      </c>
      <c r="V438" s="29" t="str">
        <f>IF('12 - Device_Configuration'!BA439="","",'12 - Device_Configuration'!BA439)</f>
        <v/>
      </c>
      <c r="W438" s="29" t="str">
        <f>IF('12 - Device_Configuration'!BC439="","",'12 - Device_Configuration'!BC439)</f>
        <v/>
      </c>
      <c r="X438" s="29" t="str">
        <f>IF('12 - Device_Configuration'!BK439="","",'12 - Device_Configuration'!BK439)</f>
        <v/>
      </c>
      <c r="Y438" s="29" t="str">
        <f>IF('12 - Device_Configuration'!BB439="","",'12 - Device_Configuration'!BB439)</f>
        <v/>
      </c>
      <c r="Z438" s="29" t="str">
        <f>IF('12 - Device_Configuration'!P439="","",'12 - Device_Configuration'!P439)</f>
        <v/>
      </c>
      <c r="AA438" s="29" t="str">
        <f>IF('12 - Device_Configuration'!Q439="","",'12 - Device_Configuration'!Q439)</f>
        <v/>
      </c>
    </row>
    <row r="439" spans="1:27">
      <c r="A439" s="30"/>
      <c r="B439" s="30"/>
      <c r="C439" s="29" t="str">
        <f>IF('12 - Device_Configuration'!H440="","",'12 - Device_Configuration'!H440)</f>
        <v/>
      </c>
      <c r="D439" s="29" t="str">
        <f>IF('12 - Device_Configuration'!AE440="","",'12 - Device_Configuration'!AE440)</f>
        <v/>
      </c>
      <c r="E439" s="29" t="str">
        <f>IF('12 - Device_Configuration'!AF440="","",'12 - Device_Configuration'!AF440)</f>
        <v/>
      </c>
      <c r="F439" s="29" t="str">
        <f>IF('12 - Device_Configuration'!AG440="","",'12 - Device_Configuration'!AG440)</f>
        <v/>
      </c>
      <c r="G439" s="29" t="str">
        <f>IF('12 - Device_Configuration'!AH440="","",'12 - Device_Configuration'!AH440)</f>
        <v/>
      </c>
      <c r="H439" s="29" t="str">
        <f>IF('12 - Device_Configuration'!A440="","",'12 - Device_Configuration'!A440)</f>
        <v/>
      </c>
      <c r="I439" s="29" t="str">
        <f>IF('12 - Device_Configuration'!AI440="","",'12 - Device_Configuration'!AI440)</f>
        <v/>
      </c>
      <c r="J439" s="29" t="str">
        <f>IF('12 - Device_Configuration'!AJ440="","",'12 - Device_Configuration'!AJ440)</f>
        <v/>
      </c>
      <c r="K439" s="29" t="str">
        <f>IF('12 - Device_Configuration'!AA440="","",'12 - Device_Configuration'!AA440)</f>
        <v/>
      </c>
      <c r="L439" s="29" t="str">
        <f>IF('12 - Device_Configuration'!I440="","",'12 - Device_Configuration'!I440)</f>
        <v/>
      </c>
      <c r="M439" s="30"/>
      <c r="N439" s="29" t="str">
        <f>IF('12 - Device_Configuration'!J440="","",'12 - Device_Configuration'!J440)</f>
        <v/>
      </c>
      <c r="O439" s="29" t="str">
        <f>IF('12 - Device_Configuration'!K440="","",'12 - Device_Configuration'!K440)</f>
        <v/>
      </c>
      <c r="P439" s="29" t="str">
        <f>IF('12 - Device_Configuration'!L440="","",'12 - Device_Configuration'!L440)</f>
        <v/>
      </c>
      <c r="Q439" s="30"/>
      <c r="R439" s="29" t="str">
        <f>IF('12 - Device_Configuration'!AY440="","",'12 - Device_Configuration'!AY440)</f>
        <v/>
      </c>
      <c r="S439" s="29" t="str">
        <f>IF('12 - Device_Configuration'!AX440="","",'12 - Device_Configuration'!AX440)</f>
        <v/>
      </c>
      <c r="T439" s="29" t="str">
        <f>IF('12 - Device_Configuration'!AV440="","",'12 - Device_Configuration'!AV440)</f>
        <v/>
      </c>
      <c r="U439" s="29" t="str">
        <f>IF('12 - Device_Configuration'!AW440="","",'12 - Device_Configuration'!AW440)</f>
        <v/>
      </c>
      <c r="V439" s="29" t="str">
        <f>IF('12 - Device_Configuration'!BA440="","",'12 - Device_Configuration'!BA440)</f>
        <v/>
      </c>
      <c r="W439" s="29" t="str">
        <f>IF('12 - Device_Configuration'!BC440="","",'12 - Device_Configuration'!BC440)</f>
        <v/>
      </c>
      <c r="X439" s="29" t="str">
        <f>IF('12 - Device_Configuration'!BK440="","",'12 - Device_Configuration'!BK440)</f>
        <v/>
      </c>
      <c r="Y439" s="29" t="str">
        <f>IF('12 - Device_Configuration'!BB440="","",'12 - Device_Configuration'!BB440)</f>
        <v/>
      </c>
      <c r="Z439" s="29" t="str">
        <f>IF('12 - Device_Configuration'!P440="","",'12 - Device_Configuration'!P440)</f>
        <v/>
      </c>
      <c r="AA439" s="29" t="str">
        <f>IF('12 - Device_Configuration'!Q440="","",'12 - Device_Configuration'!Q440)</f>
        <v/>
      </c>
    </row>
    <row r="440" spans="1:27">
      <c r="A440" s="30"/>
      <c r="B440" s="30"/>
      <c r="C440" s="29" t="str">
        <f>IF('12 - Device_Configuration'!H441="","",'12 - Device_Configuration'!H441)</f>
        <v/>
      </c>
      <c r="D440" s="29" t="str">
        <f>IF('12 - Device_Configuration'!AE441="","",'12 - Device_Configuration'!AE441)</f>
        <v/>
      </c>
      <c r="E440" s="29" t="str">
        <f>IF('12 - Device_Configuration'!AF441="","",'12 - Device_Configuration'!AF441)</f>
        <v/>
      </c>
      <c r="F440" s="29" t="str">
        <f>IF('12 - Device_Configuration'!AG441="","",'12 - Device_Configuration'!AG441)</f>
        <v/>
      </c>
      <c r="G440" s="29" t="str">
        <f>IF('12 - Device_Configuration'!AH441="","",'12 - Device_Configuration'!AH441)</f>
        <v/>
      </c>
      <c r="H440" s="29" t="str">
        <f>IF('12 - Device_Configuration'!A441="","",'12 - Device_Configuration'!A441)</f>
        <v/>
      </c>
      <c r="I440" s="29" t="str">
        <f>IF('12 - Device_Configuration'!AI441="","",'12 - Device_Configuration'!AI441)</f>
        <v/>
      </c>
      <c r="J440" s="29" t="str">
        <f>IF('12 - Device_Configuration'!AJ441="","",'12 - Device_Configuration'!AJ441)</f>
        <v/>
      </c>
      <c r="K440" s="29" t="str">
        <f>IF('12 - Device_Configuration'!AA441="","",'12 - Device_Configuration'!AA441)</f>
        <v/>
      </c>
      <c r="L440" s="29" t="str">
        <f>IF('12 - Device_Configuration'!I441="","",'12 - Device_Configuration'!I441)</f>
        <v/>
      </c>
      <c r="M440" s="30"/>
      <c r="N440" s="29" t="str">
        <f>IF('12 - Device_Configuration'!J441="","",'12 - Device_Configuration'!J441)</f>
        <v/>
      </c>
      <c r="O440" s="29" t="str">
        <f>IF('12 - Device_Configuration'!K441="","",'12 - Device_Configuration'!K441)</f>
        <v/>
      </c>
      <c r="P440" s="29" t="str">
        <f>IF('12 - Device_Configuration'!L441="","",'12 - Device_Configuration'!L441)</f>
        <v/>
      </c>
      <c r="Q440" s="30"/>
      <c r="R440" s="29" t="str">
        <f>IF('12 - Device_Configuration'!AY441="","",'12 - Device_Configuration'!AY441)</f>
        <v/>
      </c>
      <c r="S440" s="29" t="str">
        <f>IF('12 - Device_Configuration'!AX441="","",'12 - Device_Configuration'!AX441)</f>
        <v/>
      </c>
      <c r="T440" s="29" t="str">
        <f>IF('12 - Device_Configuration'!AV441="","",'12 - Device_Configuration'!AV441)</f>
        <v/>
      </c>
      <c r="U440" s="29" t="str">
        <f>IF('12 - Device_Configuration'!AW441="","",'12 - Device_Configuration'!AW441)</f>
        <v/>
      </c>
      <c r="V440" s="29" t="str">
        <f>IF('12 - Device_Configuration'!BA441="","",'12 - Device_Configuration'!BA441)</f>
        <v/>
      </c>
      <c r="W440" s="29" t="str">
        <f>IF('12 - Device_Configuration'!BC441="","",'12 - Device_Configuration'!BC441)</f>
        <v/>
      </c>
      <c r="X440" s="29" t="str">
        <f>IF('12 - Device_Configuration'!BK441="","",'12 - Device_Configuration'!BK441)</f>
        <v/>
      </c>
      <c r="Y440" s="29" t="str">
        <f>IF('12 - Device_Configuration'!BB441="","",'12 - Device_Configuration'!BB441)</f>
        <v/>
      </c>
      <c r="Z440" s="29" t="str">
        <f>IF('12 - Device_Configuration'!P441="","",'12 - Device_Configuration'!P441)</f>
        <v/>
      </c>
      <c r="AA440" s="29" t="str">
        <f>IF('12 - Device_Configuration'!Q441="","",'12 - Device_Configuration'!Q441)</f>
        <v/>
      </c>
    </row>
    <row r="441" spans="1:27">
      <c r="A441" s="30"/>
      <c r="B441" s="30"/>
      <c r="C441" s="29" t="str">
        <f>IF('12 - Device_Configuration'!H442="","",'12 - Device_Configuration'!H442)</f>
        <v/>
      </c>
      <c r="D441" s="29" t="str">
        <f>IF('12 - Device_Configuration'!AE442="","",'12 - Device_Configuration'!AE442)</f>
        <v/>
      </c>
      <c r="E441" s="29" t="str">
        <f>IF('12 - Device_Configuration'!AF442="","",'12 - Device_Configuration'!AF442)</f>
        <v/>
      </c>
      <c r="F441" s="29" t="str">
        <f>IF('12 - Device_Configuration'!AG442="","",'12 - Device_Configuration'!AG442)</f>
        <v/>
      </c>
      <c r="G441" s="29" t="str">
        <f>IF('12 - Device_Configuration'!AH442="","",'12 - Device_Configuration'!AH442)</f>
        <v/>
      </c>
      <c r="H441" s="29" t="str">
        <f>IF('12 - Device_Configuration'!A442="","",'12 - Device_Configuration'!A442)</f>
        <v/>
      </c>
      <c r="I441" s="29" t="str">
        <f>IF('12 - Device_Configuration'!AI442="","",'12 - Device_Configuration'!AI442)</f>
        <v/>
      </c>
      <c r="J441" s="29" t="str">
        <f>IF('12 - Device_Configuration'!AJ442="","",'12 - Device_Configuration'!AJ442)</f>
        <v/>
      </c>
      <c r="K441" s="29" t="str">
        <f>IF('12 - Device_Configuration'!AA442="","",'12 - Device_Configuration'!AA442)</f>
        <v/>
      </c>
      <c r="L441" s="29" t="str">
        <f>IF('12 - Device_Configuration'!I442="","",'12 - Device_Configuration'!I442)</f>
        <v/>
      </c>
      <c r="M441" s="30"/>
      <c r="N441" s="29" t="str">
        <f>IF('12 - Device_Configuration'!J442="","",'12 - Device_Configuration'!J442)</f>
        <v/>
      </c>
      <c r="O441" s="29" t="str">
        <f>IF('12 - Device_Configuration'!K442="","",'12 - Device_Configuration'!K442)</f>
        <v/>
      </c>
      <c r="P441" s="29" t="str">
        <f>IF('12 - Device_Configuration'!L442="","",'12 - Device_Configuration'!L442)</f>
        <v/>
      </c>
      <c r="Q441" s="30"/>
      <c r="R441" s="29" t="str">
        <f>IF('12 - Device_Configuration'!AY442="","",'12 - Device_Configuration'!AY442)</f>
        <v/>
      </c>
      <c r="S441" s="29" t="str">
        <f>IF('12 - Device_Configuration'!AX442="","",'12 - Device_Configuration'!AX442)</f>
        <v/>
      </c>
      <c r="T441" s="29" t="str">
        <f>IF('12 - Device_Configuration'!AV442="","",'12 - Device_Configuration'!AV442)</f>
        <v/>
      </c>
      <c r="U441" s="29" t="str">
        <f>IF('12 - Device_Configuration'!AW442="","",'12 - Device_Configuration'!AW442)</f>
        <v/>
      </c>
      <c r="V441" s="29" t="str">
        <f>IF('12 - Device_Configuration'!BA442="","",'12 - Device_Configuration'!BA442)</f>
        <v/>
      </c>
      <c r="W441" s="29" t="str">
        <f>IF('12 - Device_Configuration'!BC442="","",'12 - Device_Configuration'!BC442)</f>
        <v/>
      </c>
      <c r="X441" s="29" t="str">
        <f>IF('12 - Device_Configuration'!BK442="","",'12 - Device_Configuration'!BK442)</f>
        <v/>
      </c>
      <c r="Y441" s="29" t="str">
        <f>IF('12 - Device_Configuration'!BB442="","",'12 - Device_Configuration'!BB442)</f>
        <v/>
      </c>
      <c r="Z441" s="29" t="str">
        <f>IF('12 - Device_Configuration'!P442="","",'12 - Device_Configuration'!P442)</f>
        <v/>
      </c>
      <c r="AA441" s="29" t="str">
        <f>IF('12 - Device_Configuration'!Q442="","",'12 - Device_Configuration'!Q442)</f>
        <v/>
      </c>
    </row>
    <row r="442" spans="1:27">
      <c r="A442" s="30"/>
      <c r="B442" s="30"/>
      <c r="C442" s="29" t="str">
        <f>IF('12 - Device_Configuration'!H443="","",'12 - Device_Configuration'!H443)</f>
        <v/>
      </c>
      <c r="D442" s="29" t="str">
        <f>IF('12 - Device_Configuration'!AE443="","",'12 - Device_Configuration'!AE443)</f>
        <v/>
      </c>
      <c r="E442" s="29" t="str">
        <f>IF('12 - Device_Configuration'!AF443="","",'12 - Device_Configuration'!AF443)</f>
        <v/>
      </c>
      <c r="F442" s="29" t="str">
        <f>IF('12 - Device_Configuration'!AG443="","",'12 - Device_Configuration'!AG443)</f>
        <v/>
      </c>
      <c r="G442" s="29" t="str">
        <f>IF('12 - Device_Configuration'!AH443="","",'12 - Device_Configuration'!AH443)</f>
        <v/>
      </c>
      <c r="H442" s="29" t="str">
        <f>IF('12 - Device_Configuration'!A443="","",'12 - Device_Configuration'!A443)</f>
        <v/>
      </c>
      <c r="I442" s="29" t="str">
        <f>IF('12 - Device_Configuration'!AI443="","",'12 - Device_Configuration'!AI443)</f>
        <v/>
      </c>
      <c r="J442" s="29" t="str">
        <f>IF('12 - Device_Configuration'!AJ443="","",'12 - Device_Configuration'!AJ443)</f>
        <v/>
      </c>
      <c r="K442" s="29" t="str">
        <f>IF('12 - Device_Configuration'!AA443="","",'12 - Device_Configuration'!AA443)</f>
        <v/>
      </c>
      <c r="L442" s="29" t="str">
        <f>IF('12 - Device_Configuration'!I443="","",'12 - Device_Configuration'!I443)</f>
        <v/>
      </c>
      <c r="M442" s="30"/>
      <c r="N442" s="29" t="str">
        <f>IF('12 - Device_Configuration'!J443="","",'12 - Device_Configuration'!J443)</f>
        <v/>
      </c>
      <c r="O442" s="29" t="str">
        <f>IF('12 - Device_Configuration'!K443="","",'12 - Device_Configuration'!K443)</f>
        <v/>
      </c>
      <c r="P442" s="29" t="str">
        <f>IF('12 - Device_Configuration'!L443="","",'12 - Device_Configuration'!L443)</f>
        <v/>
      </c>
      <c r="Q442" s="30"/>
      <c r="R442" s="29" t="str">
        <f>IF('12 - Device_Configuration'!AY443="","",'12 - Device_Configuration'!AY443)</f>
        <v/>
      </c>
      <c r="S442" s="29" t="str">
        <f>IF('12 - Device_Configuration'!AX443="","",'12 - Device_Configuration'!AX443)</f>
        <v/>
      </c>
      <c r="T442" s="29" t="str">
        <f>IF('12 - Device_Configuration'!AV443="","",'12 - Device_Configuration'!AV443)</f>
        <v/>
      </c>
      <c r="U442" s="29" t="str">
        <f>IF('12 - Device_Configuration'!AW443="","",'12 - Device_Configuration'!AW443)</f>
        <v/>
      </c>
      <c r="V442" s="29" t="str">
        <f>IF('12 - Device_Configuration'!BA443="","",'12 - Device_Configuration'!BA443)</f>
        <v/>
      </c>
      <c r="W442" s="29" t="str">
        <f>IF('12 - Device_Configuration'!BC443="","",'12 - Device_Configuration'!BC443)</f>
        <v/>
      </c>
      <c r="X442" s="29" t="str">
        <f>IF('12 - Device_Configuration'!BK443="","",'12 - Device_Configuration'!BK443)</f>
        <v/>
      </c>
      <c r="Y442" s="29" t="str">
        <f>IF('12 - Device_Configuration'!BB443="","",'12 - Device_Configuration'!BB443)</f>
        <v/>
      </c>
      <c r="Z442" s="29" t="str">
        <f>IF('12 - Device_Configuration'!P443="","",'12 - Device_Configuration'!P443)</f>
        <v/>
      </c>
      <c r="AA442" s="29" t="str">
        <f>IF('12 - Device_Configuration'!Q443="","",'12 - Device_Configuration'!Q443)</f>
        <v/>
      </c>
    </row>
    <row r="443" spans="1:27">
      <c r="A443" s="30"/>
      <c r="B443" s="30"/>
      <c r="C443" s="29" t="str">
        <f>IF('12 - Device_Configuration'!H444="","",'12 - Device_Configuration'!H444)</f>
        <v/>
      </c>
      <c r="D443" s="29" t="str">
        <f>IF('12 - Device_Configuration'!AE444="","",'12 - Device_Configuration'!AE444)</f>
        <v/>
      </c>
      <c r="E443" s="29" t="str">
        <f>IF('12 - Device_Configuration'!AF444="","",'12 - Device_Configuration'!AF444)</f>
        <v/>
      </c>
      <c r="F443" s="29" t="str">
        <f>IF('12 - Device_Configuration'!AG444="","",'12 - Device_Configuration'!AG444)</f>
        <v/>
      </c>
      <c r="G443" s="29" t="str">
        <f>IF('12 - Device_Configuration'!AH444="","",'12 - Device_Configuration'!AH444)</f>
        <v/>
      </c>
      <c r="H443" s="29" t="str">
        <f>IF('12 - Device_Configuration'!A444="","",'12 - Device_Configuration'!A444)</f>
        <v/>
      </c>
      <c r="I443" s="29" t="str">
        <f>IF('12 - Device_Configuration'!AI444="","",'12 - Device_Configuration'!AI444)</f>
        <v/>
      </c>
      <c r="J443" s="29" t="str">
        <f>IF('12 - Device_Configuration'!AJ444="","",'12 - Device_Configuration'!AJ444)</f>
        <v/>
      </c>
      <c r="K443" s="29" t="str">
        <f>IF('12 - Device_Configuration'!AA444="","",'12 - Device_Configuration'!AA444)</f>
        <v/>
      </c>
      <c r="L443" s="29" t="str">
        <f>IF('12 - Device_Configuration'!I444="","",'12 - Device_Configuration'!I444)</f>
        <v/>
      </c>
      <c r="M443" s="30"/>
      <c r="N443" s="29" t="str">
        <f>IF('12 - Device_Configuration'!J444="","",'12 - Device_Configuration'!J444)</f>
        <v/>
      </c>
      <c r="O443" s="29" t="str">
        <f>IF('12 - Device_Configuration'!K444="","",'12 - Device_Configuration'!K444)</f>
        <v/>
      </c>
      <c r="P443" s="29" t="str">
        <f>IF('12 - Device_Configuration'!L444="","",'12 - Device_Configuration'!L444)</f>
        <v/>
      </c>
      <c r="Q443" s="30"/>
      <c r="R443" s="29" t="str">
        <f>IF('12 - Device_Configuration'!AY444="","",'12 - Device_Configuration'!AY444)</f>
        <v/>
      </c>
      <c r="S443" s="29" t="str">
        <f>IF('12 - Device_Configuration'!AX444="","",'12 - Device_Configuration'!AX444)</f>
        <v/>
      </c>
      <c r="T443" s="29" t="str">
        <f>IF('12 - Device_Configuration'!AV444="","",'12 - Device_Configuration'!AV444)</f>
        <v/>
      </c>
      <c r="U443" s="29" t="str">
        <f>IF('12 - Device_Configuration'!AW444="","",'12 - Device_Configuration'!AW444)</f>
        <v/>
      </c>
      <c r="V443" s="29" t="str">
        <f>IF('12 - Device_Configuration'!BA444="","",'12 - Device_Configuration'!BA444)</f>
        <v/>
      </c>
      <c r="W443" s="29" t="str">
        <f>IF('12 - Device_Configuration'!BC444="","",'12 - Device_Configuration'!BC444)</f>
        <v/>
      </c>
      <c r="X443" s="29" t="str">
        <f>IF('12 - Device_Configuration'!BK444="","",'12 - Device_Configuration'!BK444)</f>
        <v/>
      </c>
      <c r="Y443" s="29" t="str">
        <f>IF('12 - Device_Configuration'!BB444="","",'12 - Device_Configuration'!BB444)</f>
        <v/>
      </c>
      <c r="Z443" s="29" t="str">
        <f>IF('12 - Device_Configuration'!P444="","",'12 - Device_Configuration'!P444)</f>
        <v/>
      </c>
      <c r="AA443" s="29" t="str">
        <f>IF('12 - Device_Configuration'!Q444="","",'12 - Device_Configuration'!Q444)</f>
        <v/>
      </c>
    </row>
    <row r="444" spans="1:27">
      <c r="A444" s="30"/>
      <c r="B444" s="30"/>
      <c r="C444" s="29" t="str">
        <f>IF('12 - Device_Configuration'!H445="","",'12 - Device_Configuration'!H445)</f>
        <v/>
      </c>
      <c r="D444" s="29" t="str">
        <f>IF('12 - Device_Configuration'!AE445="","",'12 - Device_Configuration'!AE445)</f>
        <v/>
      </c>
      <c r="E444" s="29" t="str">
        <f>IF('12 - Device_Configuration'!AF445="","",'12 - Device_Configuration'!AF445)</f>
        <v/>
      </c>
      <c r="F444" s="29" t="str">
        <f>IF('12 - Device_Configuration'!AG445="","",'12 - Device_Configuration'!AG445)</f>
        <v/>
      </c>
      <c r="G444" s="29" t="str">
        <f>IF('12 - Device_Configuration'!AH445="","",'12 - Device_Configuration'!AH445)</f>
        <v/>
      </c>
      <c r="H444" s="29" t="str">
        <f>IF('12 - Device_Configuration'!A445="","",'12 - Device_Configuration'!A445)</f>
        <v/>
      </c>
      <c r="I444" s="29" t="str">
        <f>IF('12 - Device_Configuration'!AI445="","",'12 - Device_Configuration'!AI445)</f>
        <v/>
      </c>
      <c r="J444" s="29" t="str">
        <f>IF('12 - Device_Configuration'!AJ445="","",'12 - Device_Configuration'!AJ445)</f>
        <v/>
      </c>
      <c r="K444" s="29" t="str">
        <f>IF('12 - Device_Configuration'!AA445="","",'12 - Device_Configuration'!AA445)</f>
        <v/>
      </c>
      <c r="L444" s="29" t="str">
        <f>IF('12 - Device_Configuration'!I445="","",'12 - Device_Configuration'!I445)</f>
        <v/>
      </c>
      <c r="M444" s="30"/>
      <c r="N444" s="29" t="str">
        <f>IF('12 - Device_Configuration'!J445="","",'12 - Device_Configuration'!J445)</f>
        <v/>
      </c>
      <c r="O444" s="29" t="str">
        <f>IF('12 - Device_Configuration'!K445="","",'12 - Device_Configuration'!K445)</f>
        <v/>
      </c>
      <c r="P444" s="29" t="str">
        <f>IF('12 - Device_Configuration'!L445="","",'12 - Device_Configuration'!L445)</f>
        <v/>
      </c>
      <c r="Q444" s="30"/>
      <c r="R444" s="29" t="str">
        <f>IF('12 - Device_Configuration'!AY445="","",'12 - Device_Configuration'!AY445)</f>
        <v/>
      </c>
      <c r="S444" s="29" t="str">
        <f>IF('12 - Device_Configuration'!AX445="","",'12 - Device_Configuration'!AX445)</f>
        <v/>
      </c>
      <c r="T444" s="29" t="str">
        <f>IF('12 - Device_Configuration'!AV445="","",'12 - Device_Configuration'!AV445)</f>
        <v/>
      </c>
      <c r="U444" s="29" t="str">
        <f>IF('12 - Device_Configuration'!AW445="","",'12 - Device_Configuration'!AW445)</f>
        <v/>
      </c>
      <c r="V444" s="29" t="str">
        <f>IF('12 - Device_Configuration'!BA445="","",'12 - Device_Configuration'!BA445)</f>
        <v/>
      </c>
      <c r="W444" s="29" t="str">
        <f>IF('12 - Device_Configuration'!BC445="","",'12 - Device_Configuration'!BC445)</f>
        <v/>
      </c>
      <c r="X444" s="29" t="str">
        <f>IF('12 - Device_Configuration'!BK445="","",'12 - Device_Configuration'!BK445)</f>
        <v/>
      </c>
      <c r="Y444" s="29" t="str">
        <f>IF('12 - Device_Configuration'!BB445="","",'12 - Device_Configuration'!BB445)</f>
        <v/>
      </c>
      <c r="Z444" s="29" t="str">
        <f>IF('12 - Device_Configuration'!P445="","",'12 - Device_Configuration'!P445)</f>
        <v/>
      </c>
      <c r="AA444" s="29" t="str">
        <f>IF('12 - Device_Configuration'!Q445="","",'12 - Device_Configuration'!Q445)</f>
        <v/>
      </c>
    </row>
    <row r="445" spans="1:27">
      <c r="A445" s="30"/>
      <c r="B445" s="30"/>
      <c r="C445" s="29" t="str">
        <f>IF('12 - Device_Configuration'!H446="","",'12 - Device_Configuration'!H446)</f>
        <v/>
      </c>
      <c r="D445" s="29" t="str">
        <f>IF('12 - Device_Configuration'!AE446="","",'12 - Device_Configuration'!AE446)</f>
        <v/>
      </c>
      <c r="E445" s="29" t="str">
        <f>IF('12 - Device_Configuration'!AF446="","",'12 - Device_Configuration'!AF446)</f>
        <v/>
      </c>
      <c r="F445" s="29" t="str">
        <f>IF('12 - Device_Configuration'!AG446="","",'12 - Device_Configuration'!AG446)</f>
        <v/>
      </c>
      <c r="G445" s="29" t="str">
        <f>IF('12 - Device_Configuration'!AH446="","",'12 - Device_Configuration'!AH446)</f>
        <v/>
      </c>
      <c r="H445" s="29" t="str">
        <f>IF('12 - Device_Configuration'!A446="","",'12 - Device_Configuration'!A446)</f>
        <v/>
      </c>
      <c r="I445" s="29" t="str">
        <f>IF('12 - Device_Configuration'!AI446="","",'12 - Device_Configuration'!AI446)</f>
        <v/>
      </c>
      <c r="J445" s="29" t="str">
        <f>IF('12 - Device_Configuration'!AJ446="","",'12 - Device_Configuration'!AJ446)</f>
        <v/>
      </c>
      <c r="K445" s="29" t="str">
        <f>IF('12 - Device_Configuration'!AA446="","",'12 - Device_Configuration'!AA446)</f>
        <v/>
      </c>
      <c r="L445" s="29" t="str">
        <f>IF('12 - Device_Configuration'!I446="","",'12 - Device_Configuration'!I446)</f>
        <v/>
      </c>
      <c r="M445" s="30"/>
      <c r="N445" s="29" t="str">
        <f>IF('12 - Device_Configuration'!J446="","",'12 - Device_Configuration'!J446)</f>
        <v/>
      </c>
      <c r="O445" s="29" t="str">
        <f>IF('12 - Device_Configuration'!K446="","",'12 - Device_Configuration'!K446)</f>
        <v/>
      </c>
      <c r="P445" s="29" t="str">
        <f>IF('12 - Device_Configuration'!L446="","",'12 - Device_Configuration'!L446)</f>
        <v/>
      </c>
      <c r="Q445" s="30"/>
      <c r="R445" s="29" t="str">
        <f>IF('12 - Device_Configuration'!AY446="","",'12 - Device_Configuration'!AY446)</f>
        <v/>
      </c>
      <c r="S445" s="29" t="str">
        <f>IF('12 - Device_Configuration'!AX446="","",'12 - Device_Configuration'!AX446)</f>
        <v/>
      </c>
      <c r="T445" s="29" t="str">
        <f>IF('12 - Device_Configuration'!AV446="","",'12 - Device_Configuration'!AV446)</f>
        <v/>
      </c>
      <c r="U445" s="29" t="str">
        <f>IF('12 - Device_Configuration'!AW446="","",'12 - Device_Configuration'!AW446)</f>
        <v/>
      </c>
      <c r="V445" s="29" t="str">
        <f>IF('12 - Device_Configuration'!BA446="","",'12 - Device_Configuration'!BA446)</f>
        <v/>
      </c>
      <c r="W445" s="29" t="str">
        <f>IF('12 - Device_Configuration'!BC446="","",'12 - Device_Configuration'!BC446)</f>
        <v/>
      </c>
      <c r="X445" s="29" t="str">
        <f>IF('12 - Device_Configuration'!BK446="","",'12 - Device_Configuration'!BK446)</f>
        <v/>
      </c>
      <c r="Y445" s="29" t="str">
        <f>IF('12 - Device_Configuration'!BB446="","",'12 - Device_Configuration'!BB446)</f>
        <v/>
      </c>
      <c r="Z445" s="29" t="str">
        <f>IF('12 - Device_Configuration'!P446="","",'12 - Device_Configuration'!P446)</f>
        <v/>
      </c>
      <c r="AA445" s="29" t="str">
        <f>IF('12 - Device_Configuration'!Q446="","",'12 - Device_Configuration'!Q446)</f>
        <v/>
      </c>
    </row>
    <row r="446" spans="1:27">
      <c r="A446" s="30"/>
      <c r="B446" s="30"/>
      <c r="C446" s="29" t="str">
        <f>IF('12 - Device_Configuration'!H447="","",'12 - Device_Configuration'!H447)</f>
        <v/>
      </c>
      <c r="D446" s="29" t="str">
        <f>IF('12 - Device_Configuration'!AE447="","",'12 - Device_Configuration'!AE447)</f>
        <v/>
      </c>
      <c r="E446" s="29" t="str">
        <f>IF('12 - Device_Configuration'!AF447="","",'12 - Device_Configuration'!AF447)</f>
        <v/>
      </c>
      <c r="F446" s="29" t="str">
        <f>IF('12 - Device_Configuration'!AG447="","",'12 - Device_Configuration'!AG447)</f>
        <v/>
      </c>
      <c r="G446" s="29" t="str">
        <f>IF('12 - Device_Configuration'!AH447="","",'12 - Device_Configuration'!AH447)</f>
        <v/>
      </c>
      <c r="H446" s="29" t="str">
        <f>IF('12 - Device_Configuration'!A447="","",'12 - Device_Configuration'!A447)</f>
        <v/>
      </c>
      <c r="I446" s="29" t="str">
        <f>IF('12 - Device_Configuration'!AI447="","",'12 - Device_Configuration'!AI447)</f>
        <v/>
      </c>
      <c r="J446" s="29" t="str">
        <f>IF('12 - Device_Configuration'!AJ447="","",'12 - Device_Configuration'!AJ447)</f>
        <v/>
      </c>
      <c r="K446" s="29" t="str">
        <f>IF('12 - Device_Configuration'!AA447="","",'12 - Device_Configuration'!AA447)</f>
        <v/>
      </c>
      <c r="L446" s="29" t="str">
        <f>IF('12 - Device_Configuration'!I447="","",'12 - Device_Configuration'!I447)</f>
        <v/>
      </c>
      <c r="M446" s="30"/>
      <c r="N446" s="29" t="str">
        <f>IF('12 - Device_Configuration'!J447="","",'12 - Device_Configuration'!J447)</f>
        <v/>
      </c>
      <c r="O446" s="29" t="str">
        <f>IF('12 - Device_Configuration'!K447="","",'12 - Device_Configuration'!K447)</f>
        <v/>
      </c>
      <c r="P446" s="29" t="str">
        <f>IF('12 - Device_Configuration'!L447="","",'12 - Device_Configuration'!L447)</f>
        <v/>
      </c>
      <c r="Q446" s="30"/>
      <c r="R446" s="29" t="str">
        <f>IF('12 - Device_Configuration'!AY447="","",'12 - Device_Configuration'!AY447)</f>
        <v/>
      </c>
      <c r="S446" s="29" t="str">
        <f>IF('12 - Device_Configuration'!AX447="","",'12 - Device_Configuration'!AX447)</f>
        <v/>
      </c>
      <c r="T446" s="29" t="str">
        <f>IF('12 - Device_Configuration'!AV447="","",'12 - Device_Configuration'!AV447)</f>
        <v/>
      </c>
      <c r="U446" s="29" t="str">
        <f>IF('12 - Device_Configuration'!AW447="","",'12 - Device_Configuration'!AW447)</f>
        <v/>
      </c>
      <c r="V446" s="29" t="str">
        <f>IF('12 - Device_Configuration'!BA447="","",'12 - Device_Configuration'!BA447)</f>
        <v/>
      </c>
      <c r="W446" s="29" t="str">
        <f>IF('12 - Device_Configuration'!BC447="","",'12 - Device_Configuration'!BC447)</f>
        <v/>
      </c>
      <c r="X446" s="29" t="str">
        <f>IF('12 - Device_Configuration'!BK447="","",'12 - Device_Configuration'!BK447)</f>
        <v/>
      </c>
      <c r="Y446" s="29" t="str">
        <f>IF('12 - Device_Configuration'!BB447="","",'12 - Device_Configuration'!BB447)</f>
        <v/>
      </c>
      <c r="Z446" s="29" t="str">
        <f>IF('12 - Device_Configuration'!P447="","",'12 - Device_Configuration'!P447)</f>
        <v/>
      </c>
      <c r="AA446" s="29" t="str">
        <f>IF('12 - Device_Configuration'!Q447="","",'12 - Device_Configuration'!Q447)</f>
        <v/>
      </c>
    </row>
    <row r="447" spans="1:27">
      <c r="A447" s="30"/>
      <c r="B447" s="30"/>
      <c r="C447" s="29" t="str">
        <f>IF('12 - Device_Configuration'!H448="","",'12 - Device_Configuration'!H448)</f>
        <v/>
      </c>
      <c r="D447" s="29" t="str">
        <f>IF('12 - Device_Configuration'!AE448="","",'12 - Device_Configuration'!AE448)</f>
        <v/>
      </c>
      <c r="E447" s="29" t="str">
        <f>IF('12 - Device_Configuration'!AF448="","",'12 - Device_Configuration'!AF448)</f>
        <v/>
      </c>
      <c r="F447" s="29" t="str">
        <f>IF('12 - Device_Configuration'!AG448="","",'12 - Device_Configuration'!AG448)</f>
        <v/>
      </c>
      <c r="G447" s="29" t="str">
        <f>IF('12 - Device_Configuration'!AH448="","",'12 - Device_Configuration'!AH448)</f>
        <v/>
      </c>
      <c r="H447" s="29" t="str">
        <f>IF('12 - Device_Configuration'!A448="","",'12 - Device_Configuration'!A448)</f>
        <v/>
      </c>
      <c r="I447" s="29" t="str">
        <f>IF('12 - Device_Configuration'!AI448="","",'12 - Device_Configuration'!AI448)</f>
        <v/>
      </c>
      <c r="J447" s="29" t="str">
        <f>IF('12 - Device_Configuration'!AJ448="","",'12 - Device_Configuration'!AJ448)</f>
        <v/>
      </c>
      <c r="K447" s="29" t="str">
        <f>IF('12 - Device_Configuration'!AA448="","",'12 - Device_Configuration'!AA448)</f>
        <v/>
      </c>
      <c r="L447" s="29" t="str">
        <f>IF('12 - Device_Configuration'!I448="","",'12 - Device_Configuration'!I448)</f>
        <v/>
      </c>
      <c r="M447" s="30"/>
      <c r="N447" s="29" t="str">
        <f>IF('12 - Device_Configuration'!J448="","",'12 - Device_Configuration'!J448)</f>
        <v/>
      </c>
      <c r="O447" s="29" t="str">
        <f>IF('12 - Device_Configuration'!K448="","",'12 - Device_Configuration'!K448)</f>
        <v/>
      </c>
      <c r="P447" s="29" t="str">
        <f>IF('12 - Device_Configuration'!L448="","",'12 - Device_Configuration'!L448)</f>
        <v/>
      </c>
      <c r="Q447" s="30"/>
      <c r="R447" s="29" t="str">
        <f>IF('12 - Device_Configuration'!AY448="","",'12 - Device_Configuration'!AY448)</f>
        <v/>
      </c>
      <c r="S447" s="29" t="str">
        <f>IF('12 - Device_Configuration'!AX448="","",'12 - Device_Configuration'!AX448)</f>
        <v/>
      </c>
      <c r="T447" s="29" t="str">
        <f>IF('12 - Device_Configuration'!AV448="","",'12 - Device_Configuration'!AV448)</f>
        <v/>
      </c>
      <c r="U447" s="29" t="str">
        <f>IF('12 - Device_Configuration'!AW448="","",'12 - Device_Configuration'!AW448)</f>
        <v/>
      </c>
      <c r="V447" s="29" t="str">
        <f>IF('12 - Device_Configuration'!BA448="","",'12 - Device_Configuration'!BA448)</f>
        <v/>
      </c>
      <c r="W447" s="29" t="str">
        <f>IF('12 - Device_Configuration'!BC448="","",'12 - Device_Configuration'!BC448)</f>
        <v/>
      </c>
      <c r="X447" s="29" t="str">
        <f>IF('12 - Device_Configuration'!BK448="","",'12 - Device_Configuration'!BK448)</f>
        <v/>
      </c>
      <c r="Y447" s="29" t="str">
        <f>IF('12 - Device_Configuration'!BB448="","",'12 - Device_Configuration'!BB448)</f>
        <v/>
      </c>
      <c r="Z447" s="29" t="str">
        <f>IF('12 - Device_Configuration'!P448="","",'12 - Device_Configuration'!P448)</f>
        <v/>
      </c>
      <c r="AA447" s="29" t="str">
        <f>IF('12 - Device_Configuration'!Q448="","",'12 - Device_Configuration'!Q448)</f>
        <v/>
      </c>
    </row>
    <row r="448" spans="1:27">
      <c r="A448" s="30"/>
      <c r="B448" s="30"/>
      <c r="C448" s="29" t="str">
        <f>IF('12 - Device_Configuration'!H449="","",'12 - Device_Configuration'!H449)</f>
        <v/>
      </c>
      <c r="D448" s="29" t="str">
        <f>IF('12 - Device_Configuration'!AE449="","",'12 - Device_Configuration'!AE449)</f>
        <v/>
      </c>
      <c r="E448" s="29" t="str">
        <f>IF('12 - Device_Configuration'!AF449="","",'12 - Device_Configuration'!AF449)</f>
        <v/>
      </c>
      <c r="F448" s="29" t="str">
        <f>IF('12 - Device_Configuration'!AG449="","",'12 - Device_Configuration'!AG449)</f>
        <v/>
      </c>
      <c r="G448" s="29" t="str">
        <f>IF('12 - Device_Configuration'!AH449="","",'12 - Device_Configuration'!AH449)</f>
        <v/>
      </c>
      <c r="H448" s="29" t="str">
        <f>IF('12 - Device_Configuration'!A449="","",'12 - Device_Configuration'!A449)</f>
        <v/>
      </c>
      <c r="I448" s="29" t="str">
        <f>IF('12 - Device_Configuration'!AI449="","",'12 - Device_Configuration'!AI449)</f>
        <v/>
      </c>
      <c r="J448" s="29" t="str">
        <f>IF('12 - Device_Configuration'!AJ449="","",'12 - Device_Configuration'!AJ449)</f>
        <v/>
      </c>
      <c r="K448" s="29" t="str">
        <f>IF('12 - Device_Configuration'!AA449="","",'12 - Device_Configuration'!AA449)</f>
        <v/>
      </c>
      <c r="L448" s="29" t="str">
        <f>IF('12 - Device_Configuration'!I449="","",'12 - Device_Configuration'!I449)</f>
        <v/>
      </c>
      <c r="M448" s="30"/>
      <c r="N448" s="29" t="str">
        <f>IF('12 - Device_Configuration'!J449="","",'12 - Device_Configuration'!J449)</f>
        <v/>
      </c>
      <c r="O448" s="29" t="str">
        <f>IF('12 - Device_Configuration'!K449="","",'12 - Device_Configuration'!K449)</f>
        <v/>
      </c>
      <c r="P448" s="29" t="str">
        <f>IF('12 - Device_Configuration'!L449="","",'12 - Device_Configuration'!L449)</f>
        <v/>
      </c>
      <c r="Q448" s="30"/>
      <c r="R448" s="29" t="str">
        <f>IF('12 - Device_Configuration'!AY449="","",'12 - Device_Configuration'!AY449)</f>
        <v/>
      </c>
      <c r="S448" s="29" t="str">
        <f>IF('12 - Device_Configuration'!AX449="","",'12 - Device_Configuration'!AX449)</f>
        <v/>
      </c>
      <c r="T448" s="29" t="str">
        <f>IF('12 - Device_Configuration'!AV449="","",'12 - Device_Configuration'!AV449)</f>
        <v/>
      </c>
      <c r="U448" s="29" t="str">
        <f>IF('12 - Device_Configuration'!AW449="","",'12 - Device_Configuration'!AW449)</f>
        <v/>
      </c>
      <c r="V448" s="29" t="str">
        <f>IF('12 - Device_Configuration'!BA449="","",'12 - Device_Configuration'!BA449)</f>
        <v/>
      </c>
      <c r="W448" s="29" t="str">
        <f>IF('12 - Device_Configuration'!BC449="","",'12 - Device_Configuration'!BC449)</f>
        <v/>
      </c>
      <c r="X448" s="29" t="str">
        <f>IF('12 - Device_Configuration'!BK449="","",'12 - Device_Configuration'!BK449)</f>
        <v/>
      </c>
      <c r="Y448" s="29" t="str">
        <f>IF('12 - Device_Configuration'!BB449="","",'12 - Device_Configuration'!BB449)</f>
        <v/>
      </c>
      <c r="Z448" s="29" t="str">
        <f>IF('12 - Device_Configuration'!P449="","",'12 - Device_Configuration'!P449)</f>
        <v/>
      </c>
      <c r="AA448" s="29" t="str">
        <f>IF('12 - Device_Configuration'!Q449="","",'12 - Device_Configuration'!Q449)</f>
        <v/>
      </c>
    </row>
    <row r="449" spans="1:27">
      <c r="A449" s="30"/>
      <c r="B449" s="30"/>
      <c r="C449" s="29" t="str">
        <f>IF('12 - Device_Configuration'!H450="","",'12 - Device_Configuration'!H450)</f>
        <v/>
      </c>
      <c r="D449" s="29" t="str">
        <f>IF('12 - Device_Configuration'!AE450="","",'12 - Device_Configuration'!AE450)</f>
        <v/>
      </c>
      <c r="E449" s="29" t="str">
        <f>IF('12 - Device_Configuration'!AF450="","",'12 - Device_Configuration'!AF450)</f>
        <v/>
      </c>
      <c r="F449" s="29" t="str">
        <f>IF('12 - Device_Configuration'!AG450="","",'12 - Device_Configuration'!AG450)</f>
        <v/>
      </c>
      <c r="G449" s="29" t="str">
        <f>IF('12 - Device_Configuration'!AH450="","",'12 - Device_Configuration'!AH450)</f>
        <v/>
      </c>
      <c r="H449" s="29" t="str">
        <f>IF('12 - Device_Configuration'!A450="","",'12 - Device_Configuration'!A450)</f>
        <v/>
      </c>
      <c r="I449" s="29" t="str">
        <f>IF('12 - Device_Configuration'!AI450="","",'12 - Device_Configuration'!AI450)</f>
        <v/>
      </c>
      <c r="J449" s="29" t="str">
        <f>IF('12 - Device_Configuration'!AJ450="","",'12 - Device_Configuration'!AJ450)</f>
        <v/>
      </c>
      <c r="K449" s="29" t="str">
        <f>IF('12 - Device_Configuration'!AA450="","",'12 - Device_Configuration'!AA450)</f>
        <v/>
      </c>
      <c r="L449" s="29" t="str">
        <f>IF('12 - Device_Configuration'!I450="","",'12 - Device_Configuration'!I450)</f>
        <v/>
      </c>
      <c r="M449" s="30"/>
      <c r="N449" s="29" t="str">
        <f>IF('12 - Device_Configuration'!J450="","",'12 - Device_Configuration'!J450)</f>
        <v/>
      </c>
      <c r="O449" s="29" t="str">
        <f>IF('12 - Device_Configuration'!K450="","",'12 - Device_Configuration'!K450)</f>
        <v/>
      </c>
      <c r="P449" s="29" t="str">
        <f>IF('12 - Device_Configuration'!L450="","",'12 - Device_Configuration'!L450)</f>
        <v/>
      </c>
      <c r="Q449" s="30"/>
      <c r="R449" s="29" t="str">
        <f>IF('12 - Device_Configuration'!AY450="","",'12 - Device_Configuration'!AY450)</f>
        <v/>
      </c>
      <c r="S449" s="29" t="str">
        <f>IF('12 - Device_Configuration'!AX450="","",'12 - Device_Configuration'!AX450)</f>
        <v/>
      </c>
      <c r="T449" s="29" t="str">
        <f>IF('12 - Device_Configuration'!AV450="","",'12 - Device_Configuration'!AV450)</f>
        <v/>
      </c>
      <c r="U449" s="29" t="str">
        <f>IF('12 - Device_Configuration'!AW450="","",'12 - Device_Configuration'!AW450)</f>
        <v/>
      </c>
      <c r="V449" s="29" t="str">
        <f>IF('12 - Device_Configuration'!BA450="","",'12 - Device_Configuration'!BA450)</f>
        <v/>
      </c>
      <c r="W449" s="29" t="str">
        <f>IF('12 - Device_Configuration'!BC450="","",'12 - Device_Configuration'!BC450)</f>
        <v/>
      </c>
      <c r="X449" s="29" t="str">
        <f>IF('12 - Device_Configuration'!BK450="","",'12 - Device_Configuration'!BK450)</f>
        <v/>
      </c>
      <c r="Y449" s="29" t="str">
        <f>IF('12 - Device_Configuration'!BB450="","",'12 - Device_Configuration'!BB450)</f>
        <v/>
      </c>
      <c r="Z449" s="29" t="str">
        <f>IF('12 - Device_Configuration'!P450="","",'12 - Device_Configuration'!P450)</f>
        <v/>
      </c>
      <c r="AA449" s="29" t="str">
        <f>IF('12 - Device_Configuration'!Q450="","",'12 - Device_Configuration'!Q450)</f>
        <v/>
      </c>
    </row>
    <row r="450" spans="1:27">
      <c r="A450" s="30"/>
      <c r="B450" s="30"/>
      <c r="C450" s="29" t="str">
        <f>IF('12 - Device_Configuration'!H451="","",'12 - Device_Configuration'!H451)</f>
        <v/>
      </c>
      <c r="D450" s="29" t="str">
        <f>IF('12 - Device_Configuration'!AE451="","",'12 - Device_Configuration'!AE451)</f>
        <v/>
      </c>
      <c r="E450" s="29" t="str">
        <f>IF('12 - Device_Configuration'!AF451="","",'12 - Device_Configuration'!AF451)</f>
        <v/>
      </c>
      <c r="F450" s="29" t="str">
        <f>IF('12 - Device_Configuration'!AG451="","",'12 - Device_Configuration'!AG451)</f>
        <v/>
      </c>
      <c r="G450" s="29" t="str">
        <f>IF('12 - Device_Configuration'!AH451="","",'12 - Device_Configuration'!AH451)</f>
        <v/>
      </c>
      <c r="H450" s="29" t="str">
        <f>IF('12 - Device_Configuration'!A451="","",'12 - Device_Configuration'!A451)</f>
        <v/>
      </c>
      <c r="I450" s="29" t="str">
        <f>IF('12 - Device_Configuration'!AI451="","",'12 - Device_Configuration'!AI451)</f>
        <v/>
      </c>
      <c r="J450" s="29" t="str">
        <f>IF('12 - Device_Configuration'!AJ451="","",'12 - Device_Configuration'!AJ451)</f>
        <v/>
      </c>
      <c r="K450" s="29" t="str">
        <f>IF('12 - Device_Configuration'!AA451="","",'12 - Device_Configuration'!AA451)</f>
        <v/>
      </c>
      <c r="L450" s="29" t="str">
        <f>IF('12 - Device_Configuration'!I451="","",'12 - Device_Configuration'!I451)</f>
        <v/>
      </c>
      <c r="M450" s="30"/>
      <c r="N450" s="29" t="str">
        <f>IF('12 - Device_Configuration'!J451="","",'12 - Device_Configuration'!J451)</f>
        <v/>
      </c>
      <c r="O450" s="29" t="str">
        <f>IF('12 - Device_Configuration'!K451="","",'12 - Device_Configuration'!K451)</f>
        <v/>
      </c>
      <c r="P450" s="29" t="str">
        <f>IF('12 - Device_Configuration'!L451="","",'12 - Device_Configuration'!L451)</f>
        <v/>
      </c>
      <c r="Q450" s="30"/>
      <c r="R450" s="29" t="str">
        <f>IF('12 - Device_Configuration'!AY451="","",'12 - Device_Configuration'!AY451)</f>
        <v/>
      </c>
      <c r="S450" s="29" t="str">
        <f>IF('12 - Device_Configuration'!AX451="","",'12 - Device_Configuration'!AX451)</f>
        <v/>
      </c>
      <c r="T450" s="29" t="str">
        <f>IF('12 - Device_Configuration'!AV451="","",'12 - Device_Configuration'!AV451)</f>
        <v/>
      </c>
      <c r="U450" s="29" t="str">
        <f>IF('12 - Device_Configuration'!AW451="","",'12 - Device_Configuration'!AW451)</f>
        <v/>
      </c>
      <c r="V450" s="29" t="str">
        <f>IF('12 - Device_Configuration'!BA451="","",'12 - Device_Configuration'!BA451)</f>
        <v/>
      </c>
      <c r="W450" s="29" t="str">
        <f>IF('12 - Device_Configuration'!BC451="","",'12 - Device_Configuration'!BC451)</f>
        <v/>
      </c>
      <c r="X450" s="29" t="str">
        <f>IF('12 - Device_Configuration'!BK451="","",'12 - Device_Configuration'!BK451)</f>
        <v/>
      </c>
      <c r="Y450" s="29" t="str">
        <f>IF('12 - Device_Configuration'!BB451="","",'12 - Device_Configuration'!BB451)</f>
        <v/>
      </c>
      <c r="Z450" s="29" t="str">
        <f>IF('12 - Device_Configuration'!P451="","",'12 - Device_Configuration'!P451)</f>
        <v/>
      </c>
      <c r="AA450" s="29" t="str">
        <f>IF('12 - Device_Configuration'!Q451="","",'12 - Device_Configuration'!Q451)</f>
        <v/>
      </c>
    </row>
    <row r="451" spans="1:27">
      <c r="A451" s="30"/>
      <c r="B451" s="30"/>
      <c r="C451" s="29" t="str">
        <f>IF('12 - Device_Configuration'!H452="","",'12 - Device_Configuration'!H452)</f>
        <v/>
      </c>
      <c r="D451" s="29" t="str">
        <f>IF('12 - Device_Configuration'!AE452="","",'12 - Device_Configuration'!AE452)</f>
        <v/>
      </c>
      <c r="E451" s="29" t="str">
        <f>IF('12 - Device_Configuration'!AF452="","",'12 - Device_Configuration'!AF452)</f>
        <v/>
      </c>
      <c r="F451" s="29" t="str">
        <f>IF('12 - Device_Configuration'!AG452="","",'12 - Device_Configuration'!AG452)</f>
        <v/>
      </c>
      <c r="G451" s="29" t="str">
        <f>IF('12 - Device_Configuration'!AH452="","",'12 - Device_Configuration'!AH452)</f>
        <v/>
      </c>
      <c r="H451" s="29" t="str">
        <f>IF('12 - Device_Configuration'!A452="","",'12 - Device_Configuration'!A452)</f>
        <v/>
      </c>
      <c r="I451" s="29" t="str">
        <f>IF('12 - Device_Configuration'!AI452="","",'12 - Device_Configuration'!AI452)</f>
        <v/>
      </c>
      <c r="J451" s="29" t="str">
        <f>IF('12 - Device_Configuration'!AJ452="","",'12 - Device_Configuration'!AJ452)</f>
        <v/>
      </c>
      <c r="K451" s="29" t="str">
        <f>IF('12 - Device_Configuration'!AA452="","",'12 - Device_Configuration'!AA452)</f>
        <v/>
      </c>
      <c r="L451" s="29" t="str">
        <f>IF('12 - Device_Configuration'!I452="","",'12 - Device_Configuration'!I452)</f>
        <v/>
      </c>
      <c r="M451" s="30"/>
      <c r="N451" s="29" t="str">
        <f>IF('12 - Device_Configuration'!J452="","",'12 - Device_Configuration'!J452)</f>
        <v/>
      </c>
      <c r="O451" s="29" t="str">
        <f>IF('12 - Device_Configuration'!K452="","",'12 - Device_Configuration'!K452)</f>
        <v/>
      </c>
      <c r="P451" s="29" t="str">
        <f>IF('12 - Device_Configuration'!L452="","",'12 - Device_Configuration'!L452)</f>
        <v/>
      </c>
      <c r="Q451" s="30"/>
      <c r="R451" s="29" t="str">
        <f>IF('12 - Device_Configuration'!AY452="","",'12 - Device_Configuration'!AY452)</f>
        <v/>
      </c>
      <c r="S451" s="29" t="str">
        <f>IF('12 - Device_Configuration'!AX452="","",'12 - Device_Configuration'!AX452)</f>
        <v/>
      </c>
      <c r="T451" s="29" t="str">
        <f>IF('12 - Device_Configuration'!AV452="","",'12 - Device_Configuration'!AV452)</f>
        <v/>
      </c>
      <c r="U451" s="29" t="str">
        <f>IF('12 - Device_Configuration'!AW452="","",'12 - Device_Configuration'!AW452)</f>
        <v/>
      </c>
      <c r="V451" s="29" t="str">
        <f>IF('12 - Device_Configuration'!BA452="","",'12 - Device_Configuration'!BA452)</f>
        <v/>
      </c>
      <c r="W451" s="29" t="str">
        <f>IF('12 - Device_Configuration'!BC452="","",'12 - Device_Configuration'!BC452)</f>
        <v/>
      </c>
      <c r="X451" s="29" t="str">
        <f>IF('12 - Device_Configuration'!BK452="","",'12 - Device_Configuration'!BK452)</f>
        <v/>
      </c>
      <c r="Y451" s="29" t="str">
        <f>IF('12 - Device_Configuration'!BB452="","",'12 - Device_Configuration'!BB452)</f>
        <v/>
      </c>
      <c r="Z451" s="29" t="str">
        <f>IF('12 - Device_Configuration'!P452="","",'12 - Device_Configuration'!P452)</f>
        <v/>
      </c>
      <c r="AA451" s="29" t="str">
        <f>IF('12 - Device_Configuration'!Q452="","",'12 - Device_Configuration'!Q452)</f>
        <v/>
      </c>
    </row>
    <row r="452" spans="1:27">
      <c r="A452" s="30"/>
      <c r="B452" s="30"/>
      <c r="C452" s="29" t="str">
        <f>IF('12 - Device_Configuration'!H453="","",'12 - Device_Configuration'!H453)</f>
        <v/>
      </c>
      <c r="D452" s="29" t="str">
        <f>IF('12 - Device_Configuration'!AE453="","",'12 - Device_Configuration'!AE453)</f>
        <v/>
      </c>
      <c r="E452" s="29" t="str">
        <f>IF('12 - Device_Configuration'!AF453="","",'12 - Device_Configuration'!AF453)</f>
        <v/>
      </c>
      <c r="F452" s="29" t="str">
        <f>IF('12 - Device_Configuration'!AG453="","",'12 - Device_Configuration'!AG453)</f>
        <v/>
      </c>
      <c r="G452" s="29" t="str">
        <f>IF('12 - Device_Configuration'!AH453="","",'12 - Device_Configuration'!AH453)</f>
        <v/>
      </c>
      <c r="H452" s="29" t="str">
        <f>IF('12 - Device_Configuration'!A453="","",'12 - Device_Configuration'!A453)</f>
        <v/>
      </c>
      <c r="I452" s="29" t="str">
        <f>IF('12 - Device_Configuration'!AI453="","",'12 - Device_Configuration'!AI453)</f>
        <v/>
      </c>
      <c r="J452" s="29" t="str">
        <f>IF('12 - Device_Configuration'!AJ453="","",'12 - Device_Configuration'!AJ453)</f>
        <v/>
      </c>
      <c r="K452" s="29" t="str">
        <f>IF('12 - Device_Configuration'!AA453="","",'12 - Device_Configuration'!AA453)</f>
        <v/>
      </c>
      <c r="L452" s="29" t="str">
        <f>IF('12 - Device_Configuration'!I453="","",'12 - Device_Configuration'!I453)</f>
        <v/>
      </c>
      <c r="M452" s="30"/>
      <c r="N452" s="29" t="str">
        <f>IF('12 - Device_Configuration'!J453="","",'12 - Device_Configuration'!J453)</f>
        <v/>
      </c>
      <c r="O452" s="29" t="str">
        <f>IF('12 - Device_Configuration'!K453="","",'12 - Device_Configuration'!K453)</f>
        <v/>
      </c>
      <c r="P452" s="29" t="str">
        <f>IF('12 - Device_Configuration'!L453="","",'12 - Device_Configuration'!L453)</f>
        <v/>
      </c>
      <c r="Q452" s="30"/>
      <c r="R452" s="29" t="str">
        <f>IF('12 - Device_Configuration'!AY453="","",'12 - Device_Configuration'!AY453)</f>
        <v/>
      </c>
      <c r="S452" s="29" t="str">
        <f>IF('12 - Device_Configuration'!AX453="","",'12 - Device_Configuration'!AX453)</f>
        <v/>
      </c>
      <c r="T452" s="29" t="str">
        <f>IF('12 - Device_Configuration'!AV453="","",'12 - Device_Configuration'!AV453)</f>
        <v/>
      </c>
      <c r="U452" s="29" t="str">
        <f>IF('12 - Device_Configuration'!AW453="","",'12 - Device_Configuration'!AW453)</f>
        <v/>
      </c>
      <c r="V452" s="29" t="str">
        <f>IF('12 - Device_Configuration'!BA453="","",'12 - Device_Configuration'!BA453)</f>
        <v/>
      </c>
      <c r="W452" s="29" t="str">
        <f>IF('12 - Device_Configuration'!BC453="","",'12 - Device_Configuration'!BC453)</f>
        <v/>
      </c>
      <c r="X452" s="29" t="str">
        <f>IF('12 - Device_Configuration'!BK453="","",'12 - Device_Configuration'!BK453)</f>
        <v/>
      </c>
      <c r="Y452" s="29" t="str">
        <f>IF('12 - Device_Configuration'!BB453="","",'12 - Device_Configuration'!BB453)</f>
        <v/>
      </c>
      <c r="Z452" s="29" t="str">
        <f>IF('12 - Device_Configuration'!P453="","",'12 - Device_Configuration'!P453)</f>
        <v/>
      </c>
      <c r="AA452" s="29" t="str">
        <f>IF('12 - Device_Configuration'!Q453="","",'12 - Device_Configuration'!Q453)</f>
        <v/>
      </c>
    </row>
    <row r="453" spans="1:27">
      <c r="A453" s="30"/>
      <c r="B453" s="30"/>
      <c r="C453" s="29" t="str">
        <f>IF('12 - Device_Configuration'!H454="","",'12 - Device_Configuration'!H454)</f>
        <v/>
      </c>
      <c r="D453" s="29" t="str">
        <f>IF('12 - Device_Configuration'!AE454="","",'12 - Device_Configuration'!AE454)</f>
        <v/>
      </c>
      <c r="E453" s="29" t="str">
        <f>IF('12 - Device_Configuration'!AF454="","",'12 - Device_Configuration'!AF454)</f>
        <v/>
      </c>
      <c r="F453" s="29" t="str">
        <f>IF('12 - Device_Configuration'!AG454="","",'12 - Device_Configuration'!AG454)</f>
        <v/>
      </c>
      <c r="G453" s="29" t="str">
        <f>IF('12 - Device_Configuration'!AH454="","",'12 - Device_Configuration'!AH454)</f>
        <v/>
      </c>
      <c r="H453" s="29" t="str">
        <f>IF('12 - Device_Configuration'!A454="","",'12 - Device_Configuration'!A454)</f>
        <v/>
      </c>
      <c r="I453" s="29" t="str">
        <f>IF('12 - Device_Configuration'!AI454="","",'12 - Device_Configuration'!AI454)</f>
        <v/>
      </c>
      <c r="J453" s="29" t="str">
        <f>IF('12 - Device_Configuration'!AJ454="","",'12 - Device_Configuration'!AJ454)</f>
        <v/>
      </c>
      <c r="K453" s="29" t="str">
        <f>IF('12 - Device_Configuration'!AA454="","",'12 - Device_Configuration'!AA454)</f>
        <v/>
      </c>
      <c r="L453" s="29" t="str">
        <f>IF('12 - Device_Configuration'!I454="","",'12 - Device_Configuration'!I454)</f>
        <v/>
      </c>
      <c r="M453" s="30"/>
      <c r="N453" s="29" t="str">
        <f>IF('12 - Device_Configuration'!J454="","",'12 - Device_Configuration'!J454)</f>
        <v/>
      </c>
      <c r="O453" s="29" t="str">
        <f>IF('12 - Device_Configuration'!K454="","",'12 - Device_Configuration'!K454)</f>
        <v/>
      </c>
      <c r="P453" s="29" t="str">
        <f>IF('12 - Device_Configuration'!L454="","",'12 - Device_Configuration'!L454)</f>
        <v/>
      </c>
      <c r="Q453" s="30"/>
      <c r="R453" s="29" t="str">
        <f>IF('12 - Device_Configuration'!AY454="","",'12 - Device_Configuration'!AY454)</f>
        <v/>
      </c>
      <c r="S453" s="29" t="str">
        <f>IF('12 - Device_Configuration'!AX454="","",'12 - Device_Configuration'!AX454)</f>
        <v/>
      </c>
      <c r="T453" s="29" t="str">
        <f>IF('12 - Device_Configuration'!AV454="","",'12 - Device_Configuration'!AV454)</f>
        <v/>
      </c>
      <c r="U453" s="29" t="str">
        <f>IF('12 - Device_Configuration'!AW454="","",'12 - Device_Configuration'!AW454)</f>
        <v/>
      </c>
      <c r="V453" s="29" t="str">
        <f>IF('12 - Device_Configuration'!BA454="","",'12 - Device_Configuration'!BA454)</f>
        <v/>
      </c>
      <c r="W453" s="29" t="str">
        <f>IF('12 - Device_Configuration'!BC454="","",'12 - Device_Configuration'!BC454)</f>
        <v/>
      </c>
      <c r="X453" s="29" t="str">
        <f>IF('12 - Device_Configuration'!BK454="","",'12 - Device_Configuration'!BK454)</f>
        <v/>
      </c>
      <c r="Y453" s="29" t="str">
        <f>IF('12 - Device_Configuration'!BB454="","",'12 - Device_Configuration'!BB454)</f>
        <v/>
      </c>
      <c r="Z453" s="29" t="str">
        <f>IF('12 - Device_Configuration'!P454="","",'12 - Device_Configuration'!P454)</f>
        <v/>
      </c>
      <c r="AA453" s="29" t="str">
        <f>IF('12 - Device_Configuration'!Q454="","",'12 - Device_Configuration'!Q454)</f>
        <v/>
      </c>
    </row>
    <row r="454" spans="1:27">
      <c r="A454" s="30"/>
      <c r="B454" s="30"/>
      <c r="C454" s="29" t="str">
        <f>IF('12 - Device_Configuration'!H455="","",'12 - Device_Configuration'!H455)</f>
        <v/>
      </c>
      <c r="D454" s="29" t="str">
        <f>IF('12 - Device_Configuration'!AE455="","",'12 - Device_Configuration'!AE455)</f>
        <v/>
      </c>
      <c r="E454" s="29" t="str">
        <f>IF('12 - Device_Configuration'!AF455="","",'12 - Device_Configuration'!AF455)</f>
        <v/>
      </c>
      <c r="F454" s="29" t="str">
        <f>IF('12 - Device_Configuration'!AG455="","",'12 - Device_Configuration'!AG455)</f>
        <v/>
      </c>
      <c r="G454" s="29" t="str">
        <f>IF('12 - Device_Configuration'!AH455="","",'12 - Device_Configuration'!AH455)</f>
        <v/>
      </c>
      <c r="H454" s="29" t="str">
        <f>IF('12 - Device_Configuration'!A455="","",'12 - Device_Configuration'!A455)</f>
        <v/>
      </c>
      <c r="I454" s="29" t="str">
        <f>IF('12 - Device_Configuration'!AI455="","",'12 - Device_Configuration'!AI455)</f>
        <v/>
      </c>
      <c r="J454" s="29" t="str">
        <f>IF('12 - Device_Configuration'!AJ455="","",'12 - Device_Configuration'!AJ455)</f>
        <v/>
      </c>
      <c r="K454" s="29" t="str">
        <f>IF('12 - Device_Configuration'!AA455="","",'12 - Device_Configuration'!AA455)</f>
        <v/>
      </c>
      <c r="L454" s="29" t="str">
        <f>IF('12 - Device_Configuration'!I455="","",'12 - Device_Configuration'!I455)</f>
        <v/>
      </c>
      <c r="M454" s="30"/>
      <c r="N454" s="29" t="str">
        <f>IF('12 - Device_Configuration'!J455="","",'12 - Device_Configuration'!J455)</f>
        <v/>
      </c>
      <c r="O454" s="29" t="str">
        <f>IF('12 - Device_Configuration'!K455="","",'12 - Device_Configuration'!K455)</f>
        <v/>
      </c>
      <c r="P454" s="29" t="str">
        <f>IF('12 - Device_Configuration'!L455="","",'12 - Device_Configuration'!L455)</f>
        <v/>
      </c>
      <c r="Q454" s="30"/>
      <c r="R454" s="29" t="str">
        <f>IF('12 - Device_Configuration'!AY455="","",'12 - Device_Configuration'!AY455)</f>
        <v/>
      </c>
      <c r="S454" s="29" t="str">
        <f>IF('12 - Device_Configuration'!AX455="","",'12 - Device_Configuration'!AX455)</f>
        <v/>
      </c>
      <c r="T454" s="29" t="str">
        <f>IF('12 - Device_Configuration'!AV455="","",'12 - Device_Configuration'!AV455)</f>
        <v/>
      </c>
      <c r="U454" s="29" t="str">
        <f>IF('12 - Device_Configuration'!AW455="","",'12 - Device_Configuration'!AW455)</f>
        <v/>
      </c>
      <c r="V454" s="29" t="str">
        <f>IF('12 - Device_Configuration'!BA455="","",'12 - Device_Configuration'!BA455)</f>
        <v/>
      </c>
      <c r="W454" s="29" t="str">
        <f>IF('12 - Device_Configuration'!BC455="","",'12 - Device_Configuration'!BC455)</f>
        <v/>
      </c>
      <c r="X454" s="29" t="str">
        <f>IF('12 - Device_Configuration'!BK455="","",'12 - Device_Configuration'!BK455)</f>
        <v/>
      </c>
      <c r="Y454" s="29" t="str">
        <f>IF('12 - Device_Configuration'!BB455="","",'12 - Device_Configuration'!BB455)</f>
        <v/>
      </c>
      <c r="Z454" s="29" t="str">
        <f>IF('12 - Device_Configuration'!P455="","",'12 - Device_Configuration'!P455)</f>
        <v/>
      </c>
      <c r="AA454" s="29" t="str">
        <f>IF('12 - Device_Configuration'!Q455="","",'12 - Device_Configuration'!Q455)</f>
        <v/>
      </c>
    </row>
    <row r="455" spans="1:27">
      <c r="A455" s="30"/>
      <c r="B455" s="30"/>
      <c r="C455" s="29" t="str">
        <f>IF('12 - Device_Configuration'!H456="","",'12 - Device_Configuration'!H456)</f>
        <v/>
      </c>
      <c r="D455" s="29" t="str">
        <f>IF('12 - Device_Configuration'!AE456="","",'12 - Device_Configuration'!AE456)</f>
        <v/>
      </c>
      <c r="E455" s="29" t="str">
        <f>IF('12 - Device_Configuration'!AF456="","",'12 - Device_Configuration'!AF456)</f>
        <v/>
      </c>
      <c r="F455" s="29" t="str">
        <f>IF('12 - Device_Configuration'!AG456="","",'12 - Device_Configuration'!AG456)</f>
        <v/>
      </c>
      <c r="G455" s="29" t="str">
        <f>IF('12 - Device_Configuration'!AH456="","",'12 - Device_Configuration'!AH456)</f>
        <v/>
      </c>
      <c r="H455" s="29" t="str">
        <f>IF('12 - Device_Configuration'!A456="","",'12 - Device_Configuration'!A456)</f>
        <v/>
      </c>
      <c r="I455" s="29" t="str">
        <f>IF('12 - Device_Configuration'!AI456="","",'12 - Device_Configuration'!AI456)</f>
        <v/>
      </c>
      <c r="J455" s="29" t="str">
        <f>IF('12 - Device_Configuration'!AJ456="","",'12 - Device_Configuration'!AJ456)</f>
        <v/>
      </c>
      <c r="K455" s="29" t="str">
        <f>IF('12 - Device_Configuration'!AA456="","",'12 - Device_Configuration'!AA456)</f>
        <v/>
      </c>
      <c r="L455" s="29" t="str">
        <f>IF('12 - Device_Configuration'!I456="","",'12 - Device_Configuration'!I456)</f>
        <v/>
      </c>
      <c r="M455" s="30"/>
      <c r="N455" s="29" t="str">
        <f>IF('12 - Device_Configuration'!J456="","",'12 - Device_Configuration'!J456)</f>
        <v/>
      </c>
      <c r="O455" s="29" t="str">
        <f>IF('12 - Device_Configuration'!K456="","",'12 - Device_Configuration'!K456)</f>
        <v/>
      </c>
      <c r="P455" s="29" t="str">
        <f>IF('12 - Device_Configuration'!L456="","",'12 - Device_Configuration'!L456)</f>
        <v/>
      </c>
      <c r="Q455" s="30"/>
      <c r="R455" s="29" t="str">
        <f>IF('12 - Device_Configuration'!AY456="","",'12 - Device_Configuration'!AY456)</f>
        <v/>
      </c>
      <c r="S455" s="29" t="str">
        <f>IF('12 - Device_Configuration'!AX456="","",'12 - Device_Configuration'!AX456)</f>
        <v/>
      </c>
      <c r="T455" s="29" t="str">
        <f>IF('12 - Device_Configuration'!AV456="","",'12 - Device_Configuration'!AV456)</f>
        <v/>
      </c>
      <c r="U455" s="29" t="str">
        <f>IF('12 - Device_Configuration'!AW456="","",'12 - Device_Configuration'!AW456)</f>
        <v/>
      </c>
      <c r="V455" s="29" t="str">
        <f>IF('12 - Device_Configuration'!BA456="","",'12 - Device_Configuration'!BA456)</f>
        <v/>
      </c>
      <c r="W455" s="29" t="str">
        <f>IF('12 - Device_Configuration'!BC456="","",'12 - Device_Configuration'!BC456)</f>
        <v/>
      </c>
      <c r="X455" s="29" t="str">
        <f>IF('12 - Device_Configuration'!BK456="","",'12 - Device_Configuration'!BK456)</f>
        <v/>
      </c>
      <c r="Y455" s="29" t="str">
        <f>IF('12 - Device_Configuration'!BB456="","",'12 - Device_Configuration'!BB456)</f>
        <v/>
      </c>
      <c r="Z455" s="29" t="str">
        <f>IF('12 - Device_Configuration'!P456="","",'12 - Device_Configuration'!P456)</f>
        <v/>
      </c>
      <c r="AA455" s="29" t="str">
        <f>IF('12 - Device_Configuration'!Q456="","",'12 - Device_Configuration'!Q456)</f>
        <v/>
      </c>
    </row>
    <row r="456" spans="1:27">
      <c r="A456" s="30"/>
      <c r="B456" s="30"/>
      <c r="C456" s="29" t="str">
        <f>IF('12 - Device_Configuration'!H457="","",'12 - Device_Configuration'!H457)</f>
        <v/>
      </c>
      <c r="D456" s="29" t="str">
        <f>IF('12 - Device_Configuration'!AE457="","",'12 - Device_Configuration'!AE457)</f>
        <v/>
      </c>
      <c r="E456" s="29" t="str">
        <f>IF('12 - Device_Configuration'!AF457="","",'12 - Device_Configuration'!AF457)</f>
        <v/>
      </c>
      <c r="F456" s="29" t="str">
        <f>IF('12 - Device_Configuration'!AG457="","",'12 - Device_Configuration'!AG457)</f>
        <v/>
      </c>
      <c r="G456" s="29" t="str">
        <f>IF('12 - Device_Configuration'!AH457="","",'12 - Device_Configuration'!AH457)</f>
        <v/>
      </c>
      <c r="H456" s="29" t="str">
        <f>IF('12 - Device_Configuration'!A457="","",'12 - Device_Configuration'!A457)</f>
        <v/>
      </c>
      <c r="I456" s="29" t="str">
        <f>IF('12 - Device_Configuration'!AI457="","",'12 - Device_Configuration'!AI457)</f>
        <v/>
      </c>
      <c r="J456" s="29" t="str">
        <f>IF('12 - Device_Configuration'!AJ457="","",'12 - Device_Configuration'!AJ457)</f>
        <v/>
      </c>
      <c r="K456" s="29" t="str">
        <f>IF('12 - Device_Configuration'!AA457="","",'12 - Device_Configuration'!AA457)</f>
        <v/>
      </c>
      <c r="L456" s="29" t="str">
        <f>IF('12 - Device_Configuration'!I457="","",'12 - Device_Configuration'!I457)</f>
        <v/>
      </c>
      <c r="M456" s="30"/>
      <c r="N456" s="29" t="str">
        <f>IF('12 - Device_Configuration'!J457="","",'12 - Device_Configuration'!J457)</f>
        <v/>
      </c>
      <c r="O456" s="29" t="str">
        <f>IF('12 - Device_Configuration'!K457="","",'12 - Device_Configuration'!K457)</f>
        <v/>
      </c>
      <c r="P456" s="29" t="str">
        <f>IF('12 - Device_Configuration'!L457="","",'12 - Device_Configuration'!L457)</f>
        <v/>
      </c>
      <c r="Q456" s="30"/>
      <c r="R456" s="29" t="str">
        <f>IF('12 - Device_Configuration'!AY457="","",'12 - Device_Configuration'!AY457)</f>
        <v/>
      </c>
      <c r="S456" s="29" t="str">
        <f>IF('12 - Device_Configuration'!AX457="","",'12 - Device_Configuration'!AX457)</f>
        <v/>
      </c>
      <c r="T456" s="29" t="str">
        <f>IF('12 - Device_Configuration'!AV457="","",'12 - Device_Configuration'!AV457)</f>
        <v/>
      </c>
      <c r="U456" s="29" t="str">
        <f>IF('12 - Device_Configuration'!AW457="","",'12 - Device_Configuration'!AW457)</f>
        <v/>
      </c>
      <c r="V456" s="29" t="str">
        <f>IF('12 - Device_Configuration'!BA457="","",'12 - Device_Configuration'!BA457)</f>
        <v/>
      </c>
      <c r="W456" s="29" t="str">
        <f>IF('12 - Device_Configuration'!BC457="","",'12 - Device_Configuration'!BC457)</f>
        <v/>
      </c>
      <c r="X456" s="29" t="str">
        <f>IF('12 - Device_Configuration'!BK457="","",'12 - Device_Configuration'!BK457)</f>
        <v/>
      </c>
      <c r="Y456" s="29" t="str">
        <f>IF('12 - Device_Configuration'!BB457="","",'12 - Device_Configuration'!BB457)</f>
        <v/>
      </c>
      <c r="Z456" s="29" t="str">
        <f>IF('12 - Device_Configuration'!P457="","",'12 - Device_Configuration'!P457)</f>
        <v/>
      </c>
      <c r="AA456" s="29" t="str">
        <f>IF('12 - Device_Configuration'!Q457="","",'12 - Device_Configuration'!Q457)</f>
        <v/>
      </c>
    </row>
    <row r="457" spans="1:27">
      <c r="A457" s="30"/>
      <c r="B457" s="30"/>
      <c r="C457" s="29" t="str">
        <f>IF('12 - Device_Configuration'!H458="","",'12 - Device_Configuration'!H458)</f>
        <v/>
      </c>
      <c r="D457" s="29" t="str">
        <f>IF('12 - Device_Configuration'!AE458="","",'12 - Device_Configuration'!AE458)</f>
        <v/>
      </c>
      <c r="E457" s="29" t="str">
        <f>IF('12 - Device_Configuration'!AF458="","",'12 - Device_Configuration'!AF458)</f>
        <v/>
      </c>
      <c r="F457" s="29" t="str">
        <f>IF('12 - Device_Configuration'!AG458="","",'12 - Device_Configuration'!AG458)</f>
        <v/>
      </c>
      <c r="G457" s="29" t="str">
        <f>IF('12 - Device_Configuration'!AH458="","",'12 - Device_Configuration'!AH458)</f>
        <v/>
      </c>
      <c r="H457" s="29" t="str">
        <f>IF('12 - Device_Configuration'!A458="","",'12 - Device_Configuration'!A458)</f>
        <v/>
      </c>
      <c r="I457" s="29" t="str">
        <f>IF('12 - Device_Configuration'!AI458="","",'12 - Device_Configuration'!AI458)</f>
        <v/>
      </c>
      <c r="J457" s="29" t="str">
        <f>IF('12 - Device_Configuration'!AJ458="","",'12 - Device_Configuration'!AJ458)</f>
        <v/>
      </c>
      <c r="K457" s="29" t="str">
        <f>IF('12 - Device_Configuration'!AA458="","",'12 - Device_Configuration'!AA458)</f>
        <v/>
      </c>
      <c r="L457" s="29" t="str">
        <f>IF('12 - Device_Configuration'!I458="","",'12 - Device_Configuration'!I458)</f>
        <v/>
      </c>
      <c r="M457" s="30"/>
      <c r="N457" s="29" t="str">
        <f>IF('12 - Device_Configuration'!J458="","",'12 - Device_Configuration'!J458)</f>
        <v/>
      </c>
      <c r="O457" s="29" t="str">
        <f>IF('12 - Device_Configuration'!K458="","",'12 - Device_Configuration'!K458)</f>
        <v/>
      </c>
      <c r="P457" s="29" t="str">
        <f>IF('12 - Device_Configuration'!L458="","",'12 - Device_Configuration'!L458)</f>
        <v/>
      </c>
      <c r="Q457" s="30"/>
      <c r="R457" s="29" t="str">
        <f>IF('12 - Device_Configuration'!AY458="","",'12 - Device_Configuration'!AY458)</f>
        <v/>
      </c>
      <c r="S457" s="29" t="str">
        <f>IF('12 - Device_Configuration'!AX458="","",'12 - Device_Configuration'!AX458)</f>
        <v/>
      </c>
      <c r="T457" s="29" t="str">
        <f>IF('12 - Device_Configuration'!AV458="","",'12 - Device_Configuration'!AV458)</f>
        <v/>
      </c>
      <c r="U457" s="29" t="str">
        <f>IF('12 - Device_Configuration'!AW458="","",'12 - Device_Configuration'!AW458)</f>
        <v/>
      </c>
      <c r="V457" s="29" t="str">
        <f>IF('12 - Device_Configuration'!BA458="","",'12 - Device_Configuration'!BA458)</f>
        <v/>
      </c>
      <c r="W457" s="29" t="str">
        <f>IF('12 - Device_Configuration'!BC458="","",'12 - Device_Configuration'!BC458)</f>
        <v/>
      </c>
      <c r="X457" s="29" t="str">
        <f>IF('12 - Device_Configuration'!BK458="","",'12 - Device_Configuration'!BK458)</f>
        <v/>
      </c>
      <c r="Y457" s="29" t="str">
        <f>IF('12 - Device_Configuration'!BB458="","",'12 - Device_Configuration'!BB458)</f>
        <v/>
      </c>
      <c r="Z457" s="29" t="str">
        <f>IF('12 - Device_Configuration'!P458="","",'12 - Device_Configuration'!P458)</f>
        <v/>
      </c>
      <c r="AA457" s="29" t="str">
        <f>IF('12 - Device_Configuration'!Q458="","",'12 - Device_Configuration'!Q458)</f>
        <v/>
      </c>
    </row>
    <row r="458" spans="1:27">
      <c r="A458" s="30"/>
      <c r="B458" s="30"/>
      <c r="C458" s="29" t="str">
        <f>IF('12 - Device_Configuration'!H459="","",'12 - Device_Configuration'!H459)</f>
        <v/>
      </c>
      <c r="D458" s="29" t="str">
        <f>IF('12 - Device_Configuration'!AE459="","",'12 - Device_Configuration'!AE459)</f>
        <v/>
      </c>
      <c r="E458" s="29" t="str">
        <f>IF('12 - Device_Configuration'!AF459="","",'12 - Device_Configuration'!AF459)</f>
        <v/>
      </c>
      <c r="F458" s="29" t="str">
        <f>IF('12 - Device_Configuration'!AG459="","",'12 - Device_Configuration'!AG459)</f>
        <v/>
      </c>
      <c r="G458" s="29" t="str">
        <f>IF('12 - Device_Configuration'!AH459="","",'12 - Device_Configuration'!AH459)</f>
        <v/>
      </c>
      <c r="H458" s="29" t="str">
        <f>IF('12 - Device_Configuration'!A459="","",'12 - Device_Configuration'!A459)</f>
        <v/>
      </c>
      <c r="I458" s="29" t="str">
        <f>IF('12 - Device_Configuration'!AI459="","",'12 - Device_Configuration'!AI459)</f>
        <v/>
      </c>
      <c r="J458" s="29" t="str">
        <f>IF('12 - Device_Configuration'!AJ459="","",'12 - Device_Configuration'!AJ459)</f>
        <v/>
      </c>
      <c r="K458" s="29" t="str">
        <f>IF('12 - Device_Configuration'!AA459="","",'12 - Device_Configuration'!AA459)</f>
        <v/>
      </c>
      <c r="L458" s="29" t="str">
        <f>IF('12 - Device_Configuration'!I459="","",'12 - Device_Configuration'!I459)</f>
        <v/>
      </c>
      <c r="M458" s="30"/>
      <c r="N458" s="29" t="str">
        <f>IF('12 - Device_Configuration'!J459="","",'12 - Device_Configuration'!J459)</f>
        <v/>
      </c>
      <c r="O458" s="29" t="str">
        <f>IF('12 - Device_Configuration'!K459="","",'12 - Device_Configuration'!K459)</f>
        <v/>
      </c>
      <c r="P458" s="29" t="str">
        <f>IF('12 - Device_Configuration'!L459="","",'12 - Device_Configuration'!L459)</f>
        <v/>
      </c>
      <c r="Q458" s="30"/>
      <c r="R458" s="29" t="str">
        <f>IF('12 - Device_Configuration'!AY459="","",'12 - Device_Configuration'!AY459)</f>
        <v/>
      </c>
      <c r="S458" s="29" t="str">
        <f>IF('12 - Device_Configuration'!AX459="","",'12 - Device_Configuration'!AX459)</f>
        <v/>
      </c>
      <c r="T458" s="29" t="str">
        <f>IF('12 - Device_Configuration'!AV459="","",'12 - Device_Configuration'!AV459)</f>
        <v/>
      </c>
      <c r="U458" s="29" t="str">
        <f>IF('12 - Device_Configuration'!AW459="","",'12 - Device_Configuration'!AW459)</f>
        <v/>
      </c>
      <c r="V458" s="29" t="str">
        <f>IF('12 - Device_Configuration'!BA459="","",'12 - Device_Configuration'!BA459)</f>
        <v/>
      </c>
      <c r="W458" s="29" t="str">
        <f>IF('12 - Device_Configuration'!BC459="","",'12 - Device_Configuration'!BC459)</f>
        <v/>
      </c>
      <c r="X458" s="29" t="str">
        <f>IF('12 - Device_Configuration'!BK459="","",'12 - Device_Configuration'!BK459)</f>
        <v/>
      </c>
      <c r="Y458" s="29" t="str">
        <f>IF('12 - Device_Configuration'!BB459="","",'12 - Device_Configuration'!BB459)</f>
        <v/>
      </c>
      <c r="Z458" s="29" t="str">
        <f>IF('12 - Device_Configuration'!P459="","",'12 - Device_Configuration'!P459)</f>
        <v/>
      </c>
      <c r="AA458" s="29" t="str">
        <f>IF('12 - Device_Configuration'!Q459="","",'12 - Device_Configuration'!Q459)</f>
        <v/>
      </c>
    </row>
    <row r="459" spans="1:27">
      <c r="A459" s="30"/>
      <c r="B459" s="30"/>
      <c r="C459" s="29" t="str">
        <f>IF('12 - Device_Configuration'!H460="","",'12 - Device_Configuration'!H460)</f>
        <v/>
      </c>
      <c r="D459" s="29" t="str">
        <f>IF('12 - Device_Configuration'!AE460="","",'12 - Device_Configuration'!AE460)</f>
        <v/>
      </c>
      <c r="E459" s="29" t="str">
        <f>IF('12 - Device_Configuration'!AF460="","",'12 - Device_Configuration'!AF460)</f>
        <v/>
      </c>
      <c r="F459" s="29" t="str">
        <f>IF('12 - Device_Configuration'!AG460="","",'12 - Device_Configuration'!AG460)</f>
        <v/>
      </c>
      <c r="G459" s="29" t="str">
        <f>IF('12 - Device_Configuration'!AH460="","",'12 - Device_Configuration'!AH460)</f>
        <v/>
      </c>
      <c r="H459" s="29" t="str">
        <f>IF('12 - Device_Configuration'!A460="","",'12 - Device_Configuration'!A460)</f>
        <v/>
      </c>
      <c r="I459" s="29" t="str">
        <f>IF('12 - Device_Configuration'!AI460="","",'12 - Device_Configuration'!AI460)</f>
        <v/>
      </c>
      <c r="J459" s="29" t="str">
        <f>IF('12 - Device_Configuration'!AJ460="","",'12 - Device_Configuration'!AJ460)</f>
        <v/>
      </c>
      <c r="K459" s="29" t="str">
        <f>IF('12 - Device_Configuration'!AA460="","",'12 - Device_Configuration'!AA460)</f>
        <v/>
      </c>
      <c r="L459" s="29" t="str">
        <f>IF('12 - Device_Configuration'!I460="","",'12 - Device_Configuration'!I460)</f>
        <v/>
      </c>
      <c r="M459" s="30"/>
      <c r="N459" s="29" t="str">
        <f>IF('12 - Device_Configuration'!J460="","",'12 - Device_Configuration'!J460)</f>
        <v/>
      </c>
      <c r="O459" s="29" t="str">
        <f>IF('12 - Device_Configuration'!K460="","",'12 - Device_Configuration'!K460)</f>
        <v/>
      </c>
      <c r="P459" s="29" t="str">
        <f>IF('12 - Device_Configuration'!L460="","",'12 - Device_Configuration'!L460)</f>
        <v/>
      </c>
      <c r="Q459" s="30"/>
      <c r="R459" s="29" t="str">
        <f>IF('12 - Device_Configuration'!AY460="","",'12 - Device_Configuration'!AY460)</f>
        <v/>
      </c>
      <c r="S459" s="29" t="str">
        <f>IF('12 - Device_Configuration'!AX460="","",'12 - Device_Configuration'!AX460)</f>
        <v/>
      </c>
      <c r="T459" s="29" t="str">
        <f>IF('12 - Device_Configuration'!AV460="","",'12 - Device_Configuration'!AV460)</f>
        <v/>
      </c>
      <c r="U459" s="29" t="str">
        <f>IF('12 - Device_Configuration'!AW460="","",'12 - Device_Configuration'!AW460)</f>
        <v/>
      </c>
      <c r="V459" s="29" t="str">
        <f>IF('12 - Device_Configuration'!BA460="","",'12 - Device_Configuration'!BA460)</f>
        <v/>
      </c>
      <c r="W459" s="29" t="str">
        <f>IF('12 - Device_Configuration'!BC460="","",'12 - Device_Configuration'!BC460)</f>
        <v/>
      </c>
      <c r="X459" s="29" t="str">
        <f>IF('12 - Device_Configuration'!BK460="","",'12 - Device_Configuration'!BK460)</f>
        <v/>
      </c>
      <c r="Y459" s="29" t="str">
        <f>IF('12 - Device_Configuration'!BB460="","",'12 - Device_Configuration'!BB460)</f>
        <v/>
      </c>
      <c r="Z459" s="29" t="str">
        <f>IF('12 - Device_Configuration'!P460="","",'12 - Device_Configuration'!P460)</f>
        <v/>
      </c>
      <c r="AA459" s="29" t="str">
        <f>IF('12 - Device_Configuration'!Q460="","",'12 - Device_Configuration'!Q460)</f>
        <v/>
      </c>
    </row>
    <row r="460" spans="1:27">
      <c r="A460" s="30"/>
      <c r="B460" s="30"/>
      <c r="C460" s="29" t="str">
        <f>IF('12 - Device_Configuration'!H461="","",'12 - Device_Configuration'!H461)</f>
        <v/>
      </c>
      <c r="D460" s="29" t="str">
        <f>IF('12 - Device_Configuration'!AE461="","",'12 - Device_Configuration'!AE461)</f>
        <v/>
      </c>
      <c r="E460" s="29" t="str">
        <f>IF('12 - Device_Configuration'!AF461="","",'12 - Device_Configuration'!AF461)</f>
        <v/>
      </c>
      <c r="F460" s="29" t="str">
        <f>IF('12 - Device_Configuration'!AG461="","",'12 - Device_Configuration'!AG461)</f>
        <v/>
      </c>
      <c r="G460" s="29" t="str">
        <f>IF('12 - Device_Configuration'!AH461="","",'12 - Device_Configuration'!AH461)</f>
        <v/>
      </c>
      <c r="H460" s="29" t="str">
        <f>IF('12 - Device_Configuration'!A461="","",'12 - Device_Configuration'!A461)</f>
        <v/>
      </c>
      <c r="I460" s="29" t="str">
        <f>IF('12 - Device_Configuration'!AI461="","",'12 - Device_Configuration'!AI461)</f>
        <v/>
      </c>
      <c r="J460" s="29" t="str">
        <f>IF('12 - Device_Configuration'!AJ461="","",'12 - Device_Configuration'!AJ461)</f>
        <v/>
      </c>
      <c r="K460" s="29" t="str">
        <f>IF('12 - Device_Configuration'!AA461="","",'12 - Device_Configuration'!AA461)</f>
        <v/>
      </c>
      <c r="L460" s="29" t="str">
        <f>IF('12 - Device_Configuration'!I461="","",'12 - Device_Configuration'!I461)</f>
        <v/>
      </c>
      <c r="M460" s="30"/>
      <c r="N460" s="29" t="str">
        <f>IF('12 - Device_Configuration'!J461="","",'12 - Device_Configuration'!J461)</f>
        <v/>
      </c>
      <c r="O460" s="29" t="str">
        <f>IF('12 - Device_Configuration'!K461="","",'12 - Device_Configuration'!K461)</f>
        <v/>
      </c>
      <c r="P460" s="29" t="str">
        <f>IF('12 - Device_Configuration'!L461="","",'12 - Device_Configuration'!L461)</f>
        <v/>
      </c>
      <c r="Q460" s="30"/>
      <c r="R460" s="29" t="str">
        <f>IF('12 - Device_Configuration'!AY461="","",'12 - Device_Configuration'!AY461)</f>
        <v/>
      </c>
      <c r="S460" s="29" t="str">
        <f>IF('12 - Device_Configuration'!AX461="","",'12 - Device_Configuration'!AX461)</f>
        <v/>
      </c>
      <c r="T460" s="29" t="str">
        <f>IF('12 - Device_Configuration'!AV461="","",'12 - Device_Configuration'!AV461)</f>
        <v/>
      </c>
      <c r="U460" s="29" t="str">
        <f>IF('12 - Device_Configuration'!AW461="","",'12 - Device_Configuration'!AW461)</f>
        <v/>
      </c>
      <c r="V460" s="29" t="str">
        <f>IF('12 - Device_Configuration'!BA461="","",'12 - Device_Configuration'!BA461)</f>
        <v/>
      </c>
      <c r="W460" s="29" t="str">
        <f>IF('12 - Device_Configuration'!BC461="","",'12 - Device_Configuration'!BC461)</f>
        <v/>
      </c>
      <c r="X460" s="29" t="str">
        <f>IF('12 - Device_Configuration'!BK461="","",'12 - Device_Configuration'!BK461)</f>
        <v/>
      </c>
      <c r="Y460" s="29" t="str">
        <f>IF('12 - Device_Configuration'!BB461="","",'12 - Device_Configuration'!BB461)</f>
        <v/>
      </c>
      <c r="Z460" s="29" t="str">
        <f>IF('12 - Device_Configuration'!P461="","",'12 - Device_Configuration'!P461)</f>
        <v/>
      </c>
      <c r="AA460" s="29" t="str">
        <f>IF('12 - Device_Configuration'!Q461="","",'12 - Device_Configuration'!Q461)</f>
        <v/>
      </c>
    </row>
    <row r="461" spans="1:27">
      <c r="A461" s="30"/>
      <c r="B461" s="30"/>
      <c r="C461" s="29" t="str">
        <f>IF('12 - Device_Configuration'!H462="","",'12 - Device_Configuration'!H462)</f>
        <v/>
      </c>
      <c r="D461" s="29" t="str">
        <f>IF('12 - Device_Configuration'!AE462="","",'12 - Device_Configuration'!AE462)</f>
        <v/>
      </c>
      <c r="E461" s="29" t="str">
        <f>IF('12 - Device_Configuration'!AF462="","",'12 - Device_Configuration'!AF462)</f>
        <v/>
      </c>
      <c r="F461" s="29" t="str">
        <f>IF('12 - Device_Configuration'!AG462="","",'12 - Device_Configuration'!AG462)</f>
        <v/>
      </c>
      <c r="G461" s="29" t="str">
        <f>IF('12 - Device_Configuration'!AH462="","",'12 - Device_Configuration'!AH462)</f>
        <v/>
      </c>
      <c r="H461" s="29" t="str">
        <f>IF('12 - Device_Configuration'!A462="","",'12 - Device_Configuration'!A462)</f>
        <v/>
      </c>
      <c r="I461" s="29" t="str">
        <f>IF('12 - Device_Configuration'!AI462="","",'12 - Device_Configuration'!AI462)</f>
        <v/>
      </c>
      <c r="J461" s="29" t="str">
        <f>IF('12 - Device_Configuration'!AJ462="","",'12 - Device_Configuration'!AJ462)</f>
        <v/>
      </c>
      <c r="K461" s="29" t="str">
        <f>IF('12 - Device_Configuration'!AA462="","",'12 - Device_Configuration'!AA462)</f>
        <v/>
      </c>
      <c r="L461" s="29" t="str">
        <f>IF('12 - Device_Configuration'!I462="","",'12 - Device_Configuration'!I462)</f>
        <v/>
      </c>
      <c r="M461" s="30"/>
      <c r="N461" s="29" t="str">
        <f>IF('12 - Device_Configuration'!J462="","",'12 - Device_Configuration'!J462)</f>
        <v/>
      </c>
      <c r="O461" s="29" t="str">
        <f>IF('12 - Device_Configuration'!K462="","",'12 - Device_Configuration'!K462)</f>
        <v/>
      </c>
      <c r="P461" s="29" t="str">
        <f>IF('12 - Device_Configuration'!L462="","",'12 - Device_Configuration'!L462)</f>
        <v/>
      </c>
      <c r="Q461" s="30"/>
      <c r="R461" s="29" t="str">
        <f>IF('12 - Device_Configuration'!AY462="","",'12 - Device_Configuration'!AY462)</f>
        <v/>
      </c>
      <c r="S461" s="29" t="str">
        <f>IF('12 - Device_Configuration'!AX462="","",'12 - Device_Configuration'!AX462)</f>
        <v/>
      </c>
      <c r="T461" s="29" t="str">
        <f>IF('12 - Device_Configuration'!AV462="","",'12 - Device_Configuration'!AV462)</f>
        <v/>
      </c>
      <c r="U461" s="29" t="str">
        <f>IF('12 - Device_Configuration'!AW462="","",'12 - Device_Configuration'!AW462)</f>
        <v/>
      </c>
      <c r="V461" s="29" t="str">
        <f>IF('12 - Device_Configuration'!BA462="","",'12 - Device_Configuration'!BA462)</f>
        <v/>
      </c>
      <c r="W461" s="29" t="str">
        <f>IF('12 - Device_Configuration'!BC462="","",'12 - Device_Configuration'!BC462)</f>
        <v/>
      </c>
      <c r="X461" s="29" t="str">
        <f>IF('12 - Device_Configuration'!BK462="","",'12 - Device_Configuration'!BK462)</f>
        <v/>
      </c>
      <c r="Y461" s="29" t="str">
        <f>IF('12 - Device_Configuration'!BB462="","",'12 - Device_Configuration'!BB462)</f>
        <v/>
      </c>
      <c r="Z461" s="29" t="str">
        <f>IF('12 - Device_Configuration'!P462="","",'12 - Device_Configuration'!P462)</f>
        <v/>
      </c>
      <c r="AA461" s="29" t="str">
        <f>IF('12 - Device_Configuration'!Q462="","",'12 - Device_Configuration'!Q462)</f>
        <v/>
      </c>
    </row>
    <row r="462" spans="1:27">
      <c r="A462" s="30"/>
      <c r="B462" s="30"/>
      <c r="C462" s="29" t="str">
        <f>IF('12 - Device_Configuration'!H463="","",'12 - Device_Configuration'!H463)</f>
        <v/>
      </c>
      <c r="D462" s="29" t="str">
        <f>IF('12 - Device_Configuration'!AE463="","",'12 - Device_Configuration'!AE463)</f>
        <v/>
      </c>
      <c r="E462" s="29" t="str">
        <f>IF('12 - Device_Configuration'!AF463="","",'12 - Device_Configuration'!AF463)</f>
        <v/>
      </c>
      <c r="F462" s="29" t="str">
        <f>IF('12 - Device_Configuration'!AG463="","",'12 - Device_Configuration'!AG463)</f>
        <v/>
      </c>
      <c r="G462" s="29" t="str">
        <f>IF('12 - Device_Configuration'!AH463="","",'12 - Device_Configuration'!AH463)</f>
        <v/>
      </c>
      <c r="H462" s="29" t="str">
        <f>IF('12 - Device_Configuration'!A463="","",'12 - Device_Configuration'!A463)</f>
        <v/>
      </c>
      <c r="I462" s="29" t="str">
        <f>IF('12 - Device_Configuration'!AI463="","",'12 - Device_Configuration'!AI463)</f>
        <v/>
      </c>
      <c r="J462" s="29" t="str">
        <f>IF('12 - Device_Configuration'!AJ463="","",'12 - Device_Configuration'!AJ463)</f>
        <v/>
      </c>
      <c r="K462" s="29" t="str">
        <f>IF('12 - Device_Configuration'!AA463="","",'12 - Device_Configuration'!AA463)</f>
        <v/>
      </c>
      <c r="L462" s="29" t="str">
        <f>IF('12 - Device_Configuration'!I463="","",'12 - Device_Configuration'!I463)</f>
        <v/>
      </c>
      <c r="M462" s="30"/>
      <c r="N462" s="29" t="str">
        <f>IF('12 - Device_Configuration'!J463="","",'12 - Device_Configuration'!J463)</f>
        <v/>
      </c>
      <c r="O462" s="29" t="str">
        <f>IF('12 - Device_Configuration'!K463="","",'12 - Device_Configuration'!K463)</f>
        <v/>
      </c>
      <c r="P462" s="29" t="str">
        <f>IF('12 - Device_Configuration'!L463="","",'12 - Device_Configuration'!L463)</f>
        <v/>
      </c>
      <c r="Q462" s="30"/>
      <c r="R462" s="29" t="str">
        <f>IF('12 - Device_Configuration'!AY463="","",'12 - Device_Configuration'!AY463)</f>
        <v/>
      </c>
      <c r="S462" s="29" t="str">
        <f>IF('12 - Device_Configuration'!AX463="","",'12 - Device_Configuration'!AX463)</f>
        <v/>
      </c>
      <c r="T462" s="29" t="str">
        <f>IF('12 - Device_Configuration'!AV463="","",'12 - Device_Configuration'!AV463)</f>
        <v/>
      </c>
      <c r="U462" s="29" t="str">
        <f>IF('12 - Device_Configuration'!AW463="","",'12 - Device_Configuration'!AW463)</f>
        <v/>
      </c>
      <c r="V462" s="29" t="str">
        <f>IF('12 - Device_Configuration'!BA463="","",'12 - Device_Configuration'!BA463)</f>
        <v/>
      </c>
      <c r="W462" s="29" t="str">
        <f>IF('12 - Device_Configuration'!BC463="","",'12 - Device_Configuration'!BC463)</f>
        <v/>
      </c>
      <c r="X462" s="29" t="str">
        <f>IF('12 - Device_Configuration'!BK463="","",'12 - Device_Configuration'!BK463)</f>
        <v/>
      </c>
      <c r="Y462" s="29" t="str">
        <f>IF('12 - Device_Configuration'!BB463="","",'12 - Device_Configuration'!BB463)</f>
        <v/>
      </c>
      <c r="Z462" s="29" t="str">
        <f>IF('12 - Device_Configuration'!P463="","",'12 - Device_Configuration'!P463)</f>
        <v/>
      </c>
      <c r="AA462" s="29" t="str">
        <f>IF('12 - Device_Configuration'!Q463="","",'12 - Device_Configuration'!Q463)</f>
        <v/>
      </c>
    </row>
    <row r="463" spans="1:27">
      <c r="A463" s="30"/>
      <c r="B463" s="30"/>
      <c r="C463" s="29" t="str">
        <f>IF('12 - Device_Configuration'!H464="","",'12 - Device_Configuration'!H464)</f>
        <v/>
      </c>
      <c r="D463" s="29" t="str">
        <f>IF('12 - Device_Configuration'!AE464="","",'12 - Device_Configuration'!AE464)</f>
        <v/>
      </c>
      <c r="E463" s="29" t="str">
        <f>IF('12 - Device_Configuration'!AF464="","",'12 - Device_Configuration'!AF464)</f>
        <v/>
      </c>
      <c r="F463" s="29" t="str">
        <f>IF('12 - Device_Configuration'!AG464="","",'12 - Device_Configuration'!AG464)</f>
        <v/>
      </c>
      <c r="G463" s="29" t="str">
        <f>IF('12 - Device_Configuration'!AH464="","",'12 - Device_Configuration'!AH464)</f>
        <v/>
      </c>
      <c r="H463" s="29" t="str">
        <f>IF('12 - Device_Configuration'!A464="","",'12 - Device_Configuration'!A464)</f>
        <v/>
      </c>
      <c r="I463" s="29" t="str">
        <f>IF('12 - Device_Configuration'!AI464="","",'12 - Device_Configuration'!AI464)</f>
        <v/>
      </c>
      <c r="J463" s="29" t="str">
        <f>IF('12 - Device_Configuration'!AJ464="","",'12 - Device_Configuration'!AJ464)</f>
        <v/>
      </c>
      <c r="K463" s="29" t="str">
        <f>IF('12 - Device_Configuration'!AA464="","",'12 - Device_Configuration'!AA464)</f>
        <v/>
      </c>
      <c r="L463" s="29" t="str">
        <f>IF('12 - Device_Configuration'!I464="","",'12 - Device_Configuration'!I464)</f>
        <v/>
      </c>
      <c r="M463" s="30"/>
      <c r="N463" s="29" t="str">
        <f>IF('12 - Device_Configuration'!J464="","",'12 - Device_Configuration'!J464)</f>
        <v/>
      </c>
      <c r="O463" s="29" t="str">
        <f>IF('12 - Device_Configuration'!K464="","",'12 - Device_Configuration'!K464)</f>
        <v/>
      </c>
      <c r="P463" s="29" t="str">
        <f>IF('12 - Device_Configuration'!L464="","",'12 - Device_Configuration'!L464)</f>
        <v/>
      </c>
      <c r="Q463" s="30"/>
      <c r="R463" s="29" t="str">
        <f>IF('12 - Device_Configuration'!AY464="","",'12 - Device_Configuration'!AY464)</f>
        <v/>
      </c>
      <c r="S463" s="29" t="str">
        <f>IF('12 - Device_Configuration'!AX464="","",'12 - Device_Configuration'!AX464)</f>
        <v/>
      </c>
      <c r="T463" s="29" t="str">
        <f>IF('12 - Device_Configuration'!AV464="","",'12 - Device_Configuration'!AV464)</f>
        <v/>
      </c>
      <c r="U463" s="29" t="str">
        <f>IF('12 - Device_Configuration'!AW464="","",'12 - Device_Configuration'!AW464)</f>
        <v/>
      </c>
      <c r="V463" s="29" t="str">
        <f>IF('12 - Device_Configuration'!BA464="","",'12 - Device_Configuration'!BA464)</f>
        <v/>
      </c>
      <c r="W463" s="29" t="str">
        <f>IF('12 - Device_Configuration'!BC464="","",'12 - Device_Configuration'!BC464)</f>
        <v/>
      </c>
      <c r="X463" s="29" t="str">
        <f>IF('12 - Device_Configuration'!BK464="","",'12 - Device_Configuration'!BK464)</f>
        <v/>
      </c>
      <c r="Y463" s="29" t="str">
        <f>IF('12 - Device_Configuration'!BB464="","",'12 - Device_Configuration'!BB464)</f>
        <v/>
      </c>
      <c r="Z463" s="29" t="str">
        <f>IF('12 - Device_Configuration'!P464="","",'12 - Device_Configuration'!P464)</f>
        <v/>
      </c>
      <c r="AA463" s="29" t="str">
        <f>IF('12 - Device_Configuration'!Q464="","",'12 - Device_Configuration'!Q464)</f>
        <v/>
      </c>
    </row>
    <row r="464" spans="1:27">
      <c r="A464" s="30"/>
      <c r="B464" s="30"/>
      <c r="C464" s="29" t="str">
        <f>IF('12 - Device_Configuration'!H465="","",'12 - Device_Configuration'!H465)</f>
        <v/>
      </c>
      <c r="D464" s="29" t="str">
        <f>IF('12 - Device_Configuration'!AE465="","",'12 - Device_Configuration'!AE465)</f>
        <v/>
      </c>
      <c r="E464" s="29" t="str">
        <f>IF('12 - Device_Configuration'!AF465="","",'12 - Device_Configuration'!AF465)</f>
        <v/>
      </c>
      <c r="F464" s="29" t="str">
        <f>IF('12 - Device_Configuration'!AG465="","",'12 - Device_Configuration'!AG465)</f>
        <v/>
      </c>
      <c r="G464" s="29" t="str">
        <f>IF('12 - Device_Configuration'!AH465="","",'12 - Device_Configuration'!AH465)</f>
        <v/>
      </c>
      <c r="H464" s="29" t="str">
        <f>IF('12 - Device_Configuration'!A465="","",'12 - Device_Configuration'!A465)</f>
        <v/>
      </c>
      <c r="I464" s="29" t="str">
        <f>IF('12 - Device_Configuration'!AI465="","",'12 - Device_Configuration'!AI465)</f>
        <v/>
      </c>
      <c r="J464" s="29" t="str">
        <f>IF('12 - Device_Configuration'!AJ465="","",'12 - Device_Configuration'!AJ465)</f>
        <v/>
      </c>
      <c r="K464" s="29" t="str">
        <f>IF('12 - Device_Configuration'!AA465="","",'12 - Device_Configuration'!AA465)</f>
        <v/>
      </c>
      <c r="L464" s="29" t="str">
        <f>IF('12 - Device_Configuration'!I465="","",'12 - Device_Configuration'!I465)</f>
        <v/>
      </c>
      <c r="M464" s="30"/>
      <c r="N464" s="29" t="str">
        <f>IF('12 - Device_Configuration'!J465="","",'12 - Device_Configuration'!J465)</f>
        <v/>
      </c>
      <c r="O464" s="29" t="str">
        <f>IF('12 - Device_Configuration'!K465="","",'12 - Device_Configuration'!K465)</f>
        <v/>
      </c>
      <c r="P464" s="29" t="str">
        <f>IF('12 - Device_Configuration'!L465="","",'12 - Device_Configuration'!L465)</f>
        <v/>
      </c>
      <c r="Q464" s="30"/>
      <c r="R464" s="29" t="str">
        <f>IF('12 - Device_Configuration'!AY465="","",'12 - Device_Configuration'!AY465)</f>
        <v/>
      </c>
      <c r="S464" s="29" t="str">
        <f>IF('12 - Device_Configuration'!AX465="","",'12 - Device_Configuration'!AX465)</f>
        <v/>
      </c>
      <c r="T464" s="29" t="str">
        <f>IF('12 - Device_Configuration'!AV465="","",'12 - Device_Configuration'!AV465)</f>
        <v/>
      </c>
      <c r="U464" s="29" t="str">
        <f>IF('12 - Device_Configuration'!AW465="","",'12 - Device_Configuration'!AW465)</f>
        <v/>
      </c>
      <c r="V464" s="29" t="str">
        <f>IF('12 - Device_Configuration'!BA465="","",'12 - Device_Configuration'!BA465)</f>
        <v/>
      </c>
      <c r="W464" s="29" t="str">
        <f>IF('12 - Device_Configuration'!BC465="","",'12 - Device_Configuration'!BC465)</f>
        <v/>
      </c>
      <c r="X464" s="29" t="str">
        <f>IF('12 - Device_Configuration'!BK465="","",'12 - Device_Configuration'!BK465)</f>
        <v/>
      </c>
      <c r="Y464" s="29" t="str">
        <f>IF('12 - Device_Configuration'!BB465="","",'12 - Device_Configuration'!BB465)</f>
        <v/>
      </c>
      <c r="Z464" s="29" t="str">
        <f>IF('12 - Device_Configuration'!P465="","",'12 - Device_Configuration'!P465)</f>
        <v/>
      </c>
      <c r="AA464" s="29" t="str">
        <f>IF('12 - Device_Configuration'!Q465="","",'12 - Device_Configuration'!Q465)</f>
        <v/>
      </c>
    </row>
    <row r="465" spans="1:27">
      <c r="A465" s="30"/>
      <c r="B465" s="30"/>
      <c r="C465" s="29" t="str">
        <f>IF('12 - Device_Configuration'!H466="","",'12 - Device_Configuration'!H466)</f>
        <v/>
      </c>
      <c r="D465" s="29" t="str">
        <f>IF('12 - Device_Configuration'!AE466="","",'12 - Device_Configuration'!AE466)</f>
        <v/>
      </c>
      <c r="E465" s="29" t="str">
        <f>IF('12 - Device_Configuration'!AF466="","",'12 - Device_Configuration'!AF466)</f>
        <v/>
      </c>
      <c r="F465" s="29" t="str">
        <f>IF('12 - Device_Configuration'!AG466="","",'12 - Device_Configuration'!AG466)</f>
        <v/>
      </c>
      <c r="G465" s="29" t="str">
        <f>IF('12 - Device_Configuration'!AH466="","",'12 - Device_Configuration'!AH466)</f>
        <v/>
      </c>
      <c r="H465" s="29" t="str">
        <f>IF('12 - Device_Configuration'!A466="","",'12 - Device_Configuration'!A466)</f>
        <v/>
      </c>
      <c r="I465" s="29" t="str">
        <f>IF('12 - Device_Configuration'!AI466="","",'12 - Device_Configuration'!AI466)</f>
        <v/>
      </c>
      <c r="J465" s="29" t="str">
        <f>IF('12 - Device_Configuration'!AJ466="","",'12 - Device_Configuration'!AJ466)</f>
        <v/>
      </c>
      <c r="K465" s="29" t="str">
        <f>IF('12 - Device_Configuration'!AA466="","",'12 - Device_Configuration'!AA466)</f>
        <v/>
      </c>
      <c r="L465" s="29" t="str">
        <f>IF('12 - Device_Configuration'!I466="","",'12 - Device_Configuration'!I466)</f>
        <v/>
      </c>
      <c r="M465" s="30"/>
      <c r="N465" s="29" t="str">
        <f>IF('12 - Device_Configuration'!J466="","",'12 - Device_Configuration'!J466)</f>
        <v/>
      </c>
      <c r="O465" s="29" t="str">
        <f>IF('12 - Device_Configuration'!K466="","",'12 - Device_Configuration'!K466)</f>
        <v/>
      </c>
      <c r="P465" s="29" t="str">
        <f>IF('12 - Device_Configuration'!L466="","",'12 - Device_Configuration'!L466)</f>
        <v/>
      </c>
      <c r="Q465" s="30"/>
      <c r="R465" s="29" t="str">
        <f>IF('12 - Device_Configuration'!AY466="","",'12 - Device_Configuration'!AY466)</f>
        <v/>
      </c>
      <c r="S465" s="29" t="str">
        <f>IF('12 - Device_Configuration'!AX466="","",'12 - Device_Configuration'!AX466)</f>
        <v/>
      </c>
      <c r="T465" s="29" t="str">
        <f>IF('12 - Device_Configuration'!AV466="","",'12 - Device_Configuration'!AV466)</f>
        <v/>
      </c>
      <c r="U465" s="29" t="str">
        <f>IF('12 - Device_Configuration'!AW466="","",'12 - Device_Configuration'!AW466)</f>
        <v/>
      </c>
      <c r="V465" s="29" t="str">
        <f>IF('12 - Device_Configuration'!BA466="","",'12 - Device_Configuration'!BA466)</f>
        <v/>
      </c>
      <c r="W465" s="29" t="str">
        <f>IF('12 - Device_Configuration'!BC466="","",'12 - Device_Configuration'!BC466)</f>
        <v/>
      </c>
      <c r="X465" s="29" t="str">
        <f>IF('12 - Device_Configuration'!BK466="","",'12 - Device_Configuration'!BK466)</f>
        <v/>
      </c>
      <c r="Y465" s="29" t="str">
        <f>IF('12 - Device_Configuration'!BB466="","",'12 - Device_Configuration'!BB466)</f>
        <v/>
      </c>
      <c r="Z465" s="29" t="str">
        <f>IF('12 - Device_Configuration'!P466="","",'12 - Device_Configuration'!P466)</f>
        <v/>
      </c>
      <c r="AA465" s="29" t="str">
        <f>IF('12 - Device_Configuration'!Q466="","",'12 - Device_Configuration'!Q466)</f>
        <v/>
      </c>
    </row>
    <row r="466" spans="1:27">
      <c r="A466" s="30"/>
      <c r="B466" s="30"/>
      <c r="C466" s="29" t="str">
        <f>IF('12 - Device_Configuration'!H467="","",'12 - Device_Configuration'!H467)</f>
        <v/>
      </c>
      <c r="D466" s="29" t="str">
        <f>IF('12 - Device_Configuration'!AE467="","",'12 - Device_Configuration'!AE467)</f>
        <v/>
      </c>
      <c r="E466" s="29" t="str">
        <f>IF('12 - Device_Configuration'!AF467="","",'12 - Device_Configuration'!AF467)</f>
        <v/>
      </c>
      <c r="F466" s="29" t="str">
        <f>IF('12 - Device_Configuration'!AG467="","",'12 - Device_Configuration'!AG467)</f>
        <v/>
      </c>
      <c r="G466" s="29" t="str">
        <f>IF('12 - Device_Configuration'!AH467="","",'12 - Device_Configuration'!AH467)</f>
        <v/>
      </c>
      <c r="H466" s="29" t="str">
        <f>IF('12 - Device_Configuration'!A467="","",'12 - Device_Configuration'!A467)</f>
        <v/>
      </c>
      <c r="I466" s="29" t="str">
        <f>IF('12 - Device_Configuration'!AI467="","",'12 - Device_Configuration'!AI467)</f>
        <v/>
      </c>
      <c r="J466" s="29" t="str">
        <f>IF('12 - Device_Configuration'!AJ467="","",'12 - Device_Configuration'!AJ467)</f>
        <v/>
      </c>
      <c r="K466" s="29" t="str">
        <f>IF('12 - Device_Configuration'!AA467="","",'12 - Device_Configuration'!AA467)</f>
        <v/>
      </c>
      <c r="L466" s="29" t="str">
        <f>IF('12 - Device_Configuration'!I467="","",'12 - Device_Configuration'!I467)</f>
        <v/>
      </c>
      <c r="M466" s="30"/>
      <c r="N466" s="29" t="str">
        <f>IF('12 - Device_Configuration'!J467="","",'12 - Device_Configuration'!J467)</f>
        <v/>
      </c>
      <c r="O466" s="29" t="str">
        <f>IF('12 - Device_Configuration'!K467="","",'12 - Device_Configuration'!K467)</f>
        <v/>
      </c>
      <c r="P466" s="29" t="str">
        <f>IF('12 - Device_Configuration'!L467="","",'12 - Device_Configuration'!L467)</f>
        <v/>
      </c>
      <c r="Q466" s="30"/>
      <c r="R466" s="29" t="str">
        <f>IF('12 - Device_Configuration'!AY467="","",'12 - Device_Configuration'!AY467)</f>
        <v/>
      </c>
      <c r="S466" s="29" t="str">
        <f>IF('12 - Device_Configuration'!AX467="","",'12 - Device_Configuration'!AX467)</f>
        <v/>
      </c>
      <c r="T466" s="29" t="str">
        <f>IF('12 - Device_Configuration'!AV467="","",'12 - Device_Configuration'!AV467)</f>
        <v/>
      </c>
      <c r="U466" s="29" t="str">
        <f>IF('12 - Device_Configuration'!AW467="","",'12 - Device_Configuration'!AW467)</f>
        <v/>
      </c>
      <c r="V466" s="29" t="str">
        <f>IF('12 - Device_Configuration'!BA467="","",'12 - Device_Configuration'!BA467)</f>
        <v/>
      </c>
      <c r="W466" s="29" t="str">
        <f>IF('12 - Device_Configuration'!BC467="","",'12 - Device_Configuration'!BC467)</f>
        <v/>
      </c>
      <c r="X466" s="29" t="str">
        <f>IF('12 - Device_Configuration'!BK467="","",'12 - Device_Configuration'!BK467)</f>
        <v/>
      </c>
      <c r="Y466" s="29" t="str">
        <f>IF('12 - Device_Configuration'!BB467="","",'12 - Device_Configuration'!BB467)</f>
        <v/>
      </c>
      <c r="Z466" s="29" t="str">
        <f>IF('12 - Device_Configuration'!P467="","",'12 - Device_Configuration'!P467)</f>
        <v/>
      </c>
      <c r="AA466" s="29" t="str">
        <f>IF('12 - Device_Configuration'!Q467="","",'12 - Device_Configuration'!Q467)</f>
        <v/>
      </c>
    </row>
    <row r="467" spans="1:27">
      <c r="A467" s="30"/>
      <c r="B467" s="30"/>
      <c r="C467" s="29" t="str">
        <f>IF('12 - Device_Configuration'!H468="","",'12 - Device_Configuration'!H468)</f>
        <v/>
      </c>
      <c r="D467" s="29" t="str">
        <f>IF('12 - Device_Configuration'!AE468="","",'12 - Device_Configuration'!AE468)</f>
        <v/>
      </c>
      <c r="E467" s="29" t="str">
        <f>IF('12 - Device_Configuration'!AF468="","",'12 - Device_Configuration'!AF468)</f>
        <v/>
      </c>
      <c r="F467" s="29" t="str">
        <f>IF('12 - Device_Configuration'!AG468="","",'12 - Device_Configuration'!AG468)</f>
        <v/>
      </c>
      <c r="G467" s="29" t="str">
        <f>IF('12 - Device_Configuration'!AH468="","",'12 - Device_Configuration'!AH468)</f>
        <v/>
      </c>
      <c r="H467" s="29" t="str">
        <f>IF('12 - Device_Configuration'!A468="","",'12 - Device_Configuration'!A468)</f>
        <v/>
      </c>
      <c r="I467" s="29" t="str">
        <f>IF('12 - Device_Configuration'!AI468="","",'12 - Device_Configuration'!AI468)</f>
        <v/>
      </c>
      <c r="J467" s="29" t="str">
        <f>IF('12 - Device_Configuration'!AJ468="","",'12 - Device_Configuration'!AJ468)</f>
        <v/>
      </c>
      <c r="K467" s="29" t="str">
        <f>IF('12 - Device_Configuration'!AA468="","",'12 - Device_Configuration'!AA468)</f>
        <v/>
      </c>
      <c r="L467" s="29" t="str">
        <f>IF('12 - Device_Configuration'!I468="","",'12 - Device_Configuration'!I468)</f>
        <v/>
      </c>
      <c r="M467" s="30"/>
      <c r="N467" s="29" t="str">
        <f>IF('12 - Device_Configuration'!J468="","",'12 - Device_Configuration'!J468)</f>
        <v/>
      </c>
      <c r="O467" s="29" t="str">
        <f>IF('12 - Device_Configuration'!K468="","",'12 - Device_Configuration'!K468)</f>
        <v/>
      </c>
      <c r="P467" s="29" t="str">
        <f>IF('12 - Device_Configuration'!L468="","",'12 - Device_Configuration'!L468)</f>
        <v/>
      </c>
      <c r="Q467" s="30"/>
      <c r="R467" s="29" t="str">
        <f>IF('12 - Device_Configuration'!AY468="","",'12 - Device_Configuration'!AY468)</f>
        <v/>
      </c>
      <c r="S467" s="29" t="str">
        <f>IF('12 - Device_Configuration'!AX468="","",'12 - Device_Configuration'!AX468)</f>
        <v/>
      </c>
      <c r="T467" s="29" t="str">
        <f>IF('12 - Device_Configuration'!AV468="","",'12 - Device_Configuration'!AV468)</f>
        <v/>
      </c>
      <c r="U467" s="29" t="str">
        <f>IF('12 - Device_Configuration'!AW468="","",'12 - Device_Configuration'!AW468)</f>
        <v/>
      </c>
      <c r="V467" s="29" t="str">
        <f>IF('12 - Device_Configuration'!BA468="","",'12 - Device_Configuration'!BA468)</f>
        <v/>
      </c>
      <c r="W467" s="29" t="str">
        <f>IF('12 - Device_Configuration'!BC468="","",'12 - Device_Configuration'!BC468)</f>
        <v/>
      </c>
      <c r="X467" s="29" t="str">
        <f>IF('12 - Device_Configuration'!BK468="","",'12 - Device_Configuration'!BK468)</f>
        <v/>
      </c>
      <c r="Y467" s="29" t="str">
        <f>IF('12 - Device_Configuration'!BB468="","",'12 - Device_Configuration'!BB468)</f>
        <v/>
      </c>
      <c r="Z467" s="29" t="str">
        <f>IF('12 - Device_Configuration'!P468="","",'12 - Device_Configuration'!P468)</f>
        <v/>
      </c>
      <c r="AA467" s="29" t="str">
        <f>IF('12 - Device_Configuration'!Q468="","",'12 - Device_Configuration'!Q468)</f>
        <v/>
      </c>
    </row>
    <row r="468" spans="1:27">
      <c r="A468" s="30"/>
      <c r="B468" s="30"/>
      <c r="C468" s="29" t="str">
        <f>IF('12 - Device_Configuration'!H469="","",'12 - Device_Configuration'!H469)</f>
        <v/>
      </c>
      <c r="D468" s="29" t="str">
        <f>IF('12 - Device_Configuration'!AE469="","",'12 - Device_Configuration'!AE469)</f>
        <v/>
      </c>
      <c r="E468" s="29" t="str">
        <f>IF('12 - Device_Configuration'!AF469="","",'12 - Device_Configuration'!AF469)</f>
        <v/>
      </c>
      <c r="F468" s="29" t="str">
        <f>IF('12 - Device_Configuration'!AG469="","",'12 - Device_Configuration'!AG469)</f>
        <v/>
      </c>
      <c r="G468" s="29" t="str">
        <f>IF('12 - Device_Configuration'!AH469="","",'12 - Device_Configuration'!AH469)</f>
        <v/>
      </c>
      <c r="H468" s="29" t="str">
        <f>IF('12 - Device_Configuration'!A469="","",'12 - Device_Configuration'!A469)</f>
        <v/>
      </c>
      <c r="I468" s="29" t="str">
        <f>IF('12 - Device_Configuration'!AI469="","",'12 - Device_Configuration'!AI469)</f>
        <v/>
      </c>
      <c r="J468" s="29" t="str">
        <f>IF('12 - Device_Configuration'!AJ469="","",'12 - Device_Configuration'!AJ469)</f>
        <v/>
      </c>
      <c r="K468" s="29" t="str">
        <f>IF('12 - Device_Configuration'!AA469="","",'12 - Device_Configuration'!AA469)</f>
        <v/>
      </c>
      <c r="L468" s="29" t="str">
        <f>IF('12 - Device_Configuration'!I469="","",'12 - Device_Configuration'!I469)</f>
        <v/>
      </c>
      <c r="M468" s="30"/>
      <c r="N468" s="29" t="str">
        <f>IF('12 - Device_Configuration'!J469="","",'12 - Device_Configuration'!J469)</f>
        <v/>
      </c>
      <c r="O468" s="29" t="str">
        <f>IF('12 - Device_Configuration'!K469="","",'12 - Device_Configuration'!K469)</f>
        <v/>
      </c>
      <c r="P468" s="29" t="str">
        <f>IF('12 - Device_Configuration'!L469="","",'12 - Device_Configuration'!L469)</f>
        <v/>
      </c>
      <c r="Q468" s="30"/>
      <c r="R468" s="29" t="str">
        <f>IF('12 - Device_Configuration'!AY469="","",'12 - Device_Configuration'!AY469)</f>
        <v/>
      </c>
      <c r="S468" s="29" t="str">
        <f>IF('12 - Device_Configuration'!AX469="","",'12 - Device_Configuration'!AX469)</f>
        <v/>
      </c>
      <c r="T468" s="29" t="str">
        <f>IF('12 - Device_Configuration'!AV469="","",'12 - Device_Configuration'!AV469)</f>
        <v/>
      </c>
      <c r="U468" s="29" t="str">
        <f>IF('12 - Device_Configuration'!AW469="","",'12 - Device_Configuration'!AW469)</f>
        <v/>
      </c>
      <c r="V468" s="29" t="str">
        <f>IF('12 - Device_Configuration'!BA469="","",'12 - Device_Configuration'!BA469)</f>
        <v/>
      </c>
      <c r="W468" s="29" t="str">
        <f>IF('12 - Device_Configuration'!BC469="","",'12 - Device_Configuration'!BC469)</f>
        <v/>
      </c>
      <c r="X468" s="29" t="str">
        <f>IF('12 - Device_Configuration'!BK469="","",'12 - Device_Configuration'!BK469)</f>
        <v/>
      </c>
      <c r="Y468" s="29" t="str">
        <f>IF('12 - Device_Configuration'!BB469="","",'12 - Device_Configuration'!BB469)</f>
        <v/>
      </c>
      <c r="Z468" s="29" t="str">
        <f>IF('12 - Device_Configuration'!P469="","",'12 - Device_Configuration'!P469)</f>
        <v/>
      </c>
      <c r="AA468" s="29" t="str">
        <f>IF('12 - Device_Configuration'!Q469="","",'12 - Device_Configuration'!Q469)</f>
        <v/>
      </c>
    </row>
    <row r="469" spans="1:27">
      <c r="A469" s="30"/>
      <c r="B469" s="30"/>
      <c r="C469" s="29" t="str">
        <f>IF('12 - Device_Configuration'!H470="","",'12 - Device_Configuration'!H470)</f>
        <v/>
      </c>
      <c r="D469" s="29" t="str">
        <f>IF('12 - Device_Configuration'!AE470="","",'12 - Device_Configuration'!AE470)</f>
        <v/>
      </c>
      <c r="E469" s="29" t="str">
        <f>IF('12 - Device_Configuration'!AF470="","",'12 - Device_Configuration'!AF470)</f>
        <v/>
      </c>
      <c r="F469" s="29" t="str">
        <f>IF('12 - Device_Configuration'!AG470="","",'12 - Device_Configuration'!AG470)</f>
        <v/>
      </c>
      <c r="G469" s="29" t="str">
        <f>IF('12 - Device_Configuration'!AH470="","",'12 - Device_Configuration'!AH470)</f>
        <v/>
      </c>
      <c r="H469" s="29" t="str">
        <f>IF('12 - Device_Configuration'!A470="","",'12 - Device_Configuration'!A470)</f>
        <v/>
      </c>
      <c r="I469" s="29" t="str">
        <f>IF('12 - Device_Configuration'!AI470="","",'12 - Device_Configuration'!AI470)</f>
        <v/>
      </c>
      <c r="J469" s="29" t="str">
        <f>IF('12 - Device_Configuration'!AJ470="","",'12 - Device_Configuration'!AJ470)</f>
        <v/>
      </c>
      <c r="K469" s="29" t="str">
        <f>IF('12 - Device_Configuration'!AA470="","",'12 - Device_Configuration'!AA470)</f>
        <v/>
      </c>
      <c r="L469" s="29" t="str">
        <f>IF('12 - Device_Configuration'!I470="","",'12 - Device_Configuration'!I470)</f>
        <v/>
      </c>
      <c r="M469" s="30"/>
      <c r="N469" s="29" t="str">
        <f>IF('12 - Device_Configuration'!J470="","",'12 - Device_Configuration'!J470)</f>
        <v/>
      </c>
      <c r="O469" s="29" t="str">
        <f>IF('12 - Device_Configuration'!K470="","",'12 - Device_Configuration'!K470)</f>
        <v/>
      </c>
      <c r="P469" s="29" t="str">
        <f>IF('12 - Device_Configuration'!L470="","",'12 - Device_Configuration'!L470)</f>
        <v/>
      </c>
      <c r="Q469" s="30"/>
      <c r="R469" s="29" t="str">
        <f>IF('12 - Device_Configuration'!AY470="","",'12 - Device_Configuration'!AY470)</f>
        <v/>
      </c>
      <c r="S469" s="29" t="str">
        <f>IF('12 - Device_Configuration'!AX470="","",'12 - Device_Configuration'!AX470)</f>
        <v/>
      </c>
      <c r="T469" s="29" t="str">
        <f>IF('12 - Device_Configuration'!AV470="","",'12 - Device_Configuration'!AV470)</f>
        <v/>
      </c>
      <c r="U469" s="29" t="str">
        <f>IF('12 - Device_Configuration'!AW470="","",'12 - Device_Configuration'!AW470)</f>
        <v/>
      </c>
      <c r="V469" s="29" t="str">
        <f>IF('12 - Device_Configuration'!BA470="","",'12 - Device_Configuration'!BA470)</f>
        <v/>
      </c>
      <c r="W469" s="29" t="str">
        <f>IF('12 - Device_Configuration'!BC470="","",'12 - Device_Configuration'!BC470)</f>
        <v/>
      </c>
      <c r="X469" s="29" t="str">
        <f>IF('12 - Device_Configuration'!BK470="","",'12 - Device_Configuration'!BK470)</f>
        <v/>
      </c>
      <c r="Y469" s="29" t="str">
        <f>IF('12 - Device_Configuration'!BB470="","",'12 - Device_Configuration'!BB470)</f>
        <v/>
      </c>
      <c r="Z469" s="29" t="str">
        <f>IF('12 - Device_Configuration'!P470="","",'12 - Device_Configuration'!P470)</f>
        <v/>
      </c>
      <c r="AA469" s="29" t="str">
        <f>IF('12 - Device_Configuration'!Q470="","",'12 - Device_Configuration'!Q470)</f>
        <v/>
      </c>
    </row>
    <row r="470" spans="1:27">
      <c r="A470" s="30"/>
      <c r="B470" s="30"/>
      <c r="C470" s="29" t="str">
        <f>IF('12 - Device_Configuration'!H471="","",'12 - Device_Configuration'!H471)</f>
        <v/>
      </c>
      <c r="D470" s="29" t="str">
        <f>IF('12 - Device_Configuration'!AE471="","",'12 - Device_Configuration'!AE471)</f>
        <v/>
      </c>
      <c r="E470" s="29" t="str">
        <f>IF('12 - Device_Configuration'!AF471="","",'12 - Device_Configuration'!AF471)</f>
        <v/>
      </c>
      <c r="F470" s="29" t="str">
        <f>IF('12 - Device_Configuration'!AG471="","",'12 - Device_Configuration'!AG471)</f>
        <v/>
      </c>
      <c r="G470" s="29" t="str">
        <f>IF('12 - Device_Configuration'!AH471="","",'12 - Device_Configuration'!AH471)</f>
        <v/>
      </c>
      <c r="H470" s="29" t="str">
        <f>IF('12 - Device_Configuration'!A471="","",'12 - Device_Configuration'!A471)</f>
        <v/>
      </c>
      <c r="I470" s="29" t="str">
        <f>IF('12 - Device_Configuration'!AI471="","",'12 - Device_Configuration'!AI471)</f>
        <v/>
      </c>
      <c r="J470" s="29" t="str">
        <f>IF('12 - Device_Configuration'!AJ471="","",'12 - Device_Configuration'!AJ471)</f>
        <v/>
      </c>
      <c r="K470" s="29" t="str">
        <f>IF('12 - Device_Configuration'!AA471="","",'12 - Device_Configuration'!AA471)</f>
        <v/>
      </c>
      <c r="L470" s="29" t="str">
        <f>IF('12 - Device_Configuration'!I471="","",'12 - Device_Configuration'!I471)</f>
        <v/>
      </c>
      <c r="M470" s="30"/>
      <c r="N470" s="29" t="str">
        <f>IF('12 - Device_Configuration'!J471="","",'12 - Device_Configuration'!J471)</f>
        <v/>
      </c>
      <c r="O470" s="29" t="str">
        <f>IF('12 - Device_Configuration'!K471="","",'12 - Device_Configuration'!K471)</f>
        <v/>
      </c>
      <c r="P470" s="29" t="str">
        <f>IF('12 - Device_Configuration'!L471="","",'12 - Device_Configuration'!L471)</f>
        <v/>
      </c>
      <c r="Q470" s="30"/>
      <c r="R470" s="29" t="str">
        <f>IF('12 - Device_Configuration'!AY471="","",'12 - Device_Configuration'!AY471)</f>
        <v/>
      </c>
      <c r="S470" s="29" t="str">
        <f>IF('12 - Device_Configuration'!AX471="","",'12 - Device_Configuration'!AX471)</f>
        <v/>
      </c>
      <c r="T470" s="29" t="str">
        <f>IF('12 - Device_Configuration'!AV471="","",'12 - Device_Configuration'!AV471)</f>
        <v/>
      </c>
      <c r="U470" s="29" t="str">
        <f>IF('12 - Device_Configuration'!AW471="","",'12 - Device_Configuration'!AW471)</f>
        <v/>
      </c>
      <c r="V470" s="29" t="str">
        <f>IF('12 - Device_Configuration'!BA471="","",'12 - Device_Configuration'!BA471)</f>
        <v/>
      </c>
      <c r="W470" s="29" t="str">
        <f>IF('12 - Device_Configuration'!BC471="","",'12 - Device_Configuration'!BC471)</f>
        <v/>
      </c>
      <c r="X470" s="29" t="str">
        <f>IF('12 - Device_Configuration'!BK471="","",'12 - Device_Configuration'!BK471)</f>
        <v/>
      </c>
      <c r="Y470" s="29" t="str">
        <f>IF('12 - Device_Configuration'!BB471="","",'12 - Device_Configuration'!BB471)</f>
        <v/>
      </c>
      <c r="Z470" s="29" t="str">
        <f>IF('12 - Device_Configuration'!P471="","",'12 - Device_Configuration'!P471)</f>
        <v/>
      </c>
      <c r="AA470" s="29" t="str">
        <f>IF('12 - Device_Configuration'!Q471="","",'12 - Device_Configuration'!Q471)</f>
        <v/>
      </c>
    </row>
    <row r="471" spans="1:27">
      <c r="A471" s="30"/>
      <c r="B471" s="30"/>
      <c r="C471" s="29" t="str">
        <f>IF('12 - Device_Configuration'!H472="","",'12 - Device_Configuration'!H472)</f>
        <v/>
      </c>
      <c r="D471" s="29" t="str">
        <f>IF('12 - Device_Configuration'!AE472="","",'12 - Device_Configuration'!AE472)</f>
        <v/>
      </c>
      <c r="E471" s="29" t="str">
        <f>IF('12 - Device_Configuration'!AF472="","",'12 - Device_Configuration'!AF472)</f>
        <v/>
      </c>
      <c r="F471" s="29" t="str">
        <f>IF('12 - Device_Configuration'!AG472="","",'12 - Device_Configuration'!AG472)</f>
        <v/>
      </c>
      <c r="G471" s="29" t="str">
        <f>IF('12 - Device_Configuration'!AH472="","",'12 - Device_Configuration'!AH472)</f>
        <v/>
      </c>
      <c r="H471" s="29" t="str">
        <f>IF('12 - Device_Configuration'!A472="","",'12 - Device_Configuration'!A472)</f>
        <v/>
      </c>
      <c r="I471" s="29" t="str">
        <f>IF('12 - Device_Configuration'!AI472="","",'12 - Device_Configuration'!AI472)</f>
        <v/>
      </c>
      <c r="J471" s="29" t="str">
        <f>IF('12 - Device_Configuration'!AJ472="","",'12 - Device_Configuration'!AJ472)</f>
        <v/>
      </c>
      <c r="K471" s="29" t="str">
        <f>IF('12 - Device_Configuration'!AA472="","",'12 - Device_Configuration'!AA472)</f>
        <v/>
      </c>
      <c r="L471" s="29" t="str">
        <f>IF('12 - Device_Configuration'!I472="","",'12 - Device_Configuration'!I472)</f>
        <v/>
      </c>
      <c r="M471" s="30"/>
      <c r="N471" s="29" t="str">
        <f>IF('12 - Device_Configuration'!J472="","",'12 - Device_Configuration'!J472)</f>
        <v/>
      </c>
      <c r="O471" s="29" t="str">
        <f>IF('12 - Device_Configuration'!K472="","",'12 - Device_Configuration'!K472)</f>
        <v/>
      </c>
      <c r="P471" s="29" t="str">
        <f>IF('12 - Device_Configuration'!L472="","",'12 - Device_Configuration'!L472)</f>
        <v/>
      </c>
      <c r="Q471" s="30"/>
      <c r="R471" s="29" t="str">
        <f>IF('12 - Device_Configuration'!AY472="","",'12 - Device_Configuration'!AY472)</f>
        <v/>
      </c>
      <c r="S471" s="29" t="str">
        <f>IF('12 - Device_Configuration'!AX472="","",'12 - Device_Configuration'!AX472)</f>
        <v/>
      </c>
      <c r="T471" s="29" t="str">
        <f>IF('12 - Device_Configuration'!AV472="","",'12 - Device_Configuration'!AV472)</f>
        <v/>
      </c>
      <c r="U471" s="29" t="str">
        <f>IF('12 - Device_Configuration'!AW472="","",'12 - Device_Configuration'!AW472)</f>
        <v/>
      </c>
      <c r="V471" s="29" t="str">
        <f>IF('12 - Device_Configuration'!BA472="","",'12 - Device_Configuration'!BA472)</f>
        <v/>
      </c>
      <c r="W471" s="29" t="str">
        <f>IF('12 - Device_Configuration'!BC472="","",'12 - Device_Configuration'!BC472)</f>
        <v/>
      </c>
      <c r="X471" s="29" t="str">
        <f>IF('12 - Device_Configuration'!BK472="","",'12 - Device_Configuration'!BK472)</f>
        <v/>
      </c>
      <c r="Y471" s="29" t="str">
        <f>IF('12 - Device_Configuration'!BB472="","",'12 - Device_Configuration'!BB472)</f>
        <v/>
      </c>
      <c r="Z471" s="29" t="str">
        <f>IF('12 - Device_Configuration'!P472="","",'12 - Device_Configuration'!P472)</f>
        <v/>
      </c>
      <c r="AA471" s="29" t="str">
        <f>IF('12 - Device_Configuration'!Q472="","",'12 - Device_Configuration'!Q472)</f>
        <v/>
      </c>
    </row>
    <row r="472" spans="1:27">
      <c r="A472" s="30"/>
      <c r="B472" s="30"/>
      <c r="C472" s="29" t="str">
        <f>IF('12 - Device_Configuration'!H473="","",'12 - Device_Configuration'!H473)</f>
        <v/>
      </c>
      <c r="D472" s="29" t="str">
        <f>IF('12 - Device_Configuration'!AE473="","",'12 - Device_Configuration'!AE473)</f>
        <v/>
      </c>
      <c r="E472" s="29" t="str">
        <f>IF('12 - Device_Configuration'!AF473="","",'12 - Device_Configuration'!AF473)</f>
        <v/>
      </c>
      <c r="F472" s="29" t="str">
        <f>IF('12 - Device_Configuration'!AG473="","",'12 - Device_Configuration'!AG473)</f>
        <v/>
      </c>
      <c r="G472" s="29" t="str">
        <f>IF('12 - Device_Configuration'!AH473="","",'12 - Device_Configuration'!AH473)</f>
        <v/>
      </c>
      <c r="H472" s="29" t="str">
        <f>IF('12 - Device_Configuration'!A473="","",'12 - Device_Configuration'!A473)</f>
        <v/>
      </c>
      <c r="I472" s="29" t="str">
        <f>IF('12 - Device_Configuration'!AI473="","",'12 - Device_Configuration'!AI473)</f>
        <v/>
      </c>
      <c r="J472" s="29" t="str">
        <f>IF('12 - Device_Configuration'!AJ473="","",'12 - Device_Configuration'!AJ473)</f>
        <v/>
      </c>
      <c r="K472" s="29" t="str">
        <f>IF('12 - Device_Configuration'!AA473="","",'12 - Device_Configuration'!AA473)</f>
        <v/>
      </c>
      <c r="L472" s="29" t="str">
        <f>IF('12 - Device_Configuration'!I473="","",'12 - Device_Configuration'!I473)</f>
        <v/>
      </c>
      <c r="M472" s="30"/>
      <c r="N472" s="29" t="str">
        <f>IF('12 - Device_Configuration'!J473="","",'12 - Device_Configuration'!J473)</f>
        <v/>
      </c>
      <c r="O472" s="29" t="str">
        <f>IF('12 - Device_Configuration'!K473="","",'12 - Device_Configuration'!K473)</f>
        <v/>
      </c>
      <c r="P472" s="29" t="str">
        <f>IF('12 - Device_Configuration'!L473="","",'12 - Device_Configuration'!L473)</f>
        <v/>
      </c>
      <c r="Q472" s="30"/>
      <c r="R472" s="29" t="str">
        <f>IF('12 - Device_Configuration'!AY473="","",'12 - Device_Configuration'!AY473)</f>
        <v/>
      </c>
      <c r="S472" s="29" t="str">
        <f>IF('12 - Device_Configuration'!AX473="","",'12 - Device_Configuration'!AX473)</f>
        <v/>
      </c>
      <c r="T472" s="29" t="str">
        <f>IF('12 - Device_Configuration'!AV473="","",'12 - Device_Configuration'!AV473)</f>
        <v/>
      </c>
      <c r="U472" s="29" t="str">
        <f>IF('12 - Device_Configuration'!AW473="","",'12 - Device_Configuration'!AW473)</f>
        <v/>
      </c>
      <c r="V472" s="29" t="str">
        <f>IF('12 - Device_Configuration'!BA473="","",'12 - Device_Configuration'!BA473)</f>
        <v/>
      </c>
      <c r="W472" s="29" t="str">
        <f>IF('12 - Device_Configuration'!BC473="","",'12 - Device_Configuration'!BC473)</f>
        <v/>
      </c>
      <c r="X472" s="29" t="str">
        <f>IF('12 - Device_Configuration'!BK473="","",'12 - Device_Configuration'!BK473)</f>
        <v/>
      </c>
      <c r="Y472" s="29" t="str">
        <f>IF('12 - Device_Configuration'!BB473="","",'12 - Device_Configuration'!BB473)</f>
        <v/>
      </c>
      <c r="Z472" s="29" t="str">
        <f>IF('12 - Device_Configuration'!P473="","",'12 - Device_Configuration'!P473)</f>
        <v/>
      </c>
      <c r="AA472" s="29" t="str">
        <f>IF('12 - Device_Configuration'!Q473="","",'12 - Device_Configuration'!Q473)</f>
        <v/>
      </c>
    </row>
    <row r="473" spans="1:27">
      <c r="A473" s="30"/>
      <c r="B473" s="30"/>
      <c r="C473" s="29" t="str">
        <f>IF('12 - Device_Configuration'!H474="","",'12 - Device_Configuration'!H474)</f>
        <v/>
      </c>
      <c r="D473" s="29" t="str">
        <f>IF('12 - Device_Configuration'!AE474="","",'12 - Device_Configuration'!AE474)</f>
        <v/>
      </c>
      <c r="E473" s="29" t="str">
        <f>IF('12 - Device_Configuration'!AF474="","",'12 - Device_Configuration'!AF474)</f>
        <v/>
      </c>
      <c r="F473" s="29" t="str">
        <f>IF('12 - Device_Configuration'!AG474="","",'12 - Device_Configuration'!AG474)</f>
        <v/>
      </c>
      <c r="G473" s="29" t="str">
        <f>IF('12 - Device_Configuration'!AH474="","",'12 - Device_Configuration'!AH474)</f>
        <v/>
      </c>
      <c r="H473" s="29" t="str">
        <f>IF('12 - Device_Configuration'!A474="","",'12 - Device_Configuration'!A474)</f>
        <v/>
      </c>
      <c r="I473" s="29" t="str">
        <f>IF('12 - Device_Configuration'!AI474="","",'12 - Device_Configuration'!AI474)</f>
        <v/>
      </c>
      <c r="J473" s="29" t="str">
        <f>IF('12 - Device_Configuration'!AJ474="","",'12 - Device_Configuration'!AJ474)</f>
        <v/>
      </c>
      <c r="K473" s="29" t="str">
        <f>IF('12 - Device_Configuration'!AA474="","",'12 - Device_Configuration'!AA474)</f>
        <v/>
      </c>
      <c r="L473" s="29" t="str">
        <f>IF('12 - Device_Configuration'!I474="","",'12 - Device_Configuration'!I474)</f>
        <v/>
      </c>
      <c r="M473" s="30"/>
      <c r="N473" s="29" t="str">
        <f>IF('12 - Device_Configuration'!J474="","",'12 - Device_Configuration'!J474)</f>
        <v/>
      </c>
      <c r="O473" s="29" t="str">
        <f>IF('12 - Device_Configuration'!K474="","",'12 - Device_Configuration'!K474)</f>
        <v/>
      </c>
      <c r="P473" s="29" t="str">
        <f>IF('12 - Device_Configuration'!L474="","",'12 - Device_Configuration'!L474)</f>
        <v/>
      </c>
      <c r="Q473" s="30"/>
      <c r="R473" s="29" t="str">
        <f>IF('12 - Device_Configuration'!AY474="","",'12 - Device_Configuration'!AY474)</f>
        <v/>
      </c>
      <c r="S473" s="29" t="str">
        <f>IF('12 - Device_Configuration'!AX474="","",'12 - Device_Configuration'!AX474)</f>
        <v/>
      </c>
      <c r="T473" s="29" t="str">
        <f>IF('12 - Device_Configuration'!AV474="","",'12 - Device_Configuration'!AV474)</f>
        <v/>
      </c>
      <c r="U473" s="29" t="str">
        <f>IF('12 - Device_Configuration'!AW474="","",'12 - Device_Configuration'!AW474)</f>
        <v/>
      </c>
      <c r="V473" s="29" t="str">
        <f>IF('12 - Device_Configuration'!BA474="","",'12 - Device_Configuration'!BA474)</f>
        <v/>
      </c>
      <c r="W473" s="29" t="str">
        <f>IF('12 - Device_Configuration'!BC474="","",'12 - Device_Configuration'!BC474)</f>
        <v/>
      </c>
      <c r="X473" s="29" t="str">
        <f>IF('12 - Device_Configuration'!BK474="","",'12 - Device_Configuration'!BK474)</f>
        <v/>
      </c>
      <c r="Y473" s="29" t="str">
        <f>IF('12 - Device_Configuration'!BB474="","",'12 - Device_Configuration'!BB474)</f>
        <v/>
      </c>
      <c r="Z473" s="29" t="str">
        <f>IF('12 - Device_Configuration'!P474="","",'12 - Device_Configuration'!P474)</f>
        <v/>
      </c>
      <c r="AA473" s="29" t="str">
        <f>IF('12 - Device_Configuration'!Q474="","",'12 - Device_Configuration'!Q474)</f>
        <v/>
      </c>
    </row>
    <row r="474" spans="1:27">
      <c r="A474" s="30"/>
      <c r="B474" s="30"/>
      <c r="C474" s="29" t="str">
        <f>IF('12 - Device_Configuration'!H475="","",'12 - Device_Configuration'!H475)</f>
        <v/>
      </c>
      <c r="D474" s="29" t="str">
        <f>IF('12 - Device_Configuration'!AE475="","",'12 - Device_Configuration'!AE475)</f>
        <v/>
      </c>
      <c r="E474" s="29" t="str">
        <f>IF('12 - Device_Configuration'!AF475="","",'12 - Device_Configuration'!AF475)</f>
        <v/>
      </c>
      <c r="F474" s="29" t="str">
        <f>IF('12 - Device_Configuration'!AG475="","",'12 - Device_Configuration'!AG475)</f>
        <v/>
      </c>
      <c r="G474" s="29" t="str">
        <f>IF('12 - Device_Configuration'!AH475="","",'12 - Device_Configuration'!AH475)</f>
        <v/>
      </c>
      <c r="H474" s="29" t="str">
        <f>IF('12 - Device_Configuration'!A475="","",'12 - Device_Configuration'!A475)</f>
        <v/>
      </c>
      <c r="I474" s="29" t="str">
        <f>IF('12 - Device_Configuration'!AI475="","",'12 - Device_Configuration'!AI475)</f>
        <v/>
      </c>
      <c r="J474" s="29" t="str">
        <f>IF('12 - Device_Configuration'!AJ475="","",'12 - Device_Configuration'!AJ475)</f>
        <v/>
      </c>
      <c r="K474" s="29" t="str">
        <f>IF('12 - Device_Configuration'!AA475="","",'12 - Device_Configuration'!AA475)</f>
        <v/>
      </c>
      <c r="L474" s="29" t="str">
        <f>IF('12 - Device_Configuration'!I475="","",'12 - Device_Configuration'!I475)</f>
        <v/>
      </c>
      <c r="M474" s="30"/>
      <c r="N474" s="29" t="str">
        <f>IF('12 - Device_Configuration'!J475="","",'12 - Device_Configuration'!J475)</f>
        <v/>
      </c>
      <c r="O474" s="29" t="str">
        <f>IF('12 - Device_Configuration'!K475="","",'12 - Device_Configuration'!K475)</f>
        <v/>
      </c>
      <c r="P474" s="29" t="str">
        <f>IF('12 - Device_Configuration'!L475="","",'12 - Device_Configuration'!L475)</f>
        <v/>
      </c>
      <c r="Q474" s="30"/>
      <c r="R474" s="29" t="str">
        <f>IF('12 - Device_Configuration'!AY475="","",'12 - Device_Configuration'!AY475)</f>
        <v/>
      </c>
      <c r="S474" s="29" t="str">
        <f>IF('12 - Device_Configuration'!AX475="","",'12 - Device_Configuration'!AX475)</f>
        <v/>
      </c>
      <c r="T474" s="29" t="str">
        <f>IF('12 - Device_Configuration'!AV475="","",'12 - Device_Configuration'!AV475)</f>
        <v/>
      </c>
      <c r="U474" s="29" t="str">
        <f>IF('12 - Device_Configuration'!AW475="","",'12 - Device_Configuration'!AW475)</f>
        <v/>
      </c>
      <c r="V474" s="29" t="str">
        <f>IF('12 - Device_Configuration'!BA475="","",'12 - Device_Configuration'!BA475)</f>
        <v/>
      </c>
      <c r="W474" s="29" t="str">
        <f>IF('12 - Device_Configuration'!BC475="","",'12 - Device_Configuration'!BC475)</f>
        <v/>
      </c>
      <c r="X474" s="29" t="str">
        <f>IF('12 - Device_Configuration'!BK475="","",'12 - Device_Configuration'!BK475)</f>
        <v/>
      </c>
      <c r="Y474" s="29" t="str">
        <f>IF('12 - Device_Configuration'!BB475="","",'12 - Device_Configuration'!BB475)</f>
        <v/>
      </c>
      <c r="Z474" s="29" t="str">
        <f>IF('12 - Device_Configuration'!P475="","",'12 - Device_Configuration'!P475)</f>
        <v/>
      </c>
      <c r="AA474" s="29" t="str">
        <f>IF('12 - Device_Configuration'!Q475="","",'12 - Device_Configuration'!Q475)</f>
        <v/>
      </c>
    </row>
    <row r="475" spans="1:27">
      <c r="A475" s="30"/>
      <c r="B475" s="30"/>
      <c r="C475" s="29" t="str">
        <f>IF('12 - Device_Configuration'!H476="","",'12 - Device_Configuration'!H476)</f>
        <v/>
      </c>
      <c r="D475" s="29" t="str">
        <f>IF('12 - Device_Configuration'!AE476="","",'12 - Device_Configuration'!AE476)</f>
        <v/>
      </c>
      <c r="E475" s="29" t="str">
        <f>IF('12 - Device_Configuration'!AF476="","",'12 - Device_Configuration'!AF476)</f>
        <v/>
      </c>
      <c r="F475" s="29" t="str">
        <f>IF('12 - Device_Configuration'!AG476="","",'12 - Device_Configuration'!AG476)</f>
        <v/>
      </c>
      <c r="G475" s="29" t="str">
        <f>IF('12 - Device_Configuration'!AH476="","",'12 - Device_Configuration'!AH476)</f>
        <v/>
      </c>
      <c r="H475" s="29" t="str">
        <f>IF('12 - Device_Configuration'!A476="","",'12 - Device_Configuration'!A476)</f>
        <v/>
      </c>
      <c r="I475" s="29" t="str">
        <f>IF('12 - Device_Configuration'!AI476="","",'12 - Device_Configuration'!AI476)</f>
        <v/>
      </c>
      <c r="J475" s="29" t="str">
        <f>IF('12 - Device_Configuration'!AJ476="","",'12 - Device_Configuration'!AJ476)</f>
        <v/>
      </c>
      <c r="K475" s="29" t="str">
        <f>IF('12 - Device_Configuration'!AA476="","",'12 - Device_Configuration'!AA476)</f>
        <v/>
      </c>
      <c r="L475" s="29" t="str">
        <f>IF('12 - Device_Configuration'!I476="","",'12 - Device_Configuration'!I476)</f>
        <v/>
      </c>
      <c r="M475" s="30"/>
      <c r="N475" s="29" t="str">
        <f>IF('12 - Device_Configuration'!J476="","",'12 - Device_Configuration'!J476)</f>
        <v/>
      </c>
      <c r="O475" s="29" t="str">
        <f>IF('12 - Device_Configuration'!K476="","",'12 - Device_Configuration'!K476)</f>
        <v/>
      </c>
      <c r="P475" s="29" t="str">
        <f>IF('12 - Device_Configuration'!L476="","",'12 - Device_Configuration'!L476)</f>
        <v/>
      </c>
      <c r="Q475" s="30"/>
      <c r="R475" s="29" t="str">
        <f>IF('12 - Device_Configuration'!AY476="","",'12 - Device_Configuration'!AY476)</f>
        <v/>
      </c>
      <c r="S475" s="29" t="str">
        <f>IF('12 - Device_Configuration'!AX476="","",'12 - Device_Configuration'!AX476)</f>
        <v/>
      </c>
      <c r="T475" s="29" t="str">
        <f>IF('12 - Device_Configuration'!AV476="","",'12 - Device_Configuration'!AV476)</f>
        <v/>
      </c>
      <c r="U475" s="29" t="str">
        <f>IF('12 - Device_Configuration'!AW476="","",'12 - Device_Configuration'!AW476)</f>
        <v/>
      </c>
      <c r="V475" s="29" t="str">
        <f>IF('12 - Device_Configuration'!BA476="","",'12 - Device_Configuration'!BA476)</f>
        <v/>
      </c>
      <c r="W475" s="29" t="str">
        <f>IF('12 - Device_Configuration'!BC476="","",'12 - Device_Configuration'!BC476)</f>
        <v/>
      </c>
      <c r="X475" s="29" t="str">
        <f>IF('12 - Device_Configuration'!BK476="","",'12 - Device_Configuration'!BK476)</f>
        <v/>
      </c>
      <c r="Y475" s="29" t="str">
        <f>IF('12 - Device_Configuration'!BB476="","",'12 - Device_Configuration'!BB476)</f>
        <v/>
      </c>
      <c r="Z475" s="29" t="str">
        <f>IF('12 - Device_Configuration'!P476="","",'12 - Device_Configuration'!P476)</f>
        <v/>
      </c>
      <c r="AA475" s="29" t="str">
        <f>IF('12 - Device_Configuration'!Q476="","",'12 - Device_Configuration'!Q476)</f>
        <v/>
      </c>
    </row>
    <row r="476" spans="1:27">
      <c r="A476" s="30"/>
      <c r="B476" s="30"/>
      <c r="C476" s="29" t="str">
        <f>IF('12 - Device_Configuration'!H477="","",'12 - Device_Configuration'!H477)</f>
        <v/>
      </c>
      <c r="D476" s="29" t="str">
        <f>IF('12 - Device_Configuration'!AE477="","",'12 - Device_Configuration'!AE477)</f>
        <v/>
      </c>
      <c r="E476" s="29" t="str">
        <f>IF('12 - Device_Configuration'!AF477="","",'12 - Device_Configuration'!AF477)</f>
        <v/>
      </c>
      <c r="F476" s="29" t="str">
        <f>IF('12 - Device_Configuration'!AG477="","",'12 - Device_Configuration'!AG477)</f>
        <v/>
      </c>
      <c r="G476" s="29" t="str">
        <f>IF('12 - Device_Configuration'!AH477="","",'12 - Device_Configuration'!AH477)</f>
        <v/>
      </c>
      <c r="H476" s="29" t="str">
        <f>IF('12 - Device_Configuration'!A477="","",'12 - Device_Configuration'!A477)</f>
        <v/>
      </c>
      <c r="I476" s="29" t="str">
        <f>IF('12 - Device_Configuration'!AI477="","",'12 - Device_Configuration'!AI477)</f>
        <v/>
      </c>
      <c r="J476" s="29" t="str">
        <f>IF('12 - Device_Configuration'!AJ477="","",'12 - Device_Configuration'!AJ477)</f>
        <v/>
      </c>
      <c r="K476" s="29" t="str">
        <f>IF('12 - Device_Configuration'!AA477="","",'12 - Device_Configuration'!AA477)</f>
        <v/>
      </c>
      <c r="L476" s="29" t="str">
        <f>IF('12 - Device_Configuration'!I477="","",'12 - Device_Configuration'!I477)</f>
        <v/>
      </c>
      <c r="M476" s="30"/>
      <c r="N476" s="29" t="str">
        <f>IF('12 - Device_Configuration'!J477="","",'12 - Device_Configuration'!J477)</f>
        <v/>
      </c>
      <c r="O476" s="29" t="str">
        <f>IF('12 - Device_Configuration'!K477="","",'12 - Device_Configuration'!K477)</f>
        <v/>
      </c>
      <c r="P476" s="29" t="str">
        <f>IF('12 - Device_Configuration'!L477="","",'12 - Device_Configuration'!L477)</f>
        <v/>
      </c>
      <c r="Q476" s="30"/>
      <c r="R476" s="29" t="str">
        <f>IF('12 - Device_Configuration'!AY477="","",'12 - Device_Configuration'!AY477)</f>
        <v/>
      </c>
      <c r="S476" s="29" t="str">
        <f>IF('12 - Device_Configuration'!AX477="","",'12 - Device_Configuration'!AX477)</f>
        <v/>
      </c>
      <c r="T476" s="29" t="str">
        <f>IF('12 - Device_Configuration'!AV477="","",'12 - Device_Configuration'!AV477)</f>
        <v/>
      </c>
      <c r="U476" s="29" t="str">
        <f>IF('12 - Device_Configuration'!AW477="","",'12 - Device_Configuration'!AW477)</f>
        <v/>
      </c>
      <c r="V476" s="29" t="str">
        <f>IF('12 - Device_Configuration'!BA477="","",'12 - Device_Configuration'!BA477)</f>
        <v/>
      </c>
      <c r="W476" s="29" t="str">
        <f>IF('12 - Device_Configuration'!BC477="","",'12 - Device_Configuration'!BC477)</f>
        <v/>
      </c>
      <c r="X476" s="29" t="str">
        <f>IF('12 - Device_Configuration'!BK477="","",'12 - Device_Configuration'!BK477)</f>
        <v/>
      </c>
      <c r="Y476" s="29" t="str">
        <f>IF('12 - Device_Configuration'!BB477="","",'12 - Device_Configuration'!BB477)</f>
        <v/>
      </c>
      <c r="Z476" s="29" t="str">
        <f>IF('12 - Device_Configuration'!P477="","",'12 - Device_Configuration'!P477)</f>
        <v/>
      </c>
      <c r="AA476" s="29" t="str">
        <f>IF('12 - Device_Configuration'!Q477="","",'12 - Device_Configuration'!Q477)</f>
        <v/>
      </c>
    </row>
    <row r="477" spans="1:27">
      <c r="A477" s="30"/>
      <c r="B477" s="30"/>
      <c r="C477" s="29" t="str">
        <f>IF('12 - Device_Configuration'!H478="","",'12 - Device_Configuration'!H478)</f>
        <v/>
      </c>
      <c r="D477" s="29" t="str">
        <f>IF('12 - Device_Configuration'!AE478="","",'12 - Device_Configuration'!AE478)</f>
        <v/>
      </c>
      <c r="E477" s="29" t="str">
        <f>IF('12 - Device_Configuration'!AF478="","",'12 - Device_Configuration'!AF478)</f>
        <v/>
      </c>
      <c r="F477" s="29" t="str">
        <f>IF('12 - Device_Configuration'!AG478="","",'12 - Device_Configuration'!AG478)</f>
        <v/>
      </c>
      <c r="G477" s="29" t="str">
        <f>IF('12 - Device_Configuration'!AH478="","",'12 - Device_Configuration'!AH478)</f>
        <v/>
      </c>
      <c r="H477" s="29" t="str">
        <f>IF('12 - Device_Configuration'!A478="","",'12 - Device_Configuration'!A478)</f>
        <v/>
      </c>
      <c r="I477" s="29" t="str">
        <f>IF('12 - Device_Configuration'!AI478="","",'12 - Device_Configuration'!AI478)</f>
        <v/>
      </c>
      <c r="J477" s="29" t="str">
        <f>IF('12 - Device_Configuration'!AJ478="","",'12 - Device_Configuration'!AJ478)</f>
        <v/>
      </c>
      <c r="K477" s="29" t="str">
        <f>IF('12 - Device_Configuration'!AA478="","",'12 - Device_Configuration'!AA478)</f>
        <v/>
      </c>
      <c r="L477" s="29" t="str">
        <f>IF('12 - Device_Configuration'!I478="","",'12 - Device_Configuration'!I478)</f>
        <v/>
      </c>
      <c r="M477" s="30"/>
      <c r="N477" s="29" t="str">
        <f>IF('12 - Device_Configuration'!J478="","",'12 - Device_Configuration'!J478)</f>
        <v/>
      </c>
      <c r="O477" s="29" t="str">
        <f>IF('12 - Device_Configuration'!K478="","",'12 - Device_Configuration'!K478)</f>
        <v/>
      </c>
      <c r="P477" s="29" t="str">
        <f>IF('12 - Device_Configuration'!L478="","",'12 - Device_Configuration'!L478)</f>
        <v/>
      </c>
      <c r="Q477" s="30"/>
      <c r="R477" s="29" t="str">
        <f>IF('12 - Device_Configuration'!AY478="","",'12 - Device_Configuration'!AY478)</f>
        <v/>
      </c>
      <c r="S477" s="29" t="str">
        <f>IF('12 - Device_Configuration'!AX478="","",'12 - Device_Configuration'!AX478)</f>
        <v/>
      </c>
      <c r="T477" s="29" t="str">
        <f>IF('12 - Device_Configuration'!AV478="","",'12 - Device_Configuration'!AV478)</f>
        <v/>
      </c>
      <c r="U477" s="29" t="str">
        <f>IF('12 - Device_Configuration'!AW478="","",'12 - Device_Configuration'!AW478)</f>
        <v/>
      </c>
      <c r="V477" s="29" t="str">
        <f>IF('12 - Device_Configuration'!BA478="","",'12 - Device_Configuration'!BA478)</f>
        <v/>
      </c>
      <c r="W477" s="29" t="str">
        <f>IF('12 - Device_Configuration'!BC478="","",'12 - Device_Configuration'!BC478)</f>
        <v/>
      </c>
      <c r="X477" s="29" t="str">
        <f>IF('12 - Device_Configuration'!BK478="","",'12 - Device_Configuration'!BK478)</f>
        <v/>
      </c>
      <c r="Y477" s="29" t="str">
        <f>IF('12 - Device_Configuration'!BB478="","",'12 - Device_Configuration'!BB478)</f>
        <v/>
      </c>
      <c r="Z477" s="29" t="str">
        <f>IF('12 - Device_Configuration'!P478="","",'12 - Device_Configuration'!P478)</f>
        <v/>
      </c>
      <c r="AA477" s="29" t="str">
        <f>IF('12 - Device_Configuration'!Q478="","",'12 - Device_Configuration'!Q478)</f>
        <v/>
      </c>
    </row>
    <row r="478" spans="1:27">
      <c r="A478" s="30"/>
      <c r="B478" s="30"/>
      <c r="C478" s="29" t="str">
        <f>IF('12 - Device_Configuration'!H479="","",'12 - Device_Configuration'!H479)</f>
        <v/>
      </c>
      <c r="D478" s="29" t="str">
        <f>IF('12 - Device_Configuration'!AE479="","",'12 - Device_Configuration'!AE479)</f>
        <v/>
      </c>
      <c r="E478" s="29" t="str">
        <f>IF('12 - Device_Configuration'!AF479="","",'12 - Device_Configuration'!AF479)</f>
        <v/>
      </c>
      <c r="F478" s="29" t="str">
        <f>IF('12 - Device_Configuration'!AG479="","",'12 - Device_Configuration'!AG479)</f>
        <v/>
      </c>
      <c r="G478" s="29" t="str">
        <f>IF('12 - Device_Configuration'!AH479="","",'12 - Device_Configuration'!AH479)</f>
        <v/>
      </c>
      <c r="H478" s="29" t="str">
        <f>IF('12 - Device_Configuration'!A479="","",'12 - Device_Configuration'!A479)</f>
        <v/>
      </c>
      <c r="I478" s="29" t="str">
        <f>IF('12 - Device_Configuration'!AI479="","",'12 - Device_Configuration'!AI479)</f>
        <v/>
      </c>
      <c r="J478" s="29" t="str">
        <f>IF('12 - Device_Configuration'!AJ479="","",'12 - Device_Configuration'!AJ479)</f>
        <v/>
      </c>
      <c r="K478" s="29" t="str">
        <f>IF('12 - Device_Configuration'!AA479="","",'12 - Device_Configuration'!AA479)</f>
        <v/>
      </c>
      <c r="L478" s="29" t="str">
        <f>IF('12 - Device_Configuration'!I479="","",'12 - Device_Configuration'!I479)</f>
        <v/>
      </c>
      <c r="M478" s="30"/>
      <c r="N478" s="29" t="str">
        <f>IF('12 - Device_Configuration'!J479="","",'12 - Device_Configuration'!J479)</f>
        <v/>
      </c>
      <c r="O478" s="29" t="str">
        <f>IF('12 - Device_Configuration'!K479="","",'12 - Device_Configuration'!K479)</f>
        <v/>
      </c>
      <c r="P478" s="29" t="str">
        <f>IF('12 - Device_Configuration'!L479="","",'12 - Device_Configuration'!L479)</f>
        <v/>
      </c>
      <c r="Q478" s="30"/>
      <c r="R478" s="29" t="str">
        <f>IF('12 - Device_Configuration'!AY479="","",'12 - Device_Configuration'!AY479)</f>
        <v/>
      </c>
      <c r="S478" s="29" t="str">
        <f>IF('12 - Device_Configuration'!AX479="","",'12 - Device_Configuration'!AX479)</f>
        <v/>
      </c>
      <c r="T478" s="29" t="str">
        <f>IF('12 - Device_Configuration'!AV479="","",'12 - Device_Configuration'!AV479)</f>
        <v/>
      </c>
      <c r="U478" s="29" t="str">
        <f>IF('12 - Device_Configuration'!AW479="","",'12 - Device_Configuration'!AW479)</f>
        <v/>
      </c>
      <c r="V478" s="29" t="str">
        <f>IF('12 - Device_Configuration'!BA479="","",'12 - Device_Configuration'!BA479)</f>
        <v/>
      </c>
      <c r="W478" s="29" t="str">
        <f>IF('12 - Device_Configuration'!BC479="","",'12 - Device_Configuration'!BC479)</f>
        <v/>
      </c>
      <c r="X478" s="29" t="str">
        <f>IF('12 - Device_Configuration'!BK479="","",'12 - Device_Configuration'!BK479)</f>
        <v/>
      </c>
      <c r="Y478" s="29" t="str">
        <f>IF('12 - Device_Configuration'!BB479="","",'12 - Device_Configuration'!BB479)</f>
        <v/>
      </c>
      <c r="Z478" s="29" t="str">
        <f>IF('12 - Device_Configuration'!P479="","",'12 - Device_Configuration'!P479)</f>
        <v/>
      </c>
      <c r="AA478" s="29" t="str">
        <f>IF('12 - Device_Configuration'!Q479="","",'12 - Device_Configuration'!Q479)</f>
        <v/>
      </c>
    </row>
    <row r="479" spans="1:27">
      <c r="A479" s="30"/>
      <c r="B479" s="30"/>
      <c r="C479" s="29" t="str">
        <f>IF('12 - Device_Configuration'!H480="","",'12 - Device_Configuration'!H480)</f>
        <v/>
      </c>
      <c r="D479" s="29" t="str">
        <f>IF('12 - Device_Configuration'!AE480="","",'12 - Device_Configuration'!AE480)</f>
        <v/>
      </c>
      <c r="E479" s="29" t="str">
        <f>IF('12 - Device_Configuration'!AF480="","",'12 - Device_Configuration'!AF480)</f>
        <v/>
      </c>
      <c r="F479" s="29" t="str">
        <f>IF('12 - Device_Configuration'!AG480="","",'12 - Device_Configuration'!AG480)</f>
        <v/>
      </c>
      <c r="G479" s="29" t="str">
        <f>IF('12 - Device_Configuration'!AH480="","",'12 - Device_Configuration'!AH480)</f>
        <v/>
      </c>
      <c r="H479" s="29" t="str">
        <f>IF('12 - Device_Configuration'!A480="","",'12 - Device_Configuration'!A480)</f>
        <v/>
      </c>
      <c r="I479" s="29" t="str">
        <f>IF('12 - Device_Configuration'!AI480="","",'12 - Device_Configuration'!AI480)</f>
        <v/>
      </c>
      <c r="J479" s="29" t="str">
        <f>IF('12 - Device_Configuration'!AJ480="","",'12 - Device_Configuration'!AJ480)</f>
        <v/>
      </c>
      <c r="K479" s="29" t="str">
        <f>IF('12 - Device_Configuration'!AA480="","",'12 - Device_Configuration'!AA480)</f>
        <v/>
      </c>
      <c r="L479" s="29" t="str">
        <f>IF('12 - Device_Configuration'!I480="","",'12 - Device_Configuration'!I480)</f>
        <v/>
      </c>
      <c r="M479" s="30"/>
      <c r="N479" s="29" t="str">
        <f>IF('12 - Device_Configuration'!J480="","",'12 - Device_Configuration'!J480)</f>
        <v/>
      </c>
      <c r="O479" s="29" t="str">
        <f>IF('12 - Device_Configuration'!K480="","",'12 - Device_Configuration'!K480)</f>
        <v/>
      </c>
      <c r="P479" s="29" t="str">
        <f>IF('12 - Device_Configuration'!L480="","",'12 - Device_Configuration'!L480)</f>
        <v/>
      </c>
      <c r="Q479" s="30"/>
      <c r="R479" s="29" t="str">
        <f>IF('12 - Device_Configuration'!AY480="","",'12 - Device_Configuration'!AY480)</f>
        <v/>
      </c>
      <c r="S479" s="29" t="str">
        <f>IF('12 - Device_Configuration'!AX480="","",'12 - Device_Configuration'!AX480)</f>
        <v/>
      </c>
      <c r="T479" s="29" t="str">
        <f>IF('12 - Device_Configuration'!AV480="","",'12 - Device_Configuration'!AV480)</f>
        <v/>
      </c>
      <c r="U479" s="29" t="str">
        <f>IF('12 - Device_Configuration'!AW480="","",'12 - Device_Configuration'!AW480)</f>
        <v/>
      </c>
      <c r="V479" s="29" t="str">
        <f>IF('12 - Device_Configuration'!BA480="","",'12 - Device_Configuration'!BA480)</f>
        <v/>
      </c>
      <c r="W479" s="29" t="str">
        <f>IF('12 - Device_Configuration'!BC480="","",'12 - Device_Configuration'!BC480)</f>
        <v/>
      </c>
      <c r="X479" s="29" t="str">
        <f>IF('12 - Device_Configuration'!BK480="","",'12 - Device_Configuration'!BK480)</f>
        <v/>
      </c>
      <c r="Y479" s="29" t="str">
        <f>IF('12 - Device_Configuration'!BB480="","",'12 - Device_Configuration'!BB480)</f>
        <v/>
      </c>
      <c r="Z479" s="29" t="str">
        <f>IF('12 - Device_Configuration'!P480="","",'12 - Device_Configuration'!P480)</f>
        <v/>
      </c>
      <c r="AA479" s="29" t="str">
        <f>IF('12 - Device_Configuration'!Q480="","",'12 - Device_Configuration'!Q480)</f>
        <v/>
      </c>
    </row>
    <row r="480" spans="1:27">
      <c r="A480" s="30"/>
      <c r="B480" s="30"/>
      <c r="C480" s="29" t="str">
        <f>IF('12 - Device_Configuration'!H481="","",'12 - Device_Configuration'!H481)</f>
        <v/>
      </c>
      <c r="D480" s="29" t="str">
        <f>IF('12 - Device_Configuration'!AE481="","",'12 - Device_Configuration'!AE481)</f>
        <v/>
      </c>
      <c r="E480" s="29" t="str">
        <f>IF('12 - Device_Configuration'!AF481="","",'12 - Device_Configuration'!AF481)</f>
        <v/>
      </c>
      <c r="F480" s="29" t="str">
        <f>IF('12 - Device_Configuration'!AG481="","",'12 - Device_Configuration'!AG481)</f>
        <v/>
      </c>
      <c r="G480" s="29" t="str">
        <f>IF('12 - Device_Configuration'!AH481="","",'12 - Device_Configuration'!AH481)</f>
        <v/>
      </c>
      <c r="H480" s="29" t="str">
        <f>IF('12 - Device_Configuration'!A481="","",'12 - Device_Configuration'!A481)</f>
        <v/>
      </c>
      <c r="I480" s="29" t="str">
        <f>IF('12 - Device_Configuration'!AI481="","",'12 - Device_Configuration'!AI481)</f>
        <v/>
      </c>
      <c r="J480" s="29" t="str">
        <f>IF('12 - Device_Configuration'!AJ481="","",'12 - Device_Configuration'!AJ481)</f>
        <v/>
      </c>
      <c r="K480" s="29" t="str">
        <f>IF('12 - Device_Configuration'!AA481="","",'12 - Device_Configuration'!AA481)</f>
        <v/>
      </c>
      <c r="L480" s="29" t="str">
        <f>IF('12 - Device_Configuration'!I481="","",'12 - Device_Configuration'!I481)</f>
        <v/>
      </c>
      <c r="M480" s="30"/>
      <c r="N480" s="29" t="str">
        <f>IF('12 - Device_Configuration'!J481="","",'12 - Device_Configuration'!J481)</f>
        <v/>
      </c>
      <c r="O480" s="29" t="str">
        <f>IF('12 - Device_Configuration'!K481="","",'12 - Device_Configuration'!K481)</f>
        <v/>
      </c>
      <c r="P480" s="29" t="str">
        <f>IF('12 - Device_Configuration'!L481="","",'12 - Device_Configuration'!L481)</f>
        <v/>
      </c>
      <c r="Q480" s="30"/>
      <c r="R480" s="29" t="str">
        <f>IF('12 - Device_Configuration'!AY481="","",'12 - Device_Configuration'!AY481)</f>
        <v/>
      </c>
      <c r="S480" s="29" t="str">
        <f>IF('12 - Device_Configuration'!AX481="","",'12 - Device_Configuration'!AX481)</f>
        <v/>
      </c>
      <c r="T480" s="29" t="str">
        <f>IF('12 - Device_Configuration'!AV481="","",'12 - Device_Configuration'!AV481)</f>
        <v/>
      </c>
      <c r="U480" s="29" t="str">
        <f>IF('12 - Device_Configuration'!AW481="","",'12 - Device_Configuration'!AW481)</f>
        <v/>
      </c>
      <c r="V480" s="29" t="str">
        <f>IF('12 - Device_Configuration'!BA481="","",'12 - Device_Configuration'!BA481)</f>
        <v/>
      </c>
      <c r="W480" s="29" t="str">
        <f>IF('12 - Device_Configuration'!BC481="","",'12 - Device_Configuration'!BC481)</f>
        <v/>
      </c>
      <c r="X480" s="29" t="str">
        <f>IF('12 - Device_Configuration'!BK481="","",'12 - Device_Configuration'!BK481)</f>
        <v/>
      </c>
      <c r="Y480" s="29" t="str">
        <f>IF('12 - Device_Configuration'!BB481="","",'12 - Device_Configuration'!BB481)</f>
        <v/>
      </c>
      <c r="Z480" s="29" t="str">
        <f>IF('12 - Device_Configuration'!P481="","",'12 - Device_Configuration'!P481)</f>
        <v/>
      </c>
      <c r="AA480" s="29" t="str">
        <f>IF('12 - Device_Configuration'!Q481="","",'12 - Device_Configuration'!Q481)</f>
        <v/>
      </c>
    </row>
    <row r="481" spans="1:27">
      <c r="A481" s="30"/>
      <c r="B481" s="30"/>
      <c r="C481" s="29" t="str">
        <f>IF('12 - Device_Configuration'!H482="","",'12 - Device_Configuration'!H482)</f>
        <v/>
      </c>
      <c r="D481" s="29" t="str">
        <f>IF('12 - Device_Configuration'!AE482="","",'12 - Device_Configuration'!AE482)</f>
        <v/>
      </c>
      <c r="E481" s="29" t="str">
        <f>IF('12 - Device_Configuration'!AF482="","",'12 - Device_Configuration'!AF482)</f>
        <v/>
      </c>
      <c r="F481" s="29" t="str">
        <f>IF('12 - Device_Configuration'!AG482="","",'12 - Device_Configuration'!AG482)</f>
        <v/>
      </c>
      <c r="G481" s="29" t="str">
        <f>IF('12 - Device_Configuration'!AH482="","",'12 - Device_Configuration'!AH482)</f>
        <v/>
      </c>
      <c r="H481" s="29" t="str">
        <f>IF('12 - Device_Configuration'!A482="","",'12 - Device_Configuration'!A482)</f>
        <v/>
      </c>
      <c r="I481" s="29" t="str">
        <f>IF('12 - Device_Configuration'!AI482="","",'12 - Device_Configuration'!AI482)</f>
        <v/>
      </c>
      <c r="J481" s="29" t="str">
        <f>IF('12 - Device_Configuration'!AJ482="","",'12 - Device_Configuration'!AJ482)</f>
        <v/>
      </c>
      <c r="K481" s="29" t="str">
        <f>IF('12 - Device_Configuration'!AA482="","",'12 - Device_Configuration'!AA482)</f>
        <v/>
      </c>
      <c r="L481" s="29" t="str">
        <f>IF('12 - Device_Configuration'!I482="","",'12 - Device_Configuration'!I482)</f>
        <v/>
      </c>
      <c r="M481" s="30"/>
      <c r="N481" s="29" t="str">
        <f>IF('12 - Device_Configuration'!J482="","",'12 - Device_Configuration'!J482)</f>
        <v/>
      </c>
      <c r="O481" s="29" t="str">
        <f>IF('12 - Device_Configuration'!K482="","",'12 - Device_Configuration'!K482)</f>
        <v/>
      </c>
      <c r="P481" s="29" t="str">
        <f>IF('12 - Device_Configuration'!L482="","",'12 - Device_Configuration'!L482)</f>
        <v/>
      </c>
      <c r="Q481" s="30"/>
      <c r="R481" s="29" t="str">
        <f>IF('12 - Device_Configuration'!AY482="","",'12 - Device_Configuration'!AY482)</f>
        <v/>
      </c>
      <c r="S481" s="29" t="str">
        <f>IF('12 - Device_Configuration'!AX482="","",'12 - Device_Configuration'!AX482)</f>
        <v/>
      </c>
      <c r="T481" s="29" t="str">
        <f>IF('12 - Device_Configuration'!AV482="","",'12 - Device_Configuration'!AV482)</f>
        <v/>
      </c>
      <c r="U481" s="29" t="str">
        <f>IF('12 - Device_Configuration'!AW482="","",'12 - Device_Configuration'!AW482)</f>
        <v/>
      </c>
      <c r="V481" s="29" t="str">
        <f>IF('12 - Device_Configuration'!BA482="","",'12 - Device_Configuration'!BA482)</f>
        <v/>
      </c>
      <c r="W481" s="29" t="str">
        <f>IF('12 - Device_Configuration'!BC482="","",'12 - Device_Configuration'!BC482)</f>
        <v/>
      </c>
      <c r="X481" s="29" t="str">
        <f>IF('12 - Device_Configuration'!BK482="","",'12 - Device_Configuration'!BK482)</f>
        <v/>
      </c>
      <c r="Y481" s="29" t="str">
        <f>IF('12 - Device_Configuration'!BB482="","",'12 - Device_Configuration'!BB482)</f>
        <v/>
      </c>
      <c r="Z481" s="29" t="str">
        <f>IF('12 - Device_Configuration'!P482="","",'12 - Device_Configuration'!P482)</f>
        <v/>
      </c>
      <c r="AA481" s="29" t="str">
        <f>IF('12 - Device_Configuration'!Q482="","",'12 - Device_Configuration'!Q482)</f>
        <v/>
      </c>
    </row>
    <row r="482" spans="1:27">
      <c r="A482" s="30"/>
      <c r="B482" s="30"/>
      <c r="C482" s="29" t="str">
        <f>IF('12 - Device_Configuration'!H483="","",'12 - Device_Configuration'!H483)</f>
        <v/>
      </c>
      <c r="D482" s="29" t="str">
        <f>IF('12 - Device_Configuration'!AE483="","",'12 - Device_Configuration'!AE483)</f>
        <v/>
      </c>
      <c r="E482" s="29" t="str">
        <f>IF('12 - Device_Configuration'!AF483="","",'12 - Device_Configuration'!AF483)</f>
        <v/>
      </c>
      <c r="F482" s="29" t="str">
        <f>IF('12 - Device_Configuration'!AG483="","",'12 - Device_Configuration'!AG483)</f>
        <v/>
      </c>
      <c r="G482" s="29" t="str">
        <f>IF('12 - Device_Configuration'!AH483="","",'12 - Device_Configuration'!AH483)</f>
        <v/>
      </c>
      <c r="H482" s="29" t="str">
        <f>IF('12 - Device_Configuration'!A483="","",'12 - Device_Configuration'!A483)</f>
        <v/>
      </c>
      <c r="I482" s="29" t="str">
        <f>IF('12 - Device_Configuration'!AI483="","",'12 - Device_Configuration'!AI483)</f>
        <v/>
      </c>
      <c r="J482" s="29" t="str">
        <f>IF('12 - Device_Configuration'!AJ483="","",'12 - Device_Configuration'!AJ483)</f>
        <v/>
      </c>
      <c r="K482" s="29" t="str">
        <f>IF('12 - Device_Configuration'!AA483="","",'12 - Device_Configuration'!AA483)</f>
        <v/>
      </c>
      <c r="L482" s="29" t="str">
        <f>IF('12 - Device_Configuration'!I483="","",'12 - Device_Configuration'!I483)</f>
        <v/>
      </c>
      <c r="M482" s="30"/>
      <c r="N482" s="29" t="str">
        <f>IF('12 - Device_Configuration'!J483="","",'12 - Device_Configuration'!J483)</f>
        <v/>
      </c>
      <c r="O482" s="29" t="str">
        <f>IF('12 - Device_Configuration'!K483="","",'12 - Device_Configuration'!K483)</f>
        <v/>
      </c>
      <c r="P482" s="29" t="str">
        <f>IF('12 - Device_Configuration'!L483="","",'12 - Device_Configuration'!L483)</f>
        <v/>
      </c>
      <c r="Q482" s="30"/>
      <c r="R482" s="29" t="str">
        <f>IF('12 - Device_Configuration'!AY483="","",'12 - Device_Configuration'!AY483)</f>
        <v/>
      </c>
      <c r="S482" s="29" t="str">
        <f>IF('12 - Device_Configuration'!AX483="","",'12 - Device_Configuration'!AX483)</f>
        <v/>
      </c>
      <c r="T482" s="29" t="str">
        <f>IF('12 - Device_Configuration'!AV483="","",'12 - Device_Configuration'!AV483)</f>
        <v/>
      </c>
      <c r="U482" s="29" t="str">
        <f>IF('12 - Device_Configuration'!AW483="","",'12 - Device_Configuration'!AW483)</f>
        <v/>
      </c>
      <c r="V482" s="29" t="str">
        <f>IF('12 - Device_Configuration'!BA483="","",'12 - Device_Configuration'!BA483)</f>
        <v/>
      </c>
      <c r="W482" s="29" t="str">
        <f>IF('12 - Device_Configuration'!BC483="","",'12 - Device_Configuration'!BC483)</f>
        <v/>
      </c>
      <c r="X482" s="29" t="str">
        <f>IF('12 - Device_Configuration'!BK483="","",'12 - Device_Configuration'!BK483)</f>
        <v/>
      </c>
      <c r="Y482" s="29" t="str">
        <f>IF('12 - Device_Configuration'!BB483="","",'12 - Device_Configuration'!BB483)</f>
        <v/>
      </c>
      <c r="Z482" s="29" t="str">
        <f>IF('12 - Device_Configuration'!P483="","",'12 - Device_Configuration'!P483)</f>
        <v/>
      </c>
      <c r="AA482" s="29" t="str">
        <f>IF('12 - Device_Configuration'!Q483="","",'12 - Device_Configuration'!Q483)</f>
        <v/>
      </c>
    </row>
    <row r="483" spans="1:27">
      <c r="A483" s="30"/>
      <c r="B483" s="30"/>
      <c r="C483" s="29" t="str">
        <f>IF('12 - Device_Configuration'!H484="","",'12 - Device_Configuration'!H484)</f>
        <v/>
      </c>
      <c r="D483" s="29" t="str">
        <f>IF('12 - Device_Configuration'!AE484="","",'12 - Device_Configuration'!AE484)</f>
        <v/>
      </c>
      <c r="E483" s="29" t="str">
        <f>IF('12 - Device_Configuration'!AF484="","",'12 - Device_Configuration'!AF484)</f>
        <v/>
      </c>
      <c r="F483" s="29" t="str">
        <f>IF('12 - Device_Configuration'!AG484="","",'12 - Device_Configuration'!AG484)</f>
        <v/>
      </c>
      <c r="G483" s="29" t="str">
        <f>IF('12 - Device_Configuration'!AH484="","",'12 - Device_Configuration'!AH484)</f>
        <v/>
      </c>
      <c r="H483" s="29" t="str">
        <f>IF('12 - Device_Configuration'!A484="","",'12 - Device_Configuration'!A484)</f>
        <v/>
      </c>
      <c r="I483" s="29" t="str">
        <f>IF('12 - Device_Configuration'!AI484="","",'12 - Device_Configuration'!AI484)</f>
        <v/>
      </c>
      <c r="J483" s="29" t="str">
        <f>IF('12 - Device_Configuration'!AJ484="","",'12 - Device_Configuration'!AJ484)</f>
        <v/>
      </c>
      <c r="K483" s="29" t="str">
        <f>IF('12 - Device_Configuration'!AA484="","",'12 - Device_Configuration'!AA484)</f>
        <v/>
      </c>
      <c r="L483" s="29" t="str">
        <f>IF('12 - Device_Configuration'!I484="","",'12 - Device_Configuration'!I484)</f>
        <v/>
      </c>
      <c r="M483" s="30"/>
      <c r="N483" s="29" t="str">
        <f>IF('12 - Device_Configuration'!J484="","",'12 - Device_Configuration'!J484)</f>
        <v/>
      </c>
      <c r="O483" s="29" t="str">
        <f>IF('12 - Device_Configuration'!K484="","",'12 - Device_Configuration'!K484)</f>
        <v/>
      </c>
      <c r="P483" s="29" t="str">
        <f>IF('12 - Device_Configuration'!L484="","",'12 - Device_Configuration'!L484)</f>
        <v/>
      </c>
      <c r="Q483" s="30"/>
      <c r="R483" s="29" t="str">
        <f>IF('12 - Device_Configuration'!AY484="","",'12 - Device_Configuration'!AY484)</f>
        <v/>
      </c>
      <c r="S483" s="29" t="str">
        <f>IF('12 - Device_Configuration'!AX484="","",'12 - Device_Configuration'!AX484)</f>
        <v/>
      </c>
      <c r="T483" s="29" t="str">
        <f>IF('12 - Device_Configuration'!AV484="","",'12 - Device_Configuration'!AV484)</f>
        <v/>
      </c>
      <c r="U483" s="29" t="str">
        <f>IF('12 - Device_Configuration'!AW484="","",'12 - Device_Configuration'!AW484)</f>
        <v/>
      </c>
      <c r="V483" s="29" t="str">
        <f>IF('12 - Device_Configuration'!BA484="","",'12 - Device_Configuration'!BA484)</f>
        <v/>
      </c>
      <c r="W483" s="29" t="str">
        <f>IF('12 - Device_Configuration'!BC484="","",'12 - Device_Configuration'!BC484)</f>
        <v/>
      </c>
      <c r="X483" s="29" t="str">
        <f>IF('12 - Device_Configuration'!BK484="","",'12 - Device_Configuration'!BK484)</f>
        <v/>
      </c>
      <c r="Y483" s="29" t="str">
        <f>IF('12 - Device_Configuration'!BB484="","",'12 - Device_Configuration'!BB484)</f>
        <v/>
      </c>
      <c r="Z483" s="29" t="str">
        <f>IF('12 - Device_Configuration'!P484="","",'12 - Device_Configuration'!P484)</f>
        <v/>
      </c>
      <c r="AA483" s="29" t="str">
        <f>IF('12 - Device_Configuration'!Q484="","",'12 - Device_Configuration'!Q484)</f>
        <v/>
      </c>
    </row>
    <row r="484" spans="1:27">
      <c r="A484" s="30"/>
      <c r="B484" s="30"/>
      <c r="C484" s="29" t="str">
        <f>IF('12 - Device_Configuration'!H485="","",'12 - Device_Configuration'!H485)</f>
        <v/>
      </c>
      <c r="D484" s="29" t="str">
        <f>IF('12 - Device_Configuration'!AE485="","",'12 - Device_Configuration'!AE485)</f>
        <v/>
      </c>
      <c r="E484" s="29" t="str">
        <f>IF('12 - Device_Configuration'!AF485="","",'12 - Device_Configuration'!AF485)</f>
        <v/>
      </c>
      <c r="F484" s="29" t="str">
        <f>IF('12 - Device_Configuration'!AG485="","",'12 - Device_Configuration'!AG485)</f>
        <v/>
      </c>
      <c r="G484" s="29" t="str">
        <f>IF('12 - Device_Configuration'!AH485="","",'12 - Device_Configuration'!AH485)</f>
        <v/>
      </c>
      <c r="H484" s="29" t="str">
        <f>IF('12 - Device_Configuration'!A485="","",'12 - Device_Configuration'!A485)</f>
        <v/>
      </c>
      <c r="I484" s="29" t="str">
        <f>IF('12 - Device_Configuration'!AI485="","",'12 - Device_Configuration'!AI485)</f>
        <v/>
      </c>
      <c r="J484" s="29" t="str">
        <f>IF('12 - Device_Configuration'!AJ485="","",'12 - Device_Configuration'!AJ485)</f>
        <v/>
      </c>
      <c r="K484" s="29" t="str">
        <f>IF('12 - Device_Configuration'!AA485="","",'12 - Device_Configuration'!AA485)</f>
        <v/>
      </c>
      <c r="L484" s="29" t="str">
        <f>IF('12 - Device_Configuration'!I485="","",'12 - Device_Configuration'!I485)</f>
        <v/>
      </c>
      <c r="M484" s="30"/>
      <c r="N484" s="29" t="str">
        <f>IF('12 - Device_Configuration'!J485="","",'12 - Device_Configuration'!J485)</f>
        <v/>
      </c>
      <c r="O484" s="29" t="str">
        <f>IF('12 - Device_Configuration'!K485="","",'12 - Device_Configuration'!K485)</f>
        <v/>
      </c>
      <c r="P484" s="29" t="str">
        <f>IF('12 - Device_Configuration'!L485="","",'12 - Device_Configuration'!L485)</f>
        <v/>
      </c>
      <c r="Q484" s="30"/>
      <c r="R484" s="29" t="str">
        <f>IF('12 - Device_Configuration'!AY485="","",'12 - Device_Configuration'!AY485)</f>
        <v/>
      </c>
      <c r="S484" s="29" t="str">
        <f>IF('12 - Device_Configuration'!AX485="","",'12 - Device_Configuration'!AX485)</f>
        <v/>
      </c>
      <c r="T484" s="29" t="str">
        <f>IF('12 - Device_Configuration'!AV485="","",'12 - Device_Configuration'!AV485)</f>
        <v/>
      </c>
      <c r="U484" s="29" t="str">
        <f>IF('12 - Device_Configuration'!AW485="","",'12 - Device_Configuration'!AW485)</f>
        <v/>
      </c>
      <c r="V484" s="29" t="str">
        <f>IF('12 - Device_Configuration'!BA485="","",'12 - Device_Configuration'!BA485)</f>
        <v/>
      </c>
      <c r="W484" s="29" t="str">
        <f>IF('12 - Device_Configuration'!BC485="","",'12 - Device_Configuration'!BC485)</f>
        <v/>
      </c>
      <c r="X484" s="29" t="str">
        <f>IF('12 - Device_Configuration'!BK485="","",'12 - Device_Configuration'!BK485)</f>
        <v/>
      </c>
      <c r="Y484" s="29" t="str">
        <f>IF('12 - Device_Configuration'!BB485="","",'12 - Device_Configuration'!BB485)</f>
        <v/>
      </c>
      <c r="Z484" s="29" t="str">
        <f>IF('12 - Device_Configuration'!P485="","",'12 - Device_Configuration'!P485)</f>
        <v/>
      </c>
      <c r="AA484" s="29" t="str">
        <f>IF('12 - Device_Configuration'!Q485="","",'12 - Device_Configuration'!Q485)</f>
        <v/>
      </c>
    </row>
    <row r="485" spans="1:27">
      <c r="A485" s="30"/>
      <c r="B485" s="30"/>
      <c r="C485" s="29" t="str">
        <f>IF('12 - Device_Configuration'!H486="","",'12 - Device_Configuration'!H486)</f>
        <v/>
      </c>
      <c r="D485" s="29" t="str">
        <f>IF('12 - Device_Configuration'!AE486="","",'12 - Device_Configuration'!AE486)</f>
        <v/>
      </c>
      <c r="E485" s="29" t="str">
        <f>IF('12 - Device_Configuration'!AF486="","",'12 - Device_Configuration'!AF486)</f>
        <v/>
      </c>
      <c r="F485" s="29" t="str">
        <f>IF('12 - Device_Configuration'!AG486="","",'12 - Device_Configuration'!AG486)</f>
        <v/>
      </c>
      <c r="G485" s="29" t="str">
        <f>IF('12 - Device_Configuration'!AH486="","",'12 - Device_Configuration'!AH486)</f>
        <v/>
      </c>
      <c r="H485" s="29" t="str">
        <f>IF('12 - Device_Configuration'!A486="","",'12 - Device_Configuration'!A486)</f>
        <v/>
      </c>
      <c r="I485" s="29" t="str">
        <f>IF('12 - Device_Configuration'!AI486="","",'12 - Device_Configuration'!AI486)</f>
        <v/>
      </c>
      <c r="J485" s="29" t="str">
        <f>IF('12 - Device_Configuration'!AJ486="","",'12 - Device_Configuration'!AJ486)</f>
        <v/>
      </c>
      <c r="K485" s="29" t="str">
        <f>IF('12 - Device_Configuration'!AA486="","",'12 - Device_Configuration'!AA486)</f>
        <v/>
      </c>
      <c r="L485" s="29" t="str">
        <f>IF('12 - Device_Configuration'!I486="","",'12 - Device_Configuration'!I486)</f>
        <v/>
      </c>
      <c r="M485" s="30"/>
      <c r="N485" s="29" t="str">
        <f>IF('12 - Device_Configuration'!J486="","",'12 - Device_Configuration'!J486)</f>
        <v/>
      </c>
      <c r="O485" s="29" t="str">
        <f>IF('12 - Device_Configuration'!K486="","",'12 - Device_Configuration'!K486)</f>
        <v/>
      </c>
      <c r="P485" s="29" t="str">
        <f>IF('12 - Device_Configuration'!L486="","",'12 - Device_Configuration'!L486)</f>
        <v/>
      </c>
      <c r="Q485" s="30"/>
      <c r="R485" s="29" t="str">
        <f>IF('12 - Device_Configuration'!AY486="","",'12 - Device_Configuration'!AY486)</f>
        <v/>
      </c>
      <c r="S485" s="29" t="str">
        <f>IF('12 - Device_Configuration'!AX486="","",'12 - Device_Configuration'!AX486)</f>
        <v/>
      </c>
      <c r="T485" s="29" t="str">
        <f>IF('12 - Device_Configuration'!AV486="","",'12 - Device_Configuration'!AV486)</f>
        <v/>
      </c>
      <c r="U485" s="29" t="str">
        <f>IF('12 - Device_Configuration'!AW486="","",'12 - Device_Configuration'!AW486)</f>
        <v/>
      </c>
      <c r="V485" s="29" t="str">
        <f>IF('12 - Device_Configuration'!BA486="","",'12 - Device_Configuration'!BA486)</f>
        <v/>
      </c>
      <c r="W485" s="29" t="str">
        <f>IF('12 - Device_Configuration'!BC486="","",'12 - Device_Configuration'!BC486)</f>
        <v/>
      </c>
      <c r="X485" s="29" t="str">
        <f>IF('12 - Device_Configuration'!BK486="","",'12 - Device_Configuration'!BK486)</f>
        <v/>
      </c>
      <c r="Y485" s="29" t="str">
        <f>IF('12 - Device_Configuration'!BB486="","",'12 - Device_Configuration'!BB486)</f>
        <v/>
      </c>
      <c r="Z485" s="29" t="str">
        <f>IF('12 - Device_Configuration'!P486="","",'12 - Device_Configuration'!P486)</f>
        <v/>
      </c>
      <c r="AA485" s="29" t="str">
        <f>IF('12 - Device_Configuration'!Q486="","",'12 - Device_Configuration'!Q486)</f>
        <v/>
      </c>
    </row>
    <row r="486" spans="1:27">
      <c r="A486" s="30"/>
      <c r="B486" s="30"/>
      <c r="C486" s="29" t="str">
        <f>IF('12 - Device_Configuration'!H487="","",'12 - Device_Configuration'!H487)</f>
        <v/>
      </c>
      <c r="D486" s="29" t="str">
        <f>IF('12 - Device_Configuration'!AE487="","",'12 - Device_Configuration'!AE487)</f>
        <v/>
      </c>
      <c r="E486" s="29" t="str">
        <f>IF('12 - Device_Configuration'!AF487="","",'12 - Device_Configuration'!AF487)</f>
        <v/>
      </c>
      <c r="F486" s="29" t="str">
        <f>IF('12 - Device_Configuration'!AG487="","",'12 - Device_Configuration'!AG487)</f>
        <v/>
      </c>
      <c r="G486" s="29" t="str">
        <f>IF('12 - Device_Configuration'!AH487="","",'12 - Device_Configuration'!AH487)</f>
        <v/>
      </c>
      <c r="H486" s="29" t="str">
        <f>IF('12 - Device_Configuration'!A487="","",'12 - Device_Configuration'!A487)</f>
        <v/>
      </c>
      <c r="I486" s="29" t="str">
        <f>IF('12 - Device_Configuration'!AI487="","",'12 - Device_Configuration'!AI487)</f>
        <v/>
      </c>
      <c r="J486" s="29" t="str">
        <f>IF('12 - Device_Configuration'!AJ487="","",'12 - Device_Configuration'!AJ487)</f>
        <v/>
      </c>
      <c r="K486" s="29" t="str">
        <f>IF('12 - Device_Configuration'!AA487="","",'12 - Device_Configuration'!AA487)</f>
        <v/>
      </c>
      <c r="L486" s="29" t="str">
        <f>IF('12 - Device_Configuration'!I487="","",'12 - Device_Configuration'!I487)</f>
        <v/>
      </c>
      <c r="M486" s="30"/>
      <c r="N486" s="29" t="str">
        <f>IF('12 - Device_Configuration'!J487="","",'12 - Device_Configuration'!J487)</f>
        <v/>
      </c>
      <c r="O486" s="29" t="str">
        <f>IF('12 - Device_Configuration'!K487="","",'12 - Device_Configuration'!K487)</f>
        <v/>
      </c>
      <c r="P486" s="29" t="str">
        <f>IF('12 - Device_Configuration'!L487="","",'12 - Device_Configuration'!L487)</f>
        <v/>
      </c>
      <c r="Q486" s="30"/>
      <c r="R486" s="29" t="str">
        <f>IF('12 - Device_Configuration'!AY487="","",'12 - Device_Configuration'!AY487)</f>
        <v/>
      </c>
      <c r="S486" s="29" t="str">
        <f>IF('12 - Device_Configuration'!AX487="","",'12 - Device_Configuration'!AX487)</f>
        <v/>
      </c>
      <c r="T486" s="29" t="str">
        <f>IF('12 - Device_Configuration'!AV487="","",'12 - Device_Configuration'!AV487)</f>
        <v/>
      </c>
      <c r="U486" s="29" t="str">
        <f>IF('12 - Device_Configuration'!AW487="","",'12 - Device_Configuration'!AW487)</f>
        <v/>
      </c>
      <c r="V486" s="29" t="str">
        <f>IF('12 - Device_Configuration'!BA487="","",'12 - Device_Configuration'!BA487)</f>
        <v/>
      </c>
      <c r="W486" s="29" t="str">
        <f>IF('12 - Device_Configuration'!BC487="","",'12 - Device_Configuration'!BC487)</f>
        <v/>
      </c>
      <c r="X486" s="29" t="str">
        <f>IF('12 - Device_Configuration'!BK487="","",'12 - Device_Configuration'!BK487)</f>
        <v/>
      </c>
      <c r="Y486" s="29" t="str">
        <f>IF('12 - Device_Configuration'!BB487="","",'12 - Device_Configuration'!BB487)</f>
        <v/>
      </c>
      <c r="Z486" s="29" t="str">
        <f>IF('12 - Device_Configuration'!P487="","",'12 - Device_Configuration'!P487)</f>
        <v/>
      </c>
      <c r="AA486" s="29" t="str">
        <f>IF('12 - Device_Configuration'!Q487="","",'12 - Device_Configuration'!Q487)</f>
        <v/>
      </c>
    </row>
    <row r="487" spans="1:27">
      <c r="A487" s="30"/>
      <c r="B487" s="30"/>
      <c r="C487" s="29" t="str">
        <f>IF('12 - Device_Configuration'!H488="","",'12 - Device_Configuration'!H488)</f>
        <v/>
      </c>
      <c r="D487" s="29" t="str">
        <f>IF('12 - Device_Configuration'!AE488="","",'12 - Device_Configuration'!AE488)</f>
        <v/>
      </c>
      <c r="E487" s="29" t="str">
        <f>IF('12 - Device_Configuration'!AF488="","",'12 - Device_Configuration'!AF488)</f>
        <v/>
      </c>
      <c r="F487" s="29" t="str">
        <f>IF('12 - Device_Configuration'!AG488="","",'12 - Device_Configuration'!AG488)</f>
        <v/>
      </c>
      <c r="G487" s="29" t="str">
        <f>IF('12 - Device_Configuration'!AH488="","",'12 - Device_Configuration'!AH488)</f>
        <v/>
      </c>
      <c r="H487" s="29" t="str">
        <f>IF('12 - Device_Configuration'!A488="","",'12 - Device_Configuration'!A488)</f>
        <v/>
      </c>
      <c r="I487" s="29" t="str">
        <f>IF('12 - Device_Configuration'!AI488="","",'12 - Device_Configuration'!AI488)</f>
        <v/>
      </c>
      <c r="J487" s="29" t="str">
        <f>IF('12 - Device_Configuration'!AJ488="","",'12 - Device_Configuration'!AJ488)</f>
        <v/>
      </c>
      <c r="K487" s="29" t="str">
        <f>IF('12 - Device_Configuration'!AA488="","",'12 - Device_Configuration'!AA488)</f>
        <v/>
      </c>
      <c r="L487" s="29" t="str">
        <f>IF('12 - Device_Configuration'!I488="","",'12 - Device_Configuration'!I488)</f>
        <v/>
      </c>
      <c r="M487" s="30"/>
      <c r="N487" s="29" t="str">
        <f>IF('12 - Device_Configuration'!J488="","",'12 - Device_Configuration'!J488)</f>
        <v/>
      </c>
      <c r="O487" s="29" t="str">
        <f>IF('12 - Device_Configuration'!K488="","",'12 - Device_Configuration'!K488)</f>
        <v/>
      </c>
      <c r="P487" s="29" t="str">
        <f>IF('12 - Device_Configuration'!L488="","",'12 - Device_Configuration'!L488)</f>
        <v/>
      </c>
      <c r="Q487" s="30"/>
      <c r="R487" s="29" t="str">
        <f>IF('12 - Device_Configuration'!AY488="","",'12 - Device_Configuration'!AY488)</f>
        <v/>
      </c>
      <c r="S487" s="29" t="str">
        <f>IF('12 - Device_Configuration'!AX488="","",'12 - Device_Configuration'!AX488)</f>
        <v/>
      </c>
      <c r="T487" s="29" t="str">
        <f>IF('12 - Device_Configuration'!AV488="","",'12 - Device_Configuration'!AV488)</f>
        <v/>
      </c>
      <c r="U487" s="29" t="str">
        <f>IF('12 - Device_Configuration'!AW488="","",'12 - Device_Configuration'!AW488)</f>
        <v/>
      </c>
      <c r="V487" s="29" t="str">
        <f>IF('12 - Device_Configuration'!BA488="","",'12 - Device_Configuration'!BA488)</f>
        <v/>
      </c>
      <c r="W487" s="29" t="str">
        <f>IF('12 - Device_Configuration'!BC488="","",'12 - Device_Configuration'!BC488)</f>
        <v/>
      </c>
      <c r="X487" s="29" t="str">
        <f>IF('12 - Device_Configuration'!BK488="","",'12 - Device_Configuration'!BK488)</f>
        <v/>
      </c>
      <c r="Y487" s="29" t="str">
        <f>IF('12 - Device_Configuration'!BB488="","",'12 - Device_Configuration'!BB488)</f>
        <v/>
      </c>
      <c r="Z487" s="29" t="str">
        <f>IF('12 - Device_Configuration'!P488="","",'12 - Device_Configuration'!P488)</f>
        <v/>
      </c>
      <c r="AA487" s="29" t="str">
        <f>IF('12 - Device_Configuration'!Q488="","",'12 - Device_Configuration'!Q488)</f>
        <v/>
      </c>
    </row>
    <row r="488" spans="1:27">
      <c r="A488" s="30"/>
      <c r="B488" s="30"/>
      <c r="C488" s="29" t="str">
        <f>IF('12 - Device_Configuration'!H489="","",'12 - Device_Configuration'!H489)</f>
        <v/>
      </c>
      <c r="D488" s="29" t="str">
        <f>IF('12 - Device_Configuration'!AE489="","",'12 - Device_Configuration'!AE489)</f>
        <v/>
      </c>
      <c r="E488" s="29" t="str">
        <f>IF('12 - Device_Configuration'!AF489="","",'12 - Device_Configuration'!AF489)</f>
        <v/>
      </c>
      <c r="F488" s="29" t="str">
        <f>IF('12 - Device_Configuration'!AG489="","",'12 - Device_Configuration'!AG489)</f>
        <v/>
      </c>
      <c r="G488" s="29" t="str">
        <f>IF('12 - Device_Configuration'!AH489="","",'12 - Device_Configuration'!AH489)</f>
        <v/>
      </c>
      <c r="H488" s="29" t="str">
        <f>IF('12 - Device_Configuration'!A489="","",'12 - Device_Configuration'!A489)</f>
        <v/>
      </c>
      <c r="I488" s="29" t="str">
        <f>IF('12 - Device_Configuration'!AI489="","",'12 - Device_Configuration'!AI489)</f>
        <v/>
      </c>
      <c r="J488" s="29" t="str">
        <f>IF('12 - Device_Configuration'!AJ489="","",'12 - Device_Configuration'!AJ489)</f>
        <v/>
      </c>
      <c r="K488" s="29" t="str">
        <f>IF('12 - Device_Configuration'!AA489="","",'12 - Device_Configuration'!AA489)</f>
        <v/>
      </c>
      <c r="L488" s="29" t="str">
        <f>IF('12 - Device_Configuration'!I489="","",'12 - Device_Configuration'!I489)</f>
        <v/>
      </c>
      <c r="M488" s="30"/>
      <c r="N488" s="29" t="str">
        <f>IF('12 - Device_Configuration'!J489="","",'12 - Device_Configuration'!J489)</f>
        <v/>
      </c>
      <c r="O488" s="29" t="str">
        <f>IF('12 - Device_Configuration'!K489="","",'12 - Device_Configuration'!K489)</f>
        <v/>
      </c>
      <c r="P488" s="29" t="str">
        <f>IF('12 - Device_Configuration'!L489="","",'12 - Device_Configuration'!L489)</f>
        <v/>
      </c>
      <c r="Q488" s="30"/>
      <c r="R488" s="29" t="str">
        <f>IF('12 - Device_Configuration'!AY489="","",'12 - Device_Configuration'!AY489)</f>
        <v/>
      </c>
      <c r="S488" s="29" t="str">
        <f>IF('12 - Device_Configuration'!AX489="","",'12 - Device_Configuration'!AX489)</f>
        <v/>
      </c>
      <c r="T488" s="29" t="str">
        <f>IF('12 - Device_Configuration'!AV489="","",'12 - Device_Configuration'!AV489)</f>
        <v/>
      </c>
      <c r="U488" s="29" t="str">
        <f>IF('12 - Device_Configuration'!AW489="","",'12 - Device_Configuration'!AW489)</f>
        <v/>
      </c>
      <c r="V488" s="29" t="str">
        <f>IF('12 - Device_Configuration'!BA489="","",'12 - Device_Configuration'!BA489)</f>
        <v/>
      </c>
      <c r="W488" s="29" t="str">
        <f>IF('12 - Device_Configuration'!BC489="","",'12 - Device_Configuration'!BC489)</f>
        <v/>
      </c>
      <c r="X488" s="29" t="str">
        <f>IF('12 - Device_Configuration'!BK489="","",'12 - Device_Configuration'!BK489)</f>
        <v/>
      </c>
      <c r="Y488" s="29" t="str">
        <f>IF('12 - Device_Configuration'!BB489="","",'12 - Device_Configuration'!BB489)</f>
        <v/>
      </c>
      <c r="Z488" s="29" t="str">
        <f>IF('12 - Device_Configuration'!P489="","",'12 - Device_Configuration'!P489)</f>
        <v/>
      </c>
      <c r="AA488" s="29" t="str">
        <f>IF('12 - Device_Configuration'!Q489="","",'12 - Device_Configuration'!Q489)</f>
        <v/>
      </c>
    </row>
    <row r="489" spans="1:27">
      <c r="A489" s="30"/>
      <c r="B489" s="30"/>
      <c r="C489" s="29" t="str">
        <f>IF('12 - Device_Configuration'!H490="","",'12 - Device_Configuration'!H490)</f>
        <v/>
      </c>
      <c r="D489" s="29" t="str">
        <f>IF('12 - Device_Configuration'!AE490="","",'12 - Device_Configuration'!AE490)</f>
        <v/>
      </c>
      <c r="E489" s="29" t="str">
        <f>IF('12 - Device_Configuration'!AF490="","",'12 - Device_Configuration'!AF490)</f>
        <v/>
      </c>
      <c r="F489" s="29" t="str">
        <f>IF('12 - Device_Configuration'!AG490="","",'12 - Device_Configuration'!AG490)</f>
        <v/>
      </c>
      <c r="G489" s="29" t="str">
        <f>IF('12 - Device_Configuration'!AH490="","",'12 - Device_Configuration'!AH490)</f>
        <v/>
      </c>
      <c r="H489" s="29" t="str">
        <f>IF('12 - Device_Configuration'!A490="","",'12 - Device_Configuration'!A490)</f>
        <v/>
      </c>
      <c r="I489" s="29" t="str">
        <f>IF('12 - Device_Configuration'!AI490="","",'12 - Device_Configuration'!AI490)</f>
        <v/>
      </c>
      <c r="J489" s="29" t="str">
        <f>IF('12 - Device_Configuration'!AJ490="","",'12 - Device_Configuration'!AJ490)</f>
        <v/>
      </c>
      <c r="K489" s="29" t="str">
        <f>IF('12 - Device_Configuration'!AA490="","",'12 - Device_Configuration'!AA490)</f>
        <v/>
      </c>
      <c r="L489" s="29" t="str">
        <f>IF('12 - Device_Configuration'!I490="","",'12 - Device_Configuration'!I490)</f>
        <v/>
      </c>
      <c r="M489" s="30"/>
      <c r="N489" s="29" t="str">
        <f>IF('12 - Device_Configuration'!J490="","",'12 - Device_Configuration'!J490)</f>
        <v/>
      </c>
      <c r="O489" s="29" t="str">
        <f>IF('12 - Device_Configuration'!K490="","",'12 - Device_Configuration'!K490)</f>
        <v/>
      </c>
      <c r="P489" s="29" t="str">
        <f>IF('12 - Device_Configuration'!L490="","",'12 - Device_Configuration'!L490)</f>
        <v/>
      </c>
      <c r="Q489" s="30"/>
      <c r="R489" s="29" t="str">
        <f>IF('12 - Device_Configuration'!AY490="","",'12 - Device_Configuration'!AY490)</f>
        <v/>
      </c>
      <c r="S489" s="29" t="str">
        <f>IF('12 - Device_Configuration'!AX490="","",'12 - Device_Configuration'!AX490)</f>
        <v/>
      </c>
      <c r="T489" s="29" t="str">
        <f>IF('12 - Device_Configuration'!AV490="","",'12 - Device_Configuration'!AV490)</f>
        <v/>
      </c>
      <c r="U489" s="29" t="str">
        <f>IF('12 - Device_Configuration'!AW490="","",'12 - Device_Configuration'!AW490)</f>
        <v/>
      </c>
      <c r="V489" s="29" t="str">
        <f>IF('12 - Device_Configuration'!BA490="","",'12 - Device_Configuration'!BA490)</f>
        <v/>
      </c>
      <c r="W489" s="29" t="str">
        <f>IF('12 - Device_Configuration'!BC490="","",'12 - Device_Configuration'!BC490)</f>
        <v/>
      </c>
      <c r="X489" s="29" t="str">
        <f>IF('12 - Device_Configuration'!BK490="","",'12 - Device_Configuration'!BK490)</f>
        <v/>
      </c>
      <c r="Y489" s="29" t="str">
        <f>IF('12 - Device_Configuration'!BB490="","",'12 - Device_Configuration'!BB490)</f>
        <v/>
      </c>
      <c r="Z489" s="29" t="str">
        <f>IF('12 - Device_Configuration'!P490="","",'12 - Device_Configuration'!P490)</f>
        <v/>
      </c>
      <c r="AA489" s="29" t="str">
        <f>IF('12 - Device_Configuration'!Q490="","",'12 - Device_Configuration'!Q490)</f>
        <v/>
      </c>
    </row>
    <row r="490" spans="1:27">
      <c r="A490" s="30"/>
      <c r="B490" s="30"/>
      <c r="C490" s="29" t="str">
        <f>IF('12 - Device_Configuration'!H491="","",'12 - Device_Configuration'!H491)</f>
        <v/>
      </c>
      <c r="D490" s="29" t="str">
        <f>IF('12 - Device_Configuration'!AE491="","",'12 - Device_Configuration'!AE491)</f>
        <v/>
      </c>
      <c r="E490" s="29" t="str">
        <f>IF('12 - Device_Configuration'!AF491="","",'12 - Device_Configuration'!AF491)</f>
        <v/>
      </c>
      <c r="F490" s="29" t="str">
        <f>IF('12 - Device_Configuration'!AG491="","",'12 - Device_Configuration'!AG491)</f>
        <v/>
      </c>
      <c r="G490" s="29" t="str">
        <f>IF('12 - Device_Configuration'!AH491="","",'12 - Device_Configuration'!AH491)</f>
        <v/>
      </c>
      <c r="H490" s="29" t="str">
        <f>IF('12 - Device_Configuration'!A491="","",'12 - Device_Configuration'!A491)</f>
        <v/>
      </c>
      <c r="I490" s="29" t="str">
        <f>IF('12 - Device_Configuration'!AI491="","",'12 - Device_Configuration'!AI491)</f>
        <v/>
      </c>
      <c r="J490" s="29" t="str">
        <f>IF('12 - Device_Configuration'!AJ491="","",'12 - Device_Configuration'!AJ491)</f>
        <v/>
      </c>
      <c r="K490" s="29" t="str">
        <f>IF('12 - Device_Configuration'!AA491="","",'12 - Device_Configuration'!AA491)</f>
        <v/>
      </c>
      <c r="L490" s="29" t="str">
        <f>IF('12 - Device_Configuration'!I491="","",'12 - Device_Configuration'!I491)</f>
        <v/>
      </c>
      <c r="M490" s="30"/>
      <c r="N490" s="29" t="str">
        <f>IF('12 - Device_Configuration'!J491="","",'12 - Device_Configuration'!J491)</f>
        <v/>
      </c>
      <c r="O490" s="29" t="str">
        <f>IF('12 - Device_Configuration'!K491="","",'12 - Device_Configuration'!K491)</f>
        <v/>
      </c>
      <c r="P490" s="29" t="str">
        <f>IF('12 - Device_Configuration'!L491="","",'12 - Device_Configuration'!L491)</f>
        <v/>
      </c>
      <c r="Q490" s="30"/>
      <c r="R490" s="29" t="str">
        <f>IF('12 - Device_Configuration'!AY491="","",'12 - Device_Configuration'!AY491)</f>
        <v/>
      </c>
      <c r="S490" s="29" t="str">
        <f>IF('12 - Device_Configuration'!AX491="","",'12 - Device_Configuration'!AX491)</f>
        <v/>
      </c>
      <c r="T490" s="29" t="str">
        <f>IF('12 - Device_Configuration'!AV491="","",'12 - Device_Configuration'!AV491)</f>
        <v/>
      </c>
      <c r="U490" s="29" t="str">
        <f>IF('12 - Device_Configuration'!AW491="","",'12 - Device_Configuration'!AW491)</f>
        <v/>
      </c>
      <c r="V490" s="29" t="str">
        <f>IF('12 - Device_Configuration'!BA491="","",'12 - Device_Configuration'!BA491)</f>
        <v/>
      </c>
      <c r="W490" s="29" t="str">
        <f>IF('12 - Device_Configuration'!BC491="","",'12 - Device_Configuration'!BC491)</f>
        <v/>
      </c>
      <c r="X490" s="29" t="str">
        <f>IF('12 - Device_Configuration'!BK491="","",'12 - Device_Configuration'!BK491)</f>
        <v/>
      </c>
      <c r="Y490" s="29" t="str">
        <f>IF('12 - Device_Configuration'!BB491="","",'12 - Device_Configuration'!BB491)</f>
        <v/>
      </c>
      <c r="Z490" s="29" t="str">
        <f>IF('12 - Device_Configuration'!P491="","",'12 - Device_Configuration'!P491)</f>
        <v/>
      </c>
      <c r="AA490" s="29" t="str">
        <f>IF('12 - Device_Configuration'!Q491="","",'12 - Device_Configuration'!Q491)</f>
        <v/>
      </c>
    </row>
    <row r="491" spans="1:27">
      <c r="A491" s="30"/>
      <c r="B491" s="30"/>
      <c r="C491" s="29" t="str">
        <f>IF('12 - Device_Configuration'!H492="","",'12 - Device_Configuration'!H492)</f>
        <v/>
      </c>
      <c r="D491" s="29" t="str">
        <f>IF('12 - Device_Configuration'!AE492="","",'12 - Device_Configuration'!AE492)</f>
        <v/>
      </c>
      <c r="E491" s="29" t="str">
        <f>IF('12 - Device_Configuration'!AF492="","",'12 - Device_Configuration'!AF492)</f>
        <v/>
      </c>
      <c r="F491" s="29" t="str">
        <f>IF('12 - Device_Configuration'!AG492="","",'12 - Device_Configuration'!AG492)</f>
        <v/>
      </c>
      <c r="G491" s="29" t="str">
        <f>IF('12 - Device_Configuration'!AH492="","",'12 - Device_Configuration'!AH492)</f>
        <v/>
      </c>
      <c r="H491" s="29" t="str">
        <f>IF('12 - Device_Configuration'!A492="","",'12 - Device_Configuration'!A492)</f>
        <v/>
      </c>
      <c r="I491" s="29" t="str">
        <f>IF('12 - Device_Configuration'!AI492="","",'12 - Device_Configuration'!AI492)</f>
        <v/>
      </c>
      <c r="J491" s="29" t="str">
        <f>IF('12 - Device_Configuration'!AJ492="","",'12 - Device_Configuration'!AJ492)</f>
        <v/>
      </c>
      <c r="K491" s="29" t="str">
        <f>IF('12 - Device_Configuration'!AA492="","",'12 - Device_Configuration'!AA492)</f>
        <v/>
      </c>
      <c r="L491" s="29" t="str">
        <f>IF('12 - Device_Configuration'!I492="","",'12 - Device_Configuration'!I492)</f>
        <v/>
      </c>
      <c r="M491" s="30"/>
      <c r="N491" s="29" t="str">
        <f>IF('12 - Device_Configuration'!J492="","",'12 - Device_Configuration'!J492)</f>
        <v/>
      </c>
      <c r="O491" s="29" t="str">
        <f>IF('12 - Device_Configuration'!K492="","",'12 - Device_Configuration'!K492)</f>
        <v/>
      </c>
      <c r="P491" s="29" t="str">
        <f>IF('12 - Device_Configuration'!L492="","",'12 - Device_Configuration'!L492)</f>
        <v/>
      </c>
      <c r="Q491" s="30"/>
      <c r="R491" s="29" t="str">
        <f>IF('12 - Device_Configuration'!AY492="","",'12 - Device_Configuration'!AY492)</f>
        <v/>
      </c>
      <c r="S491" s="29" t="str">
        <f>IF('12 - Device_Configuration'!AX492="","",'12 - Device_Configuration'!AX492)</f>
        <v/>
      </c>
      <c r="T491" s="29" t="str">
        <f>IF('12 - Device_Configuration'!AV492="","",'12 - Device_Configuration'!AV492)</f>
        <v/>
      </c>
      <c r="U491" s="29" t="str">
        <f>IF('12 - Device_Configuration'!AW492="","",'12 - Device_Configuration'!AW492)</f>
        <v/>
      </c>
      <c r="V491" s="29" t="str">
        <f>IF('12 - Device_Configuration'!BA492="","",'12 - Device_Configuration'!BA492)</f>
        <v/>
      </c>
      <c r="W491" s="29" t="str">
        <f>IF('12 - Device_Configuration'!BC492="","",'12 - Device_Configuration'!BC492)</f>
        <v/>
      </c>
      <c r="X491" s="29" t="str">
        <f>IF('12 - Device_Configuration'!BK492="","",'12 - Device_Configuration'!BK492)</f>
        <v/>
      </c>
      <c r="Y491" s="29" t="str">
        <f>IF('12 - Device_Configuration'!BB492="","",'12 - Device_Configuration'!BB492)</f>
        <v/>
      </c>
      <c r="Z491" s="29" t="str">
        <f>IF('12 - Device_Configuration'!P492="","",'12 - Device_Configuration'!P492)</f>
        <v/>
      </c>
      <c r="AA491" s="29" t="str">
        <f>IF('12 - Device_Configuration'!Q492="","",'12 - Device_Configuration'!Q492)</f>
        <v/>
      </c>
    </row>
    <row r="492" spans="1:27">
      <c r="A492" s="30"/>
      <c r="B492" s="30"/>
      <c r="C492" s="29" t="str">
        <f>IF('12 - Device_Configuration'!H493="","",'12 - Device_Configuration'!H493)</f>
        <v/>
      </c>
      <c r="D492" s="29" t="str">
        <f>IF('12 - Device_Configuration'!AE493="","",'12 - Device_Configuration'!AE493)</f>
        <v/>
      </c>
      <c r="E492" s="29" t="str">
        <f>IF('12 - Device_Configuration'!AF493="","",'12 - Device_Configuration'!AF493)</f>
        <v/>
      </c>
      <c r="F492" s="29" t="str">
        <f>IF('12 - Device_Configuration'!AG493="","",'12 - Device_Configuration'!AG493)</f>
        <v/>
      </c>
      <c r="G492" s="29" t="str">
        <f>IF('12 - Device_Configuration'!AH493="","",'12 - Device_Configuration'!AH493)</f>
        <v/>
      </c>
      <c r="H492" s="29" t="str">
        <f>IF('12 - Device_Configuration'!A493="","",'12 - Device_Configuration'!A493)</f>
        <v/>
      </c>
      <c r="I492" s="29" t="str">
        <f>IF('12 - Device_Configuration'!AI493="","",'12 - Device_Configuration'!AI493)</f>
        <v/>
      </c>
      <c r="J492" s="29" t="str">
        <f>IF('12 - Device_Configuration'!AJ493="","",'12 - Device_Configuration'!AJ493)</f>
        <v/>
      </c>
      <c r="K492" s="29" t="str">
        <f>IF('12 - Device_Configuration'!AA493="","",'12 - Device_Configuration'!AA493)</f>
        <v/>
      </c>
      <c r="L492" s="29" t="str">
        <f>IF('12 - Device_Configuration'!I493="","",'12 - Device_Configuration'!I493)</f>
        <v/>
      </c>
      <c r="M492" s="30"/>
      <c r="N492" s="29" t="str">
        <f>IF('12 - Device_Configuration'!J493="","",'12 - Device_Configuration'!J493)</f>
        <v/>
      </c>
      <c r="O492" s="29" t="str">
        <f>IF('12 - Device_Configuration'!K493="","",'12 - Device_Configuration'!K493)</f>
        <v/>
      </c>
      <c r="P492" s="29" t="str">
        <f>IF('12 - Device_Configuration'!L493="","",'12 - Device_Configuration'!L493)</f>
        <v/>
      </c>
      <c r="Q492" s="30"/>
      <c r="R492" s="29" t="str">
        <f>IF('12 - Device_Configuration'!AY493="","",'12 - Device_Configuration'!AY493)</f>
        <v/>
      </c>
      <c r="S492" s="29" t="str">
        <f>IF('12 - Device_Configuration'!AX493="","",'12 - Device_Configuration'!AX493)</f>
        <v/>
      </c>
      <c r="T492" s="29" t="str">
        <f>IF('12 - Device_Configuration'!AV493="","",'12 - Device_Configuration'!AV493)</f>
        <v/>
      </c>
      <c r="U492" s="29" t="str">
        <f>IF('12 - Device_Configuration'!AW493="","",'12 - Device_Configuration'!AW493)</f>
        <v/>
      </c>
      <c r="V492" s="29" t="str">
        <f>IF('12 - Device_Configuration'!BA493="","",'12 - Device_Configuration'!BA493)</f>
        <v/>
      </c>
      <c r="W492" s="29" t="str">
        <f>IF('12 - Device_Configuration'!BC493="","",'12 - Device_Configuration'!BC493)</f>
        <v/>
      </c>
      <c r="X492" s="29" t="str">
        <f>IF('12 - Device_Configuration'!BK493="","",'12 - Device_Configuration'!BK493)</f>
        <v/>
      </c>
      <c r="Y492" s="29" t="str">
        <f>IF('12 - Device_Configuration'!BB493="","",'12 - Device_Configuration'!BB493)</f>
        <v/>
      </c>
      <c r="Z492" s="29" t="str">
        <f>IF('12 - Device_Configuration'!P493="","",'12 - Device_Configuration'!P493)</f>
        <v/>
      </c>
      <c r="AA492" s="29" t="str">
        <f>IF('12 - Device_Configuration'!Q493="","",'12 - Device_Configuration'!Q493)</f>
        <v/>
      </c>
    </row>
    <row r="493" spans="1:27">
      <c r="A493" s="30"/>
      <c r="B493" s="30"/>
      <c r="C493" s="29" t="str">
        <f>IF('12 - Device_Configuration'!H494="","",'12 - Device_Configuration'!H494)</f>
        <v/>
      </c>
      <c r="D493" s="29" t="str">
        <f>IF('12 - Device_Configuration'!AE494="","",'12 - Device_Configuration'!AE494)</f>
        <v/>
      </c>
      <c r="E493" s="29" t="str">
        <f>IF('12 - Device_Configuration'!AF494="","",'12 - Device_Configuration'!AF494)</f>
        <v/>
      </c>
      <c r="F493" s="29" t="str">
        <f>IF('12 - Device_Configuration'!AG494="","",'12 - Device_Configuration'!AG494)</f>
        <v/>
      </c>
      <c r="G493" s="29" t="str">
        <f>IF('12 - Device_Configuration'!AH494="","",'12 - Device_Configuration'!AH494)</f>
        <v/>
      </c>
      <c r="H493" s="29" t="str">
        <f>IF('12 - Device_Configuration'!A494="","",'12 - Device_Configuration'!A494)</f>
        <v/>
      </c>
      <c r="I493" s="29" t="str">
        <f>IF('12 - Device_Configuration'!AI494="","",'12 - Device_Configuration'!AI494)</f>
        <v/>
      </c>
      <c r="J493" s="29" t="str">
        <f>IF('12 - Device_Configuration'!AJ494="","",'12 - Device_Configuration'!AJ494)</f>
        <v/>
      </c>
      <c r="K493" s="29" t="str">
        <f>IF('12 - Device_Configuration'!AA494="","",'12 - Device_Configuration'!AA494)</f>
        <v/>
      </c>
      <c r="L493" s="29" t="str">
        <f>IF('12 - Device_Configuration'!I494="","",'12 - Device_Configuration'!I494)</f>
        <v/>
      </c>
      <c r="M493" s="30"/>
      <c r="N493" s="29" t="str">
        <f>IF('12 - Device_Configuration'!J494="","",'12 - Device_Configuration'!J494)</f>
        <v/>
      </c>
      <c r="O493" s="29" t="str">
        <f>IF('12 - Device_Configuration'!K494="","",'12 - Device_Configuration'!K494)</f>
        <v/>
      </c>
      <c r="P493" s="29" t="str">
        <f>IF('12 - Device_Configuration'!L494="","",'12 - Device_Configuration'!L494)</f>
        <v/>
      </c>
      <c r="Q493" s="30"/>
      <c r="R493" s="29" t="str">
        <f>IF('12 - Device_Configuration'!AY494="","",'12 - Device_Configuration'!AY494)</f>
        <v/>
      </c>
      <c r="S493" s="29" t="str">
        <f>IF('12 - Device_Configuration'!AX494="","",'12 - Device_Configuration'!AX494)</f>
        <v/>
      </c>
      <c r="T493" s="29" t="str">
        <f>IF('12 - Device_Configuration'!AV494="","",'12 - Device_Configuration'!AV494)</f>
        <v/>
      </c>
      <c r="U493" s="29" t="str">
        <f>IF('12 - Device_Configuration'!AW494="","",'12 - Device_Configuration'!AW494)</f>
        <v/>
      </c>
      <c r="V493" s="29" t="str">
        <f>IF('12 - Device_Configuration'!BA494="","",'12 - Device_Configuration'!BA494)</f>
        <v/>
      </c>
      <c r="W493" s="29" t="str">
        <f>IF('12 - Device_Configuration'!BC494="","",'12 - Device_Configuration'!BC494)</f>
        <v/>
      </c>
      <c r="X493" s="29" t="str">
        <f>IF('12 - Device_Configuration'!BK494="","",'12 - Device_Configuration'!BK494)</f>
        <v/>
      </c>
      <c r="Y493" s="29" t="str">
        <f>IF('12 - Device_Configuration'!BB494="","",'12 - Device_Configuration'!BB494)</f>
        <v/>
      </c>
      <c r="Z493" s="29" t="str">
        <f>IF('12 - Device_Configuration'!P494="","",'12 - Device_Configuration'!P494)</f>
        <v/>
      </c>
      <c r="AA493" s="29" t="str">
        <f>IF('12 - Device_Configuration'!Q494="","",'12 - Device_Configuration'!Q494)</f>
        <v/>
      </c>
    </row>
    <row r="494" spans="1:27">
      <c r="A494" s="30"/>
      <c r="B494" s="30"/>
      <c r="C494" s="29" t="str">
        <f>IF('12 - Device_Configuration'!H495="","",'12 - Device_Configuration'!H495)</f>
        <v/>
      </c>
      <c r="D494" s="29" t="str">
        <f>IF('12 - Device_Configuration'!AE495="","",'12 - Device_Configuration'!AE495)</f>
        <v/>
      </c>
      <c r="E494" s="29" t="str">
        <f>IF('12 - Device_Configuration'!AF495="","",'12 - Device_Configuration'!AF495)</f>
        <v/>
      </c>
      <c r="F494" s="29" t="str">
        <f>IF('12 - Device_Configuration'!AG495="","",'12 - Device_Configuration'!AG495)</f>
        <v/>
      </c>
      <c r="G494" s="29" t="str">
        <f>IF('12 - Device_Configuration'!AH495="","",'12 - Device_Configuration'!AH495)</f>
        <v/>
      </c>
      <c r="H494" s="29" t="str">
        <f>IF('12 - Device_Configuration'!A495="","",'12 - Device_Configuration'!A495)</f>
        <v/>
      </c>
      <c r="I494" s="29" t="str">
        <f>IF('12 - Device_Configuration'!AI495="","",'12 - Device_Configuration'!AI495)</f>
        <v/>
      </c>
      <c r="J494" s="29" t="str">
        <f>IF('12 - Device_Configuration'!AJ495="","",'12 - Device_Configuration'!AJ495)</f>
        <v/>
      </c>
      <c r="K494" s="29" t="str">
        <f>IF('12 - Device_Configuration'!AA495="","",'12 - Device_Configuration'!AA495)</f>
        <v/>
      </c>
      <c r="L494" s="29" t="str">
        <f>IF('12 - Device_Configuration'!I495="","",'12 - Device_Configuration'!I495)</f>
        <v/>
      </c>
      <c r="M494" s="30"/>
      <c r="N494" s="29" t="str">
        <f>IF('12 - Device_Configuration'!J495="","",'12 - Device_Configuration'!J495)</f>
        <v/>
      </c>
      <c r="O494" s="29" t="str">
        <f>IF('12 - Device_Configuration'!K495="","",'12 - Device_Configuration'!K495)</f>
        <v/>
      </c>
      <c r="P494" s="29" t="str">
        <f>IF('12 - Device_Configuration'!L495="","",'12 - Device_Configuration'!L495)</f>
        <v/>
      </c>
      <c r="Q494" s="30"/>
      <c r="R494" s="29" t="str">
        <f>IF('12 - Device_Configuration'!AY495="","",'12 - Device_Configuration'!AY495)</f>
        <v/>
      </c>
      <c r="S494" s="29" t="str">
        <f>IF('12 - Device_Configuration'!AX495="","",'12 - Device_Configuration'!AX495)</f>
        <v/>
      </c>
      <c r="T494" s="29" t="str">
        <f>IF('12 - Device_Configuration'!AV495="","",'12 - Device_Configuration'!AV495)</f>
        <v/>
      </c>
      <c r="U494" s="29" t="str">
        <f>IF('12 - Device_Configuration'!AW495="","",'12 - Device_Configuration'!AW495)</f>
        <v/>
      </c>
      <c r="V494" s="29" t="str">
        <f>IF('12 - Device_Configuration'!BA495="","",'12 - Device_Configuration'!BA495)</f>
        <v/>
      </c>
      <c r="W494" s="29" t="str">
        <f>IF('12 - Device_Configuration'!BC495="","",'12 - Device_Configuration'!BC495)</f>
        <v/>
      </c>
      <c r="X494" s="29" t="str">
        <f>IF('12 - Device_Configuration'!BK495="","",'12 - Device_Configuration'!BK495)</f>
        <v/>
      </c>
      <c r="Y494" s="29" t="str">
        <f>IF('12 - Device_Configuration'!BB495="","",'12 - Device_Configuration'!BB495)</f>
        <v/>
      </c>
      <c r="Z494" s="29" t="str">
        <f>IF('12 - Device_Configuration'!P495="","",'12 - Device_Configuration'!P495)</f>
        <v/>
      </c>
      <c r="AA494" s="29" t="str">
        <f>IF('12 - Device_Configuration'!Q495="","",'12 - Device_Configuration'!Q495)</f>
        <v/>
      </c>
    </row>
    <row r="495" spans="1:27">
      <c r="A495" s="30"/>
      <c r="B495" s="30"/>
      <c r="C495" s="29" t="str">
        <f>IF('12 - Device_Configuration'!H496="","",'12 - Device_Configuration'!H496)</f>
        <v/>
      </c>
      <c r="D495" s="29" t="str">
        <f>IF('12 - Device_Configuration'!AE496="","",'12 - Device_Configuration'!AE496)</f>
        <v/>
      </c>
      <c r="E495" s="29" t="str">
        <f>IF('12 - Device_Configuration'!AF496="","",'12 - Device_Configuration'!AF496)</f>
        <v/>
      </c>
      <c r="F495" s="29" t="str">
        <f>IF('12 - Device_Configuration'!AG496="","",'12 - Device_Configuration'!AG496)</f>
        <v/>
      </c>
      <c r="G495" s="29" t="str">
        <f>IF('12 - Device_Configuration'!AH496="","",'12 - Device_Configuration'!AH496)</f>
        <v/>
      </c>
      <c r="H495" s="29" t="str">
        <f>IF('12 - Device_Configuration'!A496="","",'12 - Device_Configuration'!A496)</f>
        <v/>
      </c>
      <c r="I495" s="29" t="str">
        <f>IF('12 - Device_Configuration'!AI496="","",'12 - Device_Configuration'!AI496)</f>
        <v/>
      </c>
      <c r="J495" s="29" t="str">
        <f>IF('12 - Device_Configuration'!AJ496="","",'12 - Device_Configuration'!AJ496)</f>
        <v/>
      </c>
      <c r="K495" s="29" t="str">
        <f>IF('12 - Device_Configuration'!AA496="","",'12 - Device_Configuration'!AA496)</f>
        <v/>
      </c>
      <c r="L495" s="29" t="str">
        <f>IF('12 - Device_Configuration'!I496="","",'12 - Device_Configuration'!I496)</f>
        <v/>
      </c>
      <c r="M495" s="30"/>
      <c r="N495" s="29" t="str">
        <f>IF('12 - Device_Configuration'!J496="","",'12 - Device_Configuration'!J496)</f>
        <v/>
      </c>
      <c r="O495" s="29" t="str">
        <f>IF('12 - Device_Configuration'!K496="","",'12 - Device_Configuration'!K496)</f>
        <v/>
      </c>
      <c r="P495" s="29" t="str">
        <f>IF('12 - Device_Configuration'!L496="","",'12 - Device_Configuration'!L496)</f>
        <v/>
      </c>
      <c r="Q495" s="30"/>
      <c r="R495" s="29" t="str">
        <f>IF('12 - Device_Configuration'!AY496="","",'12 - Device_Configuration'!AY496)</f>
        <v/>
      </c>
      <c r="S495" s="29" t="str">
        <f>IF('12 - Device_Configuration'!AX496="","",'12 - Device_Configuration'!AX496)</f>
        <v/>
      </c>
      <c r="T495" s="29" t="str">
        <f>IF('12 - Device_Configuration'!AV496="","",'12 - Device_Configuration'!AV496)</f>
        <v/>
      </c>
      <c r="U495" s="29" t="str">
        <f>IF('12 - Device_Configuration'!AW496="","",'12 - Device_Configuration'!AW496)</f>
        <v/>
      </c>
      <c r="V495" s="29" t="str">
        <f>IF('12 - Device_Configuration'!BA496="","",'12 - Device_Configuration'!BA496)</f>
        <v/>
      </c>
      <c r="W495" s="29" t="str">
        <f>IF('12 - Device_Configuration'!BC496="","",'12 - Device_Configuration'!BC496)</f>
        <v/>
      </c>
      <c r="X495" s="29" t="str">
        <f>IF('12 - Device_Configuration'!BK496="","",'12 - Device_Configuration'!BK496)</f>
        <v/>
      </c>
      <c r="Y495" s="29" t="str">
        <f>IF('12 - Device_Configuration'!BB496="","",'12 - Device_Configuration'!BB496)</f>
        <v/>
      </c>
      <c r="Z495" s="29" t="str">
        <f>IF('12 - Device_Configuration'!P496="","",'12 - Device_Configuration'!P496)</f>
        <v/>
      </c>
      <c r="AA495" s="29" t="str">
        <f>IF('12 - Device_Configuration'!Q496="","",'12 - Device_Configuration'!Q496)</f>
        <v/>
      </c>
    </row>
    <row r="496" spans="1:27">
      <c r="A496" s="30"/>
      <c r="B496" s="30"/>
      <c r="C496" s="29" t="str">
        <f>IF('12 - Device_Configuration'!H497="","",'12 - Device_Configuration'!H497)</f>
        <v/>
      </c>
      <c r="D496" s="29" t="str">
        <f>IF('12 - Device_Configuration'!AE497="","",'12 - Device_Configuration'!AE497)</f>
        <v/>
      </c>
      <c r="E496" s="29" t="str">
        <f>IF('12 - Device_Configuration'!AF497="","",'12 - Device_Configuration'!AF497)</f>
        <v/>
      </c>
      <c r="F496" s="29" t="str">
        <f>IF('12 - Device_Configuration'!AG497="","",'12 - Device_Configuration'!AG497)</f>
        <v/>
      </c>
      <c r="G496" s="29" t="str">
        <f>IF('12 - Device_Configuration'!AH497="","",'12 - Device_Configuration'!AH497)</f>
        <v/>
      </c>
      <c r="H496" s="29" t="str">
        <f>IF('12 - Device_Configuration'!A497="","",'12 - Device_Configuration'!A497)</f>
        <v/>
      </c>
      <c r="I496" s="29" t="str">
        <f>IF('12 - Device_Configuration'!AI497="","",'12 - Device_Configuration'!AI497)</f>
        <v/>
      </c>
      <c r="J496" s="29" t="str">
        <f>IF('12 - Device_Configuration'!AJ497="","",'12 - Device_Configuration'!AJ497)</f>
        <v/>
      </c>
      <c r="K496" s="29" t="str">
        <f>IF('12 - Device_Configuration'!AA497="","",'12 - Device_Configuration'!AA497)</f>
        <v/>
      </c>
      <c r="L496" s="29" t="str">
        <f>IF('12 - Device_Configuration'!I497="","",'12 - Device_Configuration'!I497)</f>
        <v/>
      </c>
      <c r="M496" s="30"/>
      <c r="N496" s="29" t="str">
        <f>IF('12 - Device_Configuration'!J497="","",'12 - Device_Configuration'!J497)</f>
        <v/>
      </c>
      <c r="O496" s="29" t="str">
        <f>IF('12 - Device_Configuration'!K497="","",'12 - Device_Configuration'!K497)</f>
        <v/>
      </c>
      <c r="P496" s="29" t="str">
        <f>IF('12 - Device_Configuration'!L497="","",'12 - Device_Configuration'!L497)</f>
        <v/>
      </c>
      <c r="Q496" s="30"/>
      <c r="R496" s="29" t="str">
        <f>IF('12 - Device_Configuration'!AY497="","",'12 - Device_Configuration'!AY497)</f>
        <v/>
      </c>
      <c r="S496" s="29" t="str">
        <f>IF('12 - Device_Configuration'!AX497="","",'12 - Device_Configuration'!AX497)</f>
        <v/>
      </c>
      <c r="T496" s="29" t="str">
        <f>IF('12 - Device_Configuration'!AV497="","",'12 - Device_Configuration'!AV497)</f>
        <v/>
      </c>
      <c r="U496" s="29" t="str">
        <f>IF('12 - Device_Configuration'!AW497="","",'12 - Device_Configuration'!AW497)</f>
        <v/>
      </c>
      <c r="V496" s="29" t="str">
        <f>IF('12 - Device_Configuration'!BA497="","",'12 - Device_Configuration'!BA497)</f>
        <v/>
      </c>
      <c r="W496" s="29" t="str">
        <f>IF('12 - Device_Configuration'!BC497="","",'12 - Device_Configuration'!BC497)</f>
        <v/>
      </c>
      <c r="X496" s="29" t="str">
        <f>IF('12 - Device_Configuration'!BK497="","",'12 - Device_Configuration'!BK497)</f>
        <v/>
      </c>
      <c r="Y496" s="29" t="str">
        <f>IF('12 - Device_Configuration'!BB497="","",'12 - Device_Configuration'!BB497)</f>
        <v/>
      </c>
      <c r="Z496" s="29" t="str">
        <f>IF('12 - Device_Configuration'!P497="","",'12 - Device_Configuration'!P497)</f>
        <v/>
      </c>
      <c r="AA496" s="29" t="str">
        <f>IF('12 - Device_Configuration'!Q497="","",'12 - Device_Configuration'!Q497)</f>
        <v/>
      </c>
    </row>
    <row r="497" spans="1:27">
      <c r="A497" s="30"/>
      <c r="B497" s="30"/>
      <c r="C497" s="29" t="str">
        <f>IF('12 - Device_Configuration'!H498="","",'12 - Device_Configuration'!H498)</f>
        <v/>
      </c>
      <c r="D497" s="29" t="str">
        <f>IF('12 - Device_Configuration'!AE498="","",'12 - Device_Configuration'!AE498)</f>
        <v/>
      </c>
      <c r="E497" s="29" t="str">
        <f>IF('12 - Device_Configuration'!AF498="","",'12 - Device_Configuration'!AF498)</f>
        <v/>
      </c>
      <c r="F497" s="29" t="str">
        <f>IF('12 - Device_Configuration'!AG498="","",'12 - Device_Configuration'!AG498)</f>
        <v/>
      </c>
      <c r="G497" s="29" t="str">
        <f>IF('12 - Device_Configuration'!AH498="","",'12 - Device_Configuration'!AH498)</f>
        <v/>
      </c>
      <c r="H497" s="29" t="str">
        <f>IF('12 - Device_Configuration'!A498="","",'12 - Device_Configuration'!A498)</f>
        <v/>
      </c>
      <c r="I497" s="29" t="str">
        <f>IF('12 - Device_Configuration'!AI498="","",'12 - Device_Configuration'!AI498)</f>
        <v/>
      </c>
      <c r="J497" s="29" t="str">
        <f>IF('12 - Device_Configuration'!AJ498="","",'12 - Device_Configuration'!AJ498)</f>
        <v/>
      </c>
      <c r="K497" s="29" t="str">
        <f>IF('12 - Device_Configuration'!AA498="","",'12 - Device_Configuration'!AA498)</f>
        <v/>
      </c>
      <c r="L497" s="29" t="str">
        <f>IF('12 - Device_Configuration'!I498="","",'12 - Device_Configuration'!I498)</f>
        <v/>
      </c>
      <c r="M497" s="30"/>
      <c r="N497" s="29" t="str">
        <f>IF('12 - Device_Configuration'!J498="","",'12 - Device_Configuration'!J498)</f>
        <v/>
      </c>
      <c r="O497" s="29" t="str">
        <f>IF('12 - Device_Configuration'!K498="","",'12 - Device_Configuration'!K498)</f>
        <v/>
      </c>
      <c r="P497" s="29" t="str">
        <f>IF('12 - Device_Configuration'!L498="","",'12 - Device_Configuration'!L498)</f>
        <v/>
      </c>
      <c r="Q497" s="30"/>
      <c r="R497" s="29" t="str">
        <f>IF('12 - Device_Configuration'!AY498="","",'12 - Device_Configuration'!AY498)</f>
        <v/>
      </c>
      <c r="S497" s="29" t="str">
        <f>IF('12 - Device_Configuration'!AX498="","",'12 - Device_Configuration'!AX498)</f>
        <v/>
      </c>
      <c r="T497" s="29" t="str">
        <f>IF('12 - Device_Configuration'!AV498="","",'12 - Device_Configuration'!AV498)</f>
        <v/>
      </c>
      <c r="U497" s="29" t="str">
        <f>IF('12 - Device_Configuration'!AW498="","",'12 - Device_Configuration'!AW498)</f>
        <v/>
      </c>
      <c r="V497" s="29" t="str">
        <f>IF('12 - Device_Configuration'!BA498="","",'12 - Device_Configuration'!BA498)</f>
        <v/>
      </c>
      <c r="W497" s="29" t="str">
        <f>IF('12 - Device_Configuration'!BC498="","",'12 - Device_Configuration'!BC498)</f>
        <v/>
      </c>
      <c r="X497" s="29" t="str">
        <f>IF('12 - Device_Configuration'!BK498="","",'12 - Device_Configuration'!BK498)</f>
        <v/>
      </c>
      <c r="Y497" s="29" t="str">
        <f>IF('12 - Device_Configuration'!BB498="","",'12 - Device_Configuration'!BB498)</f>
        <v/>
      </c>
      <c r="Z497" s="29" t="str">
        <f>IF('12 - Device_Configuration'!P498="","",'12 - Device_Configuration'!P498)</f>
        <v/>
      </c>
      <c r="AA497" s="29" t="str">
        <f>IF('12 - Device_Configuration'!Q498="","",'12 - Device_Configuration'!Q498)</f>
        <v/>
      </c>
    </row>
    <row r="498" spans="1:27">
      <c r="A498" s="30"/>
      <c r="B498" s="30"/>
      <c r="C498" s="29" t="str">
        <f>IF('12 - Device_Configuration'!H499="","",'12 - Device_Configuration'!H499)</f>
        <v/>
      </c>
      <c r="D498" s="29" t="str">
        <f>IF('12 - Device_Configuration'!AE499="","",'12 - Device_Configuration'!AE499)</f>
        <v/>
      </c>
      <c r="E498" s="29" t="str">
        <f>IF('12 - Device_Configuration'!AF499="","",'12 - Device_Configuration'!AF499)</f>
        <v/>
      </c>
      <c r="F498" s="29" t="str">
        <f>IF('12 - Device_Configuration'!AG499="","",'12 - Device_Configuration'!AG499)</f>
        <v/>
      </c>
      <c r="G498" s="29" t="str">
        <f>IF('12 - Device_Configuration'!AH499="","",'12 - Device_Configuration'!AH499)</f>
        <v/>
      </c>
      <c r="H498" s="29" t="str">
        <f>IF('12 - Device_Configuration'!A499="","",'12 - Device_Configuration'!A499)</f>
        <v/>
      </c>
      <c r="I498" s="29" t="str">
        <f>IF('12 - Device_Configuration'!AI499="","",'12 - Device_Configuration'!AI499)</f>
        <v/>
      </c>
      <c r="J498" s="29" t="str">
        <f>IF('12 - Device_Configuration'!AJ499="","",'12 - Device_Configuration'!AJ499)</f>
        <v/>
      </c>
      <c r="K498" s="29" t="str">
        <f>IF('12 - Device_Configuration'!AA499="","",'12 - Device_Configuration'!AA499)</f>
        <v/>
      </c>
      <c r="L498" s="29" t="str">
        <f>IF('12 - Device_Configuration'!I499="","",'12 - Device_Configuration'!I499)</f>
        <v/>
      </c>
      <c r="M498" s="30"/>
      <c r="N498" s="29" t="str">
        <f>IF('12 - Device_Configuration'!J499="","",'12 - Device_Configuration'!J499)</f>
        <v/>
      </c>
      <c r="O498" s="29" t="str">
        <f>IF('12 - Device_Configuration'!K499="","",'12 - Device_Configuration'!K499)</f>
        <v/>
      </c>
      <c r="P498" s="29" t="str">
        <f>IF('12 - Device_Configuration'!L499="","",'12 - Device_Configuration'!L499)</f>
        <v/>
      </c>
      <c r="Q498" s="30"/>
      <c r="R498" s="29" t="str">
        <f>IF('12 - Device_Configuration'!AY499="","",'12 - Device_Configuration'!AY499)</f>
        <v/>
      </c>
      <c r="S498" s="29" t="str">
        <f>IF('12 - Device_Configuration'!AX499="","",'12 - Device_Configuration'!AX499)</f>
        <v/>
      </c>
      <c r="T498" s="29" t="str">
        <f>IF('12 - Device_Configuration'!AV499="","",'12 - Device_Configuration'!AV499)</f>
        <v/>
      </c>
      <c r="U498" s="29" t="str">
        <f>IF('12 - Device_Configuration'!AW499="","",'12 - Device_Configuration'!AW499)</f>
        <v/>
      </c>
      <c r="V498" s="29" t="str">
        <f>IF('12 - Device_Configuration'!BA499="","",'12 - Device_Configuration'!BA499)</f>
        <v/>
      </c>
      <c r="W498" s="29" t="str">
        <f>IF('12 - Device_Configuration'!BC499="","",'12 - Device_Configuration'!BC499)</f>
        <v/>
      </c>
      <c r="X498" s="29" t="str">
        <f>IF('12 - Device_Configuration'!BK499="","",'12 - Device_Configuration'!BK499)</f>
        <v/>
      </c>
      <c r="Y498" s="29" t="str">
        <f>IF('12 - Device_Configuration'!BB499="","",'12 - Device_Configuration'!BB499)</f>
        <v/>
      </c>
      <c r="Z498" s="29" t="str">
        <f>IF('12 - Device_Configuration'!P499="","",'12 - Device_Configuration'!P499)</f>
        <v/>
      </c>
      <c r="AA498" s="29" t="str">
        <f>IF('12 - Device_Configuration'!Q499="","",'12 - Device_Configuration'!Q499)</f>
        <v/>
      </c>
    </row>
    <row r="499" spans="1:27">
      <c r="A499" s="30"/>
      <c r="B499" s="30"/>
      <c r="C499" s="29" t="str">
        <f>IF('12 - Device_Configuration'!H500="","",'12 - Device_Configuration'!H500)</f>
        <v/>
      </c>
      <c r="D499" s="29" t="str">
        <f>IF('12 - Device_Configuration'!AE500="","",'12 - Device_Configuration'!AE500)</f>
        <v/>
      </c>
      <c r="E499" s="29" t="str">
        <f>IF('12 - Device_Configuration'!AF500="","",'12 - Device_Configuration'!AF500)</f>
        <v/>
      </c>
      <c r="F499" s="29" t="str">
        <f>IF('12 - Device_Configuration'!AG500="","",'12 - Device_Configuration'!AG500)</f>
        <v/>
      </c>
      <c r="G499" s="29" t="str">
        <f>IF('12 - Device_Configuration'!AH500="","",'12 - Device_Configuration'!AH500)</f>
        <v/>
      </c>
      <c r="H499" s="29" t="str">
        <f>IF('12 - Device_Configuration'!A500="","",'12 - Device_Configuration'!A500)</f>
        <v/>
      </c>
      <c r="I499" s="29" t="str">
        <f>IF('12 - Device_Configuration'!AI500="","",'12 - Device_Configuration'!AI500)</f>
        <v/>
      </c>
      <c r="J499" s="29" t="str">
        <f>IF('12 - Device_Configuration'!AJ500="","",'12 - Device_Configuration'!AJ500)</f>
        <v/>
      </c>
      <c r="K499" s="29" t="str">
        <f>IF('12 - Device_Configuration'!AA500="","",'12 - Device_Configuration'!AA500)</f>
        <v/>
      </c>
      <c r="L499" s="29" t="str">
        <f>IF('12 - Device_Configuration'!I500="","",'12 - Device_Configuration'!I500)</f>
        <v/>
      </c>
      <c r="M499" s="30"/>
      <c r="N499" s="29" t="str">
        <f>IF('12 - Device_Configuration'!J500="","",'12 - Device_Configuration'!J500)</f>
        <v/>
      </c>
      <c r="O499" s="29" t="str">
        <f>IF('12 - Device_Configuration'!K500="","",'12 - Device_Configuration'!K500)</f>
        <v/>
      </c>
      <c r="P499" s="29" t="str">
        <f>IF('12 - Device_Configuration'!L500="","",'12 - Device_Configuration'!L500)</f>
        <v/>
      </c>
      <c r="Q499" s="30"/>
      <c r="R499" s="29" t="str">
        <f>IF('12 - Device_Configuration'!AY500="","",'12 - Device_Configuration'!AY500)</f>
        <v/>
      </c>
      <c r="S499" s="29" t="str">
        <f>IF('12 - Device_Configuration'!AX500="","",'12 - Device_Configuration'!AX500)</f>
        <v/>
      </c>
      <c r="T499" s="29" t="str">
        <f>IF('12 - Device_Configuration'!AV500="","",'12 - Device_Configuration'!AV500)</f>
        <v/>
      </c>
      <c r="U499" s="29" t="str">
        <f>IF('12 - Device_Configuration'!AW500="","",'12 - Device_Configuration'!AW500)</f>
        <v/>
      </c>
      <c r="V499" s="29" t="str">
        <f>IF('12 - Device_Configuration'!BA500="","",'12 - Device_Configuration'!BA500)</f>
        <v/>
      </c>
      <c r="W499" s="29" t="str">
        <f>IF('12 - Device_Configuration'!BC500="","",'12 - Device_Configuration'!BC500)</f>
        <v/>
      </c>
      <c r="X499" s="29" t="str">
        <f>IF('12 - Device_Configuration'!BK500="","",'12 - Device_Configuration'!BK500)</f>
        <v/>
      </c>
      <c r="Y499" s="29" t="str">
        <f>IF('12 - Device_Configuration'!BB500="","",'12 - Device_Configuration'!BB500)</f>
        <v/>
      </c>
      <c r="Z499" s="29" t="str">
        <f>IF('12 - Device_Configuration'!P500="","",'12 - Device_Configuration'!P500)</f>
        <v/>
      </c>
      <c r="AA499" s="29" t="str">
        <f>IF('12 - Device_Configuration'!Q500="","",'12 - Device_Configuration'!Q500)</f>
        <v/>
      </c>
    </row>
    <row r="500" spans="1:27">
      <c r="A500" s="30"/>
      <c r="B500" s="30"/>
      <c r="C500" s="29" t="str">
        <f>IF('12 - Device_Configuration'!H501="","",'12 - Device_Configuration'!H501)</f>
        <v/>
      </c>
      <c r="D500" s="29" t="str">
        <f>IF('12 - Device_Configuration'!AE501="","",'12 - Device_Configuration'!AE501)</f>
        <v/>
      </c>
      <c r="E500" s="29" t="str">
        <f>IF('12 - Device_Configuration'!AF501="","",'12 - Device_Configuration'!AF501)</f>
        <v/>
      </c>
      <c r="F500" s="29" t="str">
        <f>IF('12 - Device_Configuration'!AG501="","",'12 - Device_Configuration'!AG501)</f>
        <v/>
      </c>
      <c r="G500" s="29" t="str">
        <f>IF('12 - Device_Configuration'!AH501="","",'12 - Device_Configuration'!AH501)</f>
        <v/>
      </c>
      <c r="H500" s="29" t="str">
        <f>IF('12 - Device_Configuration'!A501="","",'12 - Device_Configuration'!A501)</f>
        <v/>
      </c>
      <c r="I500" s="29" t="str">
        <f>IF('12 - Device_Configuration'!AI501="","",'12 - Device_Configuration'!AI501)</f>
        <v/>
      </c>
      <c r="J500" s="29" t="str">
        <f>IF('12 - Device_Configuration'!AJ501="","",'12 - Device_Configuration'!AJ501)</f>
        <v/>
      </c>
      <c r="K500" s="29" t="str">
        <f>IF('12 - Device_Configuration'!AA501="","",'12 - Device_Configuration'!AA501)</f>
        <v/>
      </c>
      <c r="L500" s="29" t="str">
        <f>IF('12 - Device_Configuration'!I501="","",'12 - Device_Configuration'!I501)</f>
        <v/>
      </c>
      <c r="M500" s="30"/>
      <c r="N500" s="29" t="str">
        <f>IF('12 - Device_Configuration'!J501="","",'12 - Device_Configuration'!J501)</f>
        <v/>
      </c>
      <c r="O500" s="29" t="str">
        <f>IF('12 - Device_Configuration'!K501="","",'12 - Device_Configuration'!K501)</f>
        <v/>
      </c>
      <c r="P500" s="29" t="str">
        <f>IF('12 - Device_Configuration'!L501="","",'12 - Device_Configuration'!L501)</f>
        <v/>
      </c>
      <c r="Q500" s="30"/>
      <c r="R500" s="29" t="str">
        <f>IF('12 - Device_Configuration'!AY501="","",'12 - Device_Configuration'!AY501)</f>
        <v/>
      </c>
      <c r="S500" s="29" t="str">
        <f>IF('12 - Device_Configuration'!AX501="","",'12 - Device_Configuration'!AX501)</f>
        <v/>
      </c>
      <c r="T500" s="29" t="str">
        <f>IF('12 - Device_Configuration'!AV501="","",'12 - Device_Configuration'!AV501)</f>
        <v/>
      </c>
      <c r="U500" s="29" t="str">
        <f>IF('12 - Device_Configuration'!AW501="","",'12 - Device_Configuration'!AW501)</f>
        <v/>
      </c>
      <c r="V500" s="29" t="str">
        <f>IF('12 - Device_Configuration'!BA501="","",'12 - Device_Configuration'!BA501)</f>
        <v/>
      </c>
      <c r="W500" s="29" t="str">
        <f>IF('12 - Device_Configuration'!BC501="","",'12 - Device_Configuration'!BC501)</f>
        <v/>
      </c>
      <c r="X500" s="29" t="str">
        <f>IF('12 - Device_Configuration'!BK501="","",'12 - Device_Configuration'!BK501)</f>
        <v/>
      </c>
      <c r="Y500" s="29" t="str">
        <f>IF('12 - Device_Configuration'!BB501="","",'12 - Device_Configuration'!BB501)</f>
        <v/>
      </c>
      <c r="Z500" s="29" t="str">
        <f>IF('12 - Device_Configuration'!P501="","",'12 - Device_Configuration'!P501)</f>
        <v/>
      </c>
      <c r="AA500" s="29" t="str">
        <f>IF('12 - Device_Configuration'!Q501="","",'12 - Device_Configuration'!Q501)</f>
        <v/>
      </c>
    </row>
    <row r="501" spans="1:27">
      <c r="A501" s="30"/>
      <c r="B501" s="30"/>
      <c r="C501" s="29" t="str">
        <f>IF('12 - Device_Configuration'!H502="","",'12 - Device_Configuration'!H502)</f>
        <v/>
      </c>
      <c r="D501" s="29" t="str">
        <f>IF('12 - Device_Configuration'!AE502="","",'12 - Device_Configuration'!AE502)</f>
        <v/>
      </c>
      <c r="E501" s="29" t="str">
        <f>IF('12 - Device_Configuration'!AF502="","",'12 - Device_Configuration'!AF502)</f>
        <v/>
      </c>
      <c r="F501" s="29" t="str">
        <f>IF('12 - Device_Configuration'!AG502="","",'12 - Device_Configuration'!AG502)</f>
        <v/>
      </c>
      <c r="G501" s="29" t="str">
        <f>IF('12 - Device_Configuration'!AH502="","",'12 - Device_Configuration'!AH502)</f>
        <v/>
      </c>
      <c r="H501" s="29" t="str">
        <f>IF('12 - Device_Configuration'!A502="","",'12 - Device_Configuration'!A502)</f>
        <v/>
      </c>
      <c r="I501" s="29" t="str">
        <f>IF('12 - Device_Configuration'!AI502="","",'12 - Device_Configuration'!AI502)</f>
        <v/>
      </c>
      <c r="J501" s="29" t="str">
        <f>IF('12 - Device_Configuration'!AJ502="","",'12 - Device_Configuration'!AJ502)</f>
        <v/>
      </c>
      <c r="K501" s="29" t="str">
        <f>IF('12 - Device_Configuration'!AA502="","",'12 - Device_Configuration'!AA502)</f>
        <v/>
      </c>
      <c r="L501" s="29" t="str">
        <f>IF('12 - Device_Configuration'!I502="","",'12 - Device_Configuration'!I502)</f>
        <v/>
      </c>
      <c r="M501" s="30"/>
      <c r="N501" s="29" t="str">
        <f>IF('12 - Device_Configuration'!J502="","",'12 - Device_Configuration'!J502)</f>
        <v/>
      </c>
      <c r="O501" s="29" t="str">
        <f>IF('12 - Device_Configuration'!K502="","",'12 - Device_Configuration'!K502)</f>
        <v/>
      </c>
      <c r="P501" s="29" t="str">
        <f>IF('12 - Device_Configuration'!L502="","",'12 - Device_Configuration'!L502)</f>
        <v/>
      </c>
      <c r="Q501" s="30"/>
      <c r="R501" s="29" t="str">
        <f>IF('12 - Device_Configuration'!AY502="","",'12 - Device_Configuration'!AY502)</f>
        <v/>
      </c>
      <c r="S501" s="29" t="str">
        <f>IF('12 - Device_Configuration'!AX502="","",'12 - Device_Configuration'!AX502)</f>
        <v/>
      </c>
      <c r="T501" s="29" t="str">
        <f>IF('12 - Device_Configuration'!AV502="","",'12 - Device_Configuration'!AV502)</f>
        <v/>
      </c>
      <c r="U501" s="29" t="str">
        <f>IF('12 - Device_Configuration'!AW502="","",'12 - Device_Configuration'!AW502)</f>
        <v/>
      </c>
      <c r="V501" s="29" t="str">
        <f>IF('12 - Device_Configuration'!BA502="","",'12 - Device_Configuration'!BA502)</f>
        <v/>
      </c>
      <c r="W501" s="29" t="str">
        <f>IF('12 - Device_Configuration'!BC502="","",'12 - Device_Configuration'!BC502)</f>
        <v/>
      </c>
      <c r="X501" s="29" t="str">
        <f>IF('12 - Device_Configuration'!BK502="","",'12 - Device_Configuration'!BK502)</f>
        <v/>
      </c>
      <c r="Y501" s="29" t="str">
        <f>IF('12 - Device_Configuration'!BB502="","",'12 - Device_Configuration'!BB502)</f>
        <v/>
      </c>
      <c r="Z501" s="29" t="str">
        <f>IF('12 - Device_Configuration'!P502="","",'12 - Device_Configuration'!P502)</f>
        <v/>
      </c>
      <c r="AA501" s="29" t="str">
        <f>IF('12 - Device_Configuration'!Q502="","",'12 - Device_Configuration'!Q502)</f>
        <v/>
      </c>
    </row>
    <row r="502" spans="1:27">
      <c r="A502" s="30"/>
      <c r="B502" s="30"/>
      <c r="C502" s="29" t="str">
        <f>IF('12 - Device_Configuration'!H503="","",'12 - Device_Configuration'!H503)</f>
        <v/>
      </c>
      <c r="D502" s="29" t="str">
        <f>IF('12 - Device_Configuration'!AE503="","",'12 - Device_Configuration'!AE503)</f>
        <v/>
      </c>
      <c r="E502" s="29" t="str">
        <f>IF('12 - Device_Configuration'!AF503="","",'12 - Device_Configuration'!AF503)</f>
        <v/>
      </c>
      <c r="F502" s="29" t="str">
        <f>IF('12 - Device_Configuration'!AG503="","",'12 - Device_Configuration'!AG503)</f>
        <v/>
      </c>
      <c r="G502" s="29" t="str">
        <f>IF('12 - Device_Configuration'!AH503="","",'12 - Device_Configuration'!AH503)</f>
        <v/>
      </c>
      <c r="H502" s="29" t="str">
        <f>IF('12 - Device_Configuration'!A503="","",'12 - Device_Configuration'!A503)</f>
        <v/>
      </c>
      <c r="I502" s="29" t="str">
        <f>IF('12 - Device_Configuration'!AI503="","",'12 - Device_Configuration'!AI503)</f>
        <v/>
      </c>
      <c r="J502" s="29" t="str">
        <f>IF('12 - Device_Configuration'!AJ503="","",'12 - Device_Configuration'!AJ503)</f>
        <v/>
      </c>
      <c r="K502" s="29" t="str">
        <f>IF('12 - Device_Configuration'!AA503="","",'12 - Device_Configuration'!AA503)</f>
        <v/>
      </c>
      <c r="L502" s="29" t="str">
        <f>IF('12 - Device_Configuration'!I503="","",'12 - Device_Configuration'!I503)</f>
        <v/>
      </c>
      <c r="M502" s="30"/>
      <c r="N502" s="29" t="str">
        <f>IF('12 - Device_Configuration'!J503="","",'12 - Device_Configuration'!J503)</f>
        <v/>
      </c>
      <c r="O502" s="29" t="str">
        <f>IF('12 - Device_Configuration'!K503="","",'12 - Device_Configuration'!K503)</f>
        <v/>
      </c>
      <c r="P502" s="29" t="str">
        <f>IF('12 - Device_Configuration'!L503="","",'12 - Device_Configuration'!L503)</f>
        <v/>
      </c>
      <c r="Q502" s="30"/>
      <c r="R502" s="29" t="str">
        <f>IF('12 - Device_Configuration'!AY503="","",'12 - Device_Configuration'!AY503)</f>
        <v/>
      </c>
      <c r="S502" s="29" t="str">
        <f>IF('12 - Device_Configuration'!AX503="","",'12 - Device_Configuration'!AX503)</f>
        <v/>
      </c>
      <c r="T502" s="29" t="str">
        <f>IF('12 - Device_Configuration'!AV503="","",'12 - Device_Configuration'!AV503)</f>
        <v/>
      </c>
      <c r="U502" s="29" t="str">
        <f>IF('12 - Device_Configuration'!AW503="","",'12 - Device_Configuration'!AW503)</f>
        <v/>
      </c>
      <c r="V502" s="29" t="str">
        <f>IF('12 - Device_Configuration'!BA503="","",'12 - Device_Configuration'!BA503)</f>
        <v/>
      </c>
      <c r="W502" s="29" t="str">
        <f>IF('12 - Device_Configuration'!BC503="","",'12 - Device_Configuration'!BC503)</f>
        <v/>
      </c>
      <c r="X502" s="29" t="str">
        <f>IF('12 - Device_Configuration'!BK503="","",'12 - Device_Configuration'!BK503)</f>
        <v/>
      </c>
      <c r="Y502" s="29" t="str">
        <f>IF('12 - Device_Configuration'!BB503="","",'12 - Device_Configuration'!BB503)</f>
        <v/>
      </c>
      <c r="Z502" s="29" t="str">
        <f>IF('12 - Device_Configuration'!P503="","",'12 - Device_Configuration'!P503)</f>
        <v/>
      </c>
      <c r="AA502" s="29" t="str">
        <f>IF('12 - Device_Configuration'!Q503="","",'12 - Device_Configuration'!Q503)</f>
        <v/>
      </c>
    </row>
    <row r="503" spans="1:27">
      <c r="A503" s="30"/>
      <c r="B503" s="30"/>
      <c r="C503" s="29" t="str">
        <f>IF('12 - Device_Configuration'!H504="","",'12 - Device_Configuration'!H504)</f>
        <v/>
      </c>
      <c r="D503" s="29" t="str">
        <f>IF('12 - Device_Configuration'!AE504="","",'12 - Device_Configuration'!AE504)</f>
        <v/>
      </c>
      <c r="E503" s="29" t="str">
        <f>IF('12 - Device_Configuration'!AF504="","",'12 - Device_Configuration'!AF504)</f>
        <v/>
      </c>
      <c r="F503" s="29" t="str">
        <f>IF('12 - Device_Configuration'!AG504="","",'12 - Device_Configuration'!AG504)</f>
        <v/>
      </c>
      <c r="G503" s="29" t="str">
        <f>IF('12 - Device_Configuration'!AH504="","",'12 - Device_Configuration'!AH504)</f>
        <v/>
      </c>
      <c r="H503" s="29" t="str">
        <f>IF('12 - Device_Configuration'!A504="","",'12 - Device_Configuration'!A504)</f>
        <v/>
      </c>
      <c r="I503" s="29" t="str">
        <f>IF('12 - Device_Configuration'!AI504="","",'12 - Device_Configuration'!AI504)</f>
        <v/>
      </c>
      <c r="J503" s="29" t="str">
        <f>IF('12 - Device_Configuration'!AJ504="","",'12 - Device_Configuration'!AJ504)</f>
        <v/>
      </c>
      <c r="K503" s="29" t="str">
        <f>IF('12 - Device_Configuration'!AA504="","",'12 - Device_Configuration'!AA504)</f>
        <v/>
      </c>
      <c r="L503" s="29" t="str">
        <f>IF('12 - Device_Configuration'!I504="","",'12 - Device_Configuration'!I504)</f>
        <v/>
      </c>
      <c r="M503" s="30"/>
      <c r="N503" s="29" t="str">
        <f>IF('12 - Device_Configuration'!J504="","",'12 - Device_Configuration'!J504)</f>
        <v/>
      </c>
      <c r="O503" s="29" t="str">
        <f>IF('12 - Device_Configuration'!K504="","",'12 - Device_Configuration'!K504)</f>
        <v/>
      </c>
      <c r="P503" s="29" t="str">
        <f>IF('12 - Device_Configuration'!L504="","",'12 - Device_Configuration'!L504)</f>
        <v/>
      </c>
      <c r="Q503" s="30"/>
      <c r="R503" s="29" t="str">
        <f>IF('12 - Device_Configuration'!AY504="","",'12 - Device_Configuration'!AY504)</f>
        <v/>
      </c>
      <c r="S503" s="29" t="str">
        <f>IF('12 - Device_Configuration'!AX504="","",'12 - Device_Configuration'!AX504)</f>
        <v/>
      </c>
      <c r="T503" s="29" t="str">
        <f>IF('12 - Device_Configuration'!AV504="","",'12 - Device_Configuration'!AV504)</f>
        <v/>
      </c>
      <c r="U503" s="29" t="str">
        <f>IF('12 - Device_Configuration'!AW504="","",'12 - Device_Configuration'!AW504)</f>
        <v/>
      </c>
      <c r="V503" s="29" t="str">
        <f>IF('12 - Device_Configuration'!BA504="","",'12 - Device_Configuration'!BA504)</f>
        <v/>
      </c>
      <c r="W503" s="29" t="str">
        <f>IF('12 - Device_Configuration'!BC504="","",'12 - Device_Configuration'!BC504)</f>
        <v/>
      </c>
      <c r="X503" s="29" t="str">
        <f>IF('12 - Device_Configuration'!BK504="","",'12 - Device_Configuration'!BK504)</f>
        <v/>
      </c>
      <c r="Y503" s="29" t="str">
        <f>IF('12 - Device_Configuration'!BB504="","",'12 - Device_Configuration'!BB504)</f>
        <v/>
      </c>
      <c r="Z503" s="29" t="str">
        <f>IF('12 - Device_Configuration'!P504="","",'12 - Device_Configuration'!P504)</f>
        <v/>
      </c>
      <c r="AA503" s="29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50" t="s">
        <v>52</v>
      </c>
      <c r="B1" s="50" t="s">
        <v>2060</v>
      </c>
      <c r="C1" s="50" t="s">
        <v>1374</v>
      </c>
      <c r="D1" s="50" t="s">
        <v>2055</v>
      </c>
      <c r="E1" s="50" t="s">
        <v>1366</v>
      </c>
      <c r="F1" s="50" t="s">
        <v>1367</v>
      </c>
      <c r="G1" s="50" t="s">
        <v>1368</v>
      </c>
      <c r="H1" s="50" t="s">
        <v>2057</v>
      </c>
      <c r="I1" s="50" t="s">
        <v>2061</v>
      </c>
      <c r="J1" s="50" t="s">
        <v>2062</v>
      </c>
      <c r="K1" s="50" t="s">
        <v>1412</v>
      </c>
      <c r="L1" s="50" t="s">
        <v>1372</v>
      </c>
      <c r="M1" s="50" t="s">
        <v>1373</v>
      </c>
      <c r="N1" s="50" t="s">
        <v>1415</v>
      </c>
      <c r="O1" s="50" t="s">
        <v>1416</v>
      </c>
      <c r="P1" s="50" t="s">
        <v>1407</v>
      </c>
      <c r="Q1" s="50" t="s">
        <v>2063</v>
      </c>
      <c r="R1" s="50" t="s">
        <v>2064</v>
      </c>
      <c r="S1" s="50" t="s">
        <v>2065</v>
      </c>
      <c r="T1" s="50" t="s">
        <v>2066</v>
      </c>
    </row>
    <row r="2" spans="1:20">
      <c r="A2" s="31" t="str">
        <f>'12 - Device_Configuration'!H2</f>
        <v>LIJ SDF</v>
      </c>
      <c r="B2" s="31" t="str">
        <f>'12 - Device_Configuration'!S2</f>
        <v>LIJ-SDF-MACH-A</v>
      </c>
      <c r="C2" s="31" t="str">
        <f>'12 - Device_Configuration'!T2</f>
        <v>A0F5097FEC20</v>
      </c>
      <c r="D2" s="17" t="str">
        <f>'12 - Device_Configuration'!AJ2</f>
        <v>2008T</v>
      </c>
      <c r="E2" s="17" t="str">
        <f>'12 - Device_Configuration'!J2</f>
        <v>NA</v>
      </c>
      <c r="F2" s="31" t="str">
        <f>'12 - Device_Configuration'!K2</f>
        <v>NA</v>
      </c>
      <c r="G2" s="17" t="str">
        <f>'12 - Device_Configuration'!L2</f>
        <v>NA</v>
      </c>
      <c r="H2" s="17">
        <f>'13 - Config_Intake_View'!M2</f>
        <v>0</v>
      </c>
      <c r="I2" s="31" t="str">
        <f>IF('13 - Config_Intake_View'!Q2&lt;&gt;"",'13 - Config_Intake_View'!Q2,'12 - Device_Configuration'!BH2)</f>
        <v>test</v>
      </c>
      <c r="J2" s="17" t="str">
        <f>IF('13 - Config_Intake_View'!Q2&lt;&gt;"","PM Approved",IF('12 - Device_Configuration'!BH2&lt;&gt;"","Assumed",""))</f>
        <v>Assumed</v>
      </c>
      <c r="K2" s="31" t="str">
        <f>'12 - Device_Configuration'!BG2</f>
        <v>Yes</v>
      </c>
      <c r="L2" s="17">
        <f>'12 - Device_Configuration'!P2</f>
        <v>0</v>
      </c>
      <c r="M2" s="17">
        <f>'12 - Device_Configuration'!Q2</f>
        <v>0</v>
      </c>
      <c r="N2" s="17" t="str">
        <f>'12 - Device_Configuration'!BK2</f>
        <v>Power Cable, Battery, Epic Beans Relay</v>
      </c>
      <c r="O2" s="31" t="str">
        <f>'12 - Device_Configuration'!BL2</f>
        <v>Blocked</v>
      </c>
      <c r="P2" s="2" t="str">
        <f>'12 - Device_Configuration'!BA2</f>
        <v>Yes</v>
      </c>
      <c r="Q2" s="31" t="str">
        <f t="shared" ref="Q2:Q65" si="0">IF(OR($A2="",$B2="",$D2=""),"MISSING CORE FIELDS","")</f>
        <v/>
      </c>
      <c r="R2" s="17" t="str">
        <f t="shared" ref="R2:R65" si="1">IF(AND($I2&lt;&gt;"",$K2&lt;&gt;"Yes"),"SW NOT INSTALLED","")</f>
        <v/>
      </c>
      <c r="S2" s="17" t="str">
        <f t="shared" ref="S2:S65" si="2">IF(AND($H2&lt;&gt;"",ISNUMBER(SEARCH("auto",LOWER($H2))),$F2=""),"AUTOLOGON REQUIRED","")</f>
        <v/>
      </c>
      <c r="T2" s="17" t="str">
        <f t="shared" ref="T2:T65" si="3">IF($Q2&lt;&gt;"",$Q2,IF($S2&lt;&gt;"",$S2,IF($R2&lt;&gt;"",$R2,IF(OR($N2&lt;&gt;"",$O2="Blocked"),"BLOCKED","OK"))))</f>
        <v>BLOCKED</v>
      </c>
    </row>
    <row r="3" spans="1:20">
      <c r="A3" s="31" t="str">
        <f>'12 - Device_Configuration'!H3</f>
        <v>LIJ SDF</v>
      </c>
      <c r="B3" s="31" t="str">
        <f>'12 - Device_Configuration'!S3</f>
        <v>LIJ-SDF-MACH-B</v>
      </c>
      <c r="C3" s="31" t="str">
        <f>'12 - Device_Configuration'!T3</f>
        <v>A0F5097FEEFA</v>
      </c>
      <c r="D3" s="17" t="str">
        <f>'12 - Device_Configuration'!AJ3</f>
        <v>2008T</v>
      </c>
      <c r="E3" s="17" t="str">
        <f>'12 - Device_Configuration'!J3</f>
        <v>NA</v>
      </c>
      <c r="F3" s="31" t="str">
        <f>'12 - Device_Configuration'!K3</f>
        <v>NA</v>
      </c>
      <c r="G3" s="17" t="str">
        <f>'12 - Device_Configuration'!L3</f>
        <v>NA</v>
      </c>
      <c r="H3" s="17">
        <f>'13 - Config_Intake_View'!M3</f>
        <v>0</v>
      </c>
      <c r="I3" s="31">
        <f>IF('13 - Config_Intake_View'!Q3&lt;&gt;"",'13 - Config_Intake_View'!Q3,'12 - Device_Configuration'!BH3)</f>
        <v>0</v>
      </c>
      <c r="J3" s="17" t="str">
        <f>IF('13 - Config_Intake_View'!Q3&lt;&gt;"","PM Approved",IF('12 - Device_Configuration'!BH3&lt;&gt;"","Assumed",""))</f>
        <v/>
      </c>
      <c r="K3" s="31" t="str">
        <f>'12 - Device_Configuration'!BG3</f>
        <v>Yes</v>
      </c>
      <c r="L3" s="17">
        <f>'12 - Device_Configuration'!P3</f>
        <v>0</v>
      </c>
      <c r="M3" s="17">
        <f>'12 - Device_Configuration'!Q3</f>
        <v>0</v>
      </c>
      <c r="N3" s="17" t="str">
        <f>'12 - Device_Configuration'!BK3</f>
        <v>Power Cable, Battery, Epic Beans Relay</v>
      </c>
      <c r="O3" s="31" t="str">
        <f>'12 - Device_Configuration'!BL3</f>
        <v>Blocked</v>
      </c>
      <c r="P3" s="2" t="str">
        <f>'12 - Device_Configuration'!BA3</f>
        <v>Yes</v>
      </c>
      <c r="Q3" s="31" t="str">
        <f t="shared" si="0"/>
        <v/>
      </c>
      <c r="R3" s="17" t="str">
        <f t="shared" si="1"/>
        <v/>
      </c>
      <c r="S3" s="17" t="str">
        <f t="shared" si="2"/>
        <v/>
      </c>
      <c r="T3" s="17" t="str">
        <f t="shared" si="3"/>
        <v>BLOCKED</v>
      </c>
    </row>
    <row r="4" spans="1:20">
      <c r="A4" s="31" t="str">
        <f>'12 - Device_Configuration'!H4</f>
        <v>LIJ SDF</v>
      </c>
      <c r="B4" s="31" t="str">
        <f>'12 - Device_Configuration'!S4</f>
        <v>LIJ-SDF-MACH-C</v>
      </c>
      <c r="C4" s="31" t="str">
        <f>'12 - Device_Configuration'!T4</f>
        <v>A0F5097B89E1</v>
      </c>
      <c r="D4" s="17" t="str">
        <f>'12 - Device_Configuration'!AJ4</f>
        <v>2008T</v>
      </c>
      <c r="E4" s="17" t="str">
        <f>'12 - Device_Configuration'!J4</f>
        <v>NA</v>
      </c>
      <c r="F4" s="31" t="str">
        <f>'12 - Device_Configuration'!K4</f>
        <v>NA</v>
      </c>
      <c r="G4" s="17" t="str">
        <f>'12 - Device_Configuration'!L4</f>
        <v>NA</v>
      </c>
      <c r="H4" s="17">
        <f>'13 - Config_Intake_View'!M4</f>
        <v>0</v>
      </c>
      <c r="I4" s="31">
        <f>IF('13 - Config_Intake_View'!Q4&lt;&gt;"",'13 - Config_Intake_View'!Q4,'12 - Device_Configuration'!BH4)</f>
        <v>0</v>
      </c>
      <c r="J4" s="17" t="str">
        <f>IF('13 - Config_Intake_View'!Q4&lt;&gt;"","PM Approved",IF('12 - Device_Configuration'!BH4&lt;&gt;"","Assumed",""))</f>
        <v/>
      </c>
      <c r="K4" s="31" t="str">
        <f>'12 - Device_Configuration'!BG4</f>
        <v>Yes</v>
      </c>
      <c r="L4" s="17">
        <f>'12 - Device_Configuration'!P4</f>
        <v>0</v>
      </c>
      <c r="M4" s="17">
        <f>'12 - Device_Configuration'!Q4</f>
        <v>0</v>
      </c>
      <c r="N4" s="17" t="str">
        <f>'12 - Device_Configuration'!BK4</f>
        <v>Power Cable, Battery, Epic Beans Relay</v>
      </c>
      <c r="O4" s="31" t="str">
        <f>'12 - Device_Configuration'!BL4</f>
        <v>Blocked</v>
      </c>
      <c r="P4" s="2" t="str">
        <f>'12 - Device_Configuration'!BA4</f>
        <v>Yes</v>
      </c>
      <c r="Q4" s="31" t="str">
        <f t="shared" si="0"/>
        <v/>
      </c>
      <c r="R4" s="17" t="str">
        <f t="shared" si="1"/>
        <v/>
      </c>
      <c r="S4" s="17" t="str">
        <f t="shared" si="2"/>
        <v/>
      </c>
      <c r="T4" s="17" t="str">
        <f t="shared" si="3"/>
        <v>BLOCKED</v>
      </c>
    </row>
    <row r="5" spans="1:20">
      <c r="A5" s="31" t="str">
        <f>'12 - Device_Configuration'!H5</f>
        <v>LIJ SDF</v>
      </c>
      <c r="B5" s="31" t="str">
        <f>'12 - Device_Configuration'!S5</f>
        <v>LIJ-SDF-MACH-D</v>
      </c>
      <c r="C5" s="31" t="str">
        <f>'12 - Device_Configuration'!T5</f>
        <v>A0F5097FE484</v>
      </c>
      <c r="D5" s="17" t="str">
        <f>'12 - Device_Configuration'!AJ5</f>
        <v>2008T</v>
      </c>
      <c r="E5" s="17" t="str">
        <f>'12 - Device_Configuration'!J5</f>
        <v>NA</v>
      </c>
      <c r="F5" s="31" t="str">
        <f>'12 - Device_Configuration'!K5</f>
        <v>NA</v>
      </c>
      <c r="G5" s="17" t="str">
        <f>'12 - Device_Configuration'!L5</f>
        <v>NA</v>
      </c>
      <c r="H5" s="17">
        <f>'13 - Config_Intake_View'!M5</f>
        <v>0</v>
      </c>
      <c r="I5" s="31">
        <f>IF('13 - Config_Intake_View'!Q5&lt;&gt;"",'13 - Config_Intake_View'!Q5,'12 - Device_Configuration'!BH5)</f>
        <v>0</v>
      </c>
      <c r="J5" s="17" t="str">
        <f>IF('13 - Config_Intake_View'!Q5&lt;&gt;"","PM Approved",IF('12 - Device_Configuration'!BH5&lt;&gt;"","Assumed",""))</f>
        <v/>
      </c>
      <c r="K5" s="31" t="str">
        <f>'12 - Device_Configuration'!BG5</f>
        <v>Yes</v>
      </c>
      <c r="L5" s="17">
        <f>'12 - Device_Configuration'!P5</f>
        <v>0</v>
      </c>
      <c r="M5" s="17">
        <f>'12 - Device_Configuration'!Q5</f>
        <v>0</v>
      </c>
      <c r="N5" s="17" t="str">
        <f>'12 - Device_Configuration'!BK5</f>
        <v>Power Cable, Battery, Epic Beans Relay</v>
      </c>
      <c r="O5" s="31" t="str">
        <f>'12 - Device_Configuration'!BL5</f>
        <v>Blocked</v>
      </c>
      <c r="P5" s="2" t="str">
        <f>'12 - Device_Configuration'!BA5</f>
        <v>Yes</v>
      </c>
      <c r="Q5" s="31" t="str">
        <f t="shared" si="0"/>
        <v/>
      </c>
      <c r="R5" s="17" t="str">
        <f t="shared" si="1"/>
        <v/>
      </c>
      <c r="S5" s="17" t="str">
        <f t="shared" si="2"/>
        <v/>
      </c>
      <c r="T5" s="17" t="str">
        <f t="shared" si="3"/>
        <v>BLOCKED</v>
      </c>
    </row>
    <row r="6" spans="1:20">
      <c r="A6" s="31" t="str">
        <f>'12 - Device_Configuration'!H6</f>
        <v>LIJ SDF</v>
      </c>
      <c r="B6" s="31" t="str">
        <f>'12 - Device_Configuration'!S6</f>
        <v>LIJ-SDF-MACH-E</v>
      </c>
      <c r="C6" s="31" t="str">
        <f>'12 - Device_Configuration'!T6</f>
        <v>A0F5097FF05E</v>
      </c>
      <c r="D6" s="17" t="str">
        <f>'12 - Device_Configuration'!AJ6</f>
        <v>2008T</v>
      </c>
      <c r="E6" s="17" t="str">
        <f>'12 - Device_Configuration'!J6</f>
        <v>NA</v>
      </c>
      <c r="F6" s="31" t="str">
        <f>'12 - Device_Configuration'!K6</f>
        <v>NA</v>
      </c>
      <c r="G6" s="17" t="str">
        <f>'12 - Device_Configuration'!L6</f>
        <v>NA</v>
      </c>
      <c r="H6" s="17">
        <f>'13 - Config_Intake_View'!M6</f>
        <v>0</v>
      </c>
      <c r="I6" s="31">
        <f>IF('13 - Config_Intake_View'!Q6&lt;&gt;"",'13 - Config_Intake_View'!Q6,'12 - Device_Configuration'!BH6)</f>
        <v>0</v>
      </c>
      <c r="J6" s="17" t="str">
        <f>IF('13 - Config_Intake_View'!Q6&lt;&gt;"","PM Approved",IF('12 - Device_Configuration'!BH6&lt;&gt;"","Assumed",""))</f>
        <v/>
      </c>
      <c r="K6" s="31" t="str">
        <f>'12 - Device_Configuration'!BG6</f>
        <v>Yes</v>
      </c>
      <c r="L6" s="17">
        <f>'12 - Device_Configuration'!P6</f>
        <v>0</v>
      </c>
      <c r="M6" s="17">
        <f>'12 - Device_Configuration'!Q6</f>
        <v>0</v>
      </c>
      <c r="N6" s="17" t="str">
        <f>'12 - Device_Configuration'!BK6</f>
        <v>Power Cable, Battery, Epic Beans Relay</v>
      </c>
      <c r="O6" s="31" t="str">
        <f>'12 - Device_Configuration'!BL6</f>
        <v>Blocked</v>
      </c>
      <c r="P6" s="2" t="str">
        <f>'12 - Device_Configuration'!BA6</f>
        <v>Yes</v>
      </c>
      <c r="Q6" s="31" t="str">
        <f t="shared" si="0"/>
        <v/>
      </c>
      <c r="R6" s="17" t="str">
        <f t="shared" si="1"/>
        <v/>
      </c>
      <c r="S6" s="17" t="str">
        <f t="shared" si="2"/>
        <v/>
      </c>
      <c r="T6" s="17" t="str">
        <f t="shared" si="3"/>
        <v>BLOCKED</v>
      </c>
    </row>
    <row r="7" spans="1:20">
      <c r="A7" s="31" t="str">
        <f>'12 - Device_Configuration'!H7</f>
        <v>LIJ SDF</v>
      </c>
      <c r="B7" s="31" t="str">
        <f>'12 - Device_Configuration'!S7</f>
        <v>LIJ-SDF-MACH-F</v>
      </c>
      <c r="C7" s="31" t="str">
        <f>'12 - Device_Configuration'!T7</f>
        <v>A0F5097FE3A5</v>
      </c>
      <c r="D7" s="17" t="str">
        <f>'12 - Device_Configuration'!AJ7</f>
        <v>2008T</v>
      </c>
      <c r="E7" s="17" t="str">
        <f>'12 - Device_Configuration'!J7</f>
        <v>NA</v>
      </c>
      <c r="F7" s="31" t="str">
        <f>'12 - Device_Configuration'!K7</f>
        <v>NA</v>
      </c>
      <c r="G7" s="17" t="str">
        <f>'12 - Device_Configuration'!L7</f>
        <v>NA</v>
      </c>
      <c r="H7" s="17">
        <f>'13 - Config_Intake_View'!M7</f>
        <v>0</v>
      </c>
      <c r="I7" s="31">
        <f>IF('13 - Config_Intake_View'!Q7&lt;&gt;"",'13 - Config_Intake_View'!Q7,'12 - Device_Configuration'!BH7)</f>
        <v>0</v>
      </c>
      <c r="J7" s="17" t="str">
        <f>IF('13 - Config_Intake_View'!Q7&lt;&gt;"","PM Approved",IF('12 - Device_Configuration'!BH7&lt;&gt;"","Assumed",""))</f>
        <v/>
      </c>
      <c r="K7" s="31" t="str">
        <f>'12 - Device_Configuration'!BG7</f>
        <v>Yes</v>
      </c>
      <c r="L7" s="17">
        <f>'12 - Device_Configuration'!P7</f>
        <v>0</v>
      </c>
      <c r="M7" s="17">
        <f>'12 - Device_Configuration'!Q7</f>
        <v>0</v>
      </c>
      <c r="N7" s="17" t="str">
        <f>'12 - Device_Configuration'!BK7</f>
        <v>Power Cable, Battery, Epic Beans Relay</v>
      </c>
      <c r="O7" s="31" t="str">
        <f>'12 - Device_Configuration'!BL7</f>
        <v>Blocked</v>
      </c>
      <c r="P7" s="2" t="str">
        <f>'12 - Device_Configuration'!BA7</f>
        <v>Yes</v>
      </c>
      <c r="Q7" s="31" t="str">
        <f t="shared" si="0"/>
        <v/>
      </c>
      <c r="R7" s="17" t="str">
        <f t="shared" si="1"/>
        <v/>
      </c>
      <c r="S7" s="17" t="str">
        <f t="shared" si="2"/>
        <v/>
      </c>
      <c r="T7" s="17" t="str">
        <f t="shared" si="3"/>
        <v>BLOCKED</v>
      </c>
    </row>
    <row r="8" spans="1:20">
      <c r="A8" s="31" t="str">
        <f>'12 - Device_Configuration'!H8</f>
        <v>LIJ SDF</v>
      </c>
      <c r="B8" s="31" t="str">
        <f>'12 - Device_Configuration'!S8</f>
        <v>LIJ-SDF-MACH-G</v>
      </c>
      <c r="C8" s="31" t="str">
        <f>'12 - Device_Configuration'!T8</f>
        <v>A0F5097FE012</v>
      </c>
      <c r="D8" s="17" t="str">
        <f>'12 - Device_Configuration'!AJ8</f>
        <v>2008T</v>
      </c>
      <c r="E8" s="17" t="str">
        <f>'12 - Device_Configuration'!J8</f>
        <v>NA</v>
      </c>
      <c r="F8" s="31" t="str">
        <f>'12 - Device_Configuration'!K8</f>
        <v>NA</v>
      </c>
      <c r="G8" s="17" t="str">
        <f>'12 - Device_Configuration'!L8</f>
        <v>NA</v>
      </c>
      <c r="H8" s="17">
        <f>'13 - Config_Intake_View'!M8</f>
        <v>0</v>
      </c>
      <c r="I8" s="31">
        <f>IF('13 - Config_Intake_View'!Q8&lt;&gt;"",'13 - Config_Intake_View'!Q8,'12 - Device_Configuration'!BH8)</f>
        <v>0</v>
      </c>
      <c r="J8" s="17" t="str">
        <f>IF('13 - Config_Intake_View'!Q8&lt;&gt;"","PM Approved",IF('12 - Device_Configuration'!BH8&lt;&gt;"","Assumed",""))</f>
        <v/>
      </c>
      <c r="K8" s="31" t="str">
        <f>'12 - Device_Configuration'!BG8</f>
        <v>Yes</v>
      </c>
      <c r="L8" s="17">
        <f>'12 - Device_Configuration'!P8</f>
        <v>0</v>
      </c>
      <c r="M8" s="17">
        <f>'12 - Device_Configuration'!Q8</f>
        <v>0</v>
      </c>
      <c r="N8" s="17" t="str">
        <f>'12 - Device_Configuration'!BK8</f>
        <v>Power Cable, Battery, Epic Beans Relay</v>
      </c>
      <c r="O8" s="31" t="str">
        <f>'12 - Device_Configuration'!BL8</f>
        <v>Blocked</v>
      </c>
      <c r="P8" s="2" t="str">
        <f>'12 - Device_Configuration'!BA8</f>
        <v>Yes</v>
      </c>
      <c r="Q8" s="31" t="str">
        <f t="shared" si="0"/>
        <v/>
      </c>
      <c r="R8" s="17" t="str">
        <f t="shared" si="1"/>
        <v/>
      </c>
      <c r="S8" s="17" t="str">
        <f t="shared" si="2"/>
        <v/>
      </c>
      <c r="T8" s="17" t="str">
        <f t="shared" si="3"/>
        <v>BLOCKED</v>
      </c>
    </row>
    <row r="9" spans="1:20">
      <c r="A9" s="31" t="str">
        <f>'12 - Device_Configuration'!H9</f>
        <v>LIJ SDF</v>
      </c>
      <c r="B9" s="31" t="str">
        <f>'12 - Device_Configuration'!S9</f>
        <v>LIJ-SDF-MACH-H</v>
      </c>
      <c r="C9" s="31" t="str">
        <f>'12 - Device_Configuration'!T9</f>
        <v>A0F5097FEB57</v>
      </c>
      <c r="D9" s="17" t="str">
        <f>'12 - Device_Configuration'!AJ9</f>
        <v>2008T</v>
      </c>
      <c r="E9" s="17" t="str">
        <f>'12 - Device_Configuration'!J9</f>
        <v>NA</v>
      </c>
      <c r="F9" s="31" t="str">
        <f>'12 - Device_Configuration'!K9</f>
        <v>NA</v>
      </c>
      <c r="G9" s="17" t="str">
        <f>'12 - Device_Configuration'!L9</f>
        <v>NA</v>
      </c>
      <c r="H9" s="17">
        <f>'13 - Config_Intake_View'!M9</f>
        <v>0</v>
      </c>
      <c r="I9" s="31">
        <f>IF('13 - Config_Intake_View'!Q9&lt;&gt;"",'13 - Config_Intake_View'!Q9,'12 - Device_Configuration'!BH9)</f>
        <v>0</v>
      </c>
      <c r="J9" s="17" t="str">
        <f>IF('13 - Config_Intake_View'!Q9&lt;&gt;"","PM Approved",IF('12 - Device_Configuration'!BH9&lt;&gt;"","Assumed",""))</f>
        <v/>
      </c>
      <c r="K9" s="31" t="str">
        <f>'12 - Device_Configuration'!BG9</f>
        <v>Yes</v>
      </c>
      <c r="L9" s="17">
        <f>'12 - Device_Configuration'!P9</f>
        <v>0</v>
      </c>
      <c r="M9" s="17">
        <f>'12 - Device_Configuration'!Q9</f>
        <v>0</v>
      </c>
      <c r="N9" s="17" t="str">
        <f>'12 - Device_Configuration'!BK9</f>
        <v>Power Cable, Battery, Epic Beans Relay</v>
      </c>
      <c r="O9" s="31" t="str">
        <f>'12 - Device_Configuration'!BL9</f>
        <v>Blocked</v>
      </c>
      <c r="P9" s="2" t="str">
        <f>'12 - Device_Configuration'!BA9</f>
        <v>Yes</v>
      </c>
      <c r="Q9" s="31" t="str">
        <f t="shared" si="0"/>
        <v/>
      </c>
      <c r="R9" s="17" t="str">
        <f t="shared" si="1"/>
        <v/>
      </c>
      <c r="S9" s="17" t="str">
        <f t="shared" si="2"/>
        <v/>
      </c>
      <c r="T9" s="17" t="str">
        <f t="shared" si="3"/>
        <v>BLOCKED</v>
      </c>
    </row>
    <row r="10" spans="1:20">
      <c r="A10" s="31" t="str">
        <f>'12 - Device_Configuration'!H10</f>
        <v>LIJ SDF</v>
      </c>
      <c r="B10" s="31" t="str">
        <f>'12 - Device_Configuration'!S10</f>
        <v>LIJ-SDF-MACH-I</v>
      </c>
      <c r="C10" s="31" t="str">
        <f>'12 - Device_Configuration'!T10</f>
        <v>A0F5097FDF60</v>
      </c>
      <c r="D10" s="17" t="str">
        <f>'12 - Device_Configuration'!AJ10</f>
        <v>2008T</v>
      </c>
      <c r="E10" s="17" t="str">
        <f>'12 - Device_Configuration'!J10</f>
        <v>NA</v>
      </c>
      <c r="F10" s="31" t="str">
        <f>'12 - Device_Configuration'!K10</f>
        <v>NA</v>
      </c>
      <c r="G10" s="17" t="str">
        <f>'12 - Device_Configuration'!L10</f>
        <v>NA</v>
      </c>
      <c r="H10" s="17">
        <f>'13 - Config_Intake_View'!M10</f>
        <v>0</v>
      </c>
      <c r="I10" s="31">
        <f>IF('13 - Config_Intake_View'!Q10&lt;&gt;"",'13 - Config_Intake_View'!Q10,'12 - Device_Configuration'!BH10)</f>
        <v>0</v>
      </c>
      <c r="J10" s="17" t="str">
        <f>IF('13 - Config_Intake_View'!Q10&lt;&gt;"","PM Approved",IF('12 - Device_Configuration'!BH10&lt;&gt;"","Assumed",""))</f>
        <v/>
      </c>
      <c r="K10" s="31" t="str">
        <f>'12 - Device_Configuration'!BG10</f>
        <v>Yes</v>
      </c>
      <c r="L10" s="17">
        <f>'12 - Device_Configuration'!P10</f>
        <v>0</v>
      </c>
      <c r="M10" s="17">
        <f>'12 - Device_Configuration'!Q10</f>
        <v>0</v>
      </c>
      <c r="N10" s="17" t="str">
        <f>'12 - Device_Configuration'!BK10</f>
        <v>Power Cable, Battery, Epic Beans Relay</v>
      </c>
      <c r="O10" s="31" t="str">
        <f>'12 - Device_Configuration'!BL10</f>
        <v>Blocked</v>
      </c>
      <c r="P10" s="2" t="str">
        <f>'12 - Device_Configuration'!BA10</f>
        <v>Yes</v>
      </c>
      <c r="Q10" s="31" t="str">
        <f t="shared" si="0"/>
        <v/>
      </c>
      <c r="R10" s="17" t="str">
        <f t="shared" si="1"/>
        <v/>
      </c>
      <c r="S10" s="17" t="str">
        <f t="shared" si="2"/>
        <v/>
      </c>
      <c r="T10" s="17" t="str">
        <f t="shared" si="3"/>
        <v>BLOCKED</v>
      </c>
    </row>
    <row r="11" spans="1:20">
      <c r="A11" s="31" t="str">
        <f>'12 - Device_Configuration'!H11</f>
        <v>LIJ SDF</v>
      </c>
      <c r="B11" s="31" t="str">
        <f>'12 - Device_Configuration'!S11</f>
        <v>LIJ-SDF-MACH-J</v>
      </c>
      <c r="C11" s="31" t="str">
        <f>'12 - Device_Configuration'!T11</f>
        <v>A0F5097FF17E</v>
      </c>
      <c r="D11" s="17" t="str">
        <f>'12 - Device_Configuration'!AJ11</f>
        <v>2008T</v>
      </c>
      <c r="E11" s="17" t="str">
        <f>'12 - Device_Configuration'!J11</f>
        <v>NA</v>
      </c>
      <c r="F11" s="31" t="str">
        <f>'12 - Device_Configuration'!K11</f>
        <v>NA</v>
      </c>
      <c r="G11" s="17" t="str">
        <f>'12 - Device_Configuration'!L11</f>
        <v>NA</v>
      </c>
      <c r="H11" s="17">
        <f>'13 - Config_Intake_View'!M11</f>
        <v>0</v>
      </c>
      <c r="I11" s="31">
        <f>IF('13 - Config_Intake_View'!Q11&lt;&gt;"",'13 - Config_Intake_View'!Q11,'12 - Device_Configuration'!BH11)</f>
        <v>0</v>
      </c>
      <c r="J11" s="17" t="str">
        <f>IF('13 - Config_Intake_View'!Q11&lt;&gt;"","PM Approved",IF('12 - Device_Configuration'!BH11&lt;&gt;"","Assumed",""))</f>
        <v/>
      </c>
      <c r="K11" s="31" t="str">
        <f>'12 - Device_Configuration'!BG11</f>
        <v>Yes</v>
      </c>
      <c r="L11" s="17">
        <f>'12 - Device_Configuration'!P11</f>
        <v>0</v>
      </c>
      <c r="M11" s="17">
        <f>'12 - Device_Configuration'!Q11</f>
        <v>0</v>
      </c>
      <c r="N11" s="17" t="str">
        <f>'12 - Device_Configuration'!BK11</f>
        <v>Power Cable, Battery, Epic Beans Relay</v>
      </c>
      <c r="O11" s="31" t="str">
        <f>'12 - Device_Configuration'!BL11</f>
        <v>Blocked</v>
      </c>
      <c r="P11" s="2" t="str">
        <f>'12 - Device_Configuration'!BA11</f>
        <v>Yes</v>
      </c>
      <c r="Q11" s="31" t="str">
        <f t="shared" si="0"/>
        <v/>
      </c>
      <c r="R11" s="17" t="str">
        <f t="shared" si="1"/>
        <v/>
      </c>
      <c r="S11" s="17" t="str">
        <f t="shared" si="2"/>
        <v/>
      </c>
      <c r="T11" s="17" t="str">
        <f t="shared" si="3"/>
        <v>BLOCKED</v>
      </c>
    </row>
    <row r="12" spans="1:20">
      <c r="A12" s="31" t="str">
        <f>'12 - Device_Configuration'!H12</f>
        <v>LIJ SDF</v>
      </c>
      <c r="B12" s="31" t="str">
        <f>'12 - Device_Configuration'!S12</f>
        <v>LIJ-SDF-MACH-K</v>
      </c>
      <c r="C12" s="31" t="str">
        <f>'12 - Device_Configuration'!T12</f>
        <v>A0F5097FDE6F</v>
      </c>
      <c r="D12" s="17" t="str">
        <f>'12 - Device_Configuration'!AJ12</f>
        <v>2008T</v>
      </c>
      <c r="E12" s="17" t="str">
        <f>'12 - Device_Configuration'!J12</f>
        <v>NA</v>
      </c>
      <c r="F12" s="31" t="str">
        <f>'12 - Device_Configuration'!K12</f>
        <v>NA</v>
      </c>
      <c r="G12" s="17" t="str">
        <f>'12 - Device_Configuration'!L12</f>
        <v>NA</v>
      </c>
      <c r="H12" s="17">
        <f>'13 - Config_Intake_View'!M12</f>
        <v>0</v>
      </c>
      <c r="I12" s="31">
        <f>IF('13 - Config_Intake_View'!Q12&lt;&gt;"",'13 - Config_Intake_View'!Q12,'12 - Device_Configuration'!BH12)</f>
        <v>0</v>
      </c>
      <c r="J12" s="17" t="str">
        <f>IF('13 - Config_Intake_View'!Q12&lt;&gt;"","PM Approved",IF('12 - Device_Configuration'!BH12&lt;&gt;"","Assumed",""))</f>
        <v/>
      </c>
      <c r="K12" s="31" t="str">
        <f>'12 - Device_Configuration'!BG12</f>
        <v>Yes</v>
      </c>
      <c r="L12" s="17">
        <f>'12 - Device_Configuration'!P12</f>
        <v>0</v>
      </c>
      <c r="M12" s="17">
        <f>'12 - Device_Configuration'!Q12</f>
        <v>0</v>
      </c>
      <c r="N12" s="17" t="str">
        <f>'12 - Device_Configuration'!BK12</f>
        <v>Power Cable, Battery, Epic Beans Relay</v>
      </c>
      <c r="O12" s="31" t="str">
        <f>'12 - Device_Configuration'!BL12</f>
        <v>Blocked</v>
      </c>
      <c r="P12" s="2" t="str">
        <f>'12 - Device_Configuration'!BA12</f>
        <v>Yes</v>
      </c>
      <c r="Q12" s="31" t="str">
        <f t="shared" si="0"/>
        <v/>
      </c>
      <c r="R12" s="17" t="str">
        <f t="shared" si="1"/>
        <v/>
      </c>
      <c r="S12" s="17" t="str">
        <f t="shared" si="2"/>
        <v/>
      </c>
      <c r="T12" s="17" t="str">
        <f t="shared" si="3"/>
        <v>BLOCKED</v>
      </c>
    </row>
    <row r="13" spans="1:20">
      <c r="A13" s="31" t="str">
        <f>'12 - Device_Configuration'!H13</f>
        <v>LIJ SDF</v>
      </c>
      <c r="B13" s="31" t="str">
        <f>'12 - Device_Configuration'!S13</f>
        <v>LIJ-SDF-MACH-L</v>
      </c>
      <c r="C13" s="31" t="str">
        <f>'12 - Device_Configuration'!T13</f>
        <v>A0F5097FEFFB</v>
      </c>
      <c r="D13" s="17" t="str">
        <f>'12 - Device_Configuration'!AJ13</f>
        <v>2008T</v>
      </c>
      <c r="E13" s="17" t="str">
        <f>'12 - Device_Configuration'!J13</f>
        <v>NA</v>
      </c>
      <c r="F13" s="31" t="str">
        <f>'12 - Device_Configuration'!K13</f>
        <v>NA</v>
      </c>
      <c r="G13" s="17" t="str">
        <f>'12 - Device_Configuration'!L13</f>
        <v>NA</v>
      </c>
      <c r="H13" s="17">
        <f>'13 - Config_Intake_View'!M13</f>
        <v>0</v>
      </c>
      <c r="I13" s="31">
        <f>IF('13 - Config_Intake_View'!Q13&lt;&gt;"",'13 - Config_Intake_View'!Q13,'12 - Device_Configuration'!BH13)</f>
        <v>0</v>
      </c>
      <c r="J13" s="17" t="str">
        <f>IF('13 - Config_Intake_View'!Q13&lt;&gt;"","PM Approved",IF('12 - Device_Configuration'!BH13&lt;&gt;"","Assumed",""))</f>
        <v/>
      </c>
      <c r="K13" s="31" t="str">
        <f>'12 - Device_Configuration'!BG13</f>
        <v>Yes</v>
      </c>
      <c r="L13" s="17">
        <f>'12 - Device_Configuration'!P13</f>
        <v>0</v>
      </c>
      <c r="M13" s="17">
        <f>'12 - Device_Configuration'!Q13</f>
        <v>0</v>
      </c>
      <c r="N13" s="17" t="str">
        <f>'12 - Device_Configuration'!BK13</f>
        <v>Power Cable, Battery, Epic Beans Relay</v>
      </c>
      <c r="O13" s="31" t="str">
        <f>'12 - Device_Configuration'!BL13</f>
        <v>Blocked</v>
      </c>
      <c r="P13" s="2" t="str">
        <f>'12 - Device_Configuration'!BA13</f>
        <v>Yes</v>
      </c>
      <c r="Q13" s="31" t="str">
        <f t="shared" si="0"/>
        <v/>
      </c>
      <c r="R13" s="17" t="str">
        <f t="shared" si="1"/>
        <v/>
      </c>
      <c r="S13" s="17" t="str">
        <f t="shared" si="2"/>
        <v/>
      </c>
      <c r="T13" s="17" t="str">
        <f t="shared" si="3"/>
        <v>BLOCKED</v>
      </c>
    </row>
    <row r="14" spans="1:20">
      <c r="A14" s="31" t="str">
        <f>'12 - Device_Configuration'!H14</f>
        <v>LIJ SDF</v>
      </c>
      <c r="B14" s="31" t="str">
        <f>'12 - Device_Configuration'!S14</f>
        <v>LIJ-SDF-MACH-M</v>
      </c>
      <c r="C14" s="31" t="str">
        <f>'12 - Device_Configuration'!T14</f>
        <v>A0F5097FEF3A</v>
      </c>
      <c r="D14" s="17" t="str">
        <f>'12 - Device_Configuration'!AJ14</f>
        <v>2008T</v>
      </c>
      <c r="E14" s="17" t="str">
        <f>'12 - Device_Configuration'!J14</f>
        <v>NA</v>
      </c>
      <c r="F14" s="31" t="str">
        <f>'12 - Device_Configuration'!K14</f>
        <v>NA</v>
      </c>
      <c r="G14" s="17" t="str">
        <f>'12 - Device_Configuration'!L14</f>
        <v>NA</v>
      </c>
      <c r="H14" s="17">
        <f>'13 - Config_Intake_View'!M14</f>
        <v>0</v>
      </c>
      <c r="I14" s="31">
        <f>IF('13 - Config_Intake_View'!Q14&lt;&gt;"",'13 - Config_Intake_View'!Q14,'12 - Device_Configuration'!BH14)</f>
        <v>0</v>
      </c>
      <c r="J14" s="17" t="str">
        <f>IF('13 - Config_Intake_View'!Q14&lt;&gt;"","PM Approved",IF('12 - Device_Configuration'!BH14&lt;&gt;"","Assumed",""))</f>
        <v/>
      </c>
      <c r="K14" s="31" t="str">
        <f>'12 - Device_Configuration'!BG14</f>
        <v>Yes</v>
      </c>
      <c r="L14" s="17">
        <f>'12 - Device_Configuration'!P14</f>
        <v>0</v>
      </c>
      <c r="M14" s="17">
        <f>'12 - Device_Configuration'!Q14</f>
        <v>0</v>
      </c>
      <c r="N14" s="17" t="str">
        <f>'12 - Device_Configuration'!BK14</f>
        <v>Power Cable, Battery, Epic Beans Relay</v>
      </c>
      <c r="O14" s="31" t="str">
        <f>'12 - Device_Configuration'!BL14</f>
        <v>Blocked</v>
      </c>
      <c r="P14" s="2" t="str">
        <f>'12 - Device_Configuration'!BA14</f>
        <v>Yes</v>
      </c>
      <c r="Q14" s="31" t="str">
        <f t="shared" si="0"/>
        <v/>
      </c>
      <c r="R14" s="17" t="str">
        <f t="shared" si="1"/>
        <v/>
      </c>
      <c r="S14" s="17" t="str">
        <f t="shared" si="2"/>
        <v/>
      </c>
      <c r="T14" s="17" t="str">
        <f t="shared" si="3"/>
        <v>BLOCKED</v>
      </c>
    </row>
    <row r="15" spans="1:20">
      <c r="A15" s="31" t="str">
        <f>'12 - Device_Configuration'!H15</f>
        <v>LIJ SDF</v>
      </c>
      <c r="B15" s="31" t="str">
        <f>'12 - Device_Configuration'!S15</f>
        <v>LIJ-SDF-MACH-N</v>
      </c>
      <c r="C15" s="31" t="str">
        <f>'12 - Device_Configuration'!T15</f>
        <v>A0F5097B98D9</v>
      </c>
      <c r="D15" s="17" t="str">
        <f>'12 - Device_Configuration'!AJ15</f>
        <v>2008T</v>
      </c>
      <c r="E15" s="17" t="str">
        <f>'12 - Device_Configuration'!J15</f>
        <v>NA</v>
      </c>
      <c r="F15" s="31" t="str">
        <f>'12 - Device_Configuration'!K15</f>
        <v>NA</v>
      </c>
      <c r="G15" s="17" t="str">
        <f>'12 - Device_Configuration'!L15</f>
        <v>NA</v>
      </c>
      <c r="H15" s="17">
        <f>'13 - Config_Intake_View'!M15</f>
        <v>0</v>
      </c>
      <c r="I15" s="31">
        <f>IF('13 - Config_Intake_View'!Q15&lt;&gt;"",'13 - Config_Intake_View'!Q15,'12 - Device_Configuration'!BH15)</f>
        <v>0</v>
      </c>
      <c r="J15" s="17" t="str">
        <f>IF('13 - Config_Intake_View'!Q15&lt;&gt;"","PM Approved",IF('12 - Device_Configuration'!BH15&lt;&gt;"","Assumed",""))</f>
        <v/>
      </c>
      <c r="K15" s="31" t="str">
        <f>'12 - Device_Configuration'!BG15</f>
        <v>Yes</v>
      </c>
      <c r="L15" s="17">
        <f>'12 - Device_Configuration'!P15</f>
        <v>0</v>
      </c>
      <c r="M15" s="17">
        <f>'12 - Device_Configuration'!Q15</f>
        <v>0</v>
      </c>
      <c r="N15" s="17" t="str">
        <f>'12 - Device_Configuration'!BK15</f>
        <v>Power Cable, Battery, Epic Beans Relay</v>
      </c>
      <c r="O15" s="31" t="str">
        <f>'12 - Device_Configuration'!BL15</f>
        <v>Blocked</v>
      </c>
      <c r="P15" s="2" t="str">
        <f>'12 - Device_Configuration'!BA15</f>
        <v>Yes</v>
      </c>
      <c r="Q15" s="31" t="str">
        <f t="shared" si="0"/>
        <v/>
      </c>
      <c r="R15" s="17" t="str">
        <f t="shared" si="1"/>
        <v/>
      </c>
      <c r="S15" s="17" t="str">
        <f t="shared" si="2"/>
        <v/>
      </c>
      <c r="T15" s="17" t="str">
        <f t="shared" si="3"/>
        <v>BLOCKED</v>
      </c>
    </row>
    <row r="16" spans="1:20">
      <c r="A16" s="31" t="str">
        <f>'12 - Device_Configuration'!H16</f>
        <v>LIJ SDF</v>
      </c>
      <c r="B16" s="31" t="str">
        <f>'12 - Device_Configuration'!S16</f>
        <v>LIJ-SDF-MACH-O</v>
      </c>
      <c r="C16" s="31" t="str">
        <f>'12 - Device_Configuration'!T16</f>
        <v>A0F5097BA0A3</v>
      </c>
      <c r="D16" s="17" t="str">
        <f>'12 - Device_Configuration'!AJ16</f>
        <v>2008T</v>
      </c>
      <c r="E16" s="17" t="str">
        <f>'12 - Device_Configuration'!J16</f>
        <v>NA</v>
      </c>
      <c r="F16" s="31" t="str">
        <f>'12 - Device_Configuration'!K16</f>
        <v>NA</v>
      </c>
      <c r="G16" s="17" t="str">
        <f>'12 - Device_Configuration'!L16</f>
        <v>NA</v>
      </c>
      <c r="H16" s="17">
        <f>'13 - Config_Intake_View'!M16</f>
        <v>0</v>
      </c>
      <c r="I16" s="31">
        <f>IF('13 - Config_Intake_View'!Q16&lt;&gt;"",'13 - Config_Intake_View'!Q16,'12 - Device_Configuration'!BH16)</f>
        <v>0</v>
      </c>
      <c r="J16" s="17" t="str">
        <f>IF('13 - Config_Intake_View'!Q16&lt;&gt;"","PM Approved",IF('12 - Device_Configuration'!BH16&lt;&gt;"","Assumed",""))</f>
        <v/>
      </c>
      <c r="K16" s="31" t="str">
        <f>'12 - Device_Configuration'!BG16</f>
        <v>Yes</v>
      </c>
      <c r="L16" s="17">
        <f>'12 - Device_Configuration'!P16</f>
        <v>0</v>
      </c>
      <c r="M16" s="17">
        <f>'12 - Device_Configuration'!Q16</f>
        <v>0</v>
      </c>
      <c r="N16" s="17" t="str">
        <f>'12 - Device_Configuration'!BK16</f>
        <v>Power Cable, Battery, Epic Beans Relay</v>
      </c>
      <c r="O16" s="31" t="str">
        <f>'12 - Device_Configuration'!BL16</f>
        <v>Blocked</v>
      </c>
      <c r="P16" s="2" t="str">
        <f>'12 - Device_Configuration'!BA16</f>
        <v>Yes</v>
      </c>
      <c r="Q16" s="31" t="str">
        <f t="shared" si="0"/>
        <v/>
      </c>
      <c r="R16" s="17" t="str">
        <f t="shared" si="1"/>
        <v/>
      </c>
      <c r="S16" s="17" t="str">
        <f t="shared" si="2"/>
        <v/>
      </c>
      <c r="T16" s="17" t="str">
        <f t="shared" si="3"/>
        <v>BLOCKED</v>
      </c>
    </row>
    <row r="17" spans="1:20">
      <c r="A17" s="31" t="str">
        <f>'12 - Device_Configuration'!H17</f>
        <v>LIJ SDF</v>
      </c>
      <c r="B17" s="31" t="str">
        <f>'12 - Device_Configuration'!S17</f>
        <v>LIJ-SDF-MACH-P</v>
      </c>
      <c r="C17" s="31" t="str">
        <f>'12 - Device_Configuration'!T17</f>
        <v>A0F5097FE29D</v>
      </c>
      <c r="D17" s="17" t="str">
        <f>'12 - Device_Configuration'!AJ17</f>
        <v>2008T</v>
      </c>
      <c r="E17" s="17" t="str">
        <f>'12 - Device_Configuration'!J17</f>
        <v>NA</v>
      </c>
      <c r="F17" s="31" t="str">
        <f>'12 - Device_Configuration'!K17</f>
        <v>NA</v>
      </c>
      <c r="G17" s="17" t="str">
        <f>'12 - Device_Configuration'!L17</f>
        <v>NA</v>
      </c>
      <c r="H17" s="17">
        <f>'13 - Config_Intake_View'!M17</f>
        <v>0</v>
      </c>
      <c r="I17" s="31">
        <f>IF('13 - Config_Intake_View'!Q17&lt;&gt;"",'13 - Config_Intake_View'!Q17,'12 - Device_Configuration'!BH17)</f>
        <v>0</v>
      </c>
      <c r="J17" s="17" t="str">
        <f>IF('13 - Config_Intake_View'!Q17&lt;&gt;"","PM Approved",IF('12 - Device_Configuration'!BH17&lt;&gt;"","Assumed",""))</f>
        <v/>
      </c>
      <c r="K17" s="31" t="str">
        <f>'12 - Device_Configuration'!BG17</f>
        <v>Yes</v>
      </c>
      <c r="L17" s="17">
        <f>'12 - Device_Configuration'!P17</f>
        <v>0</v>
      </c>
      <c r="M17" s="17">
        <f>'12 - Device_Configuration'!Q17</f>
        <v>0</v>
      </c>
      <c r="N17" s="17" t="str">
        <f>'12 - Device_Configuration'!BK17</f>
        <v>Power Cable, Battery, Epic Beans Relay</v>
      </c>
      <c r="O17" s="31" t="str">
        <f>'12 - Device_Configuration'!BL17</f>
        <v>Blocked</v>
      </c>
      <c r="P17" s="2" t="str">
        <f>'12 - Device_Configuration'!BA17</f>
        <v>Yes</v>
      </c>
      <c r="Q17" s="31" t="str">
        <f t="shared" si="0"/>
        <v/>
      </c>
      <c r="R17" s="17" t="str">
        <f t="shared" si="1"/>
        <v/>
      </c>
      <c r="S17" s="17" t="str">
        <f t="shared" si="2"/>
        <v/>
      </c>
      <c r="T17" s="17" t="str">
        <f t="shared" si="3"/>
        <v>BLOCKED</v>
      </c>
    </row>
    <row r="18" spans="1:20">
      <c r="A18" s="31" t="str">
        <f>'12 - Device_Configuration'!H18</f>
        <v>LIJ SDF</v>
      </c>
      <c r="B18" s="31" t="str">
        <f>'12 - Device_Configuration'!S18</f>
        <v>LIJ-SDF-MACH-Q</v>
      </c>
      <c r="C18" s="31" t="str">
        <f>'12 - Device_Configuration'!T18</f>
        <v>A0F5097FDF52</v>
      </c>
      <c r="D18" s="17" t="str">
        <f>'12 - Device_Configuration'!AJ18</f>
        <v>2008T</v>
      </c>
      <c r="E18" s="17" t="str">
        <f>'12 - Device_Configuration'!J18</f>
        <v>NA</v>
      </c>
      <c r="F18" s="31" t="str">
        <f>'12 - Device_Configuration'!K18</f>
        <v>NA</v>
      </c>
      <c r="G18" s="17" t="str">
        <f>'12 - Device_Configuration'!L18</f>
        <v>NA</v>
      </c>
      <c r="H18" s="17">
        <f>'13 - Config_Intake_View'!M18</f>
        <v>0</v>
      </c>
      <c r="I18" s="31">
        <f>IF('13 - Config_Intake_View'!Q18&lt;&gt;"",'13 - Config_Intake_View'!Q18,'12 - Device_Configuration'!BH18)</f>
        <v>0</v>
      </c>
      <c r="J18" s="17" t="str">
        <f>IF('13 - Config_Intake_View'!Q18&lt;&gt;"","PM Approved",IF('12 - Device_Configuration'!BH18&lt;&gt;"","Assumed",""))</f>
        <v/>
      </c>
      <c r="K18" s="31" t="str">
        <f>'12 - Device_Configuration'!BG18</f>
        <v>Yes</v>
      </c>
      <c r="L18" s="17">
        <f>'12 - Device_Configuration'!P18</f>
        <v>0</v>
      </c>
      <c r="M18" s="17">
        <f>'12 - Device_Configuration'!Q18</f>
        <v>0</v>
      </c>
      <c r="N18" s="17" t="str">
        <f>'12 - Device_Configuration'!BK18</f>
        <v>Power Cable, Battery, Epic Beans Relay</v>
      </c>
      <c r="O18" s="31" t="str">
        <f>'12 - Device_Configuration'!BL18</f>
        <v>Blocked</v>
      </c>
      <c r="P18" s="2" t="str">
        <f>'12 - Device_Configuration'!BA18</f>
        <v>Yes</v>
      </c>
      <c r="Q18" s="31" t="str">
        <f t="shared" si="0"/>
        <v/>
      </c>
      <c r="R18" s="17" t="str">
        <f t="shared" si="1"/>
        <v/>
      </c>
      <c r="S18" s="17" t="str">
        <f t="shared" si="2"/>
        <v/>
      </c>
      <c r="T18" s="17" t="str">
        <f t="shared" si="3"/>
        <v>BLOCKED</v>
      </c>
    </row>
    <row r="19" spans="1:20">
      <c r="A19" s="31" t="str">
        <f>'12 - Device_Configuration'!H19</f>
        <v>LIJ SDF</v>
      </c>
      <c r="B19" s="31" t="str">
        <f>'12 - Device_Configuration'!S19</f>
        <v>LIJ-SDF-MACH-R</v>
      </c>
      <c r="C19" s="31" t="str">
        <f>'12 - Device_Configuration'!T19</f>
        <v>A0F5097B99F8</v>
      </c>
      <c r="D19" s="17" t="str">
        <f>'12 - Device_Configuration'!AJ19</f>
        <v>2008T</v>
      </c>
      <c r="E19" s="17" t="str">
        <f>'12 - Device_Configuration'!J19</f>
        <v>NA</v>
      </c>
      <c r="F19" s="31" t="str">
        <f>'12 - Device_Configuration'!K19</f>
        <v>NA</v>
      </c>
      <c r="G19" s="17" t="str">
        <f>'12 - Device_Configuration'!L19</f>
        <v>NA</v>
      </c>
      <c r="H19" s="17">
        <f>'13 - Config_Intake_View'!M19</f>
        <v>0</v>
      </c>
      <c r="I19" s="31">
        <f>IF('13 - Config_Intake_View'!Q19&lt;&gt;"",'13 - Config_Intake_View'!Q19,'12 - Device_Configuration'!BH19)</f>
        <v>0</v>
      </c>
      <c r="J19" s="17" t="str">
        <f>IF('13 - Config_Intake_View'!Q19&lt;&gt;"","PM Approved",IF('12 - Device_Configuration'!BH19&lt;&gt;"","Assumed",""))</f>
        <v/>
      </c>
      <c r="K19" s="31" t="str">
        <f>'12 - Device_Configuration'!BG19</f>
        <v>Yes</v>
      </c>
      <c r="L19" s="17">
        <f>'12 - Device_Configuration'!P19</f>
        <v>0</v>
      </c>
      <c r="M19" s="17">
        <f>'12 - Device_Configuration'!Q19</f>
        <v>0</v>
      </c>
      <c r="N19" s="17" t="str">
        <f>'12 - Device_Configuration'!BK19</f>
        <v>Power Cable, Battery, Epic Beans Relay</v>
      </c>
      <c r="O19" s="31" t="str">
        <f>'12 - Device_Configuration'!BL19</f>
        <v>Blocked</v>
      </c>
      <c r="P19" s="2" t="str">
        <f>'12 - Device_Configuration'!BA19</f>
        <v>Yes</v>
      </c>
      <c r="Q19" s="31" t="str">
        <f t="shared" si="0"/>
        <v/>
      </c>
      <c r="R19" s="17" t="str">
        <f t="shared" si="1"/>
        <v/>
      </c>
      <c r="S19" s="17" t="str">
        <f t="shared" si="2"/>
        <v/>
      </c>
      <c r="T19" s="17" t="str">
        <f t="shared" si="3"/>
        <v>BLOCKED</v>
      </c>
    </row>
    <row r="20" spans="1:20">
      <c r="A20" s="31" t="str">
        <f>'12 - Device_Configuration'!H20</f>
        <v>LIJ SDF</v>
      </c>
      <c r="B20" s="31" t="str">
        <f>'12 - Device_Configuration'!S20</f>
        <v>LIJ-SDF-MACH-S</v>
      </c>
      <c r="C20" s="31" t="str">
        <f>'12 - Device_Configuration'!T20</f>
        <v>A0F5097B975D</v>
      </c>
      <c r="D20" s="17" t="str">
        <f>'12 - Device_Configuration'!AJ20</f>
        <v>2008T</v>
      </c>
      <c r="E20" s="17" t="str">
        <f>'12 - Device_Configuration'!J20</f>
        <v>NA</v>
      </c>
      <c r="F20" s="31" t="str">
        <f>'12 - Device_Configuration'!K20</f>
        <v>NA</v>
      </c>
      <c r="G20" s="17" t="str">
        <f>'12 - Device_Configuration'!L20</f>
        <v>NA</v>
      </c>
      <c r="H20" s="17">
        <f>'13 - Config_Intake_View'!M20</f>
        <v>0</v>
      </c>
      <c r="I20" s="31">
        <f>IF('13 - Config_Intake_View'!Q20&lt;&gt;"",'13 - Config_Intake_View'!Q20,'12 - Device_Configuration'!BH20)</f>
        <v>0</v>
      </c>
      <c r="J20" s="17" t="str">
        <f>IF('13 - Config_Intake_View'!Q20&lt;&gt;"","PM Approved",IF('12 - Device_Configuration'!BH20&lt;&gt;"","Assumed",""))</f>
        <v/>
      </c>
      <c r="K20" s="31" t="str">
        <f>'12 - Device_Configuration'!BG20</f>
        <v>Yes</v>
      </c>
      <c r="L20" s="17">
        <f>'12 - Device_Configuration'!P20</f>
        <v>0</v>
      </c>
      <c r="M20" s="17">
        <f>'12 - Device_Configuration'!Q20</f>
        <v>0</v>
      </c>
      <c r="N20" s="17" t="str">
        <f>'12 - Device_Configuration'!BK20</f>
        <v>Power Cable, Battery, Epic Beans Relay</v>
      </c>
      <c r="O20" s="31" t="str">
        <f>'12 - Device_Configuration'!BL20</f>
        <v>Blocked</v>
      </c>
      <c r="P20" s="2" t="str">
        <f>'12 - Device_Configuration'!BA20</f>
        <v>Yes</v>
      </c>
      <c r="Q20" s="31" t="str">
        <f t="shared" si="0"/>
        <v/>
      </c>
      <c r="R20" s="17" t="str">
        <f t="shared" si="1"/>
        <v/>
      </c>
      <c r="S20" s="17" t="str">
        <f t="shared" si="2"/>
        <v/>
      </c>
      <c r="T20" s="17" t="str">
        <f t="shared" si="3"/>
        <v>BLOCKED</v>
      </c>
    </row>
    <row r="21" spans="1:20">
      <c r="A21" s="31" t="str">
        <f>'12 - Device_Configuration'!H21</f>
        <v>LIJ SDF</v>
      </c>
      <c r="B21" s="31" t="str">
        <f>'12 - Device_Configuration'!S21</f>
        <v>LIJ-SDF-MACH-T</v>
      </c>
      <c r="C21" s="31" t="str">
        <f>'12 - Device_Configuration'!T21</f>
        <v>A0F5097BA007</v>
      </c>
      <c r="D21" s="17" t="str">
        <f>'12 - Device_Configuration'!AJ21</f>
        <v>2008T</v>
      </c>
      <c r="E21" s="17" t="str">
        <f>'12 - Device_Configuration'!J21</f>
        <v>NA</v>
      </c>
      <c r="F21" s="31" t="str">
        <f>'12 - Device_Configuration'!K21</f>
        <v>NA</v>
      </c>
      <c r="G21" s="17" t="str">
        <f>'12 - Device_Configuration'!L21</f>
        <v>NA</v>
      </c>
      <c r="H21" s="17">
        <f>'13 - Config_Intake_View'!M21</f>
        <v>0</v>
      </c>
      <c r="I21" s="31">
        <f>IF('13 - Config_Intake_View'!Q21&lt;&gt;"",'13 - Config_Intake_View'!Q21,'12 - Device_Configuration'!BH21)</f>
        <v>0</v>
      </c>
      <c r="J21" s="17" t="str">
        <f>IF('13 - Config_Intake_View'!Q21&lt;&gt;"","PM Approved",IF('12 - Device_Configuration'!BH21&lt;&gt;"","Assumed",""))</f>
        <v/>
      </c>
      <c r="K21" s="31" t="str">
        <f>'12 - Device_Configuration'!BG21</f>
        <v>Yes</v>
      </c>
      <c r="L21" s="17">
        <f>'12 - Device_Configuration'!P21</f>
        <v>0</v>
      </c>
      <c r="M21" s="17">
        <f>'12 - Device_Configuration'!Q21</f>
        <v>0</v>
      </c>
      <c r="N21" s="17" t="str">
        <f>'12 - Device_Configuration'!BK21</f>
        <v>Power Cable, Battery, Epic Beans Relay</v>
      </c>
      <c r="O21" s="31" t="str">
        <f>'12 - Device_Configuration'!BL21</f>
        <v>Blocked</v>
      </c>
      <c r="P21" s="2" t="str">
        <f>'12 - Device_Configuration'!BA21</f>
        <v>Yes</v>
      </c>
      <c r="Q21" s="31" t="str">
        <f t="shared" si="0"/>
        <v/>
      </c>
      <c r="R21" s="17" t="str">
        <f t="shared" si="1"/>
        <v/>
      </c>
      <c r="S21" s="17" t="str">
        <f t="shared" si="2"/>
        <v/>
      </c>
      <c r="T21" s="17" t="str">
        <f t="shared" si="3"/>
        <v>BLOCKED</v>
      </c>
    </row>
    <row r="22" spans="1:20">
      <c r="A22" s="31" t="str">
        <f>'12 - Device_Configuration'!H22</f>
        <v>LIJ SDF</v>
      </c>
      <c r="B22" s="31" t="str">
        <f>'12 - Device_Configuration'!S22</f>
        <v>LIJ-SDF-MACH-U</v>
      </c>
      <c r="C22" s="31" t="str">
        <f>'12 - Device_Configuration'!T22</f>
        <v>A0F5097B9629</v>
      </c>
      <c r="D22" s="17" t="str">
        <f>'12 - Device_Configuration'!AJ22</f>
        <v>2008T</v>
      </c>
      <c r="E22" s="17" t="str">
        <f>'12 - Device_Configuration'!J22</f>
        <v>NA</v>
      </c>
      <c r="F22" s="31" t="str">
        <f>'12 - Device_Configuration'!K22</f>
        <v>NA</v>
      </c>
      <c r="G22" s="17" t="str">
        <f>'12 - Device_Configuration'!L22</f>
        <v>NA</v>
      </c>
      <c r="H22" s="17">
        <f>'13 - Config_Intake_View'!M22</f>
        <v>0</v>
      </c>
      <c r="I22" s="31">
        <f>IF('13 - Config_Intake_View'!Q22&lt;&gt;"",'13 - Config_Intake_View'!Q22,'12 - Device_Configuration'!BH22)</f>
        <v>0</v>
      </c>
      <c r="J22" s="17" t="str">
        <f>IF('13 - Config_Intake_View'!Q22&lt;&gt;"","PM Approved",IF('12 - Device_Configuration'!BH22&lt;&gt;"","Assumed",""))</f>
        <v/>
      </c>
      <c r="K22" s="31" t="str">
        <f>'12 - Device_Configuration'!BG22</f>
        <v>Yes</v>
      </c>
      <c r="L22" s="17">
        <f>'12 - Device_Configuration'!P22</f>
        <v>0</v>
      </c>
      <c r="M22" s="17">
        <f>'12 - Device_Configuration'!Q22</f>
        <v>0</v>
      </c>
      <c r="N22" s="17" t="str">
        <f>'12 - Device_Configuration'!BK22</f>
        <v>Power Cable, Battery, Epic Beans Relay</v>
      </c>
      <c r="O22" s="31" t="str">
        <f>'12 - Device_Configuration'!BL22</f>
        <v>Blocked</v>
      </c>
      <c r="P22" s="2" t="str">
        <f>'12 - Device_Configuration'!BA22</f>
        <v>Yes</v>
      </c>
      <c r="Q22" s="31" t="str">
        <f t="shared" si="0"/>
        <v/>
      </c>
      <c r="R22" s="17" t="str">
        <f t="shared" si="1"/>
        <v/>
      </c>
      <c r="S22" s="17" t="str">
        <f t="shared" si="2"/>
        <v/>
      </c>
      <c r="T22" s="17" t="str">
        <f t="shared" si="3"/>
        <v>BLOCKED</v>
      </c>
    </row>
    <row r="23" spans="1:20">
      <c r="A23" s="31" t="str">
        <f>'12 - Device_Configuration'!H23</f>
        <v>LIJ SDF</v>
      </c>
      <c r="B23" s="31" t="str">
        <f>'12 - Device_Configuration'!S23</f>
        <v>LIJ-SDF-MACH-V</v>
      </c>
      <c r="C23" s="31" t="str">
        <f>'12 - Device_Configuration'!T23</f>
        <v>A0F5097B9C84</v>
      </c>
      <c r="D23" s="17" t="str">
        <f>'12 - Device_Configuration'!AJ23</f>
        <v>2008T</v>
      </c>
      <c r="E23" s="17" t="str">
        <f>'12 - Device_Configuration'!J23</f>
        <v>NA</v>
      </c>
      <c r="F23" s="31" t="str">
        <f>'12 - Device_Configuration'!K23</f>
        <v>NA</v>
      </c>
      <c r="G23" s="17" t="str">
        <f>'12 - Device_Configuration'!L23</f>
        <v>NA</v>
      </c>
      <c r="H23" s="17">
        <f>'13 - Config_Intake_View'!M23</f>
        <v>0</v>
      </c>
      <c r="I23" s="31">
        <f>IF('13 - Config_Intake_View'!Q23&lt;&gt;"",'13 - Config_Intake_View'!Q23,'12 - Device_Configuration'!BH23)</f>
        <v>0</v>
      </c>
      <c r="J23" s="17" t="str">
        <f>IF('13 - Config_Intake_View'!Q23&lt;&gt;"","PM Approved",IF('12 - Device_Configuration'!BH23&lt;&gt;"","Assumed",""))</f>
        <v/>
      </c>
      <c r="K23" s="31" t="str">
        <f>'12 - Device_Configuration'!BG23</f>
        <v>Yes</v>
      </c>
      <c r="L23" s="17">
        <f>'12 - Device_Configuration'!P23</f>
        <v>0</v>
      </c>
      <c r="M23" s="17">
        <f>'12 - Device_Configuration'!Q23</f>
        <v>0</v>
      </c>
      <c r="N23" s="17" t="str">
        <f>'12 - Device_Configuration'!BK23</f>
        <v>Power Cable, Battery, Epic Beans Relay</v>
      </c>
      <c r="O23" s="31" t="str">
        <f>'12 - Device_Configuration'!BL23</f>
        <v>Blocked</v>
      </c>
      <c r="P23" s="2" t="str">
        <f>'12 - Device_Configuration'!BA23</f>
        <v>Yes</v>
      </c>
      <c r="Q23" s="31" t="str">
        <f t="shared" si="0"/>
        <v/>
      </c>
      <c r="R23" s="17" t="str">
        <f t="shared" si="1"/>
        <v/>
      </c>
      <c r="S23" s="17" t="str">
        <f t="shared" si="2"/>
        <v/>
      </c>
      <c r="T23" s="17" t="str">
        <f t="shared" si="3"/>
        <v>BLOCKED</v>
      </c>
    </row>
    <row r="24" spans="1:20">
      <c r="A24" s="31" t="str">
        <f>'12 - Device_Configuration'!H24</f>
        <v>LIJ SDF</v>
      </c>
      <c r="B24" s="31" t="str">
        <f>'12 - Device_Configuration'!S24</f>
        <v>LIJ-SDF-MACH-W</v>
      </c>
      <c r="C24" s="31" t="str">
        <f>'12 - Device_Configuration'!T24</f>
        <v>A0F5097FDD3F</v>
      </c>
      <c r="D24" s="17" t="str">
        <f>'12 - Device_Configuration'!AJ24</f>
        <v>2008T</v>
      </c>
      <c r="E24" s="17" t="str">
        <f>'12 - Device_Configuration'!J24</f>
        <v>NA</v>
      </c>
      <c r="F24" s="31" t="str">
        <f>'12 - Device_Configuration'!K24</f>
        <v>NA</v>
      </c>
      <c r="G24" s="17" t="str">
        <f>'12 - Device_Configuration'!L24</f>
        <v>NA</v>
      </c>
      <c r="H24" s="17">
        <f>'13 - Config_Intake_View'!M24</f>
        <v>0</v>
      </c>
      <c r="I24" s="31">
        <f>IF('13 - Config_Intake_View'!Q24&lt;&gt;"",'13 - Config_Intake_View'!Q24,'12 - Device_Configuration'!BH24)</f>
        <v>0</v>
      </c>
      <c r="J24" s="17" t="str">
        <f>IF('13 - Config_Intake_View'!Q24&lt;&gt;"","PM Approved",IF('12 - Device_Configuration'!BH24&lt;&gt;"","Assumed",""))</f>
        <v/>
      </c>
      <c r="K24" s="31" t="str">
        <f>'12 - Device_Configuration'!BG24</f>
        <v>Yes</v>
      </c>
      <c r="L24" s="17">
        <f>'12 - Device_Configuration'!P24</f>
        <v>0</v>
      </c>
      <c r="M24" s="17">
        <f>'12 - Device_Configuration'!Q24</f>
        <v>0</v>
      </c>
      <c r="N24" s="17" t="str">
        <f>'12 - Device_Configuration'!BK24</f>
        <v>Power Cable, Battery, Epic Beans Relay</v>
      </c>
      <c r="O24" s="31" t="str">
        <f>'12 - Device_Configuration'!BL24</f>
        <v>Blocked</v>
      </c>
      <c r="P24" s="2" t="str">
        <f>'12 - Device_Configuration'!BA24</f>
        <v>Yes</v>
      </c>
      <c r="Q24" s="31" t="str">
        <f t="shared" si="0"/>
        <v/>
      </c>
      <c r="R24" s="17" t="str">
        <f t="shared" si="1"/>
        <v/>
      </c>
      <c r="S24" s="17" t="str">
        <f t="shared" si="2"/>
        <v/>
      </c>
      <c r="T24" s="17" t="str">
        <f t="shared" si="3"/>
        <v>BLOCKED</v>
      </c>
    </row>
    <row r="25" spans="1:20">
      <c r="A25" s="31" t="str">
        <f>'12 - Device_Configuration'!H25</f>
        <v>LIJ SDF</v>
      </c>
      <c r="B25" s="31" t="str">
        <f>'12 - Device_Configuration'!S25</f>
        <v>LIJ-SDF-MACH-X</v>
      </c>
      <c r="C25" s="31" t="str">
        <f>'12 - Device_Configuration'!T25</f>
        <v>A0F5097FEBFE</v>
      </c>
      <c r="D25" s="17" t="str">
        <f>'12 - Device_Configuration'!AJ25</f>
        <v>2008T</v>
      </c>
      <c r="E25" s="17" t="str">
        <f>'12 - Device_Configuration'!J25</f>
        <v>NA</v>
      </c>
      <c r="F25" s="31" t="str">
        <f>'12 - Device_Configuration'!K25</f>
        <v>NA</v>
      </c>
      <c r="G25" s="17" t="str">
        <f>'12 - Device_Configuration'!L25</f>
        <v>NA</v>
      </c>
      <c r="H25" s="17">
        <f>'13 - Config_Intake_View'!M25</f>
        <v>0</v>
      </c>
      <c r="I25" s="31">
        <f>IF('13 - Config_Intake_View'!Q25&lt;&gt;"",'13 - Config_Intake_View'!Q25,'12 - Device_Configuration'!BH25)</f>
        <v>0</v>
      </c>
      <c r="J25" s="17" t="str">
        <f>IF('13 - Config_Intake_View'!Q25&lt;&gt;"","PM Approved",IF('12 - Device_Configuration'!BH25&lt;&gt;"","Assumed",""))</f>
        <v/>
      </c>
      <c r="K25" s="31" t="str">
        <f>'12 - Device_Configuration'!BG25</f>
        <v>Yes</v>
      </c>
      <c r="L25" s="17">
        <f>'12 - Device_Configuration'!P25</f>
        <v>0</v>
      </c>
      <c r="M25" s="17">
        <f>'12 - Device_Configuration'!Q25</f>
        <v>0</v>
      </c>
      <c r="N25" s="17" t="str">
        <f>'12 - Device_Configuration'!BK25</f>
        <v>Power Cable, Battery, Epic Beans Relay</v>
      </c>
      <c r="O25" s="31" t="str">
        <f>'12 - Device_Configuration'!BL25</f>
        <v>Blocked</v>
      </c>
      <c r="P25" s="2" t="str">
        <f>'12 - Device_Configuration'!BA25</f>
        <v>Yes</v>
      </c>
      <c r="Q25" s="31" t="str">
        <f t="shared" si="0"/>
        <v/>
      </c>
      <c r="R25" s="17" t="str">
        <f t="shared" si="1"/>
        <v/>
      </c>
      <c r="S25" s="17" t="str">
        <f t="shared" si="2"/>
        <v/>
      </c>
      <c r="T25" s="17" t="str">
        <f t="shared" si="3"/>
        <v>BLOCKED</v>
      </c>
    </row>
    <row r="26" spans="1:20">
      <c r="A26" s="31" t="str">
        <f>'12 - Device_Configuration'!H26</f>
        <v>LIJ SDF</v>
      </c>
      <c r="B26" s="31" t="str">
        <f>'12 - Device_Configuration'!S26</f>
        <v>LIJ-SDF-MACH-Y</v>
      </c>
      <c r="C26" s="31" t="str">
        <f>'12 - Device_Configuration'!T26</f>
        <v>A0F5097B9FA6</v>
      </c>
      <c r="D26" s="17" t="str">
        <f>'12 - Device_Configuration'!AJ26</f>
        <v>2008T</v>
      </c>
      <c r="E26" s="17" t="str">
        <f>'12 - Device_Configuration'!J26</f>
        <v>NA</v>
      </c>
      <c r="F26" s="31" t="str">
        <f>'12 - Device_Configuration'!K26</f>
        <v>NA</v>
      </c>
      <c r="G26" s="17" t="str">
        <f>'12 - Device_Configuration'!L26</f>
        <v>NA</v>
      </c>
      <c r="H26" s="17">
        <f>'13 - Config_Intake_View'!M26</f>
        <v>0</v>
      </c>
      <c r="I26" s="31">
        <f>IF('13 - Config_Intake_View'!Q26&lt;&gt;"",'13 - Config_Intake_View'!Q26,'12 - Device_Configuration'!BH26)</f>
        <v>0</v>
      </c>
      <c r="J26" s="17" t="str">
        <f>IF('13 - Config_Intake_View'!Q26&lt;&gt;"","PM Approved",IF('12 - Device_Configuration'!BH26&lt;&gt;"","Assumed",""))</f>
        <v/>
      </c>
      <c r="K26" s="31" t="str">
        <f>'12 - Device_Configuration'!BG26</f>
        <v>Yes</v>
      </c>
      <c r="L26" s="17">
        <f>'12 - Device_Configuration'!P26</f>
        <v>0</v>
      </c>
      <c r="M26" s="17">
        <f>'12 - Device_Configuration'!Q26</f>
        <v>0</v>
      </c>
      <c r="N26" s="17" t="str">
        <f>'12 - Device_Configuration'!BK26</f>
        <v>Power Cable, Battery, Epic Beans Relay</v>
      </c>
      <c r="O26" s="31" t="str">
        <f>'12 - Device_Configuration'!BL26</f>
        <v>Blocked</v>
      </c>
      <c r="P26" s="2" t="str">
        <f>'12 - Device_Configuration'!BA26</f>
        <v>Yes</v>
      </c>
      <c r="Q26" s="31" t="str">
        <f t="shared" si="0"/>
        <v/>
      </c>
      <c r="R26" s="17" t="str">
        <f t="shared" si="1"/>
        <v/>
      </c>
      <c r="S26" s="17" t="str">
        <f t="shared" si="2"/>
        <v/>
      </c>
      <c r="T26" s="17" t="str">
        <f t="shared" si="3"/>
        <v>BLOCKED</v>
      </c>
    </row>
    <row r="27" spans="1:20">
      <c r="A27" s="31" t="str">
        <f>'12 - Device_Configuration'!H27</f>
        <v>LIJ SDF</v>
      </c>
      <c r="B27" s="31" t="str">
        <f>'12 - Device_Configuration'!S27</f>
        <v>LIJ-SDF-MACH-Z</v>
      </c>
      <c r="C27" s="31" t="str">
        <f>'12 - Device_Configuration'!T27</f>
        <v>A0F5097B9FB3</v>
      </c>
      <c r="D27" s="17">
        <f>'12 - Device_Configuration'!AJ27</f>
        <v>0</v>
      </c>
      <c r="E27" s="17" t="str">
        <f>'12 - Device_Configuration'!J27</f>
        <v>NA</v>
      </c>
      <c r="F27" s="31" t="str">
        <f>'12 - Device_Configuration'!K27</f>
        <v>NA</v>
      </c>
      <c r="G27" s="17" t="str">
        <f>'12 - Device_Configuration'!L27</f>
        <v>NA</v>
      </c>
      <c r="H27" s="17">
        <f>'13 - Config_Intake_View'!M27</f>
        <v>0</v>
      </c>
      <c r="I27" s="31">
        <f>IF('13 - Config_Intake_View'!Q27&lt;&gt;"",'13 - Config_Intake_View'!Q27,'12 - Device_Configuration'!BH27)</f>
        <v>0</v>
      </c>
      <c r="J27" s="17" t="str">
        <f>IF('13 - Config_Intake_View'!Q27&lt;&gt;"","PM Approved",IF('12 - Device_Configuration'!BH27&lt;&gt;"","Assumed",""))</f>
        <v/>
      </c>
      <c r="K27" s="31" t="str">
        <f>'12 - Device_Configuration'!BG27</f>
        <v>Yes</v>
      </c>
      <c r="L27" s="17">
        <f>'12 - Device_Configuration'!P27</f>
        <v>0</v>
      </c>
      <c r="M27" s="17">
        <f>'12 - Device_Configuration'!Q27</f>
        <v>0</v>
      </c>
      <c r="N27" s="17" t="str">
        <f>'12 - Device_Configuration'!BK27</f>
        <v>Power Cable, Battery, Epic Beans Relay</v>
      </c>
      <c r="O27" s="31" t="str">
        <f>'12 - Device_Configuration'!BL27</f>
        <v>Blocked</v>
      </c>
      <c r="P27" s="2" t="str">
        <f>'12 - Device_Configuration'!BA27</f>
        <v>Yes</v>
      </c>
      <c r="Q27" s="31" t="str">
        <f t="shared" si="0"/>
        <v/>
      </c>
      <c r="R27" s="17" t="str">
        <f t="shared" si="1"/>
        <v/>
      </c>
      <c r="S27" s="17" t="str">
        <f t="shared" si="2"/>
        <v/>
      </c>
      <c r="T27" s="17" t="str">
        <f t="shared" si="3"/>
        <v>BLOCKED</v>
      </c>
    </row>
    <row r="28" spans="1:20">
      <c r="A28" s="31" t="str">
        <f>'12 - Device_Configuration'!H28</f>
        <v>LIJ SDF</v>
      </c>
      <c r="B28" s="31" t="str">
        <f>'12 - Device_Configuration'!S28</f>
        <v>LIJ-SDF-MACH-AA</v>
      </c>
      <c r="C28" s="31" t="str">
        <f>'12 - Device_Configuration'!T28</f>
        <v>A0F5097BA00D</v>
      </c>
      <c r="D28" s="17">
        <f>'12 - Device_Configuration'!AJ28</f>
        <v>0</v>
      </c>
      <c r="E28" s="17" t="str">
        <f>'12 - Device_Configuration'!J28</f>
        <v>NA</v>
      </c>
      <c r="F28" s="31" t="str">
        <f>'12 - Device_Configuration'!K28</f>
        <v>NA</v>
      </c>
      <c r="G28" s="17" t="str">
        <f>'12 - Device_Configuration'!L28</f>
        <v>NA</v>
      </c>
      <c r="H28" s="17">
        <f>'13 - Config_Intake_View'!M28</f>
        <v>0</v>
      </c>
      <c r="I28" s="31">
        <f>IF('13 - Config_Intake_View'!Q28&lt;&gt;"",'13 - Config_Intake_View'!Q28,'12 - Device_Configuration'!BH28)</f>
        <v>0</v>
      </c>
      <c r="J28" s="17" t="str">
        <f>IF('13 - Config_Intake_View'!Q28&lt;&gt;"","PM Approved",IF('12 - Device_Configuration'!BH28&lt;&gt;"","Assumed",""))</f>
        <v/>
      </c>
      <c r="K28" s="31" t="str">
        <f>'12 - Device_Configuration'!BG28</f>
        <v>Yes</v>
      </c>
      <c r="L28" s="17">
        <f>'12 - Device_Configuration'!P28</f>
        <v>0</v>
      </c>
      <c r="M28" s="17">
        <f>'12 - Device_Configuration'!Q28</f>
        <v>0</v>
      </c>
      <c r="N28" s="17" t="str">
        <f>'12 - Device_Configuration'!BK28</f>
        <v>Power Cable, Battery, Epic Beans Relay</v>
      </c>
      <c r="O28" s="31" t="str">
        <f>'12 - Device_Configuration'!BL28</f>
        <v>Blocked</v>
      </c>
      <c r="P28" s="2" t="str">
        <f>'12 - Device_Configuration'!BA28</f>
        <v>Yes</v>
      </c>
      <c r="Q28" s="31" t="str">
        <f t="shared" si="0"/>
        <v/>
      </c>
      <c r="R28" s="17" t="str">
        <f t="shared" si="1"/>
        <v/>
      </c>
      <c r="S28" s="17" t="str">
        <f t="shared" si="2"/>
        <v/>
      </c>
      <c r="T28" s="17" t="str">
        <f t="shared" si="3"/>
        <v>BLOCKED</v>
      </c>
    </row>
    <row r="29" spans="1:20">
      <c r="A29" s="31" t="str">
        <f>'12 - Device_Configuration'!H29</f>
        <v>LIJ SDF</v>
      </c>
      <c r="B29" s="31" t="str">
        <f>'12 - Device_Configuration'!S29</f>
        <v>LIJ-SDF-MACH-AB</v>
      </c>
      <c r="C29" s="31" t="str">
        <f>'12 - Device_Configuration'!T29</f>
        <v>A0F5097B8E58</v>
      </c>
      <c r="D29" s="17">
        <f>'12 - Device_Configuration'!AJ29</f>
        <v>0</v>
      </c>
      <c r="E29" s="17" t="str">
        <f>'12 - Device_Configuration'!J29</f>
        <v>NA</v>
      </c>
      <c r="F29" s="31" t="str">
        <f>'12 - Device_Configuration'!K29</f>
        <v>NA</v>
      </c>
      <c r="G29" s="17" t="str">
        <f>'12 - Device_Configuration'!L29</f>
        <v>NA</v>
      </c>
      <c r="H29" s="17">
        <f>'13 - Config_Intake_View'!M29</f>
        <v>0</v>
      </c>
      <c r="I29" s="31">
        <f>IF('13 - Config_Intake_View'!Q29&lt;&gt;"",'13 - Config_Intake_View'!Q29,'12 - Device_Configuration'!BH29)</f>
        <v>0</v>
      </c>
      <c r="J29" s="17" t="str">
        <f>IF('13 - Config_Intake_View'!Q29&lt;&gt;"","PM Approved",IF('12 - Device_Configuration'!BH29&lt;&gt;"","Assumed",""))</f>
        <v/>
      </c>
      <c r="K29" s="31" t="str">
        <f>'12 - Device_Configuration'!BG29</f>
        <v>Yes</v>
      </c>
      <c r="L29" s="17">
        <f>'12 - Device_Configuration'!P29</f>
        <v>0</v>
      </c>
      <c r="M29" s="17">
        <f>'12 - Device_Configuration'!Q29</f>
        <v>0</v>
      </c>
      <c r="N29" s="17" t="str">
        <f>'12 - Device_Configuration'!BK29</f>
        <v>Power Cable, Battery, Epic Beans Relay</v>
      </c>
      <c r="O29" s="31" t="str">
        <f>'12 - Device_Configuration'!BL29</f>
        <v>Blocked</v>
      </c>
      <c r="P29" s="2" t="str">
        <f>'12 - Device_Configuration'!BA29</f>
        <v>Yes</v>
      </c>
      <c r="Q29" s="31" t="str">
        <f t="shared" si="0"/>
        <v/>
      </c>
      <c r="R29" s="17" t="str">
        <f t="shared" si="1"/>
        <v/>
      </c>
      <c r="S29" s="17" t="str">
        <f t="shared" si="2"/>
        <v/>
      </c>
      <c r="T29" s="17" t="str">
        <f t="shared" si="3"/>
        <v>BLOCKED</v>
      </c>
    </row>
    <row r="30" spans="1:20">
      <c r="A30" s="31" t="str">
        <f>'12 - Device_Configuration'!H30</f>
        <v>LIJ SDF</v>
      </c>
      <c r="B30" s="31" t="str">
        <f>'12 - Device_Configuration'!S30</f>
        <v>LIJ-SDF-MACH-AC</v>
      </c>
      <c r="C30" s="31" t="str">
        <f>'12 - Device_Configuration'!T30</f>
        <v>A0F5097B8B74</v>
      </c>
      <c r="D30" s="17">
        <f>'12 - Device_Configuration'!AJ30</f>
        <v>0</v>
      </c>
      <c r="E30" s="17">
        <f>'12 - Device_Configuration'!J30</f>
        <v>0</v>
      </c>
      <c r="F30" s="31">
        <f>'12 - Device_Configuration'!K30</f>
        <v>0</v>
      </c>
      <c r="G30" s="17">
        <f>'12 - Device_Configuration'!L30</f>
        <v>0</v>
      </c>
      <c r="H30" s="17">
        <f>'13 - Config_Intake_View'!M30</f>
        <v>0</v>
      </c>
      <c r="I30" s="31">
        <f>IF('13 - Config_Intake_View'!Q30&lt;&gt;"",'13 - Config_Intake_View'!Q30,'12 - Device_Configuration'!BH30)</f>
        <v>0</v>
      </c>
      <c r="J30" s="17" t="str">
        <f>IF('13 - Config_Intake_View'!Q30&lt;&gt;"","PM Approved",IF('12 - Device_Configuration'!BH30&lt;&gt;"","Assumed",""))</f>
        <v/>
      </c>
      <c r="K30" s="31" t="str">
        <f>'12 - Device_Configuration'!BG30</f>
        <v>Yes</v>
      </c>
      <c r="L30" s="17">
        <f>'12 - Device_Configuration'!P30</f>
        <v>0</v>
      </c>
      <c r="M30" s="17">
        <f>'12 - Device_Configuration'!Q30</f>
        <v>0</v>
      </c>
      <c r="N30" s="17" t="str">
        <f>'12 - Device_Configuration'!BK30</f>
        <v>Power Cable, Battery, Epic Beans Relay</v>
      </c>
      <c r="O30" s="31" t="str">
        <f>'12 - Device_Configuration'!BL30</f>
        <v>Blocked</v>
      </c>
      <c r="P30" s="2" t="str">
        <f>'12 - Device_Configuration'!BA30</f>
        <v>Yes</v>
      </c>
      <c r="Q30" s="31" t="str">
        <f t="shared" si="0"/>
        <v/>
      </c>
      <c r="R30" s="17" t="str">
        <f t="shared" si="1"/>
        <v/>
      </c>
      <c r="S30" s="17" t="str">
        <f t="shared" si="2"/>
        <v/>
      </c>
      <c r="T30" s="17" t="str">
        <f t="shared" si="3"/>
        <v>BLOCKED</v>
      </c>
    </row>
    <row r="31" spans="1:20">
      <c r="A31" s="31" t="str">
        <f>'12 - Device_Configuration'!H31</f>
        <v>LIJ SDF</v>
      </c>
      <c r="B31" s="31" t="str">
        <f>'12 - Device_Configuration'!S31</f>
        <v>LIJ-SDF-MACH-AD</v>
      </c>
      <c r="C31" s="31" t="str">
        <f>'12 - Device_Configuration'!T31</f>
        <v>A0F5097BA067</v>
      </c>
      <c r="D31" s="17">
        <f>'12 - Device_Configuration'!AJ31</f>
        <v>0</v>
      </c>
      <c r="E31" s="17">
        <f>'12 - Device_Configuration'!J31</f>
        <v>0</v>
      </c>
      <c r="F31" s="31">
        <f>'12 - Device_Configuration'!K31</f>
        <v>0</v>
      </c>
      <c r="G31" s="17">
        <f>'12 - Device_Configuration'!L31</f>
        <v>0</v>
      </c>
      <c r="H31" s="17">
        <f>'13 - Config_Intake_View'!M31</f>
        <v>0</v>
      </c>
      <c r="I31" s="31">
        <f>IF('13 - Config_Intake_View'!Q31&lt;&gt;"",'13 - Config_Intake_View'!Q31,'12 - Device_Configuration'!BH31)</f>
        <v>0</v>
      </c>
      <c r="J31" s="17" t="str">
        <f>IF('13 - Config_Intake_View'!Q31&lt;&gt;"","PM Approved",IF('12 - Device_Configuration'!BH31&lt;&gt;"","Assumed",""))</f>
        <v/>
      </c>
      <c r="K31" s="31" t="str">
        <f>'12 - Device_Configuration'!BG31</f>
        <v>Yes</v>
      </c>
      <c r="L31" s="17">
        <f>'12 - Device_Configuration'!P31</f>
        <v>0</v>
      </c>
      <c r="M31" s="17">
        <f>'12 - Device_Configuration'!Q31</f>
        <v>0</v>
      </c>
      <c r="N31" s="17" t="str">
        <f>'12 - Device_Configuration'!BK31</f>
        <v>Power Cable, Battery, Epic Beans Relay</v>
      </c>
      <c r="O31" s="31" t="str">
        <f>'12 - Device_Configuration'!BL31</f>
        <v>Blocked</v>
      </c>
      <c r="P31" s="2" t="str">
        <f>'12 - Device_Configuration'!BA31</f>
        <v>Yes</v>
      </c>
      <c r="Q31" s="31" t="str">
        <f t="shared" si="0"/>
        <v/>
      </c>
      <c r="R31" s="17" t="str">
        <f t="shared" si="1"/>
        <v/>
      </c>
      <c r="S31" s="17" t="str">
        <f t="shared" si="2"/>
        <v/>
      </c>
      <c r="T31" s="17" t="str">
        <f t="shared" si="3"/>
        <v>BLOCKED</v>
      </c>
    </row>
    <row r="32" spans="1:20">
      <c r="A32" s="31" t="str">
        <f>'12 - Device_Configuration'!H32</f>
        <v>LIJ SDF</v>
      </c>
      <c r="B32" s="31" t="str">
        <f>'12 - Device_Configuration'!S32</f>
        <v>LIJ-SDF-MACH-AE</v>
      </c>
      <c r="C32" s="31" t="str">
        <f>'12 - Device_Configuration'!T32</f>
        <v>A0F5097B8AFD</v>
      </c>
      <c r="D32" s="17">
        <f>'12 - Device_Configuration'!AJ32</f>
        <v>0</v>
      </c>
      <c r="E32" s="17">
        <f>'12 - Device_Configuration'!J32</f>
        <v>0</v>
      </c>
      <c r="F32" s="31">
        <f>'12 - Device_Configuration'!K32</f>
        <v>0</v>
      </c>
      <c r="G32" s="17">
        <f>'12 - Device_Configuration'!L32</f>
        <v>0</v>
      </c>
      <c r="H32" s="17">
        <f>'13 - Config_Intake_View'!M32</f>
        <v>0</v>
      </c>
      <c r="I32" s="31">
        <f>IF('13 - Config_Intake_View'!Q32&lt;&gt;"",'13 - Config_Intake_View'!Q32,'12 - Device_Configuration'!BH32)</f>
        <v>0</v>
      </c>
      <c r="J32" s="17" t="str">
        <f>IF('13 - Config_Intake_View'!Q32&lt;&gt;"","PM Approved",IF('12 - Device_Configuration'!BH32&lt;&gt;"","Assumed",""))</f>
        <v/>
      </c>
      <c r="K32" s="31" t="str">
        <f>'12 - Device_Configuration'!BG32</f>
        <v>Yes</v>
      </c>
      <c r="L32" s="17">
        <f>'12 - Device_Configuration'!P32</f>
        <v>0</v>
      </c>
      <c r="M32" s="17">
        <f>'12 - Device_Configuration'!Q32</f>
        <v>0</v>
      </c>
      <c r="N32" s="17" t="str">
        <f>'12 - Device_Configuration'!BK32</f>
        <v>Power Cable, Battery, Epic Beans Relay</v>
      </c>
      <c r="O32" s="31" t="str">
        <f>'12 - Device_Configuration'!BL32</f>
        <v>Blocked</v>
      </c>
      <c r="P32" s="2" t="str">
        <f>'12 - Device_Configuration'!BA32</f>
        <v>Yes</v>
      </c>
      <c r="Q32" s="31" t="str">
        <f t="shared" si="0"/>
        <v/>
      </c>
      <c r="R32" s="17" t="str">
        <f t="shared" si="1"/>
        <v/>
      </c>
      <c r="S32" s="17" t="str">
        <f t="shared" si="2"/>
        <v/>
      </c>
      <c r="T32" s="17" t="str">
        <f t="shared" si="3"/>
        <v>BLOCKED</v>
      </c>
    </row>
    <row r="33" spans="1:20">
      <c r="A33" s="31" t="str">
        <f>'12 - Device_Configuration'!H33</f>
        <v>LIJ SDF</v>
      </c>
      <c r="B33" s="31" t="str">
        <f>'12 - Device_Configuration'!S33</f>
        <v>LIJ-SDF-MACH-AF</v>
      </c>
      <c r="C33" s="31" t="str">
        <f>'12 - Device_Configuration'!T33</f>
        <v>A0F5097B8ADC</v>
      </c>
      <c r="D33" s="17">
        <f>'12 - Device_Configuration'!AJ33</f>
        <v>0</v>
      </c>
      <c r="E33" s="17">
        <f>'12 - Device_Configuration'!J33</f>
        <v>0</v>
      </c>
      <c r="F33" s="31">
        <f>'12 - Device_Configuration'!K33</f>
        <v>0</v>
      </c>
      <c r="G33" s="17">
        <f>'12 - Device_Configuration'!L33</f>
        <v>0</v>
      </c>
      <c r="H33" s="17">
        <f>'13 - Config_Intake_View'!M33</f>
        <v>0</v>
      </c>
      <c r="I33" s="31">
        <f>IF('13 - Config_Intake_View'!Q33&lt;&gt;"",'13 - Config_Intake_View'!Q33,'12 - Device_Configuration'!BH33)</f>
        <v>0</v>
      </c>
      <c r="J33" s="17" t="str">
        <f>IF('13 - Config_Intake_View'!Q33&lt;&gt;"","PM Approved",IF('12 - Device_Configuration'!BH33&lt;&gt;"","Assumed",""))</f>
        <v/>
      </c>
      <c r="K33" s="31" t="str">
        <f>'12 - Device_Configuration'!BG33</f>
        <v>Yes</v>
      </c>
      <c r="L33" s="17">
        <f>'12 - Device_Configuration'!P33</f>
        <v>0</v>
      </c>
      <c r="M33" s="17">
        <f>'12 - Device_Configuration'!Q33</f>
        <v>0</v>
      </c>
      <c r="N33" s="17" t="str">
        <f>'12 - Device_Configuration'!BK33</f>
        <v>Power Cable, Battery, Epic Beans Relay</v>
      </c>
      <c r="O33" s="31" t="str">
        <f>'12 - Device_Configuration'!BL33</f>
        <v>Blocked</v>
      </c>
      <c r="P33" s="2" t="str">
        <f>'12 - Device_Configuration'!BA33</f>
        <v>Yes</v>
      </c>
      <c r="Q33" s="31" t="str">
        <f t="shared" si="0"/>
        <v/>
      </c>
      <c r="R33" s="17" t="str">
        <f t="shared" si="1"/>
        <v/>
      </c>
      <c r="S33" s="17" t="str">
        <f t="shared" si="2"/>
        <v/>
      </c>
      <c r="T33" s="17" t="str">
        <f t="shared" si="3"/>
        <v>BLOCKED</v>
      </c>
    </row>
    <row r="34" spans="1:20">
      <c r="A34" s="31" t="str">
        <f>'12 - Device_Configuration'!H34</f>
        <v>PBMC</v>
      </c>
      <c r="B34" s="31" t="str">
        <f>'12 - Device_Configuration'!S34</f>
        <v>PBMC-MACH-N</v>
      </c>
      <c r="C34" s="31" t="str">
        <f>'12 - Device_Configuration'!T34</f>
        <v>A0F5097BA02C</v>
      </c>
      <c r="D34" s="17" t="str">
        <f>'12 - Device_Configuration'!AJ34</f>
        <v>Atlan A350</v>
      </c>
      <c r="E34" s="17" t="str">
        <f>'12 - Device_Configuration'!J34</f>
        <v>NA</v>
      </c>
      <c r="F34" s="31" t="str">
        <f>'12 - Device_Configuration'!K34</f>
        <v>NA</v>
      </c>
      <c r="G34" s="17" t="str">
        <f>'12 - Device_Configuration'!L34</f>
        <v>NA</v>
      </c>
      <c r="H34" s="17">
        <f>'13 - Config_Intake_View'!M34</f>
        <v>0</v>
      </c>
      <c r="I34" s="31">
        <f>IF('13 - Config_Intake_View'!Q34&lt;&gt;"",'13 - Config_Intake_View'!Q34,'12 - Device_Configuration'!BH34)</f>
        <v>0</v>
      </c>
      <c r="J34" s="17" t="str">
        <f>IF('13 - Config_Intake_View'!Q34&lt;&gt;"","PM Approved",IF('12 - Device_Configuration'!BH34&lt;&gt;"","Assumed",""))</f>
        <v/>
      </c>
      <c r="K34" s="31" t="str">
        <f>'12 - Device_Configuration'!BG34</f>
        <v>Yes</v>
      </c>
      <c r="L34" s="17">
        <f>'12 - Device_Configuration'!P34</f>
        <v>0</v>
      </c>
      <c r="M34" s="17">
        <f>'12 - Device_Configuration'!Q34</f>
        <v>0</v>
      </c>
      <c r="N34" s="17" t="str">
        <f>'12 - Device_Configuration'!BK34</f>
        <v>Power Cable, Battery, Epic Beans Relay</v>
      </c>
      <c r="O34" s="31" t="str">
        <f>'12 - Device_Configuration'!BL34</f>
        <v>Blocked</v>
      </c>
      <c r="P34" s="2" t="str">
        <f>'12 - Device_Configuration'!BA34</f>
        <v>Yes</v>
      </c>
      <c r="Q34" s="31" t="str">
        <f t="shared" si="0"/>
        <v/>
      </c>
      <c r="R34" s="17" t="str">
        <f t="shared" si="1"/>
        <v/>
      </c>
      <c r="S34" s="17" t="str">
        <f t="shared" si="2"/>
        <v/>
      </c>
      <c r="T34" s="17" t="str">
        <f t="shared" si="3"/>
        <v>BLOCKED</v>
      </c>
    </row>
    <row r="35" spans="1:20">
      <c r="A35" s="31" t="str">
        <f>'12 - Device_Configuration'!H35</f>
        <v>PBMC</v>
      </c>
      <c r="B35" s="31" t="str">
        <f>'12 - Device_Configuration'!S35</f>
        <v>n/a</v>
      </c>
      <c r="C35" s="31" t="str">
        <f>'12 - Device_Configuration'!T35</f>
        <v>n/a</v>
      </c>
      <c r="D35" s="17" t="str">
        <f>'12 - Device_Configuration'!AJ35</f>
        <v>Atlan A350</v>
      </c>
      <c r="E35" s="17">
        <f>'12 - Device_Configuration'!J35</f>
        <v>0</v>
      </c>
      <c r="F35" s="31">
        <f>'12 - Device_Configuration'!K35</f>
        <v>0</v>
      </c>
      <c r="G35" s="17">
        <f>'12 - Device_Configuration'!L35</f>
        <v>0</v>
      </c>
      <c r="H35" s="17">
        <f>'13 - Config_Intake_View'!M35</f>
        <v>0</v>
      </c>
      <c r="I35" s="31">
        <f>IF('13 - Config_Intake_View'!Q35&lt;&gt;"",'13 - Config_Intake_View'!Q35,'12 - Device_Configuration'!BH35)</f>
        <v>0</v>
      </c>
      <c r="J35" s="17" t="str">
        <f>IF('13 - Config_Intake_View'!Q35&lt;&gt;"","PM Approved",IF('12 - Device_Configuration'!BH35&lt;&gt;"","Assumed",""))</f>
        <v/>
      </c>
      <c r="K35" s="31" t="str">
        <f>'12 - Device_Configuration'!BG35</f>
        <v>Yes</v>
      </c>
      <c r="L35" s="17">
        <f>'12 - Device_Configuration'!P35</f>
        <v>0</v>
      </c>
      <c r="M35" s="17">
        <f>'12 - Device_Configuration'!Q35</f>
        <v>0</v>
      </c>
      <c r="N35" s="17" t="str">
        <f>'12 - Device_Configuration'!BK35</f>
        <v>Power Cable, Battery, Epic Beans Relay</v>
      </c>
      <c r="O35" s="31" t="str">
        <f>'12 - Device_Configuration'!BL35</f>
        <v>Blocked</v>
      </c>
      <c r="P35" s="2" t="str">
        <f>'12 - Device_Configuration'!BA35</f>
        <v>Yes</v>
      </c>
      <c r="Q35" s="31" t="str">
        <f t="shared" si="0"/>
        <v/>
      </c>
      <c r="R35" s="17" t="str">
        <f t="shared" si="1"/>
        <v/>
      </c>
      <c r="S35" s="17" t="str">
        <f t="shared" si="2"/>
        <v/>
      </c>
      <c r="T35" s="17" t="str">
        <f t="shared" si="3"/>
        <v>BLOCKED</v>
      </c>
    </row>
    <row r="36" spans="1:20">
      <c r="A36" s="31" t="str">
        <f>'12 - Device_Configuration'!H36</f>
        <v>MEETH</v>
      </c>
      <c r="B36" s="31" t="str">
        <f>'12 - Device_Configuration'!S36</f>
        <v>MEETH-MACH-U</v>
      </c>
      <c r="C36" s="31" t="str">
        <f>'12 - Device_Configuration'!T36</f>
        <v>A0F5097BA067</v>
      </c>
      <c r="D36" s="17">
        <f>'12 - Device_Configuration'!AJ36</f>
        <v>0</v>
      </c>
      <c r="E36" s="17" t="str">
        <f>'12 - Device_Configuration'!J36</f>
        <v>NA</v>
      </c>
      <c r="F36" s="31" t="str">
        <f>'12 - Device_Configuration'!K36</f>
        <v>NA</v>
      </c>
      <c r="G36" s="17" t="str">
        <f>'12 - Device_Configuration'!L36</f>
        <v>NA</v>
      </c>
      <c r="H36" s="17">
        <f>'13 - Config_Intake_View'!M36</f>
        <v>0</v>
      </c>
      <c r="I36" s="31">
        <f>IF('13 - Config_Intake_View'!Q36&lt;&gt;"",'13 - Config_Intake_View'!Q36,'12 - Device_Configuration'!BH36)</f>
        <v>0</v>
      </c>
      <c r="J36" s="17" t="str">
        <f>IF('13 - Config_Intake_View'!Q36&lt;&gt;"","PM Approved",IF('12 - Device_Configuration'!BH36&lt;&gt;"","Assumed",""))</f>
        <v/>
      </c>
      <c r="K36" s="31">
        <f>'12 - Device_Configuration'!BG36</f>
        <v>0</v>
      </c>
      <c r="L36" s="17">
        <f>'12 - Device_Configuration'!P36</f>
        <v>0</v>
      </c>
      <c r="M36" s="17">
        <f>'12 - Device_Configuration'!Q36</f>
        <v>0</v>
      </c>
      <c r="N36" s="17" t="str">
        <f>'12 - Device_Configuration'!BK36</f>
        <v>Power Cable, Battery, Firmware Download, Device ID, Epic Beans Relay</v>
      </c>
      <c r="O36" s="31" t="str">
        <f>'12 - Device_Configuration'!BL36</f>
        <v>Blocked</v>
      </c>
      <c r="P36" s="2">
        <f>'12 - Device_Configuration'!BA36</f>
        <v>0</v>
      </c>
      <c r="Q36" s="31" t="str">
        <f t="shared" si="0"/>
        <v/>
      </c>
      <c r="R36" s="17" t="str">
        <f t="shared" si="1"/>
        <v>SW NOT INSTALLED</v>
      </c>
      <c r="S36" s="17" t="str">
        <f t="shared" si="2"/>
        <v/>
      </c>
      <c r="T36" s="17" t="str">
        <f t="shared" si="3"/>
        <v>SW NOT INSTALLED</v>
      </c>
    </row>
    <row r="37" spans="1:20">
      <c r="A37" s="31" t="str">
        <f>'12 - Device_Configuration'!H37</f>
        <v>MEETH</v>
      </c>
      <c r="B37" s="31" t="str">
        <f>'12 - Device_Configuration'!S37</f>
        <v>MEETH-MACH-V</v>
      </c>
      <c r="C37" s="31" t="str">
        <f>'12 - Device_Configuration'!T37</f>
        <v>A0F5097BA08B</v>
      </c>
      <c r="D37" s="17">
        <f>'12 - Device_Configuration'!AJ37</f>
        <v>0</v>
      </c>
      <c r="E37" s="17" t="str">
        <f>'12 - Device_Configuration'!J37</f>
        <v>NA</v>
      </c>
      <c r="F37" s="31" t="str">
        <f>'12 - Device_Configuration'!K37</f>
        <v>NA</v>
      </c>
      <c r="G37" s="17" t="str">
        <f>'12 - Device_Configuration'!L37</f>
        <v>NA</v>
      </c>
      <c r="H37" s="17">
        <f>'13 - Config_Intake_View'!M37</f>
        <v>0</v>
      </c>
      <c r="I37" s="31">
        <f>IF('13 - Config_Intake_View'!Q37&lt;&gt;"",'13 - Config_Intake_View'!Q37,'12 - Device_Configuration'!BH37)</f>
        <v>0</v>
      </c>
      <c r="J37" s="17" t="str">
        <f>IF('13 - Config_Intake_View'!Q37&lt;&gt;"","PM Approved",IF('12 - Device_Configuration'!BH37&lt;&gt;"","Assumed",""))</f>
        <v/>
      </c>
      <c r="K37" s="31">
        <f>'12 - Device_Configuration'!BG37</f>
        <v>0</v>
      </c>
      <c r="L37" s="17">
        <f>'12 - Device_Configuration'!P37</f>
        <v>0</v>
      </c>
      <c r="M37" s="17">
        <f>'12 - Device_Configuration'!Q37</f>
        <v>0</v>
      </c>
      <c r="N37" s="17" t="str">
        <f>'12 - Device_Configuration'!BK37</f>
        <v>Power Cable, Battery, Firmware Download, Device ID, Epic Beans Relay</v>
      </c>
      <c r="O37" s="31" t="str">
        <f>'12 - Device_Configuration'!BL37</f>
        <v>Blocked</v>
      </c>
      <c r="P37" s="2">
        <f>'12 - Device_Configuration'!BA37</f>
        <v>0</v>
      </c>
      <c r="Q37" s="31" t="str">
        <f t="shared" si="0"/>
        <v/>
      </c>
      <c r="R37" s="17" t="str">
        <f t="shared" si="1"/>
        <v>SW NOT INSTALLED</v>
      </c>
      <c r="S37" s="17" t="str">
        <f t="shared" si="2"/>
        <v/>
      </c>
      <c r="T37" s="17" t="str">
        <f t="shared" si="3"/>
        <v>SW NOT INSTALLED</v>
      </c>
    </row>
    <row r="38" spans="1:20">
      <c r="A38" s="31" t="str">
        <f>'12 - Device_Configuration'!H38</f>
        <v>MEETH</v>
      </c>
      <c r="B38" s="31" t="str">
        <f>'12 - Device_Configuration'!S38</f>
        <v>MEETH-MACH-W</v>
      </c>
      <c r="C38" s="31" t="str">
        <f>'12 - Device_Configuration'!T38</f>
        <v>A0F5097B969A</v>
      </c>
      <c r="D38" s="17">
        <f>'12 - Device_Configuration'!AJ38</f>
        <v>0</v>
      </c>
      <c r="E38" s="17" t="str">
        <f>'12 - Device_Configuration'!J38</f>
        <v>NA</v>
      </c>
      <c r="F38" s="31" t="str">
        <f>'12 - Device_Configuration'!K38</f>
        <v>NA</v>
      </c>
      <c r="G38" s="17" t="str">
        <f>'12 - Device_Configuration'!L38</f>
        <v>NA</v>
      </c>
      <c r="H38" s="17">
        <f>'13 - Config_Intake_View'!M38</f>
        <v>0</v>
      </c>
      <c r="I38" s="31">
        <f>IF('13 - Config_Intake_View'!Q38&lt;&gt;"",'13 - Config_Intake_View'!Q38,'12 - Device_Configuration'!BH38)</f>
        <v>0</v>
      </c>
      <c r="J38" s="17" t="str">
        <f>IF('13 - Config_Intake_View'!Q38&lt;&gt;"","PM Approved",IF('12 - Device_Configuration'!BH38&lt;&gt;"","Assumed",""))</f>
        <v/>
      </c>
      <c r="K38" s="31">
        <f>'12 - Device_Configuration'!BG38</f>
        <v>0</v>
      </c>
      <c r="L38" s="17">
        <f>'12 - Device_Configuration'!P38</f>
        <v>0</v>
      </c>
      <c r="M38" s="17">
        <f>'12 - Device_Configuration'!Q38</f>
        <v>0</v>
      </c>
      <c r="N38" s="17" t="str">
        <f>'12 - Device_Configuration'!BK38</f>
        <v>Power Cable, Battery, Firmware Download, Device ID, Epic Beans Relay</v>
      </c>
      <c r="O38" s="31" t="str">
        <f>'12 - Device_Configuration'!BL38</f>
        <v>Blocked</v>
      </c>
      <c r="P38" s="2">
        <f>'12 - Device_Configuration'!BA38</f>
        <v>0</v>
      </c>
      <c r="Q38" s="31" t="str">
        <f t="shared" si="0"/>
        <v/>
      </c>
      <c r="R38" s="17" t="str">
        <f t="shared" si="1"/>
        <v>SW NOT INSTALLED</v>
      </c>
      <c r="S38" s="17" t="str">
        <f t="shared" si="2"/>
        <v/>
      </c>
      <c r="T38" s="17" t="str">
        <f t="shared" si="3"/>
        <v>SW NOT INSTALLED</v>
      </c>
    </row>
    <row r="39" spans="1:20">
      <c r="A39" s="31" t="str">
        <f>'12 - Device_Configuration'!H39</f>
        <v>ZUCKER HOSPITAL</v>
      </c>
      <c r="B39" s="31" t="str">
        <f>'12 - Device_Configuration'!S39</f>
        <v>ZHH-MACH-A</v>
      </c>
      <c r="C39" s="31" t="str">
        <f>'12 - Device_Configuration'!T39</f>
        <v>A0F5097B961B</v>
      </c>
      <c r="D39" s="17">
        <f>'12 - Device_Configuration'!AJ39</f>
        <v>0</v>
      </c>
      <c r="E39" s="17" t="str">
        <f>'12 - Device_Configuration'!J39</f>
        <v>NA</v>
      </c>
      <c r="F39" s="31" t="str">
        <f>'12 - Device_Configuration'!K39</f>
        <v>NA</v>
      </c>
      <c r="G39" s="17" t="str">
        <f>'12 - Device_Configuration'!L39</f>
        <v>NA</v>
      </c>
      <c r="H39" s="17">
        <f>'13 - Config_Intake_View'!M39</f>
        <v>0</v>
      </c>
      <c r="I39" s="31">
        <f>IF('13 - Config_Intake_View'!Q39&lt;&gt;"",'13 - Config_Intake_View'!Q39,'12 - Device_Configuration'!BH39)</f>
        <v>0</v>
      </c>
      <c r="J39" s="17" t="str">
        <f>IF('13 - Config_Intake_View'!Q39&lt;&gt;"","PM Approved",IF('12 - Device_Configuration'!BH39&lt;&gt;"","Assumed",""))</f>
        <v/>
      </c>
      <c r="K39" s="31">
        <f>'12 - Device_Configuration'!BG39</f>
        <v>0</v>
      </c>
      <c r="L39" s="17">
        <f>'12 - Device_Configuration'!P39</f>
        <v>0</v>
      </c>
      <c r="M39" s="17">
        <f>'12 - Device_Configuration'!Q39</f>
        <v>0</v>
      </c>
      <c r="N39" s="17" t="str">
        <f>'12 - Device_Configuration'!BK39</f>
        <v>Power Cable, Battery, Firmware Download, Device ID, Epic Beans Relay</v>
      </c>
      <c r="O39" s="31" t="str">
        <f>'12 - Device_Configuration'!BL39</f>
        <v>Blocked</v>
      </c>
      <c r="P39" s="2">
        <f>'12 - Device_Configuration'!BA39</f>
        <v>0</v>
      </c>
      <c r="Q39" s="31" t="str">
        <f t="shared" si="0"/>
        <v/>
      </c>
      <c r="R39" s="17" t="str">
        <f t="shared" si="1"/>
        <v>SW NOT INSTALLED</v>
      </c>
      <c r="S39" s="17" t="str">
        <f t="shared" si="2"/>
        <v/>
      </c>
      <c r="T39" s="17" t="str">
        <f t="shared" si="3"/>
        <v>SW NOT INSTALLED</v>
      </c>
    </row>
    <row r="40" spans="1:20">
      <c r="A40" s="31" t="str">
        <f>'12 - Device_Configuration'!H40</f>
        <v>ZUCKER HOSPITAL</v>
      </c>
      <c r="B40" s="31" t="str">
        <f>'12 - Device_Configuration'!S40</f>
        <v>ZHH-MACH-B</v>
      </c>
      <c r="C40" s="31" t="str">
        <f>'12 - Device_Configuration'!T40</f>
        <v>A0F5097B8D8E</v>
      </c>
      <c r="D40" s="17">
        <f>'12 - Device_Configuration'!AJ40</f>
        <v>0</v>
      </c>
      <c r="E40" s="17" t="str">
        <f>'12 - Device_Configuration'!J40</f>
        <v>NA</v>
      </c>
      <c r="F40" s="31" t="str">
        <f>'12 - Device_Configuration'!K40</f>
        <v>NA</v>
      </c>
      <c r="G40" s="17" t="str">
        <f>'12 - Device_Configuration'!L40</f>
        <v>NA</v>
      </c>
      <c r="H40" s="17">
        <f>'13 - Config_Intake_View'!M40</f>
        <v>0</v>
      </c>
      <c r="I40" s="31">
        <f>IF('13 - Config_Intake_View'!Q40&lt;&gt;"",'13 - Config_Intake_View'!Q40,'12 - Device_Configuration'!BH40)</f>
        <v>0</v>
      </c>
      <c r="J40" s="17" t="str">
        <f>IF('13 - Config_Intake_View'!Q40&lt;&gt;"","PM Approved",IF('12 - Device_Configuration'!BH40&lt;&gt;"","Assumed",""))</f>
        <v/>
      </c>
      <c r="K40" s="31">
        <f>'12 - Device_Configuration'!BG40</f>
        <v>0</v>
      </c>
      <c r="L40" s="17">
        <f>'12 - Device_Configuration'!P40</f>
        <v>0</v>
      </c>
      <c r="M40" s="17">
        <f>'12 - Device_Configuration'!Q40</f>
        <v>0</v>
      </c>
      <c r="N40" s="17" t="str">
        <f>'12 - Device_Configuration'!BK40</f>
        <v>Power Cable, Battery, Firmware Download, Device ID, Epic Beans Relay</v>
      </c>
      <c r="O40" s="31" t="str">
        <f>'12 - Device_Configuration'!BL40</f>
        <v>Blocked</v>
      </c>
      <c r="P40" s="2">
        <f>'12 - Device_Configuration'!BA40</f>
        <v>0</v>
      </c>
      <c r="Q40" s="31" t="str">
        <f t="shared" si="0"/>
        <v/>
      </c>
      <c r="R40" s="17" t="str">
        <f t="shared" si="1"/>
        <v>SW NOT INSTALLED</v>
      </c>
      <c r="S40" s="17" t="str">
        <f t="shared" si="2"/>
        <v/>
      </c>
      <c r="T40" s="17" t="str">
        <f t="shared" si="3"/>
        <v>SW NOT INSTALLED</v>
      </c>
    </row>
    <row r="41" spans="1:20">
      <c r="A41" s="31" t="str">
        <f>'12 - Device_Configuration'!H41</f>
        <v>ZUCKER HOSPITAL</v>
      </c>
      <c r="B41" s="31" t="str">
        <f>'12 - Device_Configuration'!S41</f>
        <v>ZHH-MACH-C</v>
      </c>
      <c r="C41" s="31" t="str">
        <f>'12 - Device_Configuration'!T41</f>
        <v>A0F5097B9BB8</v>
      </c>
      <c r="D41" s="17">
        <f>'12 - Device_Configuration'!AJ41</f>
        <v>0</v>
      </c>
      <c r="E41" s="17" t="str">
        <f>'12 - Device_Configuration'!J41</f>
        <v>NA</v>
      </c>
      <c r="F41" s="31" t="str">
        <f>'12 - Device_Configuration'!K41</f>
        <v>NA</v>
      </c>
      <c r="G41" s="17" t="str">
        <f>'12 - Device_Configuration'!L41</f>
        <v>NA</v>
      </c>
      <c r="H41" s="17">
        <f>'13 - Config_Intake_View'!M41</f>
        <v>0</v>
      </c>
      <c r="I41" s="31">
        <f>IF('13 - Config_Intake_View'!Q41&lt;&gt;"",'13 - Config_Intake_View'!Q41,'12 - Device_Configuration'!BH41)</f>
        <v>0</v>
      </c>
      <c r="J41" s="17" t="str">
        <f>IF('13 - Config_Intake_View'!Q41&lt;&gt;"","PM Approved",IF('12 - Device_Configuration'!BH41&lt;&gt;"","Assumed",""))</f>
        <v/>
      </c>
      <c r="K41" s="31">
        <f>'12 - Device_Configuration'!BG41</f>
        <v>0</v>
      </c>
      <c r="L41" s="17">
        <f>'12 - Device_Configuration'!P41</f>
        <v>0</v>
      </c>
      <c r="M41" s="17">
        <f>'12 - Device_Configuration'!Q41</f>
        <v>0</v>
      </c>
      <c r="N41" s="17" t="str">
        <f>'12 - Device_Configuration'!BK41</f>
        <v>Power Cable, Battery, Firmware Download, Device ID, Epic Beans Relay</v>
      </c>
      <c r="O41" s="31" t="str">
        <f>'12 - Device_Configuration'!BL41</f>
        <v>Blocked</v>
      </c>
      <c r="P41" s="2">
        <f>'12 - Device_Configuration'!BA41</f>
        <v>0</v>
      </c>
      <c r="Q41" s="31" t="str">
        <f t="shared" si="0"/>
        <v/>
      </c>
      <c r="R41" s="17" t="str">
        <f t="shared" si="1"/>
        <v>SW NOT INSTALLED</v>
      </c>
      <c r="S41" s="17" t="str">
        <f t="shared" si="2"/>
        <v/>
      </c>
      <c r="T41" s="17" t="str">
        <f t="shared" si="3"/>
        <v>SW NOT INSTALLED</v>
      </c>
    </row>
    <row r="42" spans="1:20">
      <c r="A42" s="31" t="str">
        <f>'12 - Device_Configuration'!H42</f>
        <v>CCMC</v>
      </c>
      <c r="B42" s="31" t="str">
        <f>'12 - Device_Configuration'!S42</f>
        <v>CCMC-MACH-A</v>
      </c>
      <c r="C42" s="31" t="str">
        <f>'12 - Device_Configuration'!T42</f>
        <v>A0F5097B8C9F</v>
      </c>
      <c r="D42" s="17">
        <f>'12 - Device_Configuration'!AJ42</f>
        <v>0</v>
      </c>
      <c r="E42" s="17" t="str">
        <f>'12 - Device_Configuration'!J42</f>
        <v>NA</v>
      </c>
      <c r="F42" s="31" t="str">
        <f>'12 - Device_Configuration'!K42</f>
        <v>NA</v>
      </c>
      <c r="G42" s="17" t="str">
        <f>'12 - Device_Configuration'!L42</f>
        <v>NA</v>
      </c>
      <c r="H42" s="17">
        <f>'13 - Config_Intake_View'!M42</f>
        <v>0</v>
      </c>
      <c r="I42" s="31">
        <f>IF('13 - Config_Intake_View'!Q42&lt;&gt;"",'13 - Config_Intake_View'!Q42,'12 - Device_Configuration'!BH42)</f>
        <v>0</v>
      </c>
      <c r="J42" s="17" t="str">
        <f>IF('13 - Config_Intake_View'!Q42&lt;&gt;"","PM Approved",IF('12 - Device_Configuration'!BH42&lt;&gt;"","Assumed",""))</f>
        <v/>
      </c>
      <c r="K42" s="31">
        <f>'12 - Device_Configuration'!BG42</f>
        <v>0</v>
      </c>
      <c r="L42" s="17">
        <f>'12 - Device_Configuration'!P42</f>
        <v>0</v>
      </c>
      <c r="M42" s="17">
        <f>'12 - Device_Configuration'!Q42</f>
        <v>0</v>
      </c>
      <c r="N42" s="17" t="str">
        <f>'12 - Device_Configuration'!BK42</f>
        <v>Power Cable, Battery, Firmware Download, Device ID, Epic Beans Relay</v>
      </c>
      <c r="O42" s="31" t="str">
        <f>'12 - Device_Configuration'!BL42</f>
        <v>Blocked</v>
      </c>
      <c r="P42" s="2">
        <f>'12 - Device_Configuration'!BA42</f>
        <v>0</v>
      </c>
      <c r="Q42" s="31" t="str">
        <f t="shared" si="0"/>
        <v/>
      </c>
      <c r="R42" s="17" t="str">
        <f t="shared" si="1"/>
        <v>SW NOT INSTALLED</v>
      </c>
      <c r="S42" s="17" t="str">
        <f t="shared" si="2"/>
        <v/>
      </c>
      <c r="T42" s="17" t="str">
        <f t="shared" si="3"/>
        <v>SW NOT INSTALLED</v>
      </c>
    </row>
    <row r="43" spans="1:20">
      <c r="A43" s="31" t="str">
        <f>'12 - Device_Configuration'!H43</f>
        <v>Glen Cove</v>
      </c>
      <c r="B43" s="31" t="str">
        <f>'12 - Device_Configuration'!S43</f>
        <v>GCH-MACH-E</v>
      </c>
      <c r="C43" s="31" t="str">
        <f>'12 - Device_Configuration'!T43</f>
        <v>A0F5097B8E02</v>
      </c>
      <c r="D43" s="17">
        <f>'12 - Device_Configuration'!AJ43</f>
        <v>0</v>
      </c>
      <c r="E43" s="17" t="str">
        <f>'12 - Device_Configuration'!J43</f>
        <v>NA</v>
      </c>
      <c r="F43" s="31" t="str">
        <f>'12 - Device_Configuration'!K43</f>
        <v>NA</v>
      </c>
      <c r="G43" s="17" t="str">
        <f>'12 - Device_Configuration'!L43</f>
        <v>NA</v>
      </c>
      <c r="H43" s="17">
        <f>'13 - Config_Intake_View'!M43</f>
        <v>0</v>
      </c>
      <c r="I43" s="31">
        <f>IF('13 - Config_Intake_View'!Q43&lt;&gt;"",'13 - Config_Intake_View'!Q43,'12 - Device_Configuration'!BH43)</f>
        <v>0</v>
      </c>
      <c r="J43" s="17" t="str">
        <f>IF('13 - Config_Intake_View'!Q43&lt;&gt;"","PM Approved",IF('12 - Device_Configuration'!BH43&lt;&gt;"","Assumed",""))</f>
        <v/>
      </c>
      <c r="K43" s="31">
        <f>'12 - Device_Configuration'!BG43</f>
        <v>0</v>
      </c>
      <c r="L43" s="17">
        <f>'12 - Device_Configuration'!P43</f>
        <v>0</v>
      </c>
      <c r="M43" s="17">
        <f>'12 - Device_Configuration'!Q43</f>
        <v>0</v>
      </c>
      <c r="N43" s="17" t="str">
        <f>'12 - Device_Configuration'!BK43</f>
        <v>Power Cable, Battery, Firmware Download, Device ID, Epic Beans Relay</v>
      </c>
      <c r="O43" s="31" t="str">
        <f>'12 - Device_Configuration'!BL43</f>
        <v>Blocked</v>
      </c>
      <c r="P43" s="2">
        <f>'12 - Device_Configuration'!BA43</f>
        <v>0</v>
      </c>
      <c r="Q43" s="31" t="str">
        <f t="shared" si="0"/>
        <v/>
      </c>
      <c r="R43" s="17" t="str">
        <f t="shared" si="1"/>
        <v>SW NOT INSTALLED</v>
      </c>
      <c r="S43" s="17" t="str">
        <f t="shared" si="2"/>
        <v/>
      </c>
      <c r="T43" s="17" t="str">
        <f t="shared" si="3"/>
        <v>SW NOT INSTALLED</v>
      </c>
    </row>
    <row r="44" spans="1:20">
      <c r="A44" s="31" t="str">
        <f>'12 - Device_Configuration'!H44</f>
        <v>Glen Cove</v>
      </c>
      <c r="B44" s="31" t="str">
        <f>'12 - Device_Configuration'!S44</f>
        <v>GCH-MACH-F</v>
      </c>
      <c r="C44" s="31" t="str">
        <f>'12 - Device_Configuration'!T44</f>
        <v>A0F5097B8BC2</v>
      </c>
      <c r="D44" s="17">
        <f>'12 - Device_Configuration'!AJ44</f>
        <v>0</v>
      </c>
      <c r="E44" s="17" t="str">
        <f>'12 - Device_Configuration'!J44</f>
        <v>NA</v>
      </c>
      <c r="F44" s="31" t="str">
        <f>'12 - Device_Configuration'!K44</f>
        <v>NA</v>
      </c>
      <c r="G44" s="17" t="str">
        <f>'12 - Device_Configuration'!L44</f>
        <v>NA</v>
      </c>
      <c r="H44" s="17">
        <f>'13 - Config_Intake_View'!M44</f>
        <v>0</v>
      </c>
      <c r="I44" s="31">
        <f>IF('13 - Config_Intake_View'!Q44&lt;&gt;"",'13 - Config_Intake_View'!Q44,'12 - Device_Configuration'!BH44)</f>
        <v>0</v>
      </c>
      <c r="J44" s="17" t="str">
        <f>IF('13 - Config_Intake_View'!Q44&lt;&gt;"","PM Approved",IF('12 - Device_Configuration'!BH44&lt;&gt;"","Assumed",""))</f>
        <v/>
      </c>
      <c r="K44" s="31">
        <f>'12 - Device_Configuration'!BG44</f>
        <v>0</v>
      </c>
      <c r="L44" s="17">
        <f>'12 - Device_Configuration'!P44</f>
        <v>0</v>
      </c>
      <c r="M44" s="17">
        <f>'12 - Device_Configuration'!Q44</f>
        <v>0</v>
      </c>
      <c r="N44" s="17" t="str">
        <f>'12 - Device_Configuration'!BK44</f>
        <v>Power Cable, Battery, Firmware Download, Device ID, Epic Beans Relay</v>
      </c>
      <c r="O44" s="31" t="str">
        <f>'12 - Device_Configuration'!BL44</f>
        <v>Blocked</v>
      </c>
      <c r="P44" s="2">
        <f>'12 - Device_Configuration'!BA44</f>
        <v>0</v>
      </c>
      <c r="Q44" s="31" t="str">
        <f t="shared" si="0"/>
        <v/>
      </c>
      <c r="R44" s="17" t="str">
        <f t="shared" si="1"/>
        <v>SW NOT INSTALLED</v>
      </c>
      <c r="S44" s="17" t="str">
        <f t="shared" si="2"/>
        <v/>
      </c>
      <c r="T44" s="17" t="str">
        <f t="shared" si="3"/>
        <v>SW NOT INSTALLED</v>
      </c>
    </row>
    <row r="45" spans="1:20">
      <c r="A45" s="31" t="str">
        <f>'12 - Device_Configuration'!H45</f>
        <v>Glen Cove</v>
      </c>
      <c r="B45" s="31" t="str">
        <f>'12 - Device_Configuration'!S45</f>
        <v>GCH-MACH-G</v>
      </c>
      <c r="C45" s="31" t="str">
        <f>'12 - Device_Configuration'!T45</f>
        <v>A0F5097B8E6F</v>
      </c>
      <c r="D45" s="17">
        <f>'12 - Device_Configuration'!AJ45</f>
        <v>0</v>
      </c>
      <c r="E45" s="17" t="str">
        <f>'12 - Device_Configuration'!J45</f>
        <v>NA</v>
      </c>
      <c r="F45" s="31" t="str">
        <f>'12 - Device_Configuration'!K45</f>
        <v>NA</v>
      </c>
      <c r="G45" s="17" t="str">
        <f>'12 - Device_Configuration'!L45</f>
        <v>NA</v>
      </c>
      <c r="H45" s="17">
        <f>'13 - Config_Intake_View'!M45</f>
        <v>0</v>
      </c>
      <c r="I45" s="31">
        <f>IF('13 - Config_Intake_View'!Q45&lt;&gt;"",'13 - Config_Intake_View'!Q45,'12 - Device_Configuration'!BH45)</f>
        <v>0</v>
      </c>
      <c r="J45" s="17" t="str">
        <f>IF('13 - Config_Intake_View'!Q45&lt;&gt;"","PM Approved",IF('12 - Device_Configuration'!BH45&lt;&gt;"","Assumed",""))</f>
        <v/>
      </c>
      <c r="K45" s="31">
        <f>'12 - Device_Configuration'!BG45</f>
        <v>0</v>
      </c>
      <c r="L45" s="17">
        <f>'12 - Device_Configuration'!P45</f>
        <v>0</v>
      </c>
      <c r="M45" s="17">
        <f>'12 - Device_Configuration'!Q45</f>
        <v>0</v>
      </c>
      <c r="N45" s="17" t="str">
        <f>'12 - Device_Configuration'!BK45</f>
        <v>Power Cable, Battery, Firmware Download, Device ID, Epic Beans Relay</v>
      </c>
      <c r="O45" s="31" t="str">
        <f>'12 - Device_Configuration'!BL45</f>
        <v>Blocked</v>
      </c>
      <c r="P45" s="2">
        <f>'12 - Device_Configuration'!BA45</f>
        <v>0</v>
      </c>
      <c r="Q45" s="31" t="str">
        <f t="shared" si="0"/>
        <v/>
      </c>
      <c r="R45" s="17" t="str">
        <f t="shared" si="1"/>
        <v>SW NOT INSTALLED</v>
      </c>
      <c r="S45" s="17" t="str">
        <f t="shared" si="2"/>
        <v/>
      </c>
      <c r="T45" s="17" t="str">
        <f t="shared" si="3"/>
        <v>SW NOT INSTALLED</v>
      </c>
    </row>
    <row r="46" spans="1:20">
      <c r="A46" s="31" t="str">
        <f>'12 - Device_Configuration'!H46</f>
        <v>Glen Cove</v>
      </c>
      <c r="B46" s="31" t="str">
        <f>'12 - Device_Configuration'!S46</f>
        <v>GCH-MACH-H</v>
      </c>
      <c r="C46" s="31" t="str">
        <f>'12 - Device_Configuration'!T46</f>
        <v>A0F5097B8CD0</v>
      </c>
      <c r="D46" s="17">
        <f>'12 - Device_Configuration'!AJ46</f>
        <v>0</v>
      </c>
      <c r="E46" s="17">
        <f>'12 - Device_Configuration'!J46</f>
        <v>0</v>
      </c>
      <c r="F46" s="31">
        <f>'12 - Device_Configuration'!K46</f>
        <v>0</v>
      </c>
      <c r="G46" s="17">
        <f>'12 - Device_Configuration'!L46</f>
        <v>0</v>
      </c>
      <c r="H46" s="17">
        <f>'13 - Config_Intake_View'!M46</f>
        <v>0</v>
      </c>
      <c r="I46" s="31">
        <f>IF('13 - Config_Intake_View'!Q46&lt;&gt;"",'13 - Config_Intake_View'!Q46,'12 - Device_Configuration'!BH46)</f>
        <v>0</v>
      </c>
      <c r="J46" s="17" t="str">
        <f>IF('13 - Config_Intake_View'!Q46&lt;&gt;"","PM Approved",IF('12 - Device_Configuration'!BH46&lt;&gt;"","Assumed",""))</f>
        <v/>
      </c>
      <c r="K46" s="31">
        <f>'12 - Device_Configuration'!BG46</f>
        <v>0</v>
      </c>
      <c r="L46" s="17">
        <f>'12 - Device_Configuration'!P46</f>
        <v>0</v>
      </c>
      <c r="M46" s="17">
        <f>'12 - Device_Configuration'!Q46</f>
        <v>0</v>
      </c>
      <c r="N46" s="17" t="str">
        <f>'12 - Device_Configuration'!BK46</f>
        <v>Power Cable, Battery, Firmware Download, Device ID, Epic Beans Relay</v>
      </c>
      <c r="O46" s="31" t="str">
        <f>'12 - Device_Configuration'!BL46</f>
        <v>Blocked</v>
      </c>
      <c r="P46" s="2">
        <f>'12 - Device_Configuration'!BA46</f>
        <v>0</v>
      </c>
      <c r="Q46" s="31" t="str">
        <f t="shared" si="0"/>
        <v/>
      </c>
      <c r="R46" s="17" t="str">
        <f t="shared" si="1"/>
        <v>SW NOT INSTALLED</v>
      </c>
      <c r="S46" s="17" t="str">
        <f t="shared" si="2"/>
        <v/>
      </c>
      <c r="T46" s="17" t="str">
        <f t="shared" si="3"/>
        <v>SW NOT INSTALLED</v>
      </c>
    </row>
    <row r="47" spans="1:20">
      <c r="A47" s="31" t="str">
        <f>'12 - Device_Configuration'!H47</f>
        <v>Glen Cove</v>
      </c>
      <c r="B47" s="31" t="str">
        <f>'12 - Device_Configuration'!S47</f>
        <v>GCH-MACH-I</v>
      </c>
      <c r="C47" s="31" t="str">
        <f>'12 - Device_Configuration'!T47</f>
        <v>A0F5097B8B9A</v>
      </c>
      <c r="D47" s="17">
        <f>'12 - Device_Configuration'!AJ47</f>
        <v>0</v>
      </c>
      <c r="E47" s="17" t="str">
        <f>'12 - Device_Configuration'!J47</f>
        <v>NA</v>
      </c>
      <c r="F47" s="31" t="str">
        <f>'12 - Device_Configuration'!K47</f>
        <v>NA</v>
      </c>
      <c r="G47" s="17" t="str">
        <f>'12 - Device_Configuration'!L47</f>
        <v>NA</v>
      </c>
      <c r="H47" s="17">
        <f>'13 - Config_Intake_View'!M47</f>
        <v>0</v>
      </c>
      <c r="I47" s="31">
        <f>IF('13 - Config_Intake_View'!Q47&lt;&gt;"",'13 - Config_Intake_View'!Q47,'12 - Device_Configuration'!BH47)</f>
        <v>0</v>
      </c>
      <c r="J47" s="17" t="str">
        <f>IF('13 - Config_Intake_View'!Q47&lt;&gt;"","PM Approved",IF('12 - Device_Configuration'!BH47&lt;&gt;"","Assumed",""))</f>
        <v/>
      </c>
      <c r="K47" s="31">
        <f>'12 - Device_Configuration'!BG47</f>
        <v>0</v>
      </c>
      <c r="L47" s="17">
        <f>'12 - Device_Configuration'!P47</f>
        <v>0</v>
      </c>
      <c r="M47" s="17">
        <f>'12 - Device_Configuration'!Q47</f>
        <v>0</v>
      </c>
      <c r="N47" s="17" t="str">
        <f>'12 - Device_Configuration'!BK47</f>
        <v>Power Cable, Battery, Firmware Download, Device ID, Epic Beans Relay</v>
      </c>
      <c r="O47" s="31" t="str">
        <f>'12 - Device_Configuration'!BL47</f>
        <v>Blocked</v>
      </c>
      <c r="P47" s="2">
        <f>'12 - Device_Configuration'!BA47</f>
        <v>0</v>
      </c>
      <c r="Q47" s="31" t="str">
        <f t="shared" si="0"/>
        <v/>
      </c>
      <c r="R47" s="17" t="str">
        <f t="shared" si="1"/>
        <v>SW NOT INSTALLED</v>
      </c>
      <c r="S47" s="17" t="str">
        <f t="shared" si="2"/>
        <v/>
      </c>
      <c r="T47" s="17" t="str">
        <f t="shared" si="3"/>
        <v>SW NOT INSTALLED</v>
      </c>
    </row>
    <row r="48" spans="1:20">
      <c r="A48" s="31" t="str">
        <f>'12 - Device_Configuration'!H48</f>
        <v>Glen Cove</v>
      </c>
      <c r="B48" s="31" t="str">
        <f>'12 - Device_Configuration'!S48</f>
        <v>GCH-MACH-J</v>
      </c>
      <c r="C48" s="31" t="str">
        <f>'12 - Device_Configuration'!T48</f>
        <v>A0F5097B8CF9</v>
      </c>
      <c r="D48" s="17">
        <f>'12 - Device_Configuration'!AJ48</f>
        <v>0</v>
      </c>
      <c r="E48" s="17" t="str">
        <f>'12 - Device_Configuration'!J48</f>
        <v>NA</v>
      </c>
      <c r="F48" s="31" t="str">
        <f>'12 - Device_Configuration'!K48</f>
        <v>NA</v>
      </c>
      <c r="G48" s="17" t="str">
        <f>'12 - Device_Configuration'!L48</f>
        <v>NA</v>
      </c>
      <c r="H48" s="17">
        <f>'13 - Config_Intake_View'!M48</f>
        <v>0</v>
      </c>
      <c r="I48" s="31">
        <f>IF('13 - Config_Intake_View'!Q48&lt;&gt;"",'13 - Config_Intake_View'!Q48,'12 - Device_Configuration'!BH48)</f>
        <v>0</v>
      </c>
      <c r="J48" s="17" t="str">
        <f>IF('13 - Config_Intake_View'!Q48&lt;&gt;"","PM Approved",IF('12 - Device_Configuration'!BH48&lt;&gt;"","Assumed",""))</f>
        <v/>
      </c>
      <c r="K48" s="31">
        <f>'12 - Device_Configuration'!BG48</f>
        <v>0</v>
      </c>
      <c r="L48" s="17">
        <f>'12 - Device_Configuration'!P48</f>
        <v>0</v>
      </c>
      <c r="M48" s="17">
        <f>'12 - Device_Configuration'!Q48</f>
        <v>0</v>
      </c>
      <c r="N48" s="17" t="str">
        <f>'12 - Device_Configuration'!BK48</f>
        <v>Power Cable, Battery, Firmware Download, Device ID, Epic Beans Relay</v>
      </c>
      <c r="O48" s="31" t="str">
        <f>'12 - Device_Configuration'!BL48</f>
        <v>Blocked</v>
      </c>
      <c r="P48" s="2">
        <f>'12 - Device_Configuration'!BA48</f>
        <v>0</v>
      </c>
      <c r="Q48" s="31" t="str">
        <f t="shared" si="0"/>
        <v/>
      </c>
      <c r="R48" s="17" t="str">
        <f t="shared" si="1"/>
        <v>SW NOT INSTALLED</v>
      </c>
      <c r="S48" s="17" t="str">
        <f t="shared" si="2"/>
        <v/>
      </c>
      <c r="T48" s="17" t="str">
        <f t="shared" si="3"/>
        <v>SW NOT INSTALLED</v>
      </c>
    </row>
    <row r="49" spans="1:20">
      <c r="A49" s="31" t="str">
        <f>'12 - Device_Configuration'!H49</f>
        <v>Glen Cove</v>
      </c>
      <c r="B49" s="31" t="str">
        <f>'12 - Device_Configuration'!S49</f>
        <v>GCH-MACH-K</v>
      </c>
      <c r="C49" s="31" t="str">
        <f>'12 - Device_Configuration'!T49</f>
        <v>A0F5097B8B74</v>
      </c>
      <c r="D49" s="17">
        <f>'12 - Device_Configuration'!AJ49</f>
        <v>0</v>
      </c>
      <c r="E49" s="17" t="str">
        <f>'12 - Device_Configuration'!J49</f>
        <v>NA</v>
      </c>
      <c r="F49" s="31" t="str">
        <f>'12 - Device_Configuration'!K49</f>
        <v>NA</v>
      </c>
      <c r="G49" s="17" t="str">
        <f>'12 - Device_Configuration'!L49</f>
        <v>NA</v>
      </c>
      <c r="H49" s="17">
        <f>'13 - Config_Intake_View'!M49</f>
        <v>0</v>
      </c>
      <c r="I49" s="31">
        <f>IF('13 - Config_Intake_View'!Q49&lt;&gt;"",'13 - Config_Intake_View'!Q49,'12 - Device_Configuration'!BH49)</f>
        <v>0</v>
      </c>
      <c r="J49" s="17" t="str">
        <f>IF('13 - Config_Intake_View'!Q49&lt;&gt;"","PM Approved",IF('12 - Device_Configuration'!BH49&lt;&gt;"","Assumed",""))</f>
        <v/>
      </c>
      <c r="K49" s="31">
        <f>'12 - Device_Configuration'!BG49</f>
        <v>0</v>
      </c>
      <c r="L49" s="17">
        <f>'12 - Device_Configuration'!P49</f>
        <v>0</v>
      </c>
      <c r="M49" s="17">
        <f>'12 - Device_Configuration'!Q49</f>
        <v>0</v>
      </c>
      <c r="N49" s="17" t="str">
        <f>'12 - Device_Configuration'!BK49</f>
        <v>Power Cable, Battery, Firmware Download, Device ID, Epic Beans Relay</v>
      </c>
      <c r="O49" s="31" t="str">
        <f>'12 - Device_Configuration'!BL49</f>
        <v>Blocked</v>
      </c>
      <c r="P49" s="2">
        <f>'12 - Device_Configuration'!BA49</f>
        <v>0</v>
      </c>
      <c r="Q49" s="31" t="str">
        <f t="shared" si="0"/>
        <v/>
      </c>
      <c r="R49" s="17" t="str">
        <f t="shared" si="1"/>
        <v>SW NOT INSTALLED</v>
      </c>
      <c r="S49" s="17" t="str">
        <f t="shared" si="2"/>
        <v/>
      </c>
      <c r="T49" s="17" t="str">
        <f t="shared" si="3"/>
        <v>SW NOT INSTALLED</v>
      </c>
    </row>
    <row r="50" spans="1:20">
      <c r="A50" s="31" t="str">
        <f>'12 - Device_Configuration'!H50</f>
        <v>LIJ-IR</v>
      </c>
      <c r="B50" s="31" t="str">
        <f>'12 - Device_Configuration'!S50</f>
        <v>WNH270INR001</v>
      </c>
      <c r="C50" s="31">
        <f>'12 - Device_Configuration'!T50</f>
        <v>0</v>
      </c>
      <c r="D50" s="17" t="str">
        <f>'12 - Device_Configuration'!AJ50</f>
        <v>CyberMed-S24 TGL</v>
      </c>
      <c r="E50" s="17" t="str">
        <f>'12 - Device_Configuration'!J50</f>
        <v>Yes</v>
      </c>
      <c r="F50" s="31" t="str">
        <f>'12 - Device_Configuration'!K50</f>
        <v>No</v>
      </c>
      <c r="G50" s="17" t="str">
        <f>'12 - Device_Configuration'!L50</f>
        <v>No</v>
      </c>
      <c r="H50" s="17">
        <f>'13 - Config_Intake_View'!M50</f>
        <v>0</v>
      </c>
      <c r="I50" s="31">
        <f>IF('13 - Config_Intake_View'!Q50&lt;&gt;"",'13 - Config_Intake_View'!Q50,'12 - Device_Configuration'!BH50)</f>
        <v>0</v>
      </c>
      <c r="J50" s="17" t="str">
        <f>IF('13 - Config_Intake_View'!Q50&lt;&gt;"","PM Approved",IF('12 - Device_Configuration'!BH50&lt;&gt;"","Assumed",""))</f>
        <v/>
      </c>
      <c r="K50" s="31">
        <f>'12 - Device_Configuration'!BG50</f>
        <v>0</v>
      </c>
      <c r="L50" s="17">
        <f>'12 - Device_Configuration'!P50</f>
        <v>0</v>
      </c>
      <c r="M50" s="17">
        <f>'12 - Device_Configuration'!Q50</f>
        <v>0</v>
      </c>
      <c r="N50" s="17" t="str">
        <f>'12 - Device_Configuration'!BK50</f>
        <v/>
      </c>
      <c r="O50" s="31" t="str">
        <f>'12 - Device_Configuration'!BL50</f>
        <v/>
      </c>
      <c r="P50" s="2">
        <f>'12 - Device_Configuration'!BA50</f>
        <v>0</v>
      </c>
      <c r="Q50" s="31" t="str">
        <f t="shared" si="0"/>
        <v/>
      </c>
      <c r="R50" s="17" t="str">
        <f t="shared" si="1"/>
        <v>SW NOT INSTALLED</v>
      </c>
      <c r="S50" s="17" t="str">
        <f t="shared" si="2"/>
        <v/>
      </c>
      <c r="T50" s="17" t="str">
        <f t="shared" si="3"/>
        <v>SW NOT INSTALLED</v>
      </c>
    </row>
    <row r="51" spans="1:20">
      <c r="A51" s="31" t="str">
        <f>'12 - Device_Configuration'!H51</f>
        <v>LIJ-IR</v>
      </c>
      <c r="B51" s="31" t="str">
        <f>'12 - Device_Configuration'!S51</f>
        <v>WNH270INR002</v>
      </c>
      <c r="C51" s="31">
        <f>'12 - Device_Configuration'!T51</f>
        <v>0</v>
      </c>
      <c r="D51" s="17" t="str">
        <f>'12 - Device_Configuration'!AJ51</f>
        <v>CyberMed-S24 TGL</v>
      </c>
      <c r="E51" s="17" t="str">
        <f>'12 - Device_Configuration'!J51</f>
        <v>Yes</v>
      </c>
      <c r="F51" s="31" t="str">
        <f>'12 - Device_Configuration'!K51</f>
        <v>No</v>
      </c>
      <c r="G51" s="17" t="str">
        <f>'12 - Device_Configuration'!L51</f>
        <v>No</v>
      </c>
      <c r="H51" s="17">
        <f>'13 - Config_Intake_View'!M51</f>
        <v>0</v>
      </c>
      <c r="I51" s="31">
        <f>IF('13 - Config_Intake_View'!Q51&lt;&gt;"",'13 - Config_Intake_View'!Q51,'12 - Device_Configuration'!BH51)</f>
        <v>0</v>
      </c>
      <c r="J51" s="17" t="str">
        <f>IF('13 - Config_Intake_View'!Q51&lt;&gt;"","PM Approved",IF('12 - Device_Configuration'!BH51&lt;&gt;"","Assumed",""))</f>
        <v/>
      </c>
      <c r="K51" s="31">
        <f>'12 - Device_Configuration'!BG51</f>
        <v>0</v>
      </c>
      <c r="L51" s="17">
        <f>'12 - Device_Configuration'!P51</f>
        <v>0</v>
      </c>
      <c r="M51" s="17">
        <f>'12 - Device_Configuration'!Q51</f>
        <v>0</v>
      </c>
      <c r="N51" s="17" t="str">
        <f>'12 - Device_Configuration'!BK51</f>
        <v/>
      </c>
      <c r="O51" s="31" t="str">
        <f>'12 - Device_Configuration'!BL51</f>
        <v/>
      </c>
      <c r="P51" s="2">
        <f>'12 - Device_Configuration'!BA51</f>
        <v>0</v>
      </c>
      <c r="Q51" s="31" t="str">
        <f t="shared" si="0"/>
        <v/>
      </c>
      <c r="R51" s="17" t="str">
        <f t="shared" si="1"/>
        <v>SW NOT INSTALLED</v>
      </c>
      <c r="S51" s="17" t="str">
        <f t="shared" si="2"/>
        <v/>
      </c>
      <c r="T51" s="17" t="str">
        <f t="shared" si="3"/>
        <v>SW NOT INSTALLED</v>
      </c>
    </row>
    <row r="52" spans="1:20">
      <c r="A52" s="31" t="str">
        <f>'12 - Device_Configuration'!H52</f>
        <v>MEETH</v>
      </c>
      <c r="B52" s="31" t="str">
        <f>'12 - Device_Configuration'!S52</f>
        <v>WNY210OPR053</v>
      </c>
      <c r="C52" s="31">
        <f>'12 - Device_Configuration'!T52</f>
        <v>0</v>
      </c>
      <c r="D52" s="17">
        <f>'12 - Device_Configuration'!AJ52</f>
        <v>0</v>
      </c>
      <c r="E52" s="17" t="str">
        <f>'12 - Device_Configuration'!J52</f>
        <v>Yes</v>
      </c>
      <c r="F52" s="31" t="str">
        <f>'12 - Device_Configuration'!K52</f>
        <v>No</v>
      </c>
      <c r="G52" s="17" t="str">
        <f>'12 - Device_Configuration'!L52</f>
        <v>No</v>
      </c>
      <c r="H52" s="17">
        <f>'13 - Config_Intake_View'!M52</f>
        <v>0</v>
      </c>
      <c r="I52" s="31">
        <f>IF('13 - Config_Intake_View'!Q52&lt;&gt;"",'13 - Config_Intake_View'!Q52,'12 - Device_Configuration'!BH52)</f>
        <v>0</v>
      </c>
      <c r="J52" s="17" t="str">
        <f>IF('13 - Config_Intake_View'!Q52&lt;&gt;"","PM Approved",IF('12 - Device_Configuration'!BH52&lt;&gt;"","Assumed",""))</f>
        <v/>
      </c>
      <c r="K52" s="31">
        <f>'12 - Device_Configuration'!BG52</f>
        <v>0</v>
      </c>
      <c r="L52" s="17">
        <f>'12 - Device_Configuration'!P52</f>
        <v>0</v>
      </c>
      <c r="M52" s="17">
        <f>'12 - Device_Configuration'!Q52</f>
        <v>0</v>
      </c>
      <c r="N52" s="17" t="str">
        <f>'12 - Device_Configuration'!BK52</f>
        <v/>
      </c>
      <c r="O52" s="31" t="str">
        <f>'12 - Device_Configuration'!BL52</f>
        <v/>
      </c>
      <c r="P52" s="2">
        <f>'12 - Device_Configuration'!BA52</f>
        <v>0</v>
      </c>
      <c r="Q52" s="31" t="str">
        <f t="shared" si="0"/>
        <v/>
      </c>
      <c r="R52" s="17" t="str">
        <f t="shared" si="1"/>
        <v>SW NOT INSTALLED</v>
      </c>
      <c r="S52" s="17" t="str">
        <f t="shared" si="2"/>
        <v/>
      </c>
      <c r="T52" s="17" t="str">
        <f t="shared" si="3"/>
        <v>SW NOT INSTALLED</v>
      </c>
    </row>
    <row r="53" spans="1:20">
      <c r="A53" s="31" t="str">
        <f>'12 - Device_Configuration'!H53</f>
        <v>MEETH</v>
      </c>
      <c r="B53" s="31" t="str">
        <f>'12 - Device_Configuration'!S53</f>
        <v>WNY210OPR054</v>
      </c>
      <c r="C53" s="31">
        <f>'12 - Device_Configuration'!T53</f>
        <v>0</v>
      </c>
      <c r="D53" s="17">
        <f>'12 - Device_Configuration'!AJ53</f>
        <v>0</v>
      </c>
      <c r="E53" s="17" t="str">
        <f>'12 - Device_Configuration'!J53</f>
        <v>Yes</v>
      </c>
      <c r="F53" s="31" t="str">
        <f>'12 - Device_Configuration'!K53</f>
        <v>No</v>
      </c>
      <c r="G53" s="17" t="str">
        <f>'12 - Device_Configuration'!L53</f>
        <v>No</v>
      </c>
      <c r="H53" s="17">
        <f>'13 - Config_Intake_View'!M53</f>
        <v>0</v>
      </c>
      <c r="I53" s="31">
        <f>IF('13 - Config_Intake_View'!Q53&lt;&gt;"",'13 - Config_Intake_View'!Q53,'12 - Device_Configuration'!BH53)</f>
        <v>0</v>
      </c>
      <c r="J53" s="17" t="str">
        <f>IF('13 - Config_Intake_View'!Q53&lt;&gt;"","PM Approved",IF('12 - Device_Configuration'!BH53&lt;&gt;"","Assumed",""))</f>
        <v/>
      </c>
      <c r="K53" s="31">
        <f>'12 - Device_Configuration'!BG53</f>
        <v>0</v>
      </c>
      <c r="L53" s="17">
        <f>'12 - Device_Configuration'!P53</f>
        <v>0</v>
      </c>
      <c r="M53" s="17">
        <f>'12 - Device_Configuration'!Q53</f>
        <v>0</v>
      </c>
      <c r="N53" s="17" t="str">
        <f>'12 - Device_Configuration'!BK53</f>
        <v/>
      </c>
      <c r="O53" s="31" t="str">
        <f>'12 - Device_Configuration'!BL53</f>
        <v/>
      </c>
      <c r="P53" s="2">
        <f>'12 - Device_Configuration'!BA53</f>
        <v>0</v>
      </c>
      <c r="Q53" s="31" t="str">
        <f t="shared" si="0"/>
        <v/>
      </c>
      <c r="R53" s="17" t="str">
        <f t="shared" si="1"/>
        <v>SW NOT INSTALLED</v>
      </c>
      <c r="S53" s="17" t="str">
        <f t="shared" si="2"/>
        <v/>
      </c>
      <c r="T53" s="17" t="str">
        <f t="shared" si="3"/>
        <v>SW NOT INSTALLED</v>
      </c>
    </row>
    <row r="54" spans="1:20">
      <c r="A54" s="31" t="str">
        <f>'12 - Device_Configuration'!H54</f>
        <v>NSUH</v>
      </c>
      <c r="B54" s="31" t="str">
        <f>'12 - Device_Configuration'!S54</f>
        <v>WMH300OPR336</v>
      </c>
      <c r="C54" s="31">
        <f>'12 - Device_Configuration'!T54</f>
        <v>0</v>
      </c>
      <c r="D54" s="17" t="str">
        <f>'12 - Device_Configuration'!AJ54</f>
        <v>CyberMed-S24 TGL</v>
      </c>
      <c r="E54" s="17" t="str">
        <f>'12 - Device_Configuration'!J54</f>
        <v>Yes</v>
      </c>
      <c r="F54" s="31" t="str">
        <f>'12 - Device_Configuration'!K54</f>
        <v>No</v>
      </c>
      <c r="G54" s="17" t="str">
        <f>'12 - Device_Configuration'!L54</f>
        <v>No</v>
      </c>
      <c r="H54" s="17">
        <f>'13 - Config_Intake_View'!M54</f>
        <v>0</v>
      </c>
      <c r="I54" s="31">
        <f>IF('13 - Config_Intake_View'!Q54&lt;&gt;"",'13 - Config_Intake_View'!Q54,'12 - Device_Configuration'!BH54)</f>
        <v>0</v>
      </c>
      <c r="J54" s="17" t="str">
        <f>IF('13 - Config_Intake_View'!Q54&lt;&gt;"","PM Approved",IF('12 - Device_Configuration'!BH54&lt;&gt;"","Assumed",""))</f>
        <v/>
      </c>
      <c r="K54" s="31">
        <f>'12 - Device_Configuration'!BG54</f>
        <v>0</v>
      </c>
      <c r="L54" s="17">
        <f>'12 - Device_Configuration'!P54</f>
        <v>0</v>
      </c>
      <c r="M54" s="17">
        <f>'12 - Device_Configuration'!Q54</f>
        <v>0</v>
      </c>
      <c r="N54" s="17" t="str">
        <f>'12 - Device_Configuration'!BK54</f>
        <v/>
      </c>
      <c r="O54" s="31" t="str">
        <f>'12 - Device_Configuration'!BL54</f>
        <v/>
      </c>
      <c r="P54" s="2">
        <f>'12 - Device_Configuration'!BA54</f>
        <v>0</v>
      </c>
      <c r="Q54" s="31" t="str">
        <f t="shared" si="0"/>
        <v/>
      </c>
      <c r="R54" s="17" t="str">
        <f t="shared" si="1"/>
        <v>SW NOT INSTALLED</v>
      </c>
      <c r="S54" s="17" t="str">
        <f t="shared" si="2"/>
        <v/>
      </c>
      <c r="T54" s="17" t="str">
        <f t="shared" si="3"/>
        <v>SW NOT INSTALLED</v>
      </c>
    </row>
    <row r="55" spans="1:20">
      <c r="A55" s="31" t="str">
        <f>'12 - Device_Configuration'!H55</f>
        <v>NSUH</v>
      </c>
      <c r="B55" s="31" t="str">
        <f>'12 - Device_Configuration'!S55</f>
        <v>WMH300OPR337</v>
      </c>
      <c r="C55" s="31">
        <f>'12 - Device_Configuration'!T55</f>
        <v>0</v>
      </c>
      <c r="D55" s="17" t="str">
        <f>'12 - Device_Configuration'!AJ55</f>
        <v>CyberMed-S24 TGL</v>
      </c>
      <c r="E55" s="17" t="str">
        <f>'12 - Device_Configuration'!J55</f>
        <v>Yes</v>
      </c>
      <c r="F55" s="31" t="str">
        <f>'12 - Device_Configuration'!K55</f>
        <v>No</v>
      </c>
      <c r="G55" s="17" t="str">
        <f>'12 - Device_Configuration'!L55</f>
        <v>No</v>
      </c>
      <c r="H55" s="17">
        <f>'13 - Config_Intake_View'!M55</f>
        <v>0</v>
      </c>
      <c r="I55" s="31">
        <f>IF('13 - Config_Intake_View'!Q55&lt;&gt;"",'13 - Config_Intake_View'!Q55,'12 - Device_Configuration'!BH55)</f>
        <v>0</v>
      </c>
      <c r="J55" s="17" t="str">
        <f>IF('13 - Config_Intake_View'!Q55&lt;&gt;"","PM Approved",IF('12 - Device_Configuration'!BH55&lt;&gt;"","Assumed",""))</f>
        <v/>
      </c>
      <c r="K55" s="31">
        <f>'12 - Device_Configuration'!BG55</f>
        <v>0</v>
      </c>
      <c r="L55" s="17">
        <f>'12 - Device_Configuration'!P55</f>
        <v>0</v>
      </c>
      <c r="M55" s="17">
        <f>'12 - Device_Configuration'!Q55</f>
        <v>0</v>
      </c>
      <c r="N55" s="17" t="str">
        <f>'12 - Device_Configuration'!BK55</f>
        <v/>
      </c>
      <c r="O55" s="31" t="str">
        <f>'12 - Device_Configuration'!BL55</f>
        <v/>
      </c>
      <c r="P55" s="2">
        <f>'12 - Device_Configuration'!BA55</f>
        <v>0</v>
      </c>
      <c r="Q55" s="31" t="str">
        <f t="shared" si="0"/>
        <v/>
      </c>
      <c r="R55" s="17" t="str">
        <f t="shared" si="1"/>
        <v>SW NOT INSTALLED</v>
      </c>
      <c r="S55" s="17" t="str">
        <f t="shared" si="2"/>
        <v/>
      </c>
      <c r="T55" s="17" t="str">
        <f t="shared" si="3"/>
        <v>SW NOT INSTALLED</v>
      </c>
    </row>
    <row r="56" spans="1:20">
      <c r="A56" s="31" t="str">
        <f>'12 - Device_Configuration'!H56</f>
        <v>NSUH</v>
      </c>
      <c r="B56" s="31" t="str">
        <f>'12 - Device_Configuration'!S56</f>
        <v>WMH300OPR338</v>
      </c>
      <c r="C56" s="31">
        <f>'12 - Device_Configuration'!T56</f>
        <v>0</v>
      </c>
      <c r="D56" s="17">
        <f>'12 - Device_Configuration'!AJ56</f>
        <v>0</v>
      </c>
      <c r="E56" s="17" t="str">
        <f>'12 - Device_Configuration'!J56</f>
        <v>Yes</v>
      </c>
      <c r="F56" s="31" t="str">
        <f>'12 - Device_Configuration'!K56</f>
        <v>No</v>
      </c>
      <c r="G56" s="17" t="str">
        <f>'12 - Device_Configuration'!L56</f>
        <v>No</v>
      </c>
      <c r="H56" s="17">
        <f>'13 - Config_Intake_View'!M56</f>
        <v>0</v>
      </c>
      <c r="I56" s="31">
        <f>IF('13 - Config_Intake_View'!Q56&lt;&gt;"",'13 - Config_Intake_View'!Q56,'12 - Device_Configuration'!BH56)</f>
        <v>0</v>
      </c>
      <c r="J56" s="17" t="str">
        <f>IF('13 - Config_Intake_View'!Q56&lt;&gt;"","PM Approved",IF('12 - Device_Configuration'!BH56&lt;&gt;"","Assumed",""))</f>
        <v/>
      </c>
      <c r="K56" s="31">
        <f>'12 - Device_Configuration'!BG56</f>
        <v>0</v>
      </c>
      <c r="L56" s="17">
        <f>'12 - Device_Configuration'!P56</f>
        <v>0</v>
      </c>
      <c r="M56" s="17">
        <f>'12 - Device_Configuration'!Q56</f>
        <v>0</v>
      </c>
      <c r="N56" s="17" t="str">
        <f>'12 - Device_Configuration'!BK56</f>
        <v/>
      </c>
      <c r="O56" s="31" t="str">
        <f>'12 - Device_Configuration'!BL56</f>
        <v/>
      </c>
      <c r="P56" s="2">
        <f>'12 - Device_Configuration'!BA56</f>
        <v>0</v>
      </c>
      <c r="Q56" s="31" t="str">
        <f t="shared" si="0"/>
        <v/>
      </c>
      <c r="R56" s="17" t="str">
        <f t="shared" si="1"/>
        <v>SW NOT INSTALLED</v>
      </c>
      <c r="S56" s="17" t="str">
        <f t="shared" si="2"/>
        <v/>
      </c>
      <c r="T56" s="17" t="str">
        <f t="shared" si="3"/>
        <v>SW NOT INSTALLED</v>
      </c>
    </row>
    <row r="57" spans="1:20">
      <c r="A57" s="31" t="str">
        <f>'12 - Device_Configuration'!H57</f>
        <v>NSUH</v>
      </c>
      <c r="B57" s="31" t="str">
        <f>'12 - Device_Configuration'!S57</f>
        <v>WMH300OPR339</v>
      </c>
      <c r="C57" s="31">
        <f>'12 - Device_Configuration'!T57</f>
        <v>0</v>
      </c>
      <c r="D57" s="17">
        <f>'12 - Device_Configuration'!AJ57</f>
        <v>0</v>
      </c>
      <c r="E57" s="17" t="str">
        <f>'12 - Device_Configuration'!J57</f>
        <v>Yes</v>
      </c>
      <c r="F57" s="31" t="str">
        <f>'12 - Device_Configuration'!K57</f>
        <v>No</v>
      </c>
      <c r="G57" s="17" t="str">
        <f>'12 - Device_Configuration'!L57</f>
        <v>No</v>
      </c>
      <c r="H57" s="17">
        <f>'13 - Config_Intake_View'!M57</f>
        <v>0</v>
      </c>
      <c r="I57" s="31">
        <f>IF('13 - Config_Intake_View'!Q57&lt;&gt;"",'13 - Config_Intake_View'!Q57,'12 - Device_Configuration'!BH57)</f>
        <v>0</v>
      </c>
      <c r="J57" s="17" t="str">
        <f>IF('13 - Config_Intake_View'!Q57&lt;&gt;"","PM Approved",IF('12 - Device_Configuration'!BH57&lt;&gt;"","Assumed",""))</f>
        <v/>
      </c>
      <c r="K57" s="31">
        <f>'12 - Device_Configuration'!BG57</f>
        <v>0</v>
      </c>
      <c r="L57" s="17">
        <f>'12 - Device_Configuration'!P57</f>
        <v>0</v>
      </c>
      <c r="M57" s="17">
        <f>'12 - Device_Configuration'!Q57</f>
        <v>0</v>
      </c>
      <c r="N57" s="17" t="str">
        <f>'12 - Device_Configuration'!BK57</f>
        <v/>
      </c>
      <c r="O57" s="31" t="str">
        <f>'12 - Device_Configuration'!BL57</f>
        <v/>
      </c>
      <c r="P57" s="2">
        <f>'12 - Device_Configuration'!BA57</f>
        <v>0</v>
      </c>
      <c r="Q57" s="31" t="str">
        <f t="shared" si="0"/>
        <v/>
      </c>
      <c r="R57" s="17" t="str">
        <f t="shared" si="1"/>
        <v>SW NOT INSTALLED</v>
      </c>
      <c r="S57" s="17" t="str">
        <f t="shared" si="2"/>
        <v/>
      </c>
      <c r="T57" s="17" t="str">
        <f t="shared" si="3"/>
        <v>SW NOT INSTALLED</v>
      </c>
    </row>
    <row r="58" spans="1:20">
      <c r="A58" s="31" t="str">
        <f>'12 - Device_Configuration'!H58</f>
        <v>NSUH</v>
      </c>
      <c r="B58" s="31" t="str">
        <f>'12 - Device_Configuration'!S58</f>
        <v>WMH300OPR340</v>
      </c>
      <c r="C58" s="31">
        <f>'12 - Device_Configuration'!T58</f>
        <v>0</v>
      </c>
      <c r="D58" s="17">
        <f>'12 - Device_Configuration'!AJ58</f>
        <v>0</v>
      </c>
      <c r="E58" s="17" t="str">
        <f>'12 - Device_Configuration'!J58</f>
        <v>Yes</v>
      </c>
      <c r="F58" s="31" t="str">
        <f>'12 - Device_Configuration'!K58</f>
        <v>No</v>
      </c>
      <c r="G58" s="17" t="str">
        <f>'12 - Device_Configuration'!L58</f>
        <v>No</v>
      </c>
      <c r="H58" s="17">
        <f>'13 - Config_Intake_View'!M58</f>
        <v>0</v>
      </c>
      <c r="I58" s="31">
        <f>IF('13 - Config_Intake_View'!Q58&lt;&gt;"",'13 - Config_Intake_View'!Q58,'12 - Device_Configuration'!BH58)</f>
        <v>0</v>
      </c>
      <c r="J58" s="17" t="str">
        <f>IF('13 - Config_Intake_View'!Q58&lt;&gt;"","PM Approved",IF('12 - Device_Configuration'!BH58&lt;&gt;"","Assumed",""))</f>
        <v/>
      </c>
      <c r="K58" s="31">
        <f>'12 - Device_Configuration'!BG58</f>
        <v>0</v>
      </c>
      <c r="L58" s="17">
        <f>'12 - Device_Configuration'!P58</f>
        <v>0</v>
      </c>
      <c r="M58" s="17">
        <f>'12 - Device_Configuration'!Q58</f>
        <v>0</v>
      </c>
      <c r="N58" s="17" t="str">
        <f>'12 - Device_Configuration'!BK58</f>
        <v/>
      </c>
      <c r="O58" s="31" t="str">
        <f>'12 - Device_Configuration'!BL58</f>
        <v/>
      </c>
      <c r="P58" s="2">
        <f>'12 - Device_Configuration'!BA58</f>
        <v>0</v>
      </c>
      <c r="Q58" s="31" t="str">
        <f t="shared" si="0"/>
        <v/>
      </c>
      <c r="R58" s="17" t="str">
        <f t="shared" si="1"/>
        <v>SW NOT INSTALLED</v>
      </c>
      <c r="S58" s="17" t="str">
        <f t="shared" si="2"/>
        <v/>
      </c>
      <c r="T58" s="17" t="str">
        <f t="shared" si="3"/>
        <v>SW NOT INSTALLED</v>
      </c>
    </row>
    <row r="59" spans="1:20">
      <c r="A59" s="31" t="str">
        <f>'12 - Device_Configuration'!H59</f>
        <v>NSUH</v>
      </c>
      <c r="B59" s="31" t="str">
        <f>'12 - Device_Configuration'!S59</f>
        <v>WMH300OPR341</v>
      </c>
      <c r="C59" s="31">
        <f>'12 - Device_Configuration'!T59</f>
        <v>0</v>
      </c>
      <c r="D59" s="17">
        <f>'12 - Device_Configuration'!AJ59</f>
        <v>0</v>
      </c>
      <c r="E59" s="17" t="str">
        <f>'12 - Device_Configuration'!J59</f>
        <v>Yes</v>
      </c>
      <c r="F59" s="31" t="str">
        <f>'12 - Device_Configuration'!K59</f>
        <v>No</v>
      </c>
      <c r="G59" s="17" t="str">
        <f>'12 - Device_Configuration'!L59</f>
        <v>No</v>
      </c>
      <c r="H59" s="17">
        <f>'13 - Config_Intake_View'!M59</f>
        <v>0</v>
      </c>
      <c r="I59" s="31">
        <f>IF('13 - Config_Intake_View'!Q59&lt;&gt;"",'13 - Config_Intake_View'!Q59,'12 - Device_Configuration'!BH59)</f>
        <v>0</v>
      </c>
      <c r="J59" s="17" t="str">
        <f>IF('13 - Config_Intake_View'!Q59&lt;&gt;"","PM Approved",IF('12 - Device_Configuration'!BH59&lt;&gt;"","Assumed",""))</f>
        <v/>
      </c>
      <c r="K59" s="31">
        <f>'12 - Device_Configuration'!BG59</f>
        <v>0</v>
      </c>
      <c r="L59" s="17">
        <f>'12 - Device_Configuration'!P59</f>
        <v>0</v>
      </c>
      <c r="M59" s="17">
        <f>'12 - Device_Configuration'!Q59</f>
        <v>0</v>
      </c>
      <c r="N59" s="17" t="str">
        <f>'12 - Device_Configuration'!BK59</f>
        <v/>
      </c>
      <c r="O59" s="31" t="str">
        <f>'12 - Device_Configuration'!BL59</f>
        <v/>
      </c>
      <c r="P59" s="2">
        <f>'12 - Device_Configuration'!BA59</f>
        <v>0</v>
      </c>
      <c r="Q59" s="31" t="str">
        <f t="shared" si="0"/>
        <v/>
      </c>
      <c r="R59" s="17" t="str">
        <f t="shared" si="1"/>
        <v>SW NOT INSTALLED</v>
      </c>
      <c r="S59" s="17" t="str">
        <f t="shared" si="2"/>
        <v/>
      </c>
      <c r="T59" s="17" t="str">
        <f t="shared" si="3"/>
        <v>SW NOT INSTALLED</v>
      </c>
    </row>
    <row r="60" spans="1:20">
      <c r="A60" s="31" t="str">
        <f>'12 - Device_Configuration'!H60</f>
        <v>NSUH</v>
      </c>
      <c r="B60" s="31" t="str">
        <f>'12 - Device_Configuration'!S60</f>
        <v>WMH300OPR342</v>
      </c>
      <c r="C60" s="31">
        <f>'12 - Device_Configuration'!T60</f>
        <v>0</v>
      </c>
      <c r="D60" s="17">
        <f>'12 - Device_Configuration'!AJ60</f>
        <v>0</v>
      </c>
      <c r="E60" s="17" t="str">
        <f>'12 - Device_Configuration'!J60</f>
        <v>Yes</v>
      </c>
      <c r="F60" s="31" t="str">
        <f>'12 - Device_Configuration'!K60</f>
        <v>No</v>
      </c>
      <c r="G60" s="17" t="str">
        <f>'12 - Device_Configuration'!L60</f>
        <v>No</v>
      </c>
      <c r="H60" s="17">
        <f>'13 - Config_Intake_View'!M60</f>
        <v>0</v>
      </c>
      <c r="I60" s="31">
        <f>IF('13 - Config_Intake_View'!Q60&lt;&gt;"",'13 - Config_Intake_View'!Q60,'12 - Device_Configuration'!BH60)</f>
        <v>0</v>
      </c>
      <c r="J60" s="17" t="str">
        <f>IF('13 - Config_Intake_View'!Q60&lt;&gt;"","PM Approved",IF('12 - Device_Configuration'!BH60&lt;&gt;"","Assumed",""))</f>
        <v/>
      </c>
      <c r="K60" s="31">
        <f>'12 - Device_Configuration'!BG60</f>
        <v>0</v>
      </c>
      <c r="L60" s="17">
        <f>'12 - Device_Configuration'!P60</f>
        <v>0</v>
      </c>
      <c r="M60" s="17">
        <f>'12 - Device_Configuration'!Q60</f>
        <v>0</v>
      </c>
      <c r="N60" s="17" t="str">
        <f>'12 - Device_Configuration'!BK60</f>
        <v/>
      </c>
      <c r="O60" s="31" t="str">
        <f>'12 - Device_Configuration'!BL60</f>
        <v/>
      </c>
      <c r="P60" s="2">
        <f>'12 - Device_Configuration'!BA60</f>
        <v>0</v>
      </c>
      <c r="Q60" s="31" t="str">
        <f t="shared" si="0"/>
        <v/>
      </c>
      <c r="R60" s="17" t="str">
        <f t="shared" si="1"/>
        <v>SW NOT INSTALLED</v>
      </c>
      <c r="S60" s="17" t="str">
        <f t="shared" si="2"/>
        <v/>
      </c>
      <c r="T60" s="17" t="str">
        <f t="shared" si="3"/>
        <v>SW NOT INSTALLED</v>
      </c>
    </row>
    <row r="61" spans="1:20">
      <c r="A61" s="31" t="str">
        <f>'12 - Device_Configuration'!H61</f>
        <v>NSUH</v>
      </c>
      <c r="B61" s="31" t="str">
        <f>'12 - Device_Configuration'!S61</f>
        <v>WMH300OPR343</v>
      </c>
      <c r="C61" s="31">
        <f>'12 - Device_Configuration'!T61</f>
        <v>0</v>
      </c>
      <c r="D61" s="17">
        <f>'12 - Device_Configuration'!AJ61</f>
        <v>0</v>
      </c>
      <c r="E61" s="17" t="str">
        <f>'12 - Device_Configuration'!J61</f>
        <v>Yes</v>
      </c>
      <c r="F61" s="31" t="str">
        <f>'12 - Device_Configuration'!K61</f>
        <v>No</v>
      </c>
      <c r="G61" s="17" t="str">
        <f>'12 - Device_Configuration'!L61</f>
        <v>No</v>
      </c>
      <c r="H61" s="17">
        <f>'13 - Config_Intake_View'!M61</f>
        <v>0</v>
      </c>
      <c r="I61" s="31">
        <f>IF('13 - Config_Intake_View'!Q61&lt;&gt;"",'13 - Config_Intake_View'!Q61,'12 - Device_Configuration'!BH61)</f>
        <v>0</v>
      </c>
      <c r="J61" s="17" t="str">
        <f>IF('13 - Config_Intake_View'!Q61&lt;&gt;"","PM Approved",IF('12 - Device_Configuration'!BH61&lt;&gt;"","Assumed",""))</f>
        <v/>
      </c>
      <c r="K61" s="31">
        <f>'12 - Device_Configuration'!BG61</f>
        <v>0</v>
      </c>
      <c r="L61" s="17">
        <f>'12 - Device_Configuration'!P61</f>
        <v>0</v>
      </c>
      <c r="M61" s="17">
        <f>'12 - Device_Configuration'!Q61</f>
        <v>0</v>
      </c>
      <c r="N61" s="17" t="str">
        <f>'12 - Device_Configuration'!BK61</f>
        <v/>
      </c>
      <c r="O61" s="31" t="str">
        <f>'12 - Device_Configuration'!BL61</f>
        <v/>
      </c>
      <c r="P61" s="2">
        <f>'12 - Device_Configuration'!BA61</f>
        <v>0</v>
      </c>
      <c r="Q61" s="31" t="str">
        <f t="shared" si="0"/>
        <v/>
      </c>
      <c r="R61" s="17" t="str">
        <f t="shared" si="1"/>
        <v>SW NOT INSTALLED</v>
      </c>
      <c r="S61" s="17" t="str">
        <f t="shared" si="2"/>
        <v/>
      </c>
      <c r="T61" s="17" t="str">
        <f t="shared" si="3"/>
        <v>SW NOT INSTALLED</v>
      </c>
    </row>
    <row r="62" spans="1:20">
      <c r="A62" s="31" t="str">
        <f>'12 - Device_Configuration'!H62</f>
        <v>NSUH</v>
      </c>
      <c r="B62" s="31" t="str">
        <f>'12 - Device_Configuration'!S62</f>
        <v>WMH300OPR344</v>
      </c>
      <c r="C62" s="31">
        <f>'12 - Device_Configuration'!T62</f>
        <v>0</v>
      </c>
      <c r="D62" s="17">
        <f>'12 - Device_Configuration'!AJ62</f>
        <v>0</v>
      </c>
      <c r="E62" s="17" t="str">
        <f>'12 - Device_Configuration'!J62</f>
        <v>Yes</v>
      </c>
      <c r="F62" s="31" t="str">
        <f>'12 - Device_Configuration'!K62</f>
        <v>No</v>
      </c>
      <c r="G62" s="17" t="str">
        <f>'12 - Device_Configuration'!L62</f>
        <v>No</v>
      </c>
      <c r="H62" s="17">
        <f>'13 - Config_Intake_View'!M62</f>
        <v>0</v>
      </c>
      <c r="I62" s="31">
        <f>IF('13 - Config_Intake_View'!Q62&lt;&gt;"",'13 - Config_Intake_View'!Q62,'12 - Device_Configuration'!BH62)</f>
        <v>0</v>
      </c>
      <c r="J62" s="17" t="str">
        <f>IF('13 - Config_Intake_View'!Q62&lt;&gt;"","PM Approved",IF('12 - Device_Configuration'!BH62&lt;&gt;"","Assumed",""))</f>
        <v/>
      </c>
      <c r="K62" s="31">
        <f>'12 - Device_Configuration'!BG62</f>
        <v>0</v>
      </c>
      <c r="L62" s="17">
        <f>'12 - Device_Configuration'!P62</f>
        <v>0</v>
      </c>
      <c r="M62" s="17">
        <f>'12 - Device_Configuration'!Q62</f>
        <v>0</v>
      </c>
      <c r="N62" s="17" t="str">
        <f>'12 - Device_Configuration'!BK62</f>
        <v/>
      </c>
      <c r="O62" s="31" t="str">
        <f>'12 - Device_Configuration'!BL62</f>
        <v/>
      </c>
      <c r="P62" s="2">
        <f>'12 - Device_Configuration'!BA62</f>
        <v>0</v>
      </c>
      <c r="Q62" s="31" t="str">
        <f t="shared" si="0"/>
        <v/>
      </c>
      <c r="R62" s="17" t="str">
        <f t="shared" si="1"/>
        <v>SW NOT INSTALLED</v>
      </c>
      <c r="S62" s="17" t="str">
        <f t="shared" si="2"/>
        <v/>
      </c>
      <c r="T62" s="17" t="str">
        <f t="shared" si="3"/>
        <v>SW NOT INSTALLED</v>
      </c>
    </row>
    <row r="63" spans="1:20">
      <c r="A63" s="31" t="str">
        <f>'12 - Device_Configuration'!H63</f>
        <v>NSUH</v>
      </c>
      <c r="B63" s="31" t="str">
        <f>'12 - Device_Configuration'!S63</f>
        <v>WMH300OPR345</v>
      </c>
      <c r="C63" s="31">
        <f>'12 - Device_Configuration'!T63</f>
        <v>0</v>
      </c>
      <c r="D63" s="17">
        <f>'12 - Device_Configuration'!AJ63</f>
        <v>0</v>
      </c>
      <c r="E63" s="17" t="str">
        <f>'12 - Device_Configuration'!J63</f>
        <v>Yes</v>
      </c>
      <c r="F63" s="31" t="str">
        <f>'12 - Device_Configuration'!K63</f>
        <v>No</v>
      </c>
      <c r="G63" s="17" t="str">
        <f>'12 - Device_Configuration'!L63</f>
        <v>No</v>
      </c>
      <c r="H63" s="17">
        <f>'13 - Config_Intake_View'!M63</f>
        <v>0</v>
      </c>
      <c r="I63" s="31">
        <f>IF('13 - Config_Intake_View'!Q63&lt;&gt;"",'13 - Config_Intake_View'!Q63,'12 - Device_Configuration'!BH63)</f>
        <v>0</v>
      </c>
      <c r="J63" s="17" t="str">
        <f>IF('13 - Config_Intake_View'!Q63&lt;&gt;"","PM Approved",IF('12 - Device_Configuration'!BH63&lt;&gt;"","Assumed",""))</f>
        <v/>
      </c>
      <c r="K63" s="31">
        <f>'12 - Device_Configuration'!BG63</f>
        <v>0</v>
      </c>
      <c r="L63" s="17">
        <f>'12 - Device_Configuration'!P63</f>
        <v>0</v>
      </c>
      <c r="M63" s="17">
        <f>'12 - Device_Configuration'!Q63</f>
        <v>0</v>
      </c>
      <c r="N63" s="17" t="str">
        <f>'12 - Device_Configuration'!BK63</f>
        <v/>
      </c>
      <c r="O63" s="31" t="str">
        <f>'12 - Device_Configuration'!BL63</f>
        <v/>
      </c>
      <c r="P63" s="2">
        <f>'12 - Device_Configuration'!BA63</f>
        <v>0</v>
      </c>
      <c r="Q63" s="31" t="str">
        <f t="shared" si="0"/>
        <v/>
      </c>
      <c r="R63" s="17" t="str">
        <f t="shared" si="1"/>
        <v>SW NOT INSTALLED</v>
      </c>
      <c r="S63" s="17" t="str">
        <f t="shared" si="2"/>
        <v/>
      </c>
      <c r="T63" s="17" t="str">
        <f t="shared" si="3"/>
        <v>SW NOT INSTALLED</v>
      </c>
    </row>
    <row r="64" spans="1:20">
      <c r="A64" s="31" t="str">
        <f>'12 - Device_Configuration'!H64</f>
        <v>NSUH</v>
      </c>
      <c r="B64" s="31" t="str">
        <f>'12 - Device_Configuration'!S64</f>
        <v>WMH300OPR346</v>
      </c>
      <c r="C64" s="31">
        <f>'12 - Device_Configuration'!T64</f>
        <v>0</v>
      </c>
      <c r="D64" s="17">
        <f>'12 - Device_Configuration'!AJ64</f>
        <v>0</v>
      </c>
      <c r="E64" s="17" t="str">
        <f>'12 - Device_Configuration'!J64</f>
        <v>Yes</v>
      </c>
      <c r="F64" s="31" t="str">
        <f>'12 - Device_Configuration'!K64</f>
        <v>No</v>
      </c>
      <c r="G64" s="17" t="str">
        <f>'12 - Device_Configuration'!L64</f>
        <v>No</v>
      </c>
      <c r="H64" s="17">
        <f>'13 - Config_Intake_View'!M64</f>
        <v>0</v>
      </c>
      <c r="I64" s="31">
        <f>IF('13 - Config_Intake_View'!Q64&lt;&gt;"",'13 - Config_Intake_View'!Q64,'12 - Device_Configuration'!BH64)</f>
        <v>0</v>
      </c>
      <c r="J64" s="17" t="str">
        <f>IF('13 - Config_Intake_View'!Q64&lt;&gt;"","PM Approved",IF('12 - Device_Configuration'!BH64&lt;&gt;"","Assumed",""))</f>
        <v/>
      </c>
      <c r="K64" s="31">
        <f>'12 - Device_Configuration'!BG64</f>
        <v>0</v>
      </c>
      <c r="L64" s="17">
        <f>'12 - Device_Configuration'!P64</f>
        <v>0</v>
      </c>
      <c r="M64" s="17">
        <f>'12 - Device_Configuration'!Q64</f>
        <v>0</v>
      </c>
      <c r="N64" s="17" t="str">
        <f>'12 - Device_Configuration'!BK64</f>
        <v/>
      </c>
      <c r="O64" s="31" t="str">
        <f>'12 - Device_Configuration'!BL64</f>
        <v/>
      </c>
      <c r="P64" s="2">
        <f>'12 - Device_Configuration'!BA64</f>
        <v>0</v>
      </c>
      <c r="Q64" s="31" t="str">
        <f t="shared" si="0"/>
        <v/>
      </c>
      <c r="R64" s="17" t="str">
        <f t="shared" si="1"/>
        <v>SW NOT INSTALLED</v>
      </c>
      <c r="S64" s="17" t="str">
        <f t="shared" si="2"/>
        <v/>
      </c>
      <c r="T64" s="17" t="str">
        <f t="shared" si="3"/>
        <v>SW NOT INSTALLED</v>
      </c>
    </row>
    <row r="65" spans="1:20">
      <c r="A65" s="31" t="str">
        <f>'12 - Device_Configuration'!H65</f>
        <v>NSUH</v>
      </c>
      <c r="B65" s="31" t="str">
        <f>'12 - Device_Configuration'!S65</f>
        <v>WMH300OPR347</v>
      </c>
      <c r="C65" s="31">
        <f>'12 - Device_Configuration'!T65</f>
        <v>0</v>
      </c>
      <c r="D65" s="17">
        <f>'12 - Device_Configuration'!AJ65</f>
        <v>0</v>
      </c>
      <c r="E65" s="17" t="str">
        <f>'12 - Device_Configuration'!J65</f>
        <v>Yes</v>
      </c>
      <c r="F65" s="31" t="str">
        <f>'12 - Device_Configuration'!K65</f>
        <v>No</v>
      </c>
      <c r="G65" s="17" t="str">
        <f>'12 - Device_Configuration'!L65</f>
        <v>No</v>
      </c>
      <c r="H65" s="17">
        <f>'13 - Config_Intake_View'!M65</f>
        <v>0</v>
      </c>
      <c r="I65" s="31">
        <f>IF('13 - Config_Intake_View'!Q65&lt;&gt;"",'13 - Config_Intake_View'!Q65,'12 - Device_Configuration'!BH65)</f>
        <v>0</v>
      </c>
      <c r="J65" s="17" t="str">
        <f>IF('13 - Config_Intake_View'!Q65&lt;&gt;"","PM Approved",IF('12 - Device_Configuration'!BH65&lt;&gt;"","Assumed",""))</f>
        <v/>
      </c>
      <c r="K65" s="31">
        <f>'12 - Device_Configuration'!BG65</f>
        <v>0</v>
      </c>
      <c r="L65" s="17">
        <f>'12 - Device_Configuration'!P65</f>
        <v>0</v>
      </c>
      <c r="M65" s="17">
        <f>'12 - Device_Configuration'!Q65</f>
        <v>0</v>
      </c>
      <c r="N65" s="17" t="str">
        <f>'12 - Device_Configuration'!BK65</f>
        <v/>
      </c>
      <c r="O65" s="31" t="str">
        <f>'12 - Device_Configuration'!BL65</f>
        <v/>
      </c>
      <c r="P65" s="2">
        <f>'12 - Device_Configuration'!BA65</f>
        <v>0</v>
      </c>
      <c r="Q65" s="31" t="str">
        <f t="shared" si="0"/>
        <v/>
      </c>
      <c r="R65" s="17" t="str">
        <f t="shared" si="1"/>
        <v>SW NOT INSTALLED</v>
      </c>
      <c r="S65" s="17" t="str">
        <f t="shared" si="2"/>
        <v/>
      </c>
      <c r="T65" s="17" t="str">
        <f t="shared" si="3"/>
        <v>SW NOT INSTALLED</v>
      </c>
    </row>
    <row r="66" spans="1:20">
      <c r="A66" s="31" t="str">
        <f>'12 - Device_Configuration'!H66</f>
        <v>NSUH</v>
      </c>
      <c r="B66" s="31" t="str">
        <f>'12 - Device_Configuration'!S66</f>
        <v>WMH300OPR348</v>
      </c>
      <c r="C66" s="31">
        <f>'12 - Device_Configuration'!T66</f>
        <v>0</v>
      </c>
      <c r="D66" s="17">
        <f>'12 - Device_Configuration'!AJ66</f>
        <v>0</v>
      </c>
      <c r="E66" s="17" t="str">
        <f>'12 - Device_Configuration'!J66</f>
        <v>Yes</v>
      </c>
      <c r="F66" s="31" t="str">
        <f>'12 - Device_Configuration'!K66</f>
        <v>No</v>
      </c>
      <c r="G66" s="17" t="str">
        <f>'12 - Device_Configuration'!L66</f>
        <v>No</v>
      </c>
      <c r="H66" s="17">
        <f>'13 - Config_Intake_View'!M66</f>
        <v>0</v>
      </c>
      <c r="I66" s="31">
        <f>IF('13 - Config_Intake_View'!Q66&lt;&gt;"",'13 - Config_Intake_View'!Q66,'12 - Device_Configuration'!BH66)</f>
        <v>0</v>
      </c>
      <c r="J66" s="17" t="str">
        <f>IF('13 - Config_Intake_View'!Q66&lt;&gt;"","PM Approved",IF('12 - Device_Configuration'!BH66&lt;&gt;"","Assumed",""))</f>
        <v/>
      </c>
      <c r="K66" s="31">
        <f>'12 - Device_Configuration'!BG66</f>
        <v>0</v>
      </c>
      <c r="L66" s="17">
        <f>'12 - Device_Configuration'!P66</f>
        <v>0</v>
      </c>
      <c r="M66" s="17">
        <f>'12 - Device_Configuration'!Q66</f>
        <v>0</v>
      </c>
      <c r="N66" s="17" t="str">
        <f>'12 - Device_Configuration'!BK66</f>
        <v/>
      </c>
      <c r="O66" s="31" t="str">
        <f>'12 - Device_Configuration'!BL66</f>
        <v/>
      </c>
      <c r="P66" s="2">
        <f>'12 - Device_Configuration'!BA66</f>
        <v>0</v>
      </c>
      <c r="Q66" s="31" t="str">
        <f t="shared" ref="Q66:Q129" si="4">IF(OR($A66="",$B66="",$D66=""),"MISSING CORE FIELDS","")</f>
        <v/>
      </c>
      <c r="R66" s="17" t="str">
        <f t="shared" ref="R66:R129" si="5">IF(AND($I66&lt;&gt;"",$K66&lt;&gt;"Yes"),"SW NOT INSTALLED","")</f>
        <v>SW NOT INSTALLED</v>
      </c>
      <c r="S66" s="17" t="str">
        <f t="shared" ref="S66:S129" si="6">IF(AND($H66&lt;&gt;"",ISNUMBER(SEARCH("auto",LOWER($H66))),$F66=""),"AUTOLOGON REQUIRED","")</f>
        <v/>
      </c>
      <c r="T66" s="17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31" t="str">
        <f>'12 - Device_Configuration'!H67</f>
        <v>NSUH</v>
      </c>
      <c r="B67" s="31" t="str">
        <f>'12 - Device_Configuration'!S67</f>
        <v>WMH300OPR349</v>
      </c>
      <c r="C67" s="31">
        <f>'12 - Device_Configuration'!T67</f>
        <v>0</v>
      </c>
      <c r="D67" s="17">
        <f>'12 - Device_Configuration'!AJ67</f>
        <v>0</v>
      </c>
      <c r="E67" s="17" t="str">
        <f>'12 - Device_Configuration'!J67</f>
        <v>Yes</v>
      </c>
      <c r="F67" s="31" t="str">
        <f>'12 - Device_Configuration'!K67</f>
        <v>No</v>
      </c>
      <c r="G67" s="17" t="str">
        <f>'12 - Device_Configuration'!L67</f>
        <v>No</v>
      </c>
      <c r="H67" s="17">
        <f>'13 - Config_Intake_View'!M67</f>
        <v>0</v>
      </c>
      <c r="I67" s="31">
        <f>IF('13 - Config_Intake_View'!Q67&lt;&gt;"",'13 - Config_Intake_View'!Q67,'12 - Device_Configuration'!BH67)</f>
        <v>0</v>
      </c>
      <c r="J67" s="17" t="str">
        <f>IF('13 - Config_Intake_View'!Q67&lt;&gt;"","PM Approved",IF('12 - Device_Configuration'!BH67&lt;&gt;"","Assumed",""))</f>
        <v/>
      </c>
      <c r="K67" s="31">
        <f>'12 - Device_Configuration'!BG67</f>
        <v>0</v>
      </c>
      <c r="L67" s="17">
        <f>'12 - Device_Configuration'!P67</f>
        <v>0</v>
      </c>
      <c r="M67" s="17">
        <f>'12 - Device_Configuration'!Q67</f>
        <v>0</v>
      </c>
      <c r="N67" s="17" t="str">
        <f>'12 - Device_Configuration'!BK67</f>
        <v/>
      </c>
      <c r="O67" s="31" t="str">
        <f>'12 - Device_Configuration'!BL67</f>
        <v/>
      </c>
      <c r="P67" s="2">
        <f>'12 - Device_Configuration'!BA67</f>
        <v>0</v>
      </c>
      <c r="Q67" s="31" t="str">
        <f t="shared" si="4"/>
        <v/>
      </c>
      <c r="R67" s="17" t="str">
        <f t="shared" si="5"/>
        <v>SW NOT INSTALLED</v>
      </c>
      <c r="S67" s="17" t="str">
        <f t="shared" si="6"/>
        <v/>
      </c>
      <c r="T67" s="17" t="str">
        <f t="shared" si="7"/>
        <v>SW NOT INSTALLED</v>
      </c>
    </row>
    <row r="68" spans="1:20">
      <c r="A68" s="31" t="str">
        <f>'12 - Device_Configuration'!H68</f>
        <v>NSUH</v>
      </c>
      <c r="B68" s="31" t="str">
        <f>'12 - Device_Configuration'!S68</f>
        <v>WMH300OPR350</v>
      </c>
      <c r="C68" s="31">
        <f>'12 - Device_Configuration'!T68</f>
        <v>0</v>
      </c>
      <c r="D68" s="17">
        <f>'12 - Device_Configuration'!AJ68</f>
        <v>0</v>
      </c>
      <c r="E68" s="17" t="str">
        <f>'12 - Device_Configuration'!J68</f>
        <v>Yes</v>
      </c>
      <c r="F68" s="31" t="str">
        <f>'12 - Device_Configuration'!K68</f>
        <v>No</v>
      </c>
      <c r="G68" s="17" t="str">
        <f>'12 - Device_Configuration'!L68</f>
        <v>No</v>
      </c>
      <c r="H68" s="17">
        <f>'13 - Config_Intake_View'!M68</f>
        <v>0</v>
      </c>
      <c r="I68" s="31">
        <f>IF('13 - Config_Intake_View'!Q68&lt;&gt;"",'13 - Config_Intake_View'!Q68,'12 - Device_Configuration'!BH68)</f>
        <v>0</v>
      </c>
      <c r="J68" s="17" t="str">
        <f>IF('13 - Config_Intake_View'!Q68&lt;&gt;"","PM Approved",IF('12 - Device_Configuration'!BH68&lt;&gt;"","Assumed",""))</f>
        <v/>
      </c>
      <c r="K68" s="31">
        <f>'12 - Device_Configuration'!BG68</f>
        <v>0</v>
      </c>
      <c r="L68" s="17">
        <f>'12 - Device_Configuration'!P68</f>
        <v>0</v>
      </c>
      <c r="M68" s="17">
        <f>'12 - Device_Configuration'!Q68</f>
        <v>0</v>
      </c>
      <c r="N68" s="17" t="str">
        <f>'12 - Device_Configuration'!BK68</f>
        <v/>
      </c>
      <c r="O68" s="31" t="str">
        <f>'12 - Device_Configuration'!BL68</f>
        <v/>
      </c>
      <c r="P68" s="2">
        <f>'12 - Device_Configuration'!BA68</f>
        <v>0</v>
      </c>
      <c r="Q68" s="31" t="str">
        <f t="shared" si="4"/>
        <v/>
      </c>
      <c r="R68" s="17" t="str">
        <f t="shared" si="5"/>
        <v>SW NOT INSTALLED</v>
      </c>
      <c r="S68" s="17" t="str">
        <f t="shared" si="6"/>
        <v/>
      </c>
      <c r="T68" s="17" t="str">
        <f t="shared" si="7"/>
        <v>SW NOT INSTALLED</v>
      </c>
    </row>
    <row r="69" spans="1:20">
      <c r="A69" s="31" t="str">
        <f>'12 - Device_Configuration'!H69</f>
        <v>LIJ - CCMC</v>
      </c>
      <c r="B69" s="31" t="str">
        <f>'12 - Device_Configuration'!S69</f>
        <v>WNH269OPR013</v>
      </c>
      <c r="C69" s="31">
        <f>'12 - Device_Configuration'!T69</f>
        <v>0</v>
      </c>
      <c r="D69" s="17">
        <f>'12 - Device_Configuration'!AJ69</f>
        <v>0</v>
      </c>
      <c r="E69" s="17" t="str">
        <f>'12 - Device_Configuration'!J69</f>
        <v>Yes</v>
      </c>
      <c r="F69" s="31" t="str">
        <f>'12 - Device_Configuration'!K69</f>
        <v>No</v>
      </c>
      <c r="G69" s="17" t="str">
        <f>'12 - Device_Configuration'!L69</f>
        <v>No</v>
      </c>
      <c r="H69" s="17">
        <f>'13 - Config_Intake_View'!M69</f>
        <v>0</v>
      </c>
      <c r="I69" s="31">
        <f>IF('13 - Config_Intake_View'!Q69&lt;&gt;"",'13 - Config_Intake_View'!Q69,'12 - Device_Configuration'!BH69)</f>
        <v>0</v>
      </c>
      <c r="J69" s="17" t="str">
        <f>IF('13 - Config_Intake_View'!Q69&lt;&gt;"","PM Approved",IF('12 - Device_Configuration'!BH69&lt;&gt;"","Assumed",""))</f>
        <v/>
      </c>
      <c r="K69" s="31">
        <f>'12 - Device_Configuration'!BG69</f>
        <v>0</v>
      </c>
      <c r="L69" s="17">
        <f>'12 - Device_Configuration'!P69</f>
        <v>0</v>
      </c>
      <c r="M69" s="17">
        <f>'12 - Device_Configuration'!Q69</f>
        <v>0</v>
      </c>
      <c r="N69" s="17" t="str">
        <f>'12 - Device_Configuration'!BK69</f>
        <v/>
      </c>
      <c r="O69" s="31" t="str">
        <f>'12 - Device_Configuration'!BL69</f>
        <v/>
      </c>
      <c r="P69" s="2">
        <f>'12 - Device_Configuration'!BA69</f>
        <v>0</v>
      </c>
      <c r="Q69" s="31" t="str">
        <f t="shared" si="4"/>
        <v/>
      </c>
      <c r="R69" s="17" t="str">
        <f t="shared" si="5"/>
        <v>SW NOT INSTALLED</v>
      </c>
      <c r="S69" s="17" t="str">
        <f t="shared" si="6"/>
        <v/>
      </c>
      <c r="T69" s="17" t="str">
        <f t="shared" si="7"/>
        <v>SW NOT INSTALLED</v>
      </c>
    </row>
    <row r="70" spans="1:20">
      <c r="A70" s="31" t="str">
        <f>'12 - Device_Configuration'!H70</f>
        <v>LIJ - CCMC</v>
      </c>
      <c r="B70" s="31" t="str">
        <f>'12 - Device_Configuration'!S70</f>
        <v>WNH269OPR014</v>
      </c>
      <c r="C70" s="31">
        <f>'12 - Device_Configuration'!T70</f>
        <v>0</v>
      </c>
      <c r="D70" s="17">
        <f>'12 - Device_Configuration'!AJ70</f>
        <v>0</v>
      </c>
      <c r="E70" s="17" t="str">
        <f>'12 - Device_Configuration'!J70</f>
        <v>Yes</v>
      </c>
      <c r="F70" s="31" t="str">
        <f>'12 - Device_Configuration'!K70</f>
        <v>No</v>
      </c>
      <c r="G70" s="17" t="str">
        <f>'12 - Device_Configuration'!L70</f>
        <v>No</v>
      </c>
      <c r="H70" s="17">
        <f>'13 - Config_Intake_View'!M70</f>
        <v>0</v>
      </c>
      <c r="I70" s="31">
        <f>IF('13 - Config_Intake_View'!Q70&lt;&gt;"",'13 - Config_Intake_View'!Q70,'12 - Device_Configuration'!BH70)</f>
        <v>0</v>
      </c>
      <c r="J70" s="17" t="str">
        <f>IF('13 - Config_Intake_View'!Q70&lt;&gt;"","PM Approved",IF('12 - Device_Configuration'!BH70&lt;&gt;"","Assumed",""))</f>
        <v/>
      </c>
      <c r="K70" s="31">
        <f>'12 - Device_Configuration'!BG70</f>
        <v>0</v>
      </c>
      <c r="L70" s="17">
        <f>'12 - Device_Configuration'!P70</f>
        <v>0</v>
      </c>
      <c r="M70" s="17">
        <f>'12 - Device_Configuration'!Q70</f>
        <v>0</v>
      </c>
      <c r="N70" s="17" t="str">
        <f>'12 - Device_Configuration'!BK70</f>
        <v/>
      </c>
      <c r="O70" s="31" t="str">
        <f>'12 - Device_Configuration'!BL70</f>
        <v/>
      </c>
      <c r="P70" s="2">
        <f>'12 - Device_Configuration'!BA70</f>
        <v>0</v>
      </c>
      <c r="Q70" s="31" t="str">
        <f t="shared" si="4"/>
        <v/>
      </c>
      <c r="R70" s="17" t="str">
        <f t="shared" si="5"/>
        <v>SW NOT INSTALLED</v>
      </c>
      <c r="S70" s="17" t="str">
        <f t="shared" si="6"/>
        <v/>
      </c>
      <c r="T70" s="17" t="str">
        <f t="shared" si="7"/>
        <v>SW NOT INSTALLED</v>
      </c>
    </row>
    <row r="71" spans="1:20">
      <c r="A71" s="31" t="str">
        <f>'12 - Device_Configuration'!H71</f>
        <v>LIJ - CCMC</v>
      </c>
      <c r="B71" s="31" t="str">
        <f>'12 - Device_Configuration'!S71</f>
        <v>WNH269OPR015</v>
      </c>
      <c r="C71" s="31">
        <f>'12 - Device_Configuration'!T71</f>
        <v>0</v>
      </c>
      <c r="D71" s="17">
        <f>'12 - Device_Configuration'!AJ71</f>
        <v>0</v>
      </c>
      <c r="E71" s="17" t="str">
        <f>'12 - Device_Configuration'!J71</f>
        <v>Yes</v>
      </c>
      <c r="F71" s="31" t="str">
        <f>'12 - Device_Configuration'!K71</f>
        <v>No</v>
      </c>
      <c r="G71" s="17" t="str">
        <f>'12 - Device_Configuration'!L71</f>
        <v>No</v>
      </c>
      <c r="H71" s="17">
        <f>'13 - Config_Intake_View'!M71</f>
        <v>0</v>
      </c>
      <c r="I71" s="31">
        <f>IF('13 - Config_Intake_View'!Q71&lt;&gt;"",'13 - Config_Intake_View'!Q71,'12 - Device_Configuration'!BH71)</f>
        <v>0</v>
      </c>
      <c r="J71" s="17" t="str">
        <f>IF('13 - Config_Intake_View'!Q71&lt;&gt;"","PM Approved",IF('12 - Device_Configuration'!BH71&lt;&gt;"","Assumed",""))</f>
        <v/>
      </c>
      <c r="K71" s="31">
        <f>'12 - Device_Configuration'!BG71</f>
        <v>0</v>
      </c>
      <c r="L71" s="17">
        <f>'12 - Device_Configuration'!P71</f>
        <v>0</v>
      </c>
      <c r="M71" s="17">
        <f>'12 - Device_Configuration'!Q71</f>
        <v>0</v>
      </c>
      <c r="N71" s="17" t="str">
        <f>'12 - Device_Configuration'!BK71</f>
        <v/>
      </c>
      <c r="O71" s="31" t="str">
        <f>'12 - Device_Configuration'!BL71</f>
        <v/>
      </c>
      <c r="P71" s="2">
        <f>'12 - Device_Configuration'!BA71</f>
        <v>0</v>
      </c>
      <c r="Q71" s="31" t="str">
        <f t="shared" si="4"/>
        <v/>
      </c>
      <c r="R71" s="17" t="str">
        <f t="shared" si="5"/>
        <v>SW NOT INSTALLED</v>
      </c>
      <c r="S71" s="17" t="str">
        <f t="shared" si="6"/>
        <v/>
      </c>
      <c r="T71" s="17" t="str">
        <f t="shared" si="7"/>
        <v>SW NOT INSTALLED</v>
      </c>
    </row>
    <row r="72" spans="1:20">
      <c r="A72" s="31" t="str">
        <f>'12 - Device_Configuration'!H72</f>
        <v>LIJ - CCMC</v>
      </c>
      <c r="B72" s="31" t="str">
        <f>'12 - Device_Configuration'!S72</f>
        <v>WNH269OPR016</v>
      </c>
      <c r="C72" s="31">
        <f>'12 - Device_Configuration'!T72</f>
        <v>0</v>
      </c>
      <c r="D72" s="17">
        <f>'12 - Device_Configuration'!AJ72</f>
        <v>0</v>
      </c>
      <c r="E72" s="17" t="str">
        <f>'12 - Device_Configuration'!J72</f>
        <v>Yes</v>
      </c>
      <c r="F72" s="31" t="str">
        <f>'12 - Device_Configuration'!K72</f>
        <v>No</v>
      </c>
      <c r="G72" s="17" t="str">
        <f>'12 - Device_Configuration'!L72</f>
        <v>No</v>
      </c>
      <c r="H72" s="17">
        <f>'13 - Config_Intake_View'!M72</f>
        <v>0</v>
      </c>
      <c r="I72" s="31">
        <f>IF('13 - Config_Intake_View'!Q72&lt;&gt;"",'13 - Config_Intake_View'!Q72,'12 - Device_Configuration'!BH72)</f>
        <v>0</v>
      </c>
      <c r="J72" s="17" t="str">
        <f>IF('13 - Config_Intake_View'!Q72&lt;&gt;"","PM Approved",IF('12 - Device_Configuration'!BH72&lt;&gt;"","Assumed",""))</f>
        <v/>
      </c>
      <c r="K72" s="31">
        <f>'12 - Device_Configuration'!BG72</f>
        <v>0</v>
      </c>
      <c r="L72" s="17">
        <f>'12 - Device_Configuration'!P72</f>
        <v>0</v>
      </c>
      <c r="M72" s="17">
        <f>'12 - Device_Configuration'!Q72</f>
        <v>0</v>
      </c>
      <c r="N72" s="17" t="str">
        <f>'12 - Device_Configuration'!BK72</f>
        <v/>
      </c>
      <c r="O72" s="31" t="str">
        <f>'12 - Device_Configuration'!BL72</f>
        <v/>
      </c>
      <c r="P72" s="2">
        <f>'12 - Device_Configuration'!BA72</f>
        <v>0</v>
      </c>
      <c r="Q72" s="31" t="str">
        <f t="shared" si="4"/>
        <v/>
      </c>
      <c r="R72" s="17" t="str">
        <f t="shared" si="5"/>
        <v>SW NOT INSTALLED</v>
      </c>
      <c r="S72" s="17" t="str">
        <f t="shared" si="6"/>
        <v/>
      </c>
      <c r="T72" s="17" t="str">
        <f t="shared" si="7"/>
        <v>SW NOT INSTALLED</v>
      </c>
    </row>
    <row r="73" spans="1:20">
      <c r="A73" s="31" t="str">
        <f>'12 - Device_Configuration'!H73</f>
        <v>LIJ - CCMC</v>
      </c>
      <c r="B73" s="31" t="str">
        <f>'12 - Device_Configuration'!S73</f>
        <v>WNH269OPR017</v>
      </c>
      <c r="C73" s="31">
        <f>'12 - Device_Configuration'!T73</f>
        <v>0</v>
      </c>
      <c r="D73" s="17">
        <f>'12 - Device_Configuration'!AJ73</f>
        <v>0</v>
      </c>
      <c r="E73" s="17" t="str">
        <f>'12 - Device_Configuration'!J73</f>
        <v>Yes</v>
      </c>
      <c r="F73" s="31" t="str">
        <f>'12 - Device_Configuration'!K73</f>
        <v>No</v>
      </c>
      <c r="G73" s="17" t="str">
        <f>'12 - Device_Configuration'!L73</f>
        <v>No</v>
      </c>
      <c r="H73" s="17">
        <f>'13 - Config_Intake_View'!M73</f>
        <v>0</v>
      </c>
      <c r="I73" s="31">
        <f>IF('13 - Config_Intake_View'!Q73&lt;&gt;"",'13 - Config_Intake_View'!Q73,'12 - Device_Configuration'!BH73)</f>
        <v>0</v>
      </c>
      <c r="J73" s="17" t="str">
        <f>IF('13 - Config_Intake_View'!Q73&lt;&gt;"","PM Approved",IF('12 - Device_Configuration'!BH73&lt;&gt;"","Assumed",""))</f>
        <v/>
      </c>
      <c r="K73" s="31">
        <f>'12 - Device_Configuration'!BG73</f>
        <v>0</v>
      </c>
      <c r="L73" s="17">
        <f>'12 - Device_Configuration'!P73</f>
        <v>0</v>
      </c>
      <c r="M73" s="17">
        <f>'12 - Device_Configuration'!Q73</f>
        <v>0</v>
      </c>
      <c r="N73" s="17" t="str">
        <f>'12 - Device_Configuration'!BK73</f>
        <v/>
      </c>
      <c r="O73" s="31" t="str">
        <f>'12 - Device_Configuration'!BL73</f>
        <v/>
      </c>
      <c r="P73" s="2">
        <f>'12 - Device_Configuration'!BA73</f>
        <v>0</v>
      </c>
      <c r="Q73" s="31" t="str">
        <f t="shared" si="4"/>
        <v/>
      </c>
      <c r="R73" s="17" t="str">
        <f t="shared" si="5"/>
        <v>SW NOT INSTALLED</v>
      </c>
      <c r="S73" s="17" t="str">
        <f t="shared" si="6"/>
        <v/>
      </c>
      <c r="T73" s="17" t="str">
        <f t="shared" si="7"/>
        <v>SW NOT INSTALLED</v>
      </c>
    </row>
    <row r="74" spans="1:20">
      <c r="A74" s="31" t="str">
        <f>'12 - Device_Configuration'!H74</f>
        <v>LIJ - CCMC</v>
      </c>
      <c r="B74" s="31" t="str">
        <f>'12 - Device_Configuration'!S74</f>
        <v>WNH269OPR018</v>
      </c>
      <c r="C74" s="31">
        <f>'12 - Device_Configuration'!T74</f>
        <v>0</v>
      </c>
      <c r="D74" s="17">
        <f>'12 - Device_Configuration'!AJ74</f>
        <v>0</v>
      </c>
      <c r="E74" s="17" t="str">
        <f>'12 - Device_Configuration'!J74</f>
        <v>Yes</v>
      </c>
      <c r="F74" s="31" t="str">
        <f>'12 - Device_Configuration'!K74</f>
        <v>No</v>
      </c>
      <c r="G74" s="17" t="str">
        <f>'12 - Device_Configuration'!L74</f>
        <v>No</v>
      </c>
      <c r="H74" s="17">
        <f>'13 - Config_Intake_View'!M74</f>
        <v>0</v>
      </c>
      <c r="I74" s="31">
        <f>IF('13 - Config_Intake_View'!Q74&lt;&gt;"",'13 - Config_Intake_View'!Q74,'12 - Device_Configuration'!BH74)</f>
        <v>0</v>
      </c>
      <c r="J74" s="17" t="str">
        <f>IF('13 - Config_Intake_View'!Q74&lt;&gt;"","PM Approved",IF('12 - Device_Configuration'!BH74&lt;&gt;"","Assumed",""))</f>
        <v/>
      </c>
      <c r="K74" s="31">
        <f>'12 - Device_Configuration'!BG74</f>
        <v>0</v>
      </c>
      <c r="L74" s="17">
        <f>'12 - Device_Configuration'!P74</f>
        <v>0</v>
      </c>
      <c r="M74" s="17">
        <f>'12 - Device_Configuration'!Q74</f>
        <v>0</v>
      </c>
      <c r="N74" s="17" t="str">
        <f>'12 - Device_Configuration'!BK74</f>
        <v/>
      </c>
      <c r="O74" s="31" t="str">
        <f>'12 - Device_Configuration'!BL74</f>
        <v/>
      </c>
      <c r="P74" s="2">
        <f>'12 - Device_Configuration'!BA74</f>
        <v>0</v>
      </c>
      <c r="Q74" s="31" t="str">
        <f t="shared" si="4"/>
        <v/>
      </c>
      <c r="R74" s="17" t="str">
        <f t="shared" si="5"/>
        <v>SW NOT INSTALLED</v>
      </c>
      <c r="S74" s="17" t="str">
        <f t="shared" si="6"/>
        <v/>
      </c>
      <c r="T74" s="17" t="str">
        <f t="shared" si="7"/>
        <v>SW NOT INSTALLED</v>
      </c>
    </row>
    <row r="75" spans="1:20">
      <c r="A75" s="31" t="str">
        <f>'12 - Device_Configuration'!H75</f>
        <v>LIJ - CCMC</v>
      </c>
      <c r="B75" s="31" t="str">
        <f>'12 - Device_Configuration'!S75</f>
        <v>WNH269OPR019</v>
      </c>
      <c r="C75" s="31">
        <f>'12 - Device_Configuration'!T75</f>
        <v>0</v>
      </c>
      <c r="D75" s="17">
        <f>'12 - Device_Configuration'!AJ75</f>
        <v>0</v>
      </c>
      <c r="E75" s="17" t="str">
        <f>'12 - Device_Configuration'!J75</f>
        <v>Yes</v>
      </c>
      <c r="F75" s="31" t="str">
        <f>'12 - Device_Configuration'!K75</f>
        <v>No</v>
      </c>
      <c r="G75" s="17" t="str">
        <f>'12 - Device_Configuration'!L75</f>
        <v>No</v>
      </c>
      <c r="H75" s="17">
        <f>'13 - Config_Intake_View'!M75</f>
        <v>0</v>
      </c>
      <c r="I75" s="31">
        <f>IF('13 - Config_Intake_View'!Q75&lt;&gt;"",'13 - Config_Intake_View'!Q75,'12 - Device_Configuration'!BH75)</f>
        <v>0</v>
      </c>
      <c r="J75" s="17" t="str">
        <f>IF('13 - Config_Intake_View'!Q75&lt;&gt;"","PM Approved",IF('12 - Device_Configuration'!BH75&lt;&gt;"","Assumed",""))</f>
        <v/>
      </c>
      <c r="K75" s="31">
        <f>'12 - Device_Configuration'!BG75</f>
        <v>0</v>
      </c>
      <c r="L75" s="17">
        <f>'12 - Device_Configuration'!P75</f>
        <v>0</v>
      </c>
      <c r="M75" s="17">
        <f>'12 - Device_Configuration'!Q75</f>
        <v>0</v>
      </c>
      <c r="N75" s="17" t="str">
        <f>'12 - Device_Configuration'!BK75</f>
        <v/>
      </c>
      <c r="O75" s="31" t="str">
        <f>'12 - Device_Configuration'!BL75</f>
        <v/>
      </c>
      <c r="P75" s="2">
        <f>'12 - Device_Configuration'!BA75</f>
        <v>0</v>
      </c>
      <c r="Q75" s="31" t="str">
        <f t="shared" si="4"/>
        <v/>
      </c>
      <c r="R75" s="17" t="str">
        <f t="shared" si="5"/>
        <v>SW NOT INSTALLED</v>
      </c>
      <c r="S75" s="17" t="str">
        <f t="shared" si="6"/>
        <v/>
      </c>
      <c r="T75" s="17" t="str">
        <f t="shared" si="7"/>
        <v>SW NOT INSTALLED</v>
      </c>
    </row>
    <row r="76" spans="1:20">
      <c r="A76" s="31" t="str">
        <f>'12 - Device_Configuration'!H76</f>
        <v>LIJ - CCMC</v>
      </c>
      <c r="B76" s="31" t="str">
        <f>'12 - Device_Configuration'!S76</f>
        <v>WNH269OPR020</v>
      </c>
      <c r="C76" s="31">
        <f>'12 - Device_Configuration'!T76</f>
        <v>0</v>
      </c>
      <c r="D76" s="17">
        <f>'12 - Device_Configuration'!AJ76</f>
        <v>0</v>
      </c>
      <c r="E76" s="17" t="str">
        <f>'12 - Device_Configuration'!J76</f>
        <v>Yes</v>
      </c>
      <c r="F76" s="31" t="str">
        <f>'12 - Device_Configuration'!K76</f>
        <v>No</v>
      </c>
      <c r="G76" s="17" t="str">
        <f>'12 - Device_Configuration'!L76</f>
        <v>No</v>
      </c>
      <c r="H76" s="17">
        <f>'13 - Config_Intake_View'!M76</f>
        <v>0</v>
      </c>
      <c r="I76" s="31">
        <f>IF('13 - Config_Intake_View'!Q76&lt;&gt;"",'13 - Config_Intake_View'!Q76,'12 - Device_Configuration'!BH76)</f>
        <v>0</v>
      </c>
      <c r="J76" s="17" t="str">
        <f>IF('13 - Config_Intake_View'!Q76&lt;&gt;"","PM Approved",IF('12 - Device_Configuration'!BH76&lt;&gt;"","Assumed",""))</f>
        <v/>
      </c>
      <c r="K76" s="31">
        <f>'12 - Device_Configuration'!BG76</f>
        <v>0</v>
      </c>
      <c r="L76" s="17">
        <f>'12 - Device_Configuration'!P76</f>
        <v>0</v>
      </c>
      <c r="M76" s="17">
        <f>'12 - Device_Configuration'!Q76</f>
        <v>0</v>
      </c>
      <c r="N76" s="17" t="str">
        <f>'12 - Device_Configuration'!BK76</f>
        <v/>
      </c>
      <c r="O76" s="31" t="str">
        <f>'12 - Device_Configuration'!BL76</f>
        <v/>
      </c>
      <c r="P76" s="2">
        <f>'12 - Device_Configuration'!BA76</f>
        <v>0</v>
      </c>
      <c r="Q76" s="31" t="str">
        <f t="shared" si="4"/>
        <v/>
      </c>
      <c r="R76" s="17" t="str">
        <f t="shared" si="5"/>
        <v>SW NOT INSTALLED</v>
      </c>
      <c r="S76" s="17" t="str">
        <f t="shared" si="6"/>
        <v/>
      </c>
      <c r="T76" s="17" t="str">
        <f t="shared" si="7"/>
        <v>SW NOT INSTALLED</v>
      </c>
    </row>
    <row r="77" spans="1:20">
      <c r="A77" s="31" t="str">
        <f>'12 - Device_Configuration'!H77</f>
        <v>LIJ - CCMC</v>
      </c>
      <c r="B77" s="31" t="str">
        <f>'12 - Device_Configuration'!S77</f>
        <v>WNH269OPR021</v>
      </c>
      <c r="C77" s="31">
        <f>'12 - Device_Configuration'!T77</f>
        <v>0</v>
      </c>
      <c r="D77" s="17">
        <f>'12 - Device_Configuration'!AJ77</f>
        <v>0</v>
      </c>
      <c r="E77" s="17" t="str">
        <f>'12 - Device_Configuration'!J77</f>
        <v>Yes</v>
      </c>
      <c r="F77" s="31" t="str">
        <f>'12 - Device_Configuration'!K77</f>
        <v>No</v>
      </c>
      <c r="G77" s="17" t="str">
        <f>'12 - Device_Configuration'!L77</f>
        <v>No</v>
      </c>
      <c r="H77" s="17">
        <f>'13 - Config_Intake_View'!M77</f>
        <v>0</v>
      </c>
      <c r="I77" s="31">
        <f>IF('13 - Config_Intake_View'!Q77&lt;&gt;"",'13 - Config_Intake_View'!Q77,'12 - Device_Configuration'!BH77)</f>
        <v>0</v>
      </c>
      <c r="J77" s="17" t="str">
        <f>IF('13 - Config_Intake_View'!Q77&lt;&gt;"","PM Approved",IF('12 - Device_Configuration'!BH77&lt;&gt;"","Assumed",""))</f>
        <v/>
      </c>
      <c r="K77" s="31">
        <f>'12 - Device_Configuration'!BG77</f>
        <v>0</v>
      </c>
      <c r="L77" s="17">
        <f>'12 - Device_Configuration'!P77</f>
        <v>0</v>
      </c>
      <c r="M77" s="17">
        <f>'12 - Device_Configuration'!Q77</f>
        <v>0</v>
      </c>
      <c r="N77" s="17" t="str">
        <f>'12 - Device_Configuration'!BK77</f>
        <v/>
      </c>
      <c r="O77" s="31" t="str">
        <f>'12 - Device_Configuration'!BL77</f>
        <v/>
      </c>
      <c r="P77" s="2">
        <f>'12 - Device_Configuration'!BA77</f>
        <v>0</v>
      </c>
      <c r="Q77" s="31" t="str">
        <f t="shared" si="4"/>
        <v/>
      </c>
      <c r="R77" s="17" t="str">
        <f t="shared" si="5"/>
        <v>SW NOT INSTALLED</v>
      </c>
      <c r="S77" s="17" t="str">
        <f t="shared" si="6"/>
        <v/>
      </c>
      <c r="T77" s="17" t="str">
        <f t="shared" si="7"/>
        <v>SW NOT INSTALLED</v>
      </c>
    </row>
    <row r="78" spans="1:20">
      <c r="A78" s="31" t="str">
        <f>'12 - Device_Configuration'!H78</f>
        <v>CFAM</v>
      </c>
      <c r="B78" s="31" t="str">
        <f>'12 - Device_Configuration'!S78</f>
        <v>WLS450OPR001</v>
      </c>
      <c r="C78" s="31">
        <f>'12 - Device_Configuration'!T78</f>
        <v>0</v>
      </c>
      <c r="D78" s="17">
        <f>'12 - Device_Configuration'!AJ78</f>
        <v>0</v>
      </c>
      <c r="E78" s="17" t="str">
        <f>'12 - Device_Configuration'!J78</f>
        <v>Yes</v>
      </c>
      <c r="F78" s="31" t="str">
        <f>'12 - Device_Configuration'!K78</f>
        <v>No</v>
      </c>
      <c r="G78" s="17" t="str">
        <f>'12 - Device_Configuration'!L78</f>
        <v>No</v>
      </c>
      <c r="H78" s="17">
        <f>'13 - Config_Intake_View'!M78</f>
        <v>0</v>
      </c>
      <c r="I78" s="31">
        <f>IF('13 - Config_Intake_View'!Q78&lt;&gt;"",'13 - Config_Intake_View'!Q78,'12 - Device_Configuration'!BH78)</f>
        <v>0</v>
      </c>
      <c r="J78" s="17" t="str">
        <f>IF('13 - Config_Intake_View'!Q78&lt;&gt;"","PM Approved",IF('12 - Device_Configuration'!BH78&lt;&gt;"","Assumed",""))</f>
        <v/>
      </c>
      <c r="K78" s="31">
        <f>'12 - Device_Configuration'!BG78</f>
        <v>0</v>
      </c>
      <c r="L78" s="17">
        <f>'12 - Device_Configuration'!P78</f>
        <v>0</v>
      </c>
      <c r="M78" s="17">
        <f>'12 - Device_Configuration'!Q78</f>
        <v>0</v>
      </c>
      <c r="N78" s="17" t="str">
        <f>'12 - Device_Configuration'!BK78</f>
        <v/>
      </c>
      <c r="O78" s="31" t="str">
        <f>'12 - Device_Configuration'!BL78</f>
        <v/>
      </c>
      <c r="P78" s="2">
        <f>'12 - Device_Configuration'!BA78</f>
        <v>0</v>
      </c>
      <c r="Q78" s="31" t="str">
        <f t="shared" si="4"/>
        <v/>
      </c>
      <c r="R78" s="17" t="str">
        <f t="shared" si="5"/>
        <v>SW NOT INSTALLED</v>
      </c>
      <c r="S78" s="17" t="str">
        <f t="shared" si="6"/>
        <v/>
      </c>
      <c r="T78" s="17" t="str">
        <f t="shared" si="7"/>
        <v>SW NOT INSTALLED</v>
      </c>
    </row>
    <row r="79" spans="1:20">
      <c r="A79" s="31" t="str">
        <f>'12 - Device_Configuration'!H79</f>
        <v>CFAM</v>
      </c>
      <c r="B79" s="31" t="str">
        <f>'12 - Device_Configuration'!S79</f>
        <v>WLS450OPR002</v>
      </c>
      <c r="C79" s="31">
        <f>'12 - Device_Configuration'!T79</f>
        <v>0</v>
      </c>
      <c r="D79" s="17">
        <f>'12 - Device_Configuration'!AJ79</f>
        <v>0</v>
      </c>
      <c r="E79" s="17" t="str">
        <f>'12 - Device_Configuration'!J79</f>
        <v>Yes</v>
      </c>
      <c r="F79" s="31" t="str">
        <f>'12 - Device_Configuration'!K79</f>
        <v>No</v>
      </c>
      <c r="G79" s="17" t="str">
        <f>'12 - Device_Configuration'!L79</f>
        <v>No</v>
      </c>
      <c r="H79" s="17">
        <f>'13 - Config_Intake_View'!M79</f>
        <v>0</v>
      </c>
      <c r="I79" s="31">
        <f>IF('13 - Config_Intake_View'!Q79&lt;&gt;"",'13 - Config_Intake_View'!Q79,'12 - Device_Configuration'!BH79)</f>
        <v>0</v>
      </c>
      <c r="J79" s="17" t="str">
        <f>IF('13 - Config_Intake_View'!Q79&lt;&gt;"","PM Approved",IF('12 - Device_Configuration'!BH79&lt;&gt;"","Assumed",""))</f>
        <v/>
      </c>
      <c r="K79" s="31">
        <f>'12 - Device_Configuration'!BG79</f>
        <v>0</v>
      </c>
      <c r="L79" s="17">
        <f>'12 - Device_Configuration'!P79</f>
        <v>0</v>
      </c>
      <c r="M79" s="17">
        <f>'12 - Device_Configuration'!Q79</f>
        <v>0</v>
      </c>
      <c r="N79" s="17" t="str">
        <f>'12 - Device_Configuration'!BK79</f>
        <v/>
      </c>
      <c r="O79" s="31" t="str">
        <f>'12 - Device_Configuration'!BL79</f>
        <v/>
      </c>
      <c r="P79" s="2">
        <f>'12 - Device_Configuration'!BA79</f>
        <v>0</v>
      </c>
      <c r="Q79" s="31" t="str">
        <f t="shared" si="4"/>
        <v/>
      </c>
      <c r="R79" s="17" t="str">
        <f t="shared" si="5"/>
        <v>SW NOT INSTALLED</v>
      </c>
      <c r="S79" s="17" t="str">
        <f t="shared" si="6"/>
        <v/>
      </c>
      <c r="T79" s="17" t="str">
        <f t="shared" si="7"/>
        <v>SW NOT INSTALLED</v>
      </c>
    </row>
    <row r="80" spans="1:20">
      <c r="A80" s="31" t="str">
        <f>'12 - Device_Configuration'!H80</f>
        <v>CFAM</v>
      </c>
      <c r="B80" s="31" t="str">
        <f>'12 - Device_Configuration'!S80</f>
        <v>WLS450OPR003</v>
      </c>
      <c r="C80" s="31">
        <f>'12 - Device_Configuration'!T80</f>
        <v>0</v>
      </c>
      <c r="D80" s="17">
        <f>'12 - Device_Configuration'!AJ80</f>
        <v>0</v>
      </c>
      <c r="E80" s="17" t="str">
        <f>'12 - Device_Configuration'!J80</f>
        <v>Yes</v>
      </c>
      <c r="F80" s="31" t="str">
        <f>'12 - Device_Configuration'!K80</f>
        <v>No</v>
      </c>
      <c r="G80" s="17" t="str">
        <f>'12 - Device_Configuration'!L80</f>
        <v>No</v>
      </c>
      <c r="H80" s="17">
        <f>'13 - Config_Intake_View'!M80</f>
        <v>0</v>
      </c>
      <c r="I80" s="31">
        <f>IF('13 - Config_Intake_View'!Q80&lt;&gt;"",'13 - Config_Intake_View'!Q80,'12 - Device_Configuration'!BH80)</f>
        <v>0</v>
      </c>
      <c r="J80" s="17" t="str">
        <f>IF('13 - Config_Intake_View'!Q80&lt;&gt;"","PM Approved",IF('12 - Device_Configuration'!BH80&lt;&gt;"","Assumed",""))</f>
        <v/>
      </c>
      <c r="K80" s="31">
        <f>'12 - Device_Configuration'!BG80</f>
        <v>0</v>
      </c>
      <c r="L80" s="17">
        <f>'12 - Device_Configuration'!P80</f>
        <v>0</v>
      </c>
      <c r="M80" s="17">
        <f>'12 - Device_Configuration'!Q80</f>
        <v>0</v>
      </c>
      <c r="N80" s="17" t="str">
        <f>'12 - Device_Configuration'!BK80</f>
        <v/>
      </c>
      <c r="O80" s="31" t="str">
        <f>'12 - Device_Configuration'!BL80</f>
        <v/>
      </c>
      <c r="P80" s="2">
        <f>'12 - Device_Configuration'!BA80</f>
        <v>0</v>
      </c>
      <c r="Q80" s="31" t="str">
        <f t="shared" si="4"/>
        <v/>
      </c>
      <c r="R80" s="17" t="str">
        <f t="shared" si="5"/>
        <v>SW NOT INSTALLED</v>
      </c>
      <c r="S80" s="17" t="str">
        <f t="shared" si="6"/>
        <v/>
      </c>
      <c r="T80" s="17" t="str">
        <f t="shared" si="7"/>
        <v>SW NOT INSTALLED</v>
      </c>
    </row>
    <row r="81" spans="1:20">
      <c r="A81" s="31" t="str">
        <f>'12 - Device_Configuration'!H81</f>
        <v>CFAM</v>
      </c>
      <c r="B81" s="31" t="str">
        <f>'12 - Device_Configuration'!S81</f>
        <v>WLS450OPR004</v>
      </c>
      <c r="C81" s="31">
        <f>'12 - Device_Configuration'!T81</f>
        <v>0</v>
      </c>
      <c r="D81" s="17">
        <f>'12 - Device_Configuration'!AJ81</f>
        <v>0</v>
      </c>
      <c r="E81" s="17" t="str">
        <f>'12 - Device_Configuration'!J81</f>
        <v>Yes</v>
      </c>
      <c r="F81" s="31" t="str">
        <f>'12 - Device_Configuration'!K81</f>
        <v>No</v>
      </c>
      <c r="G81" s="17" t="str">
        <f>'12 - Device_Configuration'!L81</f>
        <v>No</v>
      </c>
      <c r="H81" s="17">
        <f>'13 - Config_Intake_View'!M81</f>
        <v>0</v>
      </c>
      <c r="I81" s="31">
        <f>IF('13 - Config_Intake_View'!Q81&lt;&gt;"",'13 - Config_Intake_View'!Q81,'12 - Device_Configuration'!BH81)</f>
        <v>0</v>
      </c>
      <c r="J81" s="17" t="str">
        <f>IF('13 - Config_Intake_View'!Q81&lt;&gt;"","PM Approved",IF('12 - Device_Configuration'!BH81&lt;&gt;"","Assumed",""))</f>
        <v/>
      </c>
      <c r="K81" s="31">
        <f>'12 - Device_Configuration'!BG81</f>
        <v>0</v>
      </c>
      <c r="L81" s="17">
        <f>'12 - Device_Configuration'!P81</f>
        <v>0</v>
      </c>
      <c r="M81" s="17">
        <f>'12 - Device_Configuration'!Q81</f>
        <v>0</v>
      </c>
      <c r="N81" s="17" t="str">
        <f>'12 - Device_Configuration'!BK81</f>
        <v/>
      </c>
      <c r="O81" s="31" t="str">
        <f>'12 - Device_Configuration'!BL81</f>
        <v/>
      </c>
      <c r="P81" s="2">
        <f>'12 - Device_Configuration'!BA81</f>
        <v>0</v>
      </c>
      <c r="Q81" s="31" t="str">
        <f t="shared" si="4"/>
        <v/>
      </c>
      <c r="R81" s="17" t="str">
        <f t="shared" si="5"/>
        <v>SW NOT INSTALLED</v>
      </c>
      <c r="S81" s="17" t="str">
        <f t="shared" si="6"/>
        <v/>
      </c>
      <c r="T81" s="17" t="str">
        <f t="shared" si="7"/>
        <v>SW NOT INSTALLED</v>
      </c>
    </row>
    <row r="82" spans="1:20">
      <c r="A82" s="31" t="str">
        <f>'12 - Device_Configuration'!H82</f>
        <v>CFAM</v>
      </c>
      <c r="B82" s="31" t="str">
        <f>'12 - Device_Configuration'!S82</f>
        <v>WLS450OPR005</v>
      </c>
      <c r="C82" s="31">
        <f>'12 - Device_Configuration'!T82</f>
        <v>0</v>
      </c>
      <c r="D82" s="17">
        <f>'12 - Device_Configuration'!AJ82</f>
        <v>0</v>
      </c>
      <c r="E82" s="17" t="str">
        <f>'12 - Device_Configuration'!J82</f>
        <v>Yes</v>
      </c>
      <c r="F82" s="31" t="str">
        <f>'12 - Device_Configuration'!K82</f>
        <v>No</v>
      </c>
      <c r="G82" s="17" t="str">
        <f>'12 - Device_Configuration'!L82</f>
        <v>No</v>
      </c>
      <c r="H82" s="17">
        <f>'13 - Config_Intake_View'!M82</f>
        <v>0</v>
      </c>
      <c r="I82" s="31">
        <f>IF('13 - Config_Intake_View'!Q82&lt;&gt;"",'13 - Config_Intake_View'!Q82,'12 - Device_Configuration'!BH82)</f>
        <v>0</v>
      </c>
      <c r="J82" s="17" t="str">
        <f>IF('13 - Config_Intake_View'!Q82&lt;&gt;"","PM Approved",IF('12 - Device_Configuration'!BH82&lt;&gt;"","Assumed",""))</f>
        <v/>
      </c>
      <c r="K82" s="31">
        <f>'12 - Device_Configuration'!BG82</f>
        <v>0</v>
      </c>
      <c r="L82" s="17">
        <f>'12 - Device_Configuration'!P82</f>
        <v>0</v>
      </c>
      <c r="M82" s="17">
        <f>'12 - Device_Configuration'!Q82</f>
        <v>0</v>
      </c>
      <c r="N82" s="17" t="str">
        <f>'12 - Device_Configuration'!BK82</f>
        <v/>
      </c>
      <c r="O82" s="31" t="str">
        <f>'12 - Device_Configuration'!BL82</f>
        <v/>
      </c>
      <c r="P82" s="2">
        <f>'12 - Device_Configuration'!BA82</f>
        <v>0</v>
      </c>
      <c r="Q82" s="31" t="str">
        <f t="shared" si="4"/>
        <v/>
      </c>
      <c r="R82" s="17" t="str">
        <f t="shared" si="5"/>
        <v>SW NOT INSTALLED</v>
      </c>
      <c r="S82" s="17" t="str">
        <f t="shared" si="6"/>
        <v/>
      </c>
      <c r="T82" s="17" t="str">
        <f t="shared" si="7"/>
        <v>SW NOT INSTALLED</v>
      </c>
    </row>
    <row r="83" spans="1:20">
      <c r="A83" s="31" t="str">
        <f>'12 - Device_Configuration'!H83</f>
        <v>CFAM</v>
      </c>
      <c r="B83" s="31" t="str">
        <f>'12 - Device_Configuration'!S83</f>
        <v>WLS450OPR006</v>
      </c>
      <c r="C83" s="31">
        <f>'12 - Device_Configuration'!T83</f>
        <v>0</v>
      </c>
      <c r="D83" s="17">
        <f>'12 - Device_Configuration'!AJ83</f>
        <v>0</v>
      </c>
      <c r="E83" s="17" t="str">
        <f>'12 - Device_Configuration'!J83</f>
        <v>Yes</v>
      </c>
      <c r="F83" s="31" t="str">
        <f>'12 - Device_Configuration'!K83</f>
        <v>No</v>
      </c>
      <c r="G83" s="17" t="str">
        <f>'12 - Device_Configuration'!L83</f>
        <v>No</v>
      </c>
      <c r="H83" s="17">
        <f>'13 - Config_Intake_View'!M83</f>
        <v>0</v>
      </c>
      <c r="I83" s="31">
        <f>IF('13 - Config_Intake_View'!Q83&lt;&gt;"",'13 - Config_Intake_View'!Q83,'12 - Device_Configuration'!BH83)</f>
        <v>0</v>
      </c>
      <c r="J83" s="17" t="str">
        <f>IF('13 - Config_Intake_View'!Q83&lt;&gt;"","PM Approved",IF('12 - Device_Configuration'!BH83&lt;&gt;"","Assumed",""))</f>
        <v/>
      </c>
      <c r="K83" s="31">
        <f>'12 - Device_Configuration'!BG83</f>
        <v>0</v>
      </c>
      <c r="L83" s="17">
        <f>'12 - Device_Configuration'!P83</f>
        <v>0</v>
      </c>
      <c r="M83" s="17">
        <f>'12 - Device_Configuration'!Q83</f>
        <v>0</v>
      </c>
      <c r="N83" s="17" t="str">
        <f>'12 - Device_Configuration'!BK83</f>
        <v/>
      </c>
      <c r="O83" s="31" t="str">
        <f>'12 - Device_Configuration'!BL83</f>
        <v/>
      </c>
      <c r="P83" s="2">
        <f>'12 - Device_Configuration'!BA83</f>
        <v>0</v>
      </c>
      <c r="Q83" s="31" t="str">
        <f t="shared" si="4"/>
        <v/>
      </c>
      <c r="R83" s="17" t="str">
        <f t="shared" si="5"/>
        <v>SW NOT INSTALLED</v>
      </c>
      <c r="S83" s="17" t="str">
        <f t="shared" si="6"/>
        <v/>
      </c>
      <c r="T83" s="17" t="str">
        <f t="shared" si="7"/>
        <v>SW NOT INSTALLED</v>
      </c>
    </row>
    <row r="84" spans="1:20">
      <c r="A84" s="31" t="str">
        <f>'12 - Device_Configuration'!H84</f>
        <v>CFAM</v>
      </c>
      <c r="B84" s="31" t="str">
        <f>'12 - Device_Configuration'!S84</f>
        <v>WLS450OPR007</v>
      </c>
      <c r="C84" s="31">
        <f>'12 - Device_Configuration'!T84</f>
        <v>0</v>
      </c>
      <c r="D84" s="17">
        <f>'12 - Device_Configuration'!AJ84</f>
        <v>0</v>
      </c>
      <c r="E84" s="17" t="str">
        <f>'12 - Device_Configuration'!J84</f>
        <v>Yes</v>
      </c>
      <c r="F84" s="31" t="str">
        <f>'12 - Device_Configuration'!K84</f>
        <v>No</v>
      </c>
      <c r="G84" s="17" t="str">
        <f>'12 - Device_Configuration'!L84</f>
        <v>No</v>
      </c>
      <c r="H84" s="17">
        <f>'13 - Config_Intake_View'!M84</f>
        <v>0</v>
      </c>
      <c r="I84" s="31">
        <f>IF('13 - Config_Intake_View'!Q84&lt;&gt;"",'13 - Config_Intake_View'!Q84,'12 - Device_Configuration'!BH84)</f>
        <v>0</v>
      </c>
      <c r="J84" s="17" t="str">
        <f>IF('13 - Config_Intake_View'!Q84&lt;&gt;"","PM Approved",IF('12 - Device_Configuration'!BH84&lt;&gt;"","Assumed",""))</f>
        <v/>
      </c>
      <c r="K84" s="31">
        <f>'12 - Device_Configuration'!BG84</f>
        <v>0</v>
      </c>
      <c r="L84" s="17">
        <f>'12 - Device_Configuration'!P84</f>
        <v>0</v>
      </c>
      <c r="M84" s="17">
        <f>'12 - Device_Configuration'!Q84</f>
        <v>0</v>
      </c>
      <c r="N84" s="17" t="str">
        <f>'12 - Device_Configuration'!BK84</f>
        <v/>
      </c>
      <c r="O84" s="31" t="str">
        <f>'12 - Device_Configuration'!BL84</f>
        <v/>
      </c>
      <c r="P84" s="2">
        <f>'12 - Device_Configuration'!BA84</f>
        <v>0</v>
      </c>
      <c r="Q84" s="31" t="str">
        <f t="shared" si="4"/>
        <v/>
      </c>
      <c r="R84" s="17" t="str">
        <f t="shared" si="5"/>
        <v>SW NOT INSTALLED</v>
      </c>
      <c r="S84" s="17" t="str">
        <f t="shared" si="6"/>
        <v/>
      </c>
      <c r="T84" s="17" t="str">
        <f t="shared" si="7"/>
        <v>SW NOT INSTALLED</v>
      </c>
    </row>
    <row r="85" spans="1:20">
      <c r="A85" s="31" t="str">
        <f>'12 - Device_Configuration'!H85</f>
        <v>LIJ - CCMC</v>
      </c>
      <c r="B85" s="31" t="str">
        <f>'12 - Device_Configuration'!S85</f>
        <v>WNH269OPR022</v>
      </c>
      <c r="C85" s="31">
        <f>'12 - Device_Configuration'!T85</f>
        <v>0</v>
      </c>
      <c r="D85" s="17">
        <f>'12 - Device_Configuration'!AJ85</f>
        <v>0</v>
      </c>
      <c r="E85" s="17" t="str">
        <f>'12 - Device_Configuration'!J85</f>
        <v>Yes</v>
      </c>
      <c r="F85" s="31" t="str">
        <f>'12 - Device_Configuration'!K85</f>
        <v>No</v>
      </c>
      <c r="G85" s="17" t="str">
        <f>'12 - Device_Configuration'!L85</f>
        <v>No</v>
      </c>
      <c r="H85" s="17">
        <f>'13 - Config_Intake_View'!M85</f>
        <v>0</v>
      </c>
      <c r="I85" s="31">
        <f>IF('13 - Config_Intake_View'!Q85&lt;&gt;"",'13 - Config_Intake_View'!Q85,'12 - Device_Configuration'!BH85)</f>
        <v>0</v>
      </c>
      <c r="J85" s="17" t="str">
        <f>IF('13 - Config_Intake_View'!Q85&lt;&gt;"","PM Approved",IF('12 - Device_Configuration'!BH85&lt;&gt;"","Assumed",""))</f>
        <v/>
      </c>
      <c r="K85" s="31">
        <f>'12 - Device_Configuration'!BG85</f>
        <v>0</v>
      </c>
      <c r="L85" s="17">
        <f>'12 - Device_Configuration'!P85</f>
        <v>0</v>
      </c>
      <c r="M85" s="17">
        <f>'12 - Device_Configuration'!Q85</f>
        <v>0</v>
      </c>
      <c r="N85" s="17" t="str">
        <f>'12 - Device_Configuration'!BK85</f>
        <v/>
      </c>
      <c r="O85" s="31" t="str">
        <f>'12 - Device_Configuration'!BL85</f>
        <v/>
      </c>
      <c r="P85" s="2">
        <f>'12 - Device_Configuration'!BA85</f>
        <v>0</v>
      </c>
      <c r="Q85" s="31" t="str">
        <f t="shared" si="4"/>
        <v/>
      </c>
      <c r="R85" s="17" t="str">
        <f t="shared" si="5"/>
        <v>SW NOT INSTALLED</v>
      </c>
      <c r="S85" s="17" t="str">
        <f t="shared" si="6"/>
        <v/>
      </c>
      <c r="T85" s="17" t="str">
        <f t="shared" si="7"/>
        <v>SW NOT INSTALLED</v>
      </c>
    </row>
    <row r="86" spans="1:20">
      <c r="A86" s="31" t="str">
        <f>'12 - Device_Configuration'!H86</f>
        <v>LIJ - CCMC</v>
      </c>
      <c r="B86" s="31" t="str">
        <f>'12 - Device_Configuration'!S86</f>
        <v>WNH269OPR023</v>
      </c>
      <c r="C86" s="31">
        <f>'12 - Device_Configuration'!T86</f>
        <v>0</v>
      </c>
      <c r="D86" s="17">
        <f>'12 - Device_Configuration'!AJ86</f>
        <v>0</v>
      </c>
      <c r="E86" s="17" t="str">
        <f>'12 - Device_Configuration'!J86</f>
        <v>Yes</v>
      </c>
      <c r="F86" s="31" t="str">
        <f>'12 - Device_Configuration'!K86</f>
        <v>No</v>
      </c>
      <c r="G86" s="17" t="str">
        <f>'12 - Device_Configuration'!L86</f>
        <v>No</v>
      </c>
      <c r="H86" s="17">
        <f>'13 - Config_Intake_View'!M86</f>
        <v>0</v>
      </c>
      <c r="I86" s="31">
        <f>IF('13 - Config_Intake_View'!Q86&lt;&gt;"",'13 - Config_Intake_View'!Q86,'12 - Device_Configuration'!BH86)</f>
        <v>0</v>
      </c>
      <c r="J86" s="17" t="str">
        <f>IF('13 - Config_Intake_View'!Q86&lt;&gt;"","PM Approved",IF('12 - Device_Configuration'!BH86&lt;&gt;"","Assumed",""))</f>
        <v/>
      </c>
      <c r="K86" s="31">
        <f>'12 - Device_Configuration'!BG86</f>
        <v>0</v>
      </c>
      <c r="L86" s="17">
        <f>'12 - Device_Configuration'!P86</f>
        <v>0</v>
      </c>
      <c r="M86" s="17">
        <f>'12 - Device_Configuration'!Q86</f>
        <v>0</v>
      </c>
      <c r="N86" s="17" t="str">
        <f>'12 - Device_Configuration'!BK86</f>
        <v/>
      </c>
      <c r="O86" s="31" t="str">
        <f>'12 - Device_Configuration'!BL86</f>
        <v/>
      </c>
      <c r="P86" s="2">
        <f>'12 - Device_Configuration'!BA86</f>
        <v>0</v>
      </c>
      <c r="Q86" s="31" t="str">
        <f t="shared" si="4"/>
        <v/>
      </c>
      <c r="R86" s="17" t="str">
        <f t="shared" si="5"/>
        <v>SW NOT INSTALLED</v>
      </c>
      <c r="S86" s="17" t="str">
        <f t="shared" si="6"/>
        <v/>
      </c>
      <c r="T86" s="17" t="str">
        <f t="shared" si="7"/>
        <v>SW NOT INSTALLED</v>
      </c>
    </row>
    <row r="87" spans="1:20">
      <c r="A87" s="31" t="str">
        <f>'12 - Device_Configuration'!H87</f>
        <v>LIJ - CCMC</v>
      </c>
      <c r="B87" s="31" t="str">
        <f>'12 - Device_Configuration'!S87</f>
        <v>WNH269OPR024</v>
      </c>
      <c r="C87" s="31">
        <f>'12 - Device_Configuration'!T87</f>
        <v>0</v>
      </c>
      <c r="D87" s="17">
        <f>'12 - Device_Configuration'!AJ87</f>
        <v>0</v>
      </c>
      <c r="E87" s="17" t="str">
        <f>'12 - Device_Configuration'!J87</f>
        <v>Yes</v>
      </c>
      <c r="F87" s="31" t="str">
        <f>'12 - Device_Configuration'!K87</f>
        <v>No</v>
      </c>
      <c r="G87" s="17" t="str">
        <f>'12 - Device_Configuration'!L87</f>
        <v>No</v>
      </c>
      <c r="H87" s="17">
        <f>'13 - Config_Intake_View'!M87</f>
        <v>0</v>
      </c>
      <c r="I87" s="31">
        <f>IF('13 - Config_Intake_View'!Q87&lt;&gt;"",'13 - Config_Intake_View'!Q87,'12 - Device_Configuration'!BH87)</f>
        <v>0</v>
      </c>
      <c r="J87" s="17" t="str">
        <f>IF('13 - Config_Intake_View'!Q87&lt;&gt;"","PM Approved",IF('12 - Device_Configuration'!BH87&lt;&gt;"","Assumed",""))</f>
        <v/>
      </c>
      <c r="K87" s="31">
        <f>'12 - Device_Configuration'!BG87</f>
        <v>0</v>
      </c>
      <c r="L87" s="17">
        <f>'12 - Device_Configuration'!P87</f>
        <v>0</v>
      </c>
      <c r="M87" s="17">
        <f>'12 - Device_Configuration'!Q87</f>
        <v>0</v>
      </c>
      <c r="N87" s="17" t="str">
        <f>'12 - Device_Configuration'!BK87</f>
        <v/>
      </c>
      <c r="O87" s="31" t="str">
        <f>'12 - Device_Configuration'!BL87</f>
        <v/>
      </c>
      <c r="P87" s="2">
        <f>'12 - Device_Configuration'!BA87</f>
        <v>0</v>
      </c>
      <c r="Q87" s="31" t="str">
        <f t="shared" si="4"/>
        <v/>
      </c>
      <c r="R87" s="17" t="str">
        <f t="shared" si="5"/>
        <v>SW NOT INSTALLED</v>
      </c>
      <c r="S87" s="17" t="str">
        <f t="shared" si="6"/>
        <v/>
      </c>
      <c r="T87" s="17" t="str">
        <f t="shared" si="7"/>
        <v>SW NOT INSTALLED</v>
      </c>
    </row>
    <row r="88" spans="1:20">
      <c r="A88" s="31" t="str">
        <f>'12 - Device_Configuration'!H88</f>
        <v>LIJ - CCMC</v>
      </c>
      <c r="B88" s="31" t="str">
        <f>'12 - Device_Configuration'!S88</f>
        <v>WNH269OPR025</v>
      </c>
      <c r="C88" s="31">
        <f>'12 - Device_Configuration'!T88</f>
        <v>0</v>
      </c>
      <c r="D88" s="17">
        <f>'12 - Device_Configuration'!AJ88</f>
        <v>0</v>
      </c>
      <c r="E88" s="17" t="str">
        <f>'12 - Device_Configuration'!J88</f>
        <v>Yes</v>
      </c>
      <c r="F88" s="31" t="str">
        <f>'12 - Device_Configuration'!K88</f>
        <v>No</v>
      </c>
      <c r="G88" s="17" t="str">
        <f>'12 - Device_Configuration'!L88</f>
        <v>No</v>
      </c>
      <c r="H88" s="17">
        <f>'13 - Config_Intake_View'!M88</f>
        <v>0</v>
      </c>
      <c r="I88" s="31">
        <f>IF('13 - Config_Intake_View'!Q88&lt;&gt;"",'13 - Config_Intake_View'!Q88,'12 - Device_Configuration'!BH88)</f>
        <v>0</v>
      </c>
      <c r="J88" s="17" t="str">
        <f>IF('13 - Config_Intake_View'!Q88&lt;&gt;"","PM Approved",IF('12 - Device_Configuration'!BH88&lt;&gt;"","Assumed",""))</f>
        <v/>
      </c>
      <c r="K88" s="31">
        <f>'12 - Device_Configuration'!BG88</f>
        <v>0</v>
      </c>
      <c r="L88" s="17">
        <f>'12 - Device_Configuration'!P88</f>
        <v>0</v>
      </c>
      <c r="M88" s="17">
        <f>'12 - Device_Configuration'!Q88</f>
        <v>0</v>
      </c>
      <c r="N88" s="17" t="str">
        <f>'12 - Device_Configuration'!BK88</f>
        <v/>
      </c>
      <c r="O88" s="31" t="str">
        <f>'12 - Device_Configuration'!BL88</f>
        <v/>
      </c>
      <c r="P88" s="2">
        <f>'12 - Device_Configuration'!BA88</f>
        <v>0</v>
      </c>
      <c r="Q88" s="31" t="str">
        <f t="shared" si="4"/>
        <v/>
      </c>
      <c r="R88" s="17" t="str">
        <f t="shared" si="5"/>
        <v>SW NOT INSTALLED</v>
      </c>
      <c r="S88" s="17" t="str">
        <f t="shared" si="6"/>
        <v/>
      </c>
      <c r="T88" s="17" t="str">
        <f t="shared" si="7"/>
        <v>SW NOT INSTALLED</v>
      </c>
    </row>
    <row r="89" spans="1:20">
      <c r="A89" s="31" t="str">
        <f>'12 - Device_Configuration'!H89</f>
        <v>LIJ - CCMC</v>
      </c>
      <c r="B89" s="31" t="str">
        <f>'12 - Device_Configuration'!S89</f>
        <v>WNH269OPR026</v>
      </c>
      <c r="C89" s="31">
        <f>'12 - Device_Configuration'!T89</f>
        <v>0</v>
      </c>
      <c r="D89" s="17">
        <f>'12 - Device_Configuration'!AJ89</f>
        <v>0</v>
      </c>
      <c r="E89" s="17" t="str">
        <f>'12 - Device_Configuration'!J89</f>
        <v>Yes</v>
      </c>
      <c r="F89" s="31" t="str">
        <f>'12 - Device_Configuration'!K89</f>
        <v>No</v>
      </c>
      <c r="G89" s="17" t="str">
        <f>'12 - Device_Configuration'!L89</f>
        <v>No</v>
      </c>
      <c r="H89" s="17">
        <f>'13 - Config_Intake_View'!M89</f>
        <v>0</v>
      </c>
      <c r="I89" s="31">
        <f>IF('13 - Config_Intake_View'!Q89&lt;&gt;"",'13 - Config_Intake_View'!Q89,'12 - Device_Configuration'!BH89)</f>
        <v>0</v>
      </c>
      <c r="J89" s="17" t="str">
        <f>IF('13 - Config_Intake_View'!Q89&lt;&gt;"","PM Approved",IF('12 - Device_Configuration'!BH89&lt;&gt;"","Assumed",""))</f>
        <v/>
      </c>
      <c r="K89" s="31">
        <f>'12 - Device_Configuration'!BG89</f>
        <v>0</v>
      </c>
      <c r="L89" s="17">
        <f>'12 - Device_Configuration'!P89</f>
        <v>0</v>
      </c>
      <c r="M89" s="17">
        <f>'12 - Device_Configuration'!Q89</f>
        <v>0</v>
      </c>
      <c r="N89" s="17" t="str">
        <f>'12 - Device_Configuration'!BK89</f>
        <v/>
      </c>
      <c r="O89" s="31" t="str">
        <f>'12 - Device_Configuration'!BL89</f>
        <v/>
      </c>
      <c r="P89" s="2">
        <f>'12 - Device_Configuration'!BA89</f>
        <v>0</v>
      </c>
      <c r="Q89" s="31" t="str">
        <f t="shared" si="4"/>
        <v/>
      </c>
      <c r="R89" s="17" t="str">
        <f t="shared" si="5"/>
        <v>SW NOT INSTALLED</v>
      </c>
      <c r="S89" s="17" t="str">
        <f t="shared" si="6"/>
        <v/>
      </c>
      <c r="T89" s="17" t="str">
        <f t="shared" si="7"/>
        <v>SW NOT INSTALLED</v>
      </c>
    </row>
    <row r="90" spans="1:20">
      <c r="A90" s="31" t="str">
        <f>'12 - Device_Configuration'!H90</f>
        <v>LIJ - Other</v>
      </c>
      <c r="B90" s="31" t="str">
        <f>'12 - Device_Configuration'!S90</f>
        <v>WNH270OPR403</v>
      </c>
      <c r="C90" s="31">
        <f>'12 - Device_Configuration'!T90</f>
        <v>0</v>
      </c>
      <c r="D90" s="17">
        <f>'12 - Device_Configuration'!AJ90</f>
        <v>0</v>
      </c>
      <c r="E90" s="17" t="str">
        <f>'12 - Device_Configuration'!J90</f>
        <v>Yes</v>
      </c>
      <c r="F90" s="31" t="str">
        <f>'12 - Device_Configuration'!K90</f>
        <v>No</v>
      </c>
      <c r="G90" s="17" t="str">
        <f>'12 - Device_Configuration'!L90</f>
        <v>No</v>
      </c>
      <c r="H90" s="17">
        <f>'13 - Config_Intake_View'!M90</f>
        <v>0</v>
      </c>
      <c r="I90" s="31">
        <f>IF('13 - Config_Intake_View'!Q90&lt;&gt;"",'13 - Config_Intake_View'!Q90,'12 - Device_Configuration'!BH90)</f>
        <v>0</v>
      </c>
      <c r="J90" s="17" t="str">
        <f>IF('13 - Config_Intake_View'!Q90&lt;&gt;"","PM Approved",IF('12 - Device_Configuration'!BH90&lt;&gt;"","Assumed",""))</f>
        <v/>
      </c>
      <c r="K90" s="31">
        <f>'12 - Device_Configuration'!BG90</f>
        <v>0</v>
      </c>
      <c r="L90" s="17">
        <f>'12 - Device_Configuration'!P90</f>
        <v>0</v>
      </c>
      <c r="M90" s="17">
        <f>'12 - Device_Configuration'!Q90</f>
        <v>0</v>
      </c>
      <c r="N90" s="17" t="str">
        <f>'12 - Device_Configuration'!BK90</f>
        <v/>
      </c>
      <c r="O90" s="31" t="str">
        <f>'12 - Device_Configuration'!BL90</f>
        <v/>
      </c>
      <c r="P90" s="2">
        <f>'12 - Device_Configuration'!BA90</f>
        <v>0</v>
      </c>
      <c r="Q90" s="31" t="str">
        <f t="shared" si="4"/>
        <v/>
      </c>
      <c r="R90" s="17" t="str">
        <f t="shared" si="5"/>
        <v>SW NOT INSTALLED</v>
      </c>
      <c r="S90" s="17" t="str">
        <f t="shared" si="6"/>
        <v/>
      </c>
      <c r="T90" s="17" t="str">
        <f t="shared" si="7"/>
        <v>SW NOT INSTALLED</v>
      </c>
    </row>
    <row r="91" spans="1:20">
      <c r="A91" s="31" t="str">
        <f>'12 - Device_Configuration'!H91</f>
        <v>LIJ - Other</v>
      </c>
      <c r="B91" s="31" t="str">
        <f>'12 - Device_Configuration'!S91</f>
        <v>WNH270OPR404</v>
      </c>
      <c r="C91" s="31">
        <f>'12 - Device_Configuration'!T91</f>
        <v>0</v>
      </c>
      <c r="D91" s="17">
        <f>'12 - Device_Configuration'!AJ91</f>
        <v>0</v>
      </c>
      <c r="E91" s="17" t="str">
        <f>'12 - Device_Configuration'!J91</f>
        <v>Yes</v>
      </c>
      <c r="F91" s="31" t="str">
        <f>'12 - Device_Configuration'!K91</f>
        <v>No</v>
      </c>
      <c r="G91" s="17" t="str">
        <f>'12 - Device_Configuration'!L91</f>
        <v>No</v>
      </c>
      <c r="H91" s="17">
        <f>'13 - Config_Intake_View'!M91</f>
        <v>0</v>
      </c>
      <c r="I91" s="31">
        <f>IF('13 - Config_Intake_View'!Q91&lt;&gt;"",'13 - Config_Intake_View'!Q91,'12 - Device_Configuration'!BH91)</f>
        <v>0</v>
      </c>
      <c r="J91" s="17" t="str">
        <f>IF('13 - Config_Intake_View'!Q91&lt;&gt;"","PM Approved",IF('12 - Device_Configuration'!BH91&lt;&gt;"","Assumed",""))</f>
        <v/>
      </c>
      <c r="K91" s="31">
        <f>'12 - Device_Configuration'!BG91</f>
        <v>0</v>
      </c>
      <c r="L91" s="17">
        <f>'12 - Device_Configuration'!P91</f>
        <v>0</v>
      </c>
      <c r="M91" s="17">
        <f>'12 - Device_Configuration'!Q91</f>
        <v>0</v>
      </c>
      <c r="N91" s="17" t="str">
        <f>'12 - Device_Configuration'!BK91</f>
        <v/>
      </c>
      <c r="O91" s="31" t="str">
        <f>'12 - Device_Configuration'!BL91</f>
        <v/>
      </c>
      <c r="P91" s="2">
        <f>'12 - Device_Configuration'!BA91</f>
        <v>0</v>
      </c>
      <c r="Q91" s="31" t="str">
        <f t="shared" si="4"/>
        <v/>
      </c>
      <c r="R91" s="17" t="str">
        <f t="shared" si="5"/>
        <v>SW NOT INSTALLED</v>
      </c>
      <c r="S91" s="17" t="str">
        <f t="shared" si="6"/>
        <v/>
      </c>
      <c r="T91" s="17" t="str">
        <f t="shared" si="7"/>
        <v>SW NOT INSTALLED</v>
      </c>
    </row>
    <row r="92" spans="1:20">
      <c r="A92" s="31" t="str">
        <f>'12 - Device_Configuration'!H92</f>
        <v>LIJ - Other</v>
      </c>
      <c r="B92" s="31" t="str">
        <f>'12 - Device_Configuration'!S92</f>
        <v>WNH270OPR405</v>
      </c>
      <c r="C92" s="31">
        <f>'12 - Device_Configuration'!T92</f>
        <v>0</v>
      </c>
      <c r="D92" s="17">
        <f>'12 - Device_Configuration'!AJ92</f>
        <v>0</v>
      </c>
      <c r="E92" s="17" t="str">
        <f>'12 - Device_Configuration'!J92</f>
        <v>Yes</v>
      </c>
      <c r="F92" s="31" t="str">
        <f>'12 - Device_Configuration'!K92</f>
        <v>No</v>
      </c>
      <c r="G92" s="17" t="str">
        <f>'12 - Device_Configuration'!L92</f>
        <v>No</v>
      </c>
      <c r="H92" s="17">
        <f>'13 - Config_Intake_View'!M92</f>
        <v>0</v>
      </c>
      <c r="I92" s="31">
        <f>IF('13 - Config_Intake_View'!Q92&lt;&gt;"",'13 - Config_Intake_View'!Q92,'12 - Device_Configuration'!BH92)</f>
        <v>0</v>
      </c>
      <c r="J92" s="17" t="str">
        <f>IF('13 - Config_Intake_View'!Q92&lt;&gt;"","PM Approved",IF('12 - Device_Configuration'!BH92&lt;&gt;"","Assumed",""))</f>
        <v/>
      </c>
      <c r="K92" s="31">
        <f>'12 - Device_Configuration'!BG92</f>
        <v>0</v>
      </c>
      <c r="L92" s="17">
        <f>'12 - Device_Configuration'!P92</f>
        <v>0</v>
      </c>
      <c r="M92" s="17">
        <f>'12 - Device_Configuration'!Q92</f>
        <v>0</v>
      </c>
      <c r="N92" s="17" t="str">
        <f>'12 - Device_Configuration'!BK92</f>
        <v/>
      </c>
      <c r="O92" s="31" t="str">
        <f>'12 - Device_Configuration'!BL92</f>
        <v/>
      </c>
      <c r="P92" s="2">
        <f>'12 - Device_Configuration'!BA92</f>
        <v>0</v>
      </c>
      <c r="Q92" s="31" t="str">
        <f t="shared" si="4"/>
        <v/>
      </c>
      <c r="R92" s="17" t="str">
        <f t="shared" si="5"/>
        <v>SW NOT INSTALLED</v>
      </c>
      <c r="S92" s="17" t="str">
        <f t="shared" si="6"/>
        <v/>
      </c>
      <c r="T92" s="17" t="str">
        <f t="shared" si="7"/>
        <v>SW NOT INSTALLED</v>
      </c>
    </row>
    <row r="93" spans="1:20">
      <c r="A93" s="31" t="str">
        <f>'12 - Device_Configuration'!H93</f>
        <v>LIJ - Other</v>
      </c>
      <c r="B93" s="31" t="str">
        <f>'12 - Device_Configuration'!S93</f>
        <v>WNH270OPR406</v>
      </c>
      <c r="C93" s="31">
        <f>'12 - Device_Configuration'!T93</f>
        <v>0</v>
      </c>
      <c r="D93" s="17">
        <f>'12 - Device_Configuration'!AJ93</f>
        <v>0</v>
      </c>
      <c r="E93" s="17" t="str">
        <f>'12 - Device_Configuration'!J93</f>
        <v>Yes</v>
      </c>
      <c r="F93" s="31" t="str">
        <f>'12 - Device_Configuration'!K93</f>
        <v>No</v>
      </c>
      <c r="G93" s="17" t="str">
        <f>'12 - Device_Configuration'!L93</f>
        <v>No</v>
      </c>
      <c r="H93" s="17">
        <f>'13 - Config_Intake_View'!M93</f>
        <v>0</v>
      </c>
      <c r="I93" s="31">
        <f>IF('13 - Config_Intake_View'!Q93&lt;&gt;"",'13 - Config_Intake_View'!Q93,'12 - Device_Configuration'!BH93)</f>
        <v>0</v>
      </c>
      <c r="J93" s="17" t="str">
        <f>IF('13 - Config_Intake_View'!Q93&lt;&gt;"","PM Approved",IF('12 - Device_Configuration'!BH93&lt;&gt;"","Assumed",""))</f>
        <v/>
      </c>
      <c r="K93" s="31">
        <f>'12 - Device_Configuration'!BG93</f>
        <v>0</v>
      </c>
      <c r="L93" s="17">
        <f>'12 - Device_Configuration'!P93</f>
        <v>0</v>
      </c>
      <c r="M93" s="17">
        <f>'12 - Device_Configuration'!Q93</f>
        <v>0</v>
      </c>
      <c r="N93" s="17" t="str">
        <f>'12 - Device_Configuration'!BK93</f>
        <v/>
      </c>
      <c r="O93" s="31" t="str">
        <f>'12 - Device_Configuration'!BL93</f>
        <v/>
      </c>
      <c r="P93" s="2">
        <f>'12 - Device_Configuration'!BA93</f>
        <v>0</v>
      </c>
      <c r="Q93" s="31" t="str">
        <f t="shared" si="4"/>
        <v/>
      </c>
      <c r="R93" s="17" t="str">
        <f t="shared" si="5"/>
        <v>SW NOT INSTALLED</v>
      </c>
      <c r="S93" s="17" t="str">
        <f t="shared" si="6"/>
        <v/>
      </c>
      <c r="T93" s="17" t="str">
        <f t="shared" si="7"/>
        <v>SW NOT INSTALLED</v>
      </c>
    </row>
    <row r="94" spans="1:20">
      <c r="A94" s="31" t="str">
        <f>'12 - Device_Configuration'!H94</f>
        <v>LIJ - Other</v>
      </c>
      <c r="B94" s="31" t="str">
        <f>'12 - Device_Configuration'!S94</f>
        <v>WNH270OPR407</v>
      </c>
      <c r="C94" s="31">
        <f>'12 - Device_Configuration'!T94</f>
        <v>0</v>
      </c>
      <c r="D94" s="17">
        <f>'12 - Device_Configuration'!AJ94</f>
        <v>0</v>
      </c>
      <c r="E94" s="17" t="str">
        <f>'12 - Device_Configuration'!J94</f>
        <v>Yes</v>
      </c>
      <c r="F94" s="31" t="str">
        <f>'12 - Device_Configuration'!K94</f>
        <v>No</v>
      </c>
      <c r="G94" s="17" t="str">
        <f>'12 - Device_Configuration'!L94</f>
        <v>No</v>
      </c>
      <c r="H94" s="17">
        <f>'13 - Config_Intake_View'!M94</f>
        <v>0</v>
      </c>
      <c r="I94" s="31">
        <f>IF('13 - Config_Intake_View'!Q94&lt;&gt;"",'13 - Config_Intake_View'!Q94,'12 - Device_Configuration'!BH94)</f>
        <v>0</v>
      </c>
      <c r="J94" s="17" t="str">
        <f>IF('13 - Config_Intake_View'!Q94&lt;&gt;"","PM Approved",IF('12 - Device_Configuration'!BH94&lt;&gt;"","Assumed",""))</f>
        <v/>
      </c>
      <c r="K94" s="31">
        <f>'12 - Device_Configuration'!BG94</f>
        <v>0</v>
      </c>
      <c r="L94" s="17">
        <f>'12 - Device_Configuration'!P94</f>
        <v>0</v>
      </c>
      <c r="M94" s="17">
        <f>'12 - Device_Configuration'!Q94</f>
        <v>0</v>
      </c>
      <c r="N94" s="17" t="str">
        <f>'12 - Device_Configuration'!BK94</f>
        <v/>
      </c>
      <c r="O94" s="31" t="str">
        <f>'12 - Device_Configuration'!BL94</f>
        <v/>
      </c>
      <c r="P94" s="2">
        <f>'12 - Device_Configuration'!BA94</f>
        <v>0</v>
      </c>
      <c r="Q94" s="31" t="str">
        <f t="shared" si="4"/>
        <v/>
      </c>
      <c r="R94" s="17" t="str">
        <f t="shared" si="5"/>
        <v>SW NOT INSTALLED</v>
      </c>
      <c r="S94" s="17" t="str">
        <f t="shared" si="6"/>
        <v/>
      </c>
      <c r="T94" s="17" t="str">
        <f t="shared" si="7"/>
        <v>SW NOT INSTALLED</v>
      </c>
    </row>
    <row r="95" spans="1:20">
      <c r="A95" s="31" t="str">
        <f>'12 - Device_Configuration'!H95</f>
        <v>LIJ - Other</v>
      </c>
      <c r="B95" s="31" t="str">
        <f>'12 - Device_Configuration'!S95</f>
        <v>WNH270OPR408</v>
      </c>
      <c r="C95" s="31">
        <f>'12 - Device_Configuration'!T95</f>
        <v>0</v>
      </c>
      <c r="D95" s="17">
        <f>'12 - Device_Configuration'!AJ95</f>
        <v>0</v>
      </c>
      <c r="E95" s="17" t="str">
        <f>'12 - Device_Configuration'!J95</f>
        <v>Yes</v>
      </c>
      <c r="F95" s="31" t="str">
        <f>'12 - Device_Configuration'!K95</f>
        <v>No</v>
      </c>
      <c r="G95" s="17" t="str">
        <f>'12 - Device_Configuration'!L95</f>
        <v>No</v>
      </c>
      <c r="H95" s="17">
        <f>'13 - Config_Intake_View'!M95</f>
        <v>0</v>
      </c>
      <c r="I95" s="31">
        <f>IF('13 - Config_Intake_View'!Q95&lt;&gt;"",'13 - Config_Intake_View'!Q95,'12 - Device_Configuration'!BH95)</f>
        <v>0</v>
      </c>
      <c r="J95" s="17" t="str">
        <f>IF('13 - Config_Intake_View'!Q95&lt;&gt;"","PM Approved",IF('12 - Device_Configuration'!BH95&lt;&gt;"","Assumed",""))</f>
        <v/>
      </c>
      <c r="K95" s="31">
        <f>'12 - Device_Configuration'!BG95</f>
        <v>0</v>
      </c>
      <c r="L95" s="17">
        <f>'12 - Device_Configuration'!P95</f>
        <v>0</v>
      </c>
      <c r="M95" s="17">
        <f>'12 - Device_Configuration'!Q95</f>
        <v>0</v>
      </c>
      <c r="N95" s="17" t="str">
        <f>'12 - Device_Configuration'!BK95</f>
        <v/>
      </c>
      <c r="O95" s="31" t="str">
        <f>'12 - Device_Configuration'!BL95</f>
        <v/>
      </c>
      <c r="P95" s="2">
        <f>'12 - Device_Configuration'!BA95</f>
        <v>0</v>
      </c>
      <c r="Q95" s="31" t="str">
        <f t="shared" si="4"/>
        <v/>
      </c>
      <c r="R95" s="17" t="str">
        <f t="shared" si="5"/>
        <v>SW NOT INSTALLED</v>
      </c>
      <c r="S95" s="17" t="str">
        <f t="shared" si="6"/>
        <v/>
      </c>
      <c r="T95" s="17" t="str">
        <f t="shared" si="7"/>
        <v>SW NOT INSTALLED</v>
      </c>
    </row>
    <row r="96" spans="1:20">
      <c r="A96" s="31" t="str">
        <f>'12 - Device_Configuration'!H96</f>
        <v>LIJ - Other</v>
      </c>
      <c r="B96" s="31" t="str">
        <f>'12 - Device_Configuration'!S96</f>
        <v>WNH270OPR409</v>
      </c>
      <c r="C96" s="31">
        <f>'12 - Device_Configuration'!T96</f>
        <v>0</v>
      </c>
      <c r="D96" s="17">
        <f>'12 - Device_Configuration'!AJ96</f>
        <v>0</v>
      </c>
      <c r="E96" s="17" t="str">
        <f>'12 - Device_Configuration'!J96</f>
        <v>Yes</v>
      </c>
      <c r="F96" s="31" t="str">
        <f>'12 - Device_Configuration'!K96</f>
        <v>No</v>
      </c>
      <c r="G96" s="17" t="str">
        <f>'12 - Device_Configuration'!L96</f>
        <v>No</v>
      </c>
      <c r="H96" s="17">
        <f>'13 - Config_Intake_View'!M96</f>
        <v>0</v>
      </c>
      <c r="I96" s="31">
        <f>IF('13 - Config_Intake_View'!Q96&lt;&gt;"",'13 - Config_Intake_View'!Q96,'12 - Device_Configuration'!BH96)</f>
        <v>0</v>
      </c>
      <c r="J96" s="17" t="str">
        <f>IF('13 - Config_Intake_View'!Q96&lt;&gt;"","PM Approved",IF('12 - Device_Configuration'!BH96&lt;&gt;"","Assumed",""))</f>
        <v/>
      </c>
      <c r="K96" s="31">
        <f>'12 - Device_Configuration'!BG96</f>
        <v>0</v>
      </c>
      <c r="L96" s="17">
        <f>'12 - Device_Configuration'!P96</f>
        <v>0</v>
      </c>
      <c r="M96" s="17">
        <f>'12 - Device_Configuration'!Q96</f>
        <v>0</v>
      </c>
      <c r="N96" s="17" t="str">
        <f>'12 - Device_Configuration'!BK96</f>
        <v/>
      </c>
      <c r="O96" s="31" t="str">
        <f>'12 - Device_Configuration'!BL96</f>
        <v/>
      </c>
      <c r="P96" s="2">
        <f>'12 - Device_Configuration'!BA96</f>
        <v>0</v>
      </c>
      <c r="Q96" s="31" t="str">
        <f t="shared" si="4"/>
        <v/>
      </c>
      <c r="R96" s="17" t="str">
        <f t="shared" si="5"/>
        <v>SW NOT INSTALLED</v>
      </c>
      <c r="S96" s="17" t="str">
        <f t="shared" si="6"/>
        <v/>
      </c>
      <c r="T96" s="17" t="str">
        <f t="shared" si="7"/>
        <v>SW NOT INSTALLED</v>
      </c>
    </row>
    <row r="97" spans="1:20">
      <c r="A97" s="31" t="str">
        <f>'12 - Device_Configuration'!H97</f>
        <v>LIJ - Other</v>
      </c>
      <c r="B97" s="31" t="str">
        <f>'12 - Device_Configuration'!S97</f>
        <v>WNH270OPR410</v>
      </c>
      <c r="C97" s="31">
        <f>'12 - Device_Configuration'!T97</f>
        <v>0</v>
      </c>
      <c r="D97" s="17">
        <f>'12 - Device_Configuration'!AJ97</f>
        <v>0</v>
      </c>
      <c r="E97" s="17" t="str">
        <f>'12 - Device_Configuration'!J97</f>
        <v>Yes</v>
      </c>
      <c r="F97" s="31" t="str">
        <f>'12 - Device_Configuration'!K97</f>
        <v>No</v>
      </c>
      <c r="G97" s="17" t="str">
        <f>'12 - Device_Configuration'!L97</f>
        <v>No</v>
      </c>
      <c r="H97" s="17">
        <f>'13 - Config_Intake_View'!M97</f>
        <v>0</v>
      </c>
      <c r="I97" s="31">
        <f>IF('13 - Config_Intake_View'!Q97&lt;&gt;"",'13 - Config_Intake_View'!Q97,'12 - Device_Configuration'!BH97)</f>
        <v>0</v>
      </c>
      <c r="J97" s="17" t="str">
        <f>IF('13 - Config_Intake_View'!Q97&lt;&gt;"","PM Approved",IF('12 - Device_Configuration'!BH97&lt;&gt;"","Assumed",""))</f>
        <v/>
      </c>
      <c r="K97" s="31">
        <f>'12 - Device_Configuration'!BG97</f>
        <v>0</v>
      </c>
      <c r="L97" s="17">
        <f>'12 - Device_Configuration'!P97</f>
        <v>0</v>
      </c>
      <c r="M97" s="17">
        <f>'12 - Device_Configuration'!Q97</f>
        <v>0</v>
      </c>
      <c r="N97" s="17" t="str">
        <f>'12 - Device_Configuration'!BK97</f>
        <v/>
      </c>
      <c r="O97" s="31" t="str">
        <f>'12 - Device_Configuration'!BL97</f>
        <v/>
      </c>
      <c r="P97" s="2">
        <f>'12 - Device_Configuration'!BA97</f>
        <v>0</v>
      </c>
      <c r="Q97" s="31" t="str">
        <f t="shared" si="4"/>
        <v/>
      </c>
      <c r="R97" s="17" t="str">
        <f t="shared" si="5"/>
        <v>SW NOT INSTALLED</v>
      </c>
      <c r="S97" s="17" t="str">
        <f t="shared" si="6"/>
        <v/>
      </c>
      <c r="T97" s="17" t="str">
        <f t="shared" si="7"/>
        <v>SW NOT INSTALLED</v>
      </c>
    </row>
    <row r="98" spans="1:20">
      <c r="A98" s="31" t="str">
        <f>'12 - Device_Configuration'!H98</f>
        <v>LIJ - Other</v>
      </c>
      <c r="B98" s="31" t="str">
        <f>'12 - Device_Configuration'!S98</f>
        <v>WNH270OPR411</v>
      </c>
      <c r="C98" s="31">
        <f>'12 - Device_Configuration'!T98</f>
        <v>0</v>
      </c>
      <c r="D98" s="17">
        <f>'12 - Device_Configuration'!AJ98</f>
        <v>0</v>
      </c>
      <c r="E98" s="17" t="str">
        <f>'12 - Device_Configuration'!J98</f>
        <v>Yes</v>
      </c>
      <c r="F98" s="31" t="str">
        <f>'12 - Device_Configuration'!K98</f>
        <v>No</v>
      </c>
      <c r="G98" s="17" t="str">
        <f>'12 - Device_Configuration'!L98</f>
        <v>No</v>
      </c>
      <c r="H98" s="17">
        <f>'13 - Config_Intake_View'!M98</f>
        <v>0</v>
      </c>
      <c r="I98" s="31">
        <f>IF('13 - Config_Intake_View'!Q98&lt;&gt;"",'13 - Config_Intake_View'!Q98,'12 - Device_Configuration'!BH98)</f>
        <v>0</v>
      </c>
      <c r="J98" s="17" t="str">
        <f>IF('13 - Config_Intake_View'!Q98&lt;&gt;"","PM Approved",IF('12 - Device_Configuration'!BH98&lt;&gt;"","Assumed",""))</f>
        <v/>
      </c>
      <c r="K98" s="31">
        <f>'12 - Device_Configuration'!BG98</f>
        <v>0</v>
      </c>
      <c r="L98" s="17">
        <f>'12 - Device_Configuration'!P98</f>
        <v>0</v>
      </c>
      <c r="M98" s="17">
        <f>'12 - Device_Configuration'!Q98</f>
        <v>0</v>
      </c>
      <c r="N98" s="17" t="str">
        <f>'12 - Device_Configuration'!BK98</f>
        <v/>
      </c>
      <c r="O98" s="31" t="str">
        <f>'12 - Device_Configuration'!BL98</f>
        <v/>
      </c>
      <c r="P98" s="2">
        <f>'12 - Device_Configuration'!BA98</f>
        <v>0</v>
      </c>
      <c r="Q98" s="31" t="str">
        <f t="shared" si="4"/>
        <v/>
      </c>
      <c r="R98" s="17" t="str">
        <f t="shared" si="5"/>
        <v>SW NOT INSTALLED</v>
      </c>
      <c r="S98" s="17" t="str">
        <f t="shared" si="6"/>
        <v/>
      </c>
      <c r="T98" s="17" t="str">
        <f t="shared" si="7"/>
        <v>SW NOT INSTALLED</v>
      </c>
    </row>
    <row r="99" spans="1:20">
      <c r="A99" s="31" t="str">
        <f>'12 - Device_Configuration'!H99</f>
        <v>LIJ - Other</v>
      </c>
      <c r="B99" s="31" t="str">
        <f>'12 - Device_Configuration'!S99</f>
        <v>WNH270OPR412</v>
      </c>
      <c r="C99" s="31">
        <f>'12 - Device_Configuration'!T99</f>
        <v>0</v>
      </c>
      <c r="D99" s="17">
        <f>'12 - Device_Configuration'!AJ99</f>
        <v>0</v>
      </c>
      <c r="E99" s="17" t="str">
        <f>'12 - Device_Configuration'!J99</f>
        <v>Yes</v>
      </c>
      <c r="F99" s="31" t="str">
        <f>'12 - Device_Configuration'!K99</f>
        <v>No</v>
      </c>
      <c r="G99" s="17" t="str">
        <f>'12 - Device_Configuration'!L99</f>
        <v>No</v>
      </c>
      <c r="H99" s="17">
        <f>'13 - Config_Intake_View'!M99</f>
        <v>0</v>
      </c>
      <c r="I99" s="31">
        <f>IF('13 - Config_Intake_View'!Q99&lt;&gt;"",'13 - Config_Intake_View'!Q99,'12 - Device_Configuration'!BH99)</f>
        <v>0</v>
      </c>
      <c r="J99" s="17" t="str">
        <f>IF('13 - Config_Intake_View'!Q99&lt;&gt;"","PM Approved",IF('12 - Device_Configuration'!BH99&lt;&gt;"","Assumed",""))</f>
        <v/>
      </c>
      <c r="K99" s="31">
        <f>'12 - Device_Configuration'!BG99</f>
        <v>0</v>
      </c>
      <c r="L99" s="17">
        <f>'12 - Device_Configuration'!P99</f>
        <v>0</v>
      </c>
      <c r="M99" s="17">
        <f>'12 - Device_Configuration'!Q99</f>
        <v>0</v>
      </c>
      <c r="N99" s="17" t="str">
        <f>'12 - Device_Configuration'!BK99</f>
        <v/>
      </c>
      <c r="O99" s="31" t="str">
        <f>'12 - Device_Configuration'!BL99</f>
        <v/>
      </c>
      <c r="P99" s="2">
        <f>'12 - Device_Configuration'!BA99</f>
        <v>0</v>
      </c>
      <c r="Q99" s="31" t="str">
        <f t="shared" si="4"/>
        <v/>
      </c>
      <c r="R99" s="17" t="str">
        <f t="shared" si="5"/>
        <v>SW NOT INSTALLED</v>
      </c>
      <c r="S99" s="17" t="str">
        <f t="shared" si="6"/>
        <v/>
      </c>
      <c r="T99" s="17" t="str">
        <f t="shared" si="7"/>
        <v>SW NOT INSTALLED</v>
      </c>
    </row>
    <row r="100" spans="1:20">
      <c r="A100" s="31" t="str">
        <f>'12 - Device_Configuration'!H100</f>
        <v>LIJ - Other</v>
      </c>
      <c r="B100" s="31" t="str">
        <f>'12 - Device_Configuration'!S100</f>
        <v>BROKEN - Bluescreen@boot</v>
      </c>
      <c r="C100" s="31">
        <f>'12 - Device_Configuration'!T100</f>
        <v>0</v>
      </c>
      <c r="D100" s="17">
        <f>'12 - Device_Configuration'!AJ100</f>
        <v>0</v>
      </c>
      <c r="E100" s="17" t="str">
        <f>'12 - Device_Configuration'!J100</f>
        <v>Yes</v>
      </c>
      <c r="F100" s="31" t="str">
        <f>'12 - Device_Configuration'!K100</f>
        <v>No</v>
      </c>
      <c r="G100" s="17" t="str">
        <f>'12 - Device_Configuration'!L100</f>
        <v>No</v>
      </c>
      <c r="H100" s="17">
        <f>'13 - Config_Intake_View'!M100</f>
        <v>0</v>
      </c>
      <c r="I100" s="31">
        <f>IF('13 - Config_Intake_View'!Q100&lt;&gt;"",'13 - Config_Intake_View'!Q100,'12 - Device_Configuration'!BH100)</f>
        <v>0</v>
      </c>
      <c r="J100" s="17" t="str">
        <f>IF('13 - Config_Intake_View'!Q100&lt;&gt;"","PM Approved",IF('12 - Device_Configuration'!BH100&lt;&gt;"","Assumed",""))</f>
        <v/>
      </c>
      <c r="K100" s="31">
        <f>'12 - Device_Configuration'!BG100</f>
        <v>0</v>
      </c>
      <c r="L100" s="17">
        <f>'12 - Device_Configuration'!P100</f>
        <v>0</v>
      </c>
      <c r="M100" s="17">
        <f>'12 - Device_Configuration'!Q100</f>
        <v>0</v>
      </c>
      <c r="N100" s="17" t="str">
        <f>'12 - Device_Configuration'!BK100</f>
        <v/>
      </c>
      <c r="O100" s="31" t="str">
        <f>'12 - Device_Configuration'!BL100</f>
        <v/>
      </c>
      <c r="P100" s="2">
        <f>'12 - Device_Configuration'!BA100</f>
        <v>0</v>
      </c>
      <c r="Q100" s="31" t="str">
        <f t="shared" si="4"/>
        <v/>
      </c>
      <c r="R100" s="17" t="str">
        <f t="shared" si="5"/>
        <v>SW NOT INSTALLED</v>
      </c>
      <c r="S100" s="17" t="str">
        <f t="shared" si="6"/>
        <v/>
      </c>
      <c r="T100" s="17" t="str">
        <f t="shared" si="7"/>
        <v>SW NOT INSTALLED</v>
      </c>
    </row>
    <row r="101" spans="1:20">
      <c r="A101" s="31" t="str">
        <f>'12 - Device_Configuration'!H101</f>
        <v>LIJ - Other</v>
      </c>
      <c r="B101" s="31" t="str">
        <f>'12 - Device_Configuration'!S101</f>
        <v>WNH270OPR413</v>
      </c>
      <c r="C101" s="31">
        <f>'12 - Device_Configuration'!T101</f>
        <v>0</v>
      </c>
      <c r="D101" s="17">
        <f>'12 - Device_Configuration'!AJ101</f>
        <v>0</v>
      </c>
      <c r="E101" s="17" t="str">
        <f>'12 - Device_Configuration'!J101</f>
        <v>Yes</v>
      </c>
      <c r="F101" s="31" t="str">
        <f>'12 - Device_Configuration'!K101</f>
        <v>No</v>
      </c>
      <c r="G101" s="17" t="str">
        <f>'12 - Device_Configuration'!L101</f>
        <v>No</v>
      </c>
      <c r="H101" s="17">
        <f>'13 - Config_Intake_View'!M101</f>
        <v>0</v>
      </c>
      <c r="I101" s="31">
        <f>IF('13 - Config_Intake_View'!Q101&lt;&gt;"",'13 - Config_Intake_View'!Q101,'12 - Device_Configuration'!BH101)</f>
        <v>0</v>
      </c>
      <c r="J101" s="17" t="str">
        <f>IF('13 - Config_Intake_View'!Q101&lt;&gt;"","PM Approved",IF('12 - Device_Configuration'!BH101&lt;&gt;"","Assumed",""))</f>
        <v/>
      </c>
      <c r="K101" s="31">
        <f>'12 - Device_Configuration'!BG101</f>
        <v>0</v>
      </c>
      <c r="L101" s="17">
        <f>'12 - Device_Configuration'!P101</f>
        <v>0</v>
      </c>
      <c r="M101" s="17">
        <f>'12 - Device_Configuration'!Q101</f>
        <v>0</v>
      </c>
      <c r="N101" s="17" t="str">
        <f>'12 - Device_Configuration'!BK101</f>
        <v/>
      </c>
      <c r="O101" s="31" t="str">
        <f>'12 - Device_Configuration'!BL101</f>
        <v/>
      </c>
      <c r="P101" s="2">
        <f>'12 - Device_Configuration'!BA101</f>
        <v>0</v>
      </c>
      <c r="Q101" s="31" t="str">
        <f t="shared" si="4"/>
        <v/>
      </c>
      <c r="R101" s="17" t="str">
        <f t="shared" si="5"/>
        <v>SW NOT INSTALLED</v>
      </c>
      <c r="S101" s="17" t="str">
        <f t="shared" si="6"/>
        <v/>
      </c>
      <c r="T101" s="17" t="str">
        <f t="shared" si="7"/>
        <v>SW NOT INSTALLED</v>
      </c>
    </row>
    <row r="102" spans="1:20">
      <c r="A102" s="31" t="str">
        <f>'12 - Device_Configuration'!H102</f>
        <v>LIJ - Other</v>
      </c>
      <c r="B102" s="31" t="str">
        <f>'12 - Device_Configuration'!S102</f>
        <v>WNH270OPR414</v>
      </c>
      <c r="C102" s="31">
        <f>'12 - Device_Configuration'!T102</f>
        <v>0</v>
      </c>
      <c r="D102" s="17">
        <f>'12 - Device_Configuration'!AJ102</f>
        <v>0</v>
      </c>
      <c r="E102" s="17" t="str">
        <f>'12 - Device_Configuration'!J102</f>
        <v>Yes</v>
      </c>
      <c r="F102" s="31" t="str">
        <f>'12 - Device_Configuration'!K102</f>
        <v>No</v>
      </c>
      <c r="G102" s="17" t="str">
        <f>'12 - Device_Configuration'!L102</f>
        <v>No</v>
      </c>
      <c r="H102" s="17">
        <f>'13 - Config_Intake_View'!M102</f>
        <v>0</v>
      </c>
      <c r="I102" s="31">
        <f>IF('13 - Config_Intake_View'!Q102&lt;&gt;"",'13 - Config_Intake_View'!Q102,'12 - Device_Configuration'!BH102)</f>
        <v>0</v>
      </c>
      <c r="J102" s="17" t="str">
        <f>IF('13 - Config_Intake_View'!Q102&lt;&gt;"","PM Approved",IF('12 - Device_Configuration'!BH102&lt;&gt;"","Assumed",""))</f>
        <v/>
      </c>
      <c r="K102" s="31">
        <f>'12 - Device_Configuration'!BG102</f>
        <v>0</v>
      </c>
      <c r="L102" s="17">
        <f>'12 - Device_Configuration'!P102</f>
        <v>0</v>
      </c>
      <c r="M102" s="17">
        <f>'12 - Device_Configuration'!Q102</f>
        <v>0</v>
      </c>
      <c r="N102" s="17" t="str">
        <f>'12 - Device_Configuration'!BK102</f>
        <v/>
      </c>
      <c r="O102" s="31" t="str">
        <f>'12 - Device_Configuration'!BL102</f>
        <v/>
      </c>
      <c r="P102" s="2">
        <f>'12 - Device_Configuration'!BA102</f>
        <v>0</v>
      </c>
      <c r="Q102" s="31" t="str">
        <f t="shared" si="4"/>
        <v/>
      </c>
      <c r="R102" s="17" t="str">
        <f t="shared" si="5"/>
        <v>SW NOT INSTALLED</v>
      </c>
      <c r="S102" s="17" t="str">
        <f t="shared" si="6"/>
        <v/>
      </c>
      <c r="T102" s="17" t="str">
        <f t="shared" si="7"/>
        <v>SW NOT INSTALLED</v>
      </c>
    </row>
    <row r="103" spans="1:20">
      <c r="A103" s="31" t="str">
        <f>'12 - Device_Configuration'!H103</f>
        <v>LIJ - Other</v>
      </c>
      <c r="B103" s="31" t="str">
        <f>'12 - Device_Configuration'!S103</f>
        <v>WNH270OPR415</v>
      </c>
      <c r="C103" s="31">
        <f>'12 - Device_Configuration'!T103</f>
        <v>0</v>
      </c>
      <c r="D103" s="17">
        <f>'12 - Device_Configuration'!AJ103</f>
        <v>0</v>
      </c>
      <c r="E103" s="17" t="str">
        <f>'12 - Device_Configuration'!J103</f>
        <v>Yes</v>
      </c>
      <c r="F103" s="31" t="str">
        <f>'12 - Device_Configuration'!K103</f>
        <v>No</v>
      </c>
      <c r="G103" s="17" t="str">
        <f>'12 - Device_Configuration'!L103</f>
        <v>No</v>
      </c>
      <c r="H103" s="17">
        <f>'13 - Config_Intake_View'!M103</f>
        <v>0</v>
      </c>
      <c r="I103" s="31">
        <f>IF('13 - Config_Intake_View'!Q103&lt;&gt;"",'13 - Config_Intake_View'!Q103,'12 - Device_Configuration'!BH103)</f>
        <v>0</v>
      </c>
      <c r="J103" s="17" t="str">
        <f>IF('13 - Config_Intake_View'!Q103&lt;&gt;"","PM Approved",IF('12 - Device_Configuration'!BH103&lt;&gt;"","Assumed",""))</f>
        <v/>
      </c>
      <c r="K103" s="31">
        <f>'12 - Device_Configuration'!BG103</f>
        <v>0</v>
      </c>
      <c r="L103" s="17">
        <f>'12 - Device_Configuration'!P103</f>
        <v>0</v>
      </c>
      <c r="M103" s="17">
        <f>'12 - Device_Configuration'!Q103</f>
        <v>0</v>
      </c>
      <c r="N103" s="17" t="str">
        <f>'12 - Device_Configuration'!BK103</f>
        <v/>
      </c>
      <c r="O103" s="31" t="str">
        <f>'12 - Device_Configuration'!BL103</f>
        <v/>
      </c>
      <c r="P103" s="2">
        <f>'12 - Device_Configuration'!BA103</f>
        <v>0</v>
      </c>
      <c r="Q103" s="31" t="str">
        <f t="shared" si="4"/>
        <v/>
      </c>
      <c r="R103" s="17" t="str">
        <f t="shared" si="5"/>
        <v>SW NOT INSTALLED</v>
      </c>
      <c r="S103" s="17" t="str">
        <f t="shared" si="6"/>
        <v/>
      </c>
      <c r="T103" s="17" t="str">
        <f t="shared" si="7"/>
        <v>SW NOT INSTALLED</v>
      </c>
    </row>
    <row r="104" spans="1:20">
      <c r="A104" s="31" t="str">
        <f>'12 - Device_Configuration'!H104</f>
        <v>LIJ - Other</v>
      </c>
      <c r="B104" s="31" t="str">
        <f>'12 - Device_Configuration'!S104</f>
        <v>WNH270OPR416</v>
      </c>
      <c r="C104" s="31">
        <f>'12 - Device_Configuration'!T104</f>
        <v>0</v>
      </c>
      <c r="D104" s="17">
        <f>'12 - Device_Configuration'!AJ104</f>
        <v>0</v>
      </c>
      <c r="E104" s="17" t="str">
        <f>'12 - Device_Configuration'!J104</f>
        <v>Yes</v>
      </c>
      <c r="F104" s="31" t="str">
        <f>'12 - Device_Configuration'!K104</f>
        <v>No</v>
      </c>
      <c r="G104" s="17" t="str">
        <f>'12 - Device_Configuration'!L104</f>
        <v>No</v>
      </c>
      <c r="H104" s="17">
        <f>'13 - Config_Intake_View'!M104</f>
        <v>0</v>
      </c>
      <c r="I104" s="31">
        <f>IF('13 - Config_Intake_View'!Q104&lt;&gt;"",'13 - Config_Intake_View'!Q104,'12 - Device_Configuration'!BH104)</f>
        <v>0</v>
      </c>
      <c r="J104" s="17" t="str">
        <f>IF('13 - Config_Intake_View'!Q104&lt;&gt;"","PM Approved",IF('12 - Device_Configuration'!BH104&lt;&gt;"","Assumed",""))</f>
        <v/>
      </c>
      <c r="K104" s="31">
        <f>'12 - Device_Configuration'!BG104</f>
        <v>0</v>
      </c>
      <c r="L104" s="17">
        <f>'12 - Device_Configuration'!P104</f>
        <v>0</v>
      </c>
      <c r="M104" s="17">
        <f>'12 - Device_Configuration'!Q104</f>
        <v>0</v>
      </c>
      <c r="N104" s="17" t="str">
        <f>'12 - Device_Configuration'!BK104</f>
        <v/>
      </c>
      <c r="O104" s="31" t="str">
        <f>'12 - Device_Configuration'!BL104</f>
        <v/>
      </c>
      <c r="P104" s="2">
        <f>'12 - Device_Configuration'!BA104</f>
        <v>0</v>
      </c>
      <c r="Q104" s="31" t="str">
        <f t="shared" si="4"/>
        <v/>
      </c>
      <c r="R104" s="17" t="str">
        <f t="shared" si="5"/>
        <v>SW NOT INSTALLED</v>
      </c>
      <c r="S104" s="17" t="str">
        <f t="shared" si="6"/>
        <v/>
      </c>
      <c r="T104" s="17" t="str">
        <f t="shared" si="7"/>
        <v>SW NOT INSTALLED</v>
      </c>
    </row>
    <row r="105" spans="1:20">
      <c r="A105" s="31" t="str">
        <f>'12 - Device_Configuration'!H105</f>
        <v>LIJ - Other</v>
      </c>
      <c r="B105" s="31" t="str">
        <f>'12 - Device_Configuration'!S105</f>
        <v>WNH270OPR417</v>
      </c>
      <c r="C105" s="31">
        <f>'12 - Device_Configuration'!T105</f>
        <v>0</v>
      </c>
      <c r="D105" s="17">
        <f>'12 - Device_Configuration'!AJ105</f>
        <v>0</v>
      </c>
      <c r="E105" s="17" t="str">
        <f>'12 - Device_Configuration'!J105</f>
        <v>Yes</v>
      </c>
      <c r="F105" s="31" t="str">
        <f>'12 - Device_Configuration'!K105</f>
        <v>No</v>
      </c>
      <c r="G105" s="17" t="str">
        <f>'12 - Device_Configuration'!L105</f>
        <v>No</v>
      </c>
      <c r="H105" s="17">
        <f>'13 - Config_Intake_View'!M105</f>
        <v>0</v>
      </c>
      <c r="I105" s="31">
        <f>IF('13 - Config_Intake_View'!Q105&lt;&gt;"",'13 - Config_Intake_View'!Q105,'12 - Device_Configuration'!BH105)</f>
        <v>0</v>
      </c>
      <c r="J105" s="17" t="str">
        <f>IF('13 - Config_Intake_View'!Q105&lt;&gt;"","PM Approved",IF('12 - Device_Configuration'!BH105&lt;&gt;"","Assumed",""))</f>
        <v/>
      </c>
      <c r="K105" s="31">
        <f>'12 - Device_Configuration'!BG105</f>
        <v>0</v>
      </c>
      <c r="L105" s="17">
        <f>'12 - Device_Configuration'!P105</f>
        <v>0</v>
      </c>
      <c r="M105" s="17">
        <f>'12 - Device_Configuration'!Q105</f>
        <v>0</v>
      </c>
      <c r="N105" s="17" t="str">
        <f>'12 - Device_Configuration'!BK105</f>
        <v/>
      </c>
      <c r="O105" s="31" t="str">
        <f>'12 - Device_Configuration'!BL105</f>
        <v/>
      </c>
      <c r="P105" s="2">
        <f>'12 - Device_Configuration'!BA105</f>
        <v>0</v>
      </c>
      <c r="Q105" s="31" t="str">
        <f t="shared" si="4"/>
        <v/>
      </c>
      <c r="R105" s="17" t="str">
        <f t="shared" si="5"/>
        <v>SW NOT INSTALLED</v>
      </c>
      <c r="S105" s="17" t="str">
        <f t="shared" si="6"/>
        <v/>
      </c>
      <c r="T105" s="17" t="str">
        <f t="shared" si="7"/>
        <v>SW NOT INSTALLED</v>
      </c>
    </row>
    <row r="106" spans="1:20">
      <c r="A106" s="31" t="str">
        <f>'12 - Device_Configuration'!H106</f>
        <v>LIJ - Other</v>
      </c>
      <c r="B106" s="31" t="str">
        <f>'12 - Device_Configuration'!S106</f>
        <v>WNH270OPR418</v>
      </c>
      <c r="C106" s="31">
        <f>'12 - Device_Configuration'!T106</f>
        <v>0</v>
      </c>
      <c r="D106" s="17">
        <f>'12 - Device_Configuration'!AJ106</f>
        <v>0</v>
      </c>
      <c r="E106" s="17" t="str">
        <f>'12 - Device_Configuration'!J106</f>
        <v>Yes</v>
      </c>
      <c r="F106" s="31" t="str">
        <f>'12 - Device_Configuration'!K106</f>
        <v>No</v>
      </c>
      <c r="G106" s="17" t="str">
        <f>'12 - Device_Configuration'!L106</f>
        <v>No</v>
      </c>
      <c r="H106" s="17">
        <f>'13 - Config_Intake_View'!M106</f>
        <v>0</v>
      </c>
      <c r="I106" s="31">
        <f>IF('13 - Config_Intake_View'!Q106&lt;&gt;"",'13 - Config_Intake_View'!Q106,'12 - Device_Configuration'!BH106)</f>
        <v>0</v>
      </c>
      <c r="J106" s="17" t="str">
        <f>IF('13 - Config_Intake_View'!Q106&lt;&gt;"","PM Approved",IF('12 - Device_Configuration'!BH106&lt;&gt;"","Assumed",""))</f>
        <v/>
      </c>
      <c r="K106" s="31">
        <f>'12 - Device_Configuration'!BG106</f>
        <v>0</v>
      </c>
      <c r="L106" s="17">
        <f>'12 - Device_Configuration'!P106</f>
        <v>0</v>
      </c>
      <c r="M106" s="17">
        <f>'12 - Device_Configuration'!Q106</f>
        <v>0</v>
      </c>
      <c r="N106" s="17" t="str">
        <f>'12 - Device_Configuration'!BK106</f>
        <v/>
      </c>
      <c r="O106" s="31" t="str">
        <f>'12 - Device_Configuration'!BL106</f>
        <v/>
      </c>
      <c r="P106" s="2">
        <f>'12 - Device_Configuration'!BA106</f>
        <v>0</v>
      </c>
      <c r="Q106" s="31" t="str">
        <f t="shared" si="4"/>
        <v/>
      </c>
      <c r="R106" s="17" t="str">
        <f t="shared" si="5"/>
        <v>SW NOT INSTALLED</v>
      </c>
      <c r="S106" s="17" t="str">
        <f t="shared" si="6"/>
        <v/>
      </c>
      <c r="T106" s="17" t="str">
        <f t="shared" si="7"/>
        <v>SW NOT INSTALLED</v>
      </c>
    </row>
    <row r="107" spans="1:20">
      <c r="A107" s="31" t="str">
        <f>'12 - Device_Configuration'!H107</f>
        <v>LIJ - Other</v>
      </c>
      <c r="B107" s="31" t="str">
        <f>'12 - Device_Configuration'!S107</f>
        <v>WNH270OPR419</v>
      </c>
      <c r="C107" s="31">
        <f>'12 - Device_Configuration'!T107</f>
        <v>0</v>
      </c>
      <c r="D107" s="17">
        <f>'12 - Device_Configuration'!AJ107</f>
        <v>0</v>
      </c>
      <c r="E107" s="17" t="str">
        <f>'12 - Device_Configuration'!J107</f>
        <v>Yes</v>
      </c>
      <c r="F107" s="31" t="str">
        <f>'12 - Device_Configuration'!K107</f>
        <v>No</v>
      </c>
      <c r="G107" s="17" t="str">
        <f>'12 - Device_Configuration'!L107</f>
        <v>No</v>
      </c>
      <c r="H107" s="17">
        <f>'13 - Config_Intake_View'!M107</f>
        <v>0</v>
      </c>
      <c r="I107" s="31">
        <f>IF('13 - Config_Intake_View'!Q107&lt;&gt;"",'13 - Config_Intake_View'!Q107,'12 - Device_Configuration'!BH107)</f>
        <v>0</v>
      </c>
      <c r="J107" s="17" t="str">
        <f>IF('13 - Config_Intake_View'!Q107&lt;&gt;"","PM Approved",IF('12 - Device_Configuration'!BH107&lt;&gt;"","Assumed",""))</f>
        <v/>
      </c>
      <c r="K107" s="31">
        <f>'12 - Device_Configuration'!BG107</f>
        <v>0</v>
      </c>
      <c r="L107" s="17">
        <f>'12 - Device_Configuration'!P107</f>
        <v>0</v>
      </c>
      <c r="M107" s="17">
        <f>'12 - Device_Configuration'!Q107</f>
        <v>0</v>
      </c>
      <c r="N107" s="17" t="str">
        <f>'12 - Device_Configuration'!BK107</f>
        <v/>
      </c>
      <c r="O107" s="31" t="str">
        <f>'12 - Device_Configuration'!BL107</f>
        <v/>
      </c>
      <c r="P107" s="2">
        <f>'12 - Device_Configuration'!BA107</f>
        <v>0</v>
      </c>
      <c r="Q107" s="31" t="str">
        <f t="shared" si="4"/>
        <v/>
      </c>
      <c r="R107" s="17" t="str">
        <f t="shared" si="5"/>
        <v>SW NOT INSTALLED</v>
      </c>
      <c r="S107" s="17" t="str">
        <f t="shared" si="6"/>
        <v/>
      </c>
      <c r="T107" s="17" t="str">
        <f t="shared" si="7"/>
        <v>SW NOT INSTALLED</v>
      </c>
    </row>
    <row r="108" spans="1:20">
      <c r="A108" s="31" t="str">
        <f>'12 - Device_Configuration'!H108</f>
        <v>LIJ - Other</v>
      </c>
      <c r="B108" s="31" t="str">
        <f>'12 - Device_Configuration'!S108</f>
        <v>WNH270OPR420</v>
      </c>
      <c r="C108" s="31">
        <f>'12 - Device_Configuration'!T108</f>
        <v>0</v>
      </c>
      <c r="D108" s="17">
        <f>'12 - Device_Configuration'!AJ108</f>
        <v>0</v>
      </c>
      <c r="E108" s="17" t="str">
        <f>'12 - Device_Configuration'!J108</f>
        <v>Yes</v>
      </c>
      <c r="F108" s="31" t="str">
        <f>'12 - Device_Configuration'!K108</f>
        <v>No</v>
      </c>
      <c r="G108" s="17" t="str">
        <f>'12 - Device_Configuration'!L108</f>
        <v>No</v>
      </c>
      <c r="H108" s="17">
        <f>'13 - Config_Intake_View'!M108</f>
        <v>0</v>
      </c>
      <c r="I108" s="31">
        <f>IF('13 - Config_Intake_View'!Q108&lt;&gt;"",'13 - Config_Intake_View'!Q108,'12 - Device_Configuration'!BH108)</f>
        <v>0</v>
      </c>
      <c r="J108" s="17" t="str">
        <f>IF('13 - Config_Intake_View'!Q108&lt;&gt;"","PM Approved",IF('12 - Device_Configuration'!BH108&lt;&gt;"","Assumed",""))</f>
        <v/>
      </c>
      <c r="K108" s="31">
        <f>'12 - Device_Configuration'!BG108</f>
        <v>0</v>
      </c>
      <c r="L108" s="17">
        <f>'12 - Device_Configuration'!P108</f>
        <v>0</v>
      </c>
      <c r="M108" s="17">
        <f>'12 - Device_Configuration'!Q108</f>
        <v>0</v>
      </c>
      <c r="N108" s="17" t="str">
        <f>'12 - Device_Configuration'!BK108</f>
        <v/>
      </c>
      <c r="O108" s="31" t="str">
        <f>'12 - Device_Configuration'!BL108</f>
        <v/>
      </c>
      <c r="P108" s="2">
        <f>'12 - Device_Configuration'!BA108</f>
        <v>0</v>
      </c>
      <c r="Q108" s="31" t="str">
        <f t="shared" si="4"/>
        <v/>
      </c>
      <c r="R108" s="17" t="str">
        <f t="shared" si="5"/>
        <v>SW NOT INSTALLED</v>
      </c>
      <c r="S108" s="17" t="str">
        <f t="shared" si="6"/>
        <v/>
      </c>
      <c r="T108" s="17" t="str">
        <f t="shared" si="7"/>
        <v>SW NOT INSTALLED</v>
      </c>
    </row>
    <row r="109" spans="1:20">
      <c r="A109" s="31" t="str">
        <f>'12 - Device_Configuration'!H109</f>
        <v>LIJ - Other</v>
      </c>
      <c r="B109" s="31" t="str">
        <f>'12 - Device_Configuration'!S109</f>
        <v>WNH270OPR421</v>
      </c>
      <c r="C109" s="31">
        <f>'12 - Device_Configuration'!T109</f>
        <v>0</v>
      </c>
      <c r="D109" s="17">
        <f>'12 - Device_Configuration'!AJ109</f>
        <v>0</v>
      </c>
      <c r="E109" s="17" t="str">
        <f>'12 - Device_Configuration'!J109</f>
        <v>Yes</v>
      </c>
      <c r="F109" s="31" t="str">
        <f>'12 - Device_Configuration'!K109</f>
        <v>No</v>
      </c>
      <c r="G109" s="17" t="str">
        <f>'12 - Device_Configuration'!L109</f>
        <v>No</v>
      </c>
      <c r="H109" s="17">
        <f>'13 - Config_Intake_View'!M109</f>
        <v>0</v>
      </c>
      <c r="I109" s="31">
        <f>IF('13 - Config_Intake_View'!Q109&lt;&gt;"",'13 - Config_Intake_View'!Q109,'12 - Device_Configuration'!BH109)</f>
        <v>0</v>
      </c>
      <c r="J109" s="17" t="str">
        <f>IF('13 - Config_Intake_View'!Q109&lt;&gt;"","PM Approved",IF('12 - Device_Configuration'!BH109&lt;&gt;"","Assumed",""))</f>
        <v/>
      </c>
      <c r="K109" s="31">
        <f>'12 - Device_Configuration'!BG109</f>
        <v>0</v>
      </c>
      <c r="L109" s="17">
        <f>'12 - Device_Configuration'!P109</f>
        <v>0</v>
      </c>
      <c r="M109" s="17">
        <f>'12 - Device_Configuration'!Q109</f>
        <v>0</v>
      </c>
      <c r="N109" s="17" t="str">
        <f>'12 - Device_Configuration'!BK109</f>
        <v/>
      </c>
      <c r="O109" s="31" t="str">
        <f>'12 - Device_Configuration'!BL109</f>
        <v/>
      </c>
      <c r="P109" s="2">
        <f>'12 - Device_Configuration'!BA109</f>
        <v>0</v>
      </c>
      <c r="Q109" s="31" t="str">
        <f t="shared" si="4"/>
        <v/>
      </c>
      <c r="R109" s="17" t="str">
        <f t="shared" si="5"/>
        <v>SW NOT INSTALLED</v>
      </c>
      <c r="S109" s="17" t="str">
        <f t="shared" si="6"/>
        <v/>
      </c>
      <c r="T109" s="17" t="str">
        <f t="shared" si="7"/>
        <v>SW NOT INSTALLED</v>
      </c>
    </row>
    <row r="110" spans="1:20">
      <c r="A110" s="31" t="str">
        <f>'12 - Device_Configuration'!H110</f>
        <v>LIJ - OR</v>
      </c>
      <c r="B110" s="31" t="str">
        <f>'12 - Device_Configuration'!S110</f>
        <v>WNH270OPR422</v>
      </c>
      <c r="C110" s="31">
        <f>'12 - Device_Configuration'!T110</f>
        <v>0</v>
      </c>
      <c r="D110" s="17">
        <f>'12 - Device_Configuration'!AJ110</f>
        <v>0</v>
      </c>
      <c r="E110" s="17" t="str">
        <f>'12 - Device_Configuration'!J110</f>
        <v>Yes</v>
      </c>
      <c r="F110" s="31" t="str">
        <f>'12 - Device_Configuration'!K110</f>
        <v>No</v>
      </c>
      <c r="G110" s="17" t="str">
        <f>'12 - Device_Configuration'!L110</f>
        <v>No</v>
      </c>
      <c r="H110" s="17">
        <f>'13 - Config_Intake_View'!M110</f>
        <v>0</v>
      </c>
      <c r="I110" s="31">
        <f>IF('13 - Config_Intake_View'!Q110&lt;&gt;"",'13 - Config_Intake_View'!Q110,'12 - Device_Configuration'!BH110)</f>
        <v>0</v>
      </c>
      <c r="J110" s="17" t="str">
        <f>IF('13 - Config_Intake_View'!Q110&lt;&gt;"","PM Approved",IF('12 - Device_Configuration'!BH110&lt;&gt;"","Assumed",""))</f>
        <v/>
      </c>
      <c r="K110" s="31">
        <f>'12 - Device_Configuration'!BG110</f>
        <v>0</v>
      </c>
      <c r="L110" s="17">
        <f>'12 - Device_Configuration'!P110</f>
        <v>0</v>
      </c>
      <c r="M110" s="17">
        <f>'12 - Device_Configuration'!Q110</f>
        <v>0</v>
      </c>
      <c r="N110" s="17" t="str">
        <f>'12 - Device_Configuration'!BK110</f>
        <v/>
      </c>
      <c r="O110" s="31" t="str">
        <f>'12 - Device_Configuration'!BL110</f>
        <v/>
      </c>
      <c r="P110" s="2">
        <f>'12 - Device_Configuration'!BA110</f>
        <v>0</v>
      </c>
      <c r="Q110" s="31" t="str">
        <f t="shared" si="4"/>
        <v/>
      </c>
      <c r="R110" s="17" t="str">
        <f t="shared" si="5"/>
        <v>SW NOT INSTALLED</v>
      </c>
      <c r="S110" s="17" t="str">
        <f t="shared" si="6"/>
        <v/>
      </c>
      <c r="T110" s="17" t="str">
        <f t="shared" si="7"/>
        <v>SW NOT INSTALLED</v>
      </c>
    </row>
    <row r="111" spans="1:20">
      <c r="A111" s="31" t="str">
        <f>'12 - Device_Configuration'!H111</f>
        <v>LIJ - OR</v>
      </c>
      <c r="B111" s="31" t="str">
        <f>'12 - Device_Configuration'!S111</f>
        <v>WNH270OPR423</v>
      </c>
      <c r="C111" s="31">
        <f>'12 - Device_Configuration'!T111</f>
        <v>0</v>
      </c>
      <c r="D111" s="17">
        <f>'12 - Device_Configuration'!AJ111</f>
        <v>0</v>
      </c>
      <c r="E111" s="17" t="str">
        <f>'12 - Device_Configuration'!J111</f>
        <v>Yes</v>
      </c>
      <c r="F111" s="31" t="str">
        <f>'12 - Device_Configuration'!K111</f>
        <v>No</v>
      </c>
      <c r="G111" s="17" t="str">
        <f>'12 - Device_Configuration'!L111</f>
        <v>No</v>
      </c>
      <c r="H111" s="17">
        <f>'13 - Config_Intake_View'!M111</f>
        <v>0</v>
      </c>
      <c r="I111" s="31">
        <f>IF('13 - Config_Intake_View'!Q111&lt;&gt;"",'13 - Config_Intake_View'!Q111,'12 - Device_Configuration'!BH111)</f>
        <v>0</v>
      </c>
      <c r="J111" s="17" t="str">
        <f>IF('13 - Config_Intake_View'!Q111&lt;&gt;"","PM Approved",IF('12 - Device_Configuration'!BH111&lt;&gt;"","Assumed",""))</f>
        <v/>
      </c>
      <c r="K111" s="31">
        <f>'12 - Device_Configuration'!BG111</f>
        <v>0</v>
      </c>
      <c r="L111" s="17">
        <f>'12 - Device_Configuration'!P111</f>
        <v>0</v>
      </c>
      <c r="M111" s="17">
        <f>'12 - Device_Configuration'!Q111</f>
        <v>0</v>
      </c>
      <c r="N111" s="17" t="str">
        <f>'12 - Device_Configuration'!BK111</f>
        <v/>
      </c>
      <c r="O111" s="31" t="str">
        <f>'12 - Device_Configuration'!BL111</f>
        <v/>
      </c>
      <c r="P111" s="2">
        <f>'12 - Device_Configuration'!BA111</f>
        <v>0</v>
      </c>
      <c r="Q111" s="31" t="str">
        <f t="shared" si="4"/>
        <v/>
      </c>
      <c r="R111" s="17" t="str">
        <f t="shared" si="5"/>
        <v>SW NOT INSTALLED</v>
      </c>
      <c r="S111" s="17" t="str">
        <f t="shared" si="6"/>
        <v/>
      </c>
      <c r="T111" s="17" t="str">
        <f t="shared" si="7"/>
        <v>SW NOT INSTALLED</v>
      </c>
    </row>
    <row r="112" spans="1:20">
      <c r="A112" s="31" t="str">
        <f>'12 - Device_Configuration'!H112</f>
        <v>LIJ - OR</v>
      </c>
      <c r="B112" s="31" t="str">
        <f>'12 - Device_Configuration'!S112</f>
        <v>WNH270OPR424</v>
      </c>
      <c r="C112" s="31">
        <f>'12 - Device_Configuration'!T112</f>
        <v>0</v>
      </c>
      <c r="D112" s="17">
        <f>'12 - Device_Configuration'!AJ112</f>
        <v>0</v>
      </c>
      <c r="E112" s="17" t="str">
        <f>'12 - Device_Configuration'!J112</f>
        <v>Yes</v>
      </c>
      <c r="F112" s="31" t="str">
        <f>'12 - Device_Configuration'!K112</f>
        <v>No</v>
      </c>
      <c r="G112" s="17" t="str">
        <f>'12 - Device_Configuration'!L112</f>
        <v>No</v>
      </c>
      <c r="H112" s="17">
        <f>'13 - Config_Intake_View'!M112</f>
        <v>0</v>
      </c>
      <c r="I112" s="31">
        <f>IF('13 - Config_Intake_View'!Q112&lt;&gt;"",'13 - Config_Intake_View'!Q112,'12 - Device_Configuration'!BH112)</f>
        <v>0</v>
      </c>
      <c r="J112" s="17" t="str">
        <f>IF('13 - Config_Intake_View'!Q112&lt;&gt;"","PM Approved",IF('12 - Device_Configuration'!BH112&lt;&gt;"","Assumed",""))</f>
        <v/>
      </c>
      <c r="K112" s="31">
        <f>'12 - Device_Configuration'!BG112</f>
        <v>0</v>
      </c>
      <c r="L112" s="17">
        <f>'12 - Device_Configuration'!P112</f>
        <v>0</v>
      </c>
      <c r="M112" s="17">
        <f>'12 - Device_Configuration'!Q112</f>
        <v>0</v>
      </c>
      <c r="N112" s="17" t="str">
        <f>'12 - Device_Configuration'!BK112</f>
        <v/>
      </c>
      <c r="O112" s="31" t="str">
        <f>'12 - Device_Configuration'!BL112</f>
        <v/>
      </c>
      <c r="P112" s="2">
        <f>'12 - Device_Configuration'!BA112</f>
        <v>0</v>
      </c>
      <c r="Q112" s="31" t="str">
        <f t="shared" si="4"/>
        <v/>
      </c>
      <c r="R112" s="17" t="str">
        <f t="shared" si="5"/>
        <v>SW NOT INSTALLED</v>
      </c>
      <c r="S112" s="17" t="str">
        <f t="shared" si="6"/>
        <v/>
      </c>
      <c r="T112" s="17" t="str">
        <f t="shared" si="7"/>
        <v>SW NOT INSTALLED</v>
      </c>
    </row>
    <row r="113" spans="1:20">
      <c r="A113" s="31" t="str">
        <f>'12 - Device_Configuration'!H113</f>
        <v>LIJ - OR</v>
      </c>
      <c r="B113" s="31" t="str">
        <f>'12 - Device_Configuration'!S113</f>
        <v>WNH270OPR425</v>
      </c>
      <c r="C113" s="31">
        <f>'12 - Device_Configuration'!T113</f>
        <v>0</v>
      </c>
      <c r="D113" s="17">
        <f>'12 - Device_Configuration'!AJ113</f>
        <v>0</v>
      </c>
      <c r="E113" s="17" t="str">
        <f>'12 - Device_Configuration'!J113</f>
        <v>Yes</v>
      </c>
      <c r="F113" s="31" t="str">
        <f>'12 - Device_Configuration'!K113</f>
        <v>No</v>
      </c>
      <c r="G113" s="17" t="str">
        <f>'12 - Device_Configuration'!L113</f>
        <v>No</v>
      </c>
      <c r="H113" s="17">
        <f>'13 - Config_Intake_View'!M113</f>
        <v>0</v>
      </c>
      <c r="I113" s="31">
        <f>IF('13 - Config_Intake_View'!Q113&lt;&gt;"",'13 - Config_Intake_View'!Q113,'12 - Device_Configuration'!BH113)</f>
        <v>0</v>
      </c>
      <c r="J113" s="17" t="str">
        <f>IF('13 - Config_Intake_View'!Q113&lt;&gt;"","PM Approved",IF('12 - Device_Configuration'!BH113&lt;&gt;"","Assumed",""))</f>
        <v/>
      </c>
      <c r="K113" s="31">
        <f>'12 - Device_Configuration'!BG113</f>
        <v>0</v>
      </c>
      <c r="L113" s="17">
        <f>'12 - Device_Configuration'!P113</f>
        <v>0</v>
      </c>
      <c r="M113" s="17">
        <f>'12 - Device_Configuration'!Q113</f>
        <v>0</v>
      </c>
      <c r="N113" s="17" t="str">
        <f>'12 - Device_Configuration'!BK113</f>
        <v/>
      </c>
      <c r="O113" s="31" t="str">
        <f>'12 - Device_Configuration'!BL113</f>
        <v/>
      </c>
      <c r="P113" s="2">
        <f>'12 - Device_Configuration'!BA113</f>
        <v>0</v>
      </c>
      <c r="Q113" s="31" t="str">
        <f t="shared" si="4"/>
        <v/>
      </c>
      <c r="R113" s="17" t="str">
        <f t="shared" si="5"/>
        <v>SW NOT INSTALLED</v>
      </c>
      <c r="S113" s="17" t="str">
        <f t="shared" si="6"/>
        <v/>
      </c>
      <c r="T113" s="17" t="str">
        <f t="shared" si="7"/>
        <v>SW NOT INSTALLED</v>
      </c>
    </row>
    <row r="114" spans="1:20">
      <c r="A114" s="31" t="str">
        <f>'12 - Device_Configuration'!H114</f>
        <v>LIJ - OR</v>
      </c>
      <c r="B114" s="31" t="str">
        <f>'12 - Device_Configuration'!S114</f>
        <v>WNH270OPR426</v>
      </c>
      <c r="C114" s="31">
        <f>'12 - Device_Configuration'!T114</f>
        <v>0</v>
      </c>
      <c r="D114" s="17">
        <f>'12 - Device_Configuration'!AJ114</f>
        <v>0</v>
      </c>
      <c r="E114" s="17" t="str">
        <f>'12 - Device_Configuration'!J114</f>
        <v>Yes</v>
      </c>
      <c r="F114" s="31" t="str">
        <f>'12 - Device_Configuration'!K114</f>
        <v>No</v>
      </c>
      <c r="G114" s="17" t="str">
        <f>'12 - Device_Configuration'!L114</f>
        <v>No</v>
      </c>
      <c r="H114" s="17">
        <f>'13 - Config_Intake_View'!M114</f>
        <v>0</v>
      </c>
      <c r="I114" s="31">
        <f>IF('13 - Config_Intake_View'!Q114&lt;&gt;"",'13 - Config_Intake_View'!Q114,'12 - Device_Configuration'!BH114)</f>
        <v>0</v>
      </c>
      <c r="J114" s="17" t="str">
        <f>IF('13 - Config_Intake_View'!Q114&lt;&gt;"","PM Approved",IF('12 - Device_Configuration'!BH114&lt;&gt;"","Assumed",""))</f>
        <v/>
      </c>
      <c r="K114" s="31">
        <f>'12 - Device_Configuration'!BG114</f>
        <v>0</v>
      </c>
      <c r="L114" s="17">
        <f>'12 - Device_Configuration'!P114</f>
        <v>0</v>
      </c>
      <c r="M114" s="17">
        <f>'12 - Device_Configuration'!Q114</f>
        <v>0</v>
      </c>
      <c r="N114" s="17" t="str">
        <f>'12 - Device_Configuration'!BK114</f>
        <v/>
      </c>
      <c r="O114" s="31" t="str">
        <f>'12 - Device_Configuration'!BL114</f>
        <v/>
      </c>
      <c r="P114" s="2">
        <f>'12 - Device_Configuration'!BA114</f>
        <v>0</v>
      </c>
      <c r="Q114" s="31" t="str">
        <f t="shared" si="4"/>
        <v/>
      </c>
      <c r="R114" s="17" t="str">
        <f t="shared" si="5"/>
        <v>SW NOT INSTALLED</v>
      </c>
      <c r="S114" s="17" t="str">
        <f t="shared" si="6"/>
        <v/>
      </c>
      <c r="T114" s="17" t="str">
        <f t="shared" si="7"/>
        <v>SW NOT INSTALLED</v>
      </c>
    </row>
    <row r="115" spans="1:20">
      <c r="A115" s="31" t="str">
        <f>'12 - Device_Configuration'!H115</f>
        <v>LIJ - OR</v>
      </c>
      <c r="B115" s="31" t="str">
        <f>'12 - Device_Configuration'!S115</f>
        <v>WNH270OPR427</v>
      </c>
      <c r="C115" s="31">
        <f>'12 - Device_Configuration'!T115</f>
        <v>0</v>
      </c>
      <c r="D115" s="17">
        <f>'12 - Device_Configuration'!AJ115</f>
        <v>0</v>
      </c>
      <c r="E115" s="17" t="str">
        <f>'12 - Device_Configuration'!J115</f>
        <v>Yes</v>
      </c>
      <c r="F115" s="31" t="str">
        <f>'12 - Device_Configuration'!K115</f>
        <v>No</v>
      </c>
      <c r="G115" s="17" t="str">
        <f>'12 - Device_Configuration'!L115</f>
        <v>No</v>
      </c>
      <c r="H115" s="17">
        <f>'13 - Config_Intake_View'!M115</f>
        <v>0</v>
      </c>
      <c r="I115" s="31">
        <f>IF('13 - Config_Intake_View'!Q115&lt;&gt;"",'13 - Config_Intake_View'!Q115,'12 - Device_Configuration'!BH115)</f>
        <v>0</v>
      </c>
      <c r="J115" s="17" t="str">
        <f>IF('13 - Config_Intake_View'!Q115&lt;&gt;"","PM Approved",IF('12 - Device_Configuration'!BH115&lt;&gt;"","Assumed",""))</f>
        <v/>
      </c>
      <c r="K115" s="31">
        <f>'12 - Device_Configuration'!BG115</f>
        <v>0</v>
      </c>
      <c r="L115" s="17">
        <f>'12 - Device_Configuration'!P115</f>
        <v>0</v>
      </c>
      <c r="M115" s="17">
        <f>'12 - Device_Configuration'!Q115</f>
        <v>0</v>
      </c>
      <c r="N115" s="17" t="str">
        <f>'12 - Device_Configuration'!BK115</f>
        <v/>
      </c>
      <c r="O115" s="31" t="str">
        <f>'12 - Device_Configuration'!BL115</f>
        <v/>
      </c>
      <c r="P115" s="2">
        <f>'12 - Device_Configuration'!BA115</f>
        <v>0</v>
      </c>
      <c r="Q115" s="31" t="str">
        <f t="shared" si="4"/>
        <v/>
      </c>
      <c r="R115" s="17" t="str">
        <f t="shared" si="5"/>
        <v>SW NOT INSTALLED</v>
      </c>
      <c r="S115" s="17" t="str">
        <f t="shared" si="6"/>
        <v/>
      </c>
      <c r="T115" s="17" t="str">
        <f t="shared" si="7"/>
        <v>SW NOT INSTALLED</v>
      </c>
    </row>
    <row r="116" spans="1:20">
      <c r="A116" s="31" t="str">
        <f>'12 - Device_Configuration'!H116</f>
        <v>LIJ - OR</v>
      </c>
      <c r="B116" s="31" t="str">
        <f>'12 - Device_Configuration'!S116</f>
        <v>WNH270OPR428</v>
      </c>
      <c r="C116" s="31">
        <f>'12 - Device_Configuration'!T116</f>
        <v>0</v>
      </c>
      <c r="D116" s="17">
        <f>'12 - Device_Configuration'!AJ116</f>
        <v>0</v>
      </c>
      <c r="E116" s="17" t="str">
        <f>'12 - Device_Configuration'!J116</f>
        <v>Yes</v>
      </c>
      <c r="F116" s="31" t="str">
        <f>'12 - Device_Configuration'!K116</f>
        <v>No</v>
      </c>
      <c r="G116" s="17" t="str">
        <f>'12 - Device_Configuration'!L116</f>
        <v>No</v>
      </c>
      <c r="H116" s="17">
        <f>'13 - Config_Intake_View'!M116</f>
        <v>0</v>
      </c>
      <c r="I116" s="31">
        <f>IF('13 - Config_Intake_View'!Q116&lt;&gt;"",'13 - Config_Intake_View'!Q116,'12 - Device_Configuration'!BH116)</f>
        <v>0</v>
      </c>
      <c r="J116" s="17" t="str">
        <f>IF('13 - Config_Intake_View'!Q116&lt;&gt;"","PM Approved",IF('12 - Device_Configuration'!BH116&lt;&gt;"","Assumed",""))</f>
        <v/>
      </c>
      <c r="K116" s="31">
        <f>'12 - Device_Configuration'!BG116</f>
        <v>0</v>
      </c>
      <c r="L116" s="17">
        <f>'12 - Device_Configuration'!P116</f>
        <v>0</v>
      </c>
      <c r="M116" s="17">
        <f>'12 - Device_Configuration'!Q116</f>
        <v>0</v>
      </c>
      <c r="N116" s="17" t="str">
        <f>'12 - Device_Configuration'!BK116</f>
        <v/>
      </c>
      <c r="O116" s="31" t="str">
        <f>'12 - Device_Configuration'!BL116</f>
        <v/>
      </c>
      <c r="P116" s="2">
        <f>'12 - Device_Configuration'!BA116</f>
        <v>0</v>
      </c>
      <c r="Q116" s="31" t="str">
        <f t="shared" si="4"/>
        <v/>
      </c>
      <c r="R116" s="17" t="str">
        <f t="shared" si="5"/>
        <v>SW NOT INSTALLED</v>
      </c>
      <c r="S116" s="17" t="str">
        <f t="shared" si="6"/>
        <v/>
      </c>
      <c r="T116" s="17" t="str">
        <f t="shared" si="7"/>
        <v>SW NOT INSTALLED</v>
      </c>
    </row>
    <row r="117" spans="1:20">
      <c r="A117" s="31" t="str">
        <f>'12 - Device_Configuration'!H117</f>
        <v>LIJ - OR</v>
      </c>
      <c r="B117" s="31" t="str">
        <f>'12 - Device_Configuration'!S117</f>
        <v>WNH270OPR429</v>
      </c>
      <c r="C117" s="31">
        <f>'12 - Device_Configuration'!T117</f>
        <v>0</v>
      </c>
      <c r="D117" s="17">
        <f>'12 - Device_Configuration'!AJ117</f>
        <v>0</v>
      </c>
      <c r="E117" s="17" t="str">
        <f>'12 - Device_Configuration'!J117</f>
        <v>Yes</v>
      </c>
      <c r="F117" s="31" t="str">
        <f>'12 - Device_Configuration'!K117</f>
        <v>No</v>
      </c>
      <c r="G117" s="17" t="str">
        <f>'12 - Device_Configuration'!L117</f>
        <v>No</v>
      </c>
      <c r="H117" s="17">
        <f>'13 - Config_Intake_View'!M117</f>
        <v>0</v>
      </c>
      <c r="I117" s="31">
        <f>IF('13 - Config_Intake_View'!Q117&lt;&gt;"",'13 - Config_Intake_View'!Q117,'12 - Device_Configuration'!BH117)</f>
        <v>0</v>
      </c>
      <c r="J117" s="17" t="str">
        <f>IF('13 - Config_Intake_View'!Q117&lt;&gt;"","PM Approved",IF('12 - Device_Configuration'!BH117&lt;&gt;"","Assumed",""))</f>
        <v/>
      </c>
      <c r="K117" s="31">
        <f>'12 - Device_Configuration'!BG117</f>
        <v>0</v>
      </c>
      <c r="L117" s="17">
        <f>'12 - Device_Configuration'!P117</f>
        <v>0</v>
      </c>
      <c r="M117" s="17">
        <f>'12 - Device_Configuration'!Q117</f>
        <v>0</v>
      </c>
      <c r="N117" s="17" t="str">
        <f>'12 - Device_Configuration'!BK117</f>
        <v/>
      </c>
      <c r="O117" s="31" t="str">
        <f>'12 - Device_Configuration'!BL117</f>
        <v/>
      </c>
      <c r="P117" s="2">
        <f>'12 - Device_Configuration'!BA117</f>
        <v>0</v>
      </c>
      <c r="Q117" s="31" t="str">
        <f t="shared" si="4"/>
        <v/>
      </c>
      <c r="R117" s="17" t="str">
        <f t="shared" si="5"/>
        <v>SW NOT INSTALLED</v>
      </c>
      <c r="S117" s="17" t="str">
        <f t="shared" si="6"/>
        <v/>
      </c>
      <c r="T117" s="17" t="str">
        <f t="shared" si="7"/>
        <v>SW NOT INSTALLED</v>
      </c>
    </row>
    <row r="118" spans="1:20">
      <c r="A118" s="31" t="str">
        <f>'12 - Device_Configuration'!H118</f>
        <v>LIJ - OR</v>
      </c>
      <c r="B118" s="31" t="str">
        <f>'12 - Device_Configuration'!S118</f>
        <v>WNH270OPR430</v>
      </c>
      <c r="C118" s="31">
        <f>'12 - Device_Configuration'!T118</f>
        <v>0</v>
      </c>
      <c r="D118" s="17">
        <f>'12 - Device_Configuration'!AJ118</f>
        <v>0</v>
      </c>
      <c r="E118" s="17" t="str">
        <f>'12 - Device_Configuration'!J118</f>
        <v>Yes</v>
      </c>
      <c r="F118" s="31" t="str">
        <f>'12 - Device_Configuration'!K118</f>
        <v>No</v>
      </c>
      <c r="G118" s="17" t="str">
        <f>'12 - Device_Configuration'!L118</f>
        <v>No</v>
      </c>
      <c r="H118" s="17">
        <f>'13 - Config_Intake_View'!M118</f>
        <v>0</v>
      </c>
      <c r="I118" s="31">
        <f>IF('13 - Config_Intake_View'!Q118&lt;&gt;"",'13 - Config_Intake_View'!Q118,'12 - Device_Configuration'!BH118)</f>
        <v>0</v>
      </c>
      <c r="J118" s="17" t="str">
        <f>IF('13 - Config_Intake_View'!Q118&lt;&gt;"","PM Approved",IF('12 - Device_Configuration'!BH118&lt;&gt;"","Assumed",""))</f>
        <v/>
      </c>
      <c r="K118" s="31">
        <f>'12 - Device_Configuration'!BG118</f>
        <v>0</v>
      </c>
      <c r="L118" s="17">
        <f>'12 - Device_Configuration'!P118</f>
        <v>0</v>
      </c>
      <c r="M118" s="17">
        <f>'12 - Device_Configuration'!Q118</f>
        <v>0</v>
      </c>
      <c r="N118" s="17" t="str">
        <f>'12 - Device_Configuration'!BK118</f>
        <v/>
      </c>
      <c r="O118" s="31" t="str">
        <f>'12 - Device_Configuration'!BL118</f>
        <v/>
      </c>
      <c r="P118" s="2">
        <f>'12 - Device_Configuration'!BA118</f>
        <v>0</v>
      </c>
      <c r="Q118" s="31" t="str">
        <f t="shared" si="4"/>
        <v/>
      </c>
      <c r="R118" s="17" t="str">
        <f t="shared" si="5"/>
        <v>SW NOT INSTALLED</v>
      </c>
      <c r="S118" s="17" t="str">
        <f t="shared" si="6"/>
        <v/>
      </c>
      <c r="T118" s="17" t="str">
        <f t="shared" si="7"/>
        <v>SW NOT INSTALLED</v>
      </c>
    </row>
    <row r="119" spans="1:20">
      <c r="A119" s="31" t="str">
        <f>'12 - Device_Configuration'!H119</f>
        <v>LIJ - OR</v>
      </c>
      <c r="B119" s="31" t="str">
        <f>'12 - Device_Configuration'!S119</f>
        <v>WNH270OPR431</v>
      </c>
      <c r="C119" s="31">
        <f>'12 - Device_Configuration'!T119</f>
        <v>0</v>
      </c>
      <c r="D119" s="17">
        <f>'12 - Device_Configuration'!AJ119</f>
        <v>0</v>
      </c>
      <c r="E119" s="17" t="str">
        <f>'12 - Device_Configuration'!J119</f>
        <v>Yes</v>
      </c>
      <c r="F119" s="31" t="str">
        <f>'12 - Device_Configuration'!K119</f>
        <v>No</v>
      </c>
      <c r="G119" s="17" t="str">
        <f>'12 - Device_Configuration'!L119</f>
        <v>No</v>
      </c>
      <c r="H119" s="17">
        <f>'13 - Config_Intake_View'!M119</f>
        <v>0</v>
      </c>
      <c r="I119" s="31">
        <f>IF('13 - Config_Intake_View'!Q119&lt;&gt;"",'13 - Config_Intake_View'!Q119,'12 - Device_Configuration'!BH119)</f>
        <v>0</v>
      </c>
      <c r="J119" s="17" t="str">
        <f>IF('13 - Config_Intake_View'!Q119&lt;&gt;"","PM Approved",IF('12 - Device_Configuration'!BH119&lt;&gt;"","Assumed",""))</f>
        <v/>
      </c>
      <c r="K119" s="31">
        <f>'12 - Device_Configuration'!BG119</f>
        <v>0</v>
      </c>
      <c r="L119" s="17">
        <f>'12 - Device_Configuration'!P119</f>
        <v>0</v>
      </c>
      <c r="M119" s="17">
        <f>'12 - Device_Configuration'!Q119</f>
        <v>0</v>
      </c>
      <c r="N119" s="17" t="str">
        <f>'12 - Device_Configuration'!BK119</f>
        <v/>
      </c>
      <c r="O119" s="31" t="str">
        <f>'12 - Device_Configuration'!BL119</f>
        <v/>
      </c>
      <c r="P119" s="2">
        <f>'12 - Device_Configuration'!BA119</f>
        <v>0</v>
      </c>
      <c r="Q119" s="31" t="str">
        <f t="shared" si="4"/>
        <v/>
      </c>
      <c r="R119" s="17" t="str">
        <f t="shared" si="5"/>
        <v>SW NOT INSTALLED</v>
      </c>
      <c r="S119" s="17" t="str">
        <f t="shared" si="6"/>
        <v/>
      </c>
      <c r="T119" s="17" t="str">
        <f t="shared" si="7"/>
        <v>SW NOT INSTALLED</v>
      </c>
    </row>
    <row r="120" spans="1:20">
      <c r="A120" s="31" t="str">
        <f>'12 - Device_Configuration'!H120</f>
        <v>LIJ - OR</v>
      </c>
      <c r="B120" s="31" t="str">
        <f>'12 - Device_Configuration'!S120</f>
        <v>WNH270OPR432</v>
      </c>
      <c r="C120" s="31">
        <f>'12 - Device_Configuration'!T120</f>
        <v>0</v>
      </c>
      <c r="D120" s="17">
        <f>'12 - Device_Configuration'!AJ120</f>
        <v>0</v>
      </c>
      <c r="E120" s="17" t="str">
        <f>'12 - Device_Configuration'!J120</f>
        <v>Yes</v>
      </c>
      <c r="F120" s="31" t="str">
        <f>'12 - Device_Configuration'!K120</f>
        <v>No</v>
      </c>
      <c r="G120" s="17" t="str">
        <f>'12 - Device_Configuration'!L120</f>
        <v>No</v>
      </c>
      <c r="H120" s="17">
        <f>'13 - Config_Intake_View'!M120</f>
        <v>0</v>
      </c>
      <c r="I120" s="31">
        <f>IF('13 - Config_Intake_View'!Q120&lt;&gt;"",'13 - Config_Intake_View'!Q120,'12 - Device_Configuration'!BH120)</f>
        <v>0</v>
      </c>
      <c r="J120" s="17" t="str">
        <f>IF('13 - Config_Intake_View'!Q120&lt;&gt;"","PM Approved",IF('12 - Device_Configuration'!BH120&lt;&gt;"","Assumed",""))</f>
        <v/>
      </c>
      <c r="K120" s="31">
        <f>'12 - Device_Configuration'!BG120</f>
        <v>0</v>
      </c>
      <c r="L120" s="17">
        <f>'12 - Device_Configuration'!P120</f>
        <v>0</v>
      </c>
      <c r="M120" s="17">
        <f>'12 - Device_Configuration'!Q120</f>
        <v>0</v>
      </c>
      <c r="N120" s="17" t="str">
        <f>'12 - Device_Configuration'!BK120</f>
        <v/>
      </c>
      <c r="O120" s="31" t="str">
        <f>'12 - Device_Configuration'!BL120</f>
        <v/>
      </c>
      <c r="P120" s="2">
        <f>'12 - Device_Configuration'!BA120</f>
        <v>0</v>
      </c>
      <c r="Q120" s="31" t="str">
        <f t="shared" si="4"/>
        <v/>
      </c>
      <c r="R120" s="17" t="str">
        <f t="shared" si="5"/>
        <v>SW NOT INSTALLED</v>
      </c>
      <c r="S120" s="17" t="str">
        <f t="shared" si="6"/>
        <v/>
      </c>
      <c r="T120" s="17" t="str">
        <f t="shared" si="7"/>
        <v>SW NOT INSTALLED</v>
      </c>
    </row>
    <row r="121" spans="1:20">
      <c r="A121" s="31" t="str">
        <f>'12 - Device_Configuration'!H121</f>
        <v>LIJ - OR</v>
      </c>
      <c r="B121" s="31" t="str">
        <f>'12 - Device_Configuration'!S121</f>
        <v>WNH270OPR433</v>
      </c>
      <c r="C121" s="31">
        <f>'12 - Device_Configuration'!T121</f>
        <v>0</v>
      </c>
      <c r="D121" s="17">
        <f>'12 - Device_Configuration'!AJ121</f>
        <v>0</v>
      </c>
      <c r="E121" s="17" t="str">
        <f>'12 - Device_Configuration'!J121</f>
        <v>Yes</v>
      </c>
      <c r="F121" s="31" t="str">
        <f>'12 - Device_Configuration'!K121</f>
        <v>No</v>
      </c>
      <c r="G121" s="17" t="str">
        <f>'12 - Device_Configuration'!L121</f>
        <v>No</v>
      </c>
      <c r="H121" s="17">
        <f>'13 - Config_Intake_View'!M121</f>
        <v>0</v>
      </c>
      <c r="I121" s="31">
        <f>IF('13 - Config_Intake_View'!Q121&lt;&gt;"",'13 - Config_Intake_View'!Q121,'12 - Device_Configuration'!BH121)</f>
        <v>0</v>
      </c>
      <c r="J121" s="17" t="str">
        <f>IF('13 - Config_Intake_View'!Q121&lt;&gt;"","PM Approved",IF('12 - Device_Configuration'!BH121&lt;&gt;"","Assumed",""))</f>
        <v/>
      </c>
      <c r="K121" s="31">
        <f>'12 - Device_Configuration'!BG121</f>
        <v>0</v>
      </c>
      <c r="L121" s="17">
        <f>'12 - Device_Configuration'!P121</f>
        <v>0</v>
      </c>
      <c r="M121" s="17">
        <f>'12 - Device_Configuration'!Q121</f>
        <v>0</v>
      </c>
      <c r="N121" s="17" t="str">
        <f>'12 - Device_Configuration'!BK121</f>
        <v/>
      </c>
      <c r="O121" s="31" t="str">
        <f>'12 - Device_Configuration'!BL121</f>
        <v/>
      </c>
      <c r="P121" s="2">
        <f>'12 - Device_Configuration'!BA121</f>
        <v>0</v>
      </c>
      <c r="Q121" s="31" t="str">
        <f t="shared" si="4"/>
        <v/>
      </c>
      <c r="R121" s="17" t="str">
        <f t="shared" si="5"/>
        <v>SW NOT INSTALLED</v>
      </c>
      <c r="S121" s="17" t="str">
        <f t="shared" si="6"/>
        <v/>
      </c>
      <c r="T121" s="17" t="str">
        <f t="shared" si="7"/>
        <v>SW NOT INSTALLED</v>
      </c>
    </row>
    <row r="122" spans="1:20">
      <c r="A122" s="31" t="str">
        <f>'12 - Device_Configuration'!H122</f>
        <v>LIJ - OR</v>
      </c>
      <c r="B122" s="31" t="str">
        <f>'12 - Device_Configuration'!S122</f>
        <v>WNH270OPR434</v>
      </c>
      <c r="C122" s="31">
        <f>'12 - Device_Configuration'!T122</f>
        <v>0</v>
      </c>
      <c r="D122" s="17">
        <f>'12 - Device_Configuration'!AJ122</f>
        <v>0</v>
      </c>
      <c r="E122" s="17" t="str">
        <f>'12 - Device_Configuration'!J122</f>
        <v>Yes</v>
      </c>
      <c r="F122" s="31" t="str">
        <f>'12 - Device_Configuration'!K122</f>
        <v>No</v>
      </c>
      <c r="G122" s="17" t="str">
        <f>'12 - Device_Configuration'!L122</f>
        <v>No</v>
      </c>
      <c r="H122" s="17">
        <f>'13 - Config_Intake_View'!M122</f>
        <v>0</v>
      </c>
      <c r="I122" s="31">
        <f>IF('13 - Config_Intake_View'!Q122&lt;&gt;"",'13 - Config_Intake_View'!Q122,'12 - Device_Configuration'!BH122)</f>
        <v>0</v>
      </c>
      <c r="J122" s="17" t="str">
        <f>IF('13 - Config_Intake_View'!Q122&lt;&gt;"","PM Approved",IF('12 - Device_Configuration'!BH122&lt;&gt;"","Assumed",""))</f>
        <v/>
      </c>
      <c r="K122" s="31">
        <f>'12 - Device_Configuration'!BG122</f>
        <v>0</v>
      </c>
      <c r="L122" s="17">
        <f>'12 - Device_Configuration'!P122</f>
        <v>0</v>
      </c>
      <c r="M122" s="17">
        <f>'12 - Device_Configuration'!Q122</f>
        <v>0</v>
      </c>
      <c r="N122" s="17" t="str">
        <f>'12 - Device_Configuration'!BK122</f>
        <v/>
      </c>
      <c r="O122" s="31" t="str">
        <f>'12 - Device_Configuration'!BL122</f>
        <v/>
      </c>
      <c r="P122" s="2">
        <f>'12 - Device_Configuration'!BA122</f>
        <v>0</v>
      </c>
      <c r="Q122" s="31" t="str">
        <f t="shared" si="4"/>
        <v/>
      </c>
      <c r="R122" s="17" t="str">
        <f t="shared" si="5"/>
        <v>SW NOT INSTALLED</v>
      </c>
      <c r="S122" s="17" t="str">
        <f t="shared" si="6"/>
        <v/>
      </c>
      <c r="T122" s="17" t="str">
        <f t="shared" si="7"/>
        <v>SW NOT INSTALLED</v>
      </c>
    </row>
    <row r="123" spans="1:20">
      <c r="A123" s="31" t="str">
        <f>'12 - Device_Configuration'!H123</f>
        <v>LIJ - OR</v>
      </c>
      <c r="B123" s="31" t="str">
        <f>'12 - Device_Configuration'!S123</f>
        <v>WNH270OPR435</v>
      </c>
      <c r="C123" s="31">
        <f>'12 - Device_Configuration'!T123</f>
        <v>0</v>
      </c>
      <c r="D123" s="17">
        <f>'12 - Device_Configuration'!AJ123</f>
        <v>0</v>
      </c>
      <c r="E123" s="17" t="str">
        <f>'12 - Device_Configuration'!J123</f>
        <v>Yes</v>
      </c>
      <c r="F123" s="31" t="str">
        <f>'12 - Device_Configuration'!K123</f>
        <v>No</v>
      </c>
      <c r="G123" s="17" t="str">
        <f>'12 - Device_Configuration'!L123</f>
        <v>No</v>
      </c>
      <c r="H123" s="17">
        <f>'13 - Config_Intake_View'!M123</f>
        <v>0</v>
      </c>
      <c r="I123" s="31">
        <f>IF('13 - Config_Intake_View'!Q123&lt;&gt;"",'13 - Config_Intake_View'!Q123,'12 - Device_Configuration'!BH123)</f>
        <v>0</v>
      </c>
      <c r="J123" s="17" t="str">
        <f>IF('13 - Config_Intake_View'!Q123&lt;&gt;"","PM Approved",IF('12 - Device_Configuration'!BH123&lt;&gt;"","Assumed",""))</f>
        <v/>
      </c>
      <c r="K123" s="31">
        <f>'12 - Device_Configuration'!BG123</f>
        <v>0</v>
      </c>
      <c r="L123" s="17">
        <f>'12 - Device_Configuration'!P123</f>
        <v>0</v>
      </c>
      <c r="M123" s="17">
        <f>'12 - Device_Configuration'!Q123</f>
        <v>0</v>
      </c>
      <c r="N123" s="17" t="str">
        <f>'12 - Device_Configuration'!BK123</f>
        <v/>
      </c>
      <c r="O123" s="31" t="str">
        <f>'12 - Device_Configuration'!BL123</f>
        <v/>
      </c>
      <c r="P123" s="2">
        <f>'12 - Device_Configuration'!BA123</f>
        <v>0</v>
      </c>
      <c r="Q123" s="31" t="str">
        <f t="shared" si="4"/>
        <v/>
      </c>
      <c r="R123" s="17" t="str">
        <f t="shared" si="5"/>
        <v>SW NOT INSTALLED</v>
      </c>
      <c r="S123" s="17" t="str">
        <f t="shared" si="6"/>
        <v/>
      </c>
      <c r="T123" s="17" t="str">
        <f t="shared" si="7"/>
        <v>SW NOT INSTALLED</v>
      </c>
    </row>
    <row r="124" spans="1:20">
      <c r="A124" s="31" t="str">
        <f>'12 - Device_Configuration'!H124</f>
        <v>LIJ - OR</v>
      </c>
      <c r="B124" s="31" t="str">
        <f>'12 - Device_Configuration'!S124</f>
        <v>WNH270OPR436</v>
      </c>
      <c r="C124" s="31">
        <f>'12 - Device_Configuration'!T124</f>
        <v>0</v>
      </c>
      <c r="D124" s="17">
        <f>'12 - Device_Configuration'!AJ124</f>
        <v>0</v>
      </c>
      <c r="E124" s="17" t="str">
        <f>'12 - Device_Configuration'!J124</f>
        <v>Yes</v>
      </c>
      <c r="F124" s="31" t="str">
        <f>'12 - Device_Configuration'!K124</f>
        <v>No</v>
      </c>
      <c r="G124" s="17" t="str">
        <f>'12 - Device_Configuration'!L124</f>
        <v>No</v>
      </c>
      <c r="H124" s="17">
        <f>'13 - Config_Intake_View'!M124</f>
        <v>0</v>
      </c>
      <c r="I124" s="31">
        <f>IF('13 - Config_Intake_View'!Q124&lt;&gt;"",'13 - Config_Intake_View'!Q124,'12 - Device_Configuration'!BH124)</f>
        <v>0</v>
      </c>
      <c r="J124" s="17" t="str">
        <f>IF('13 - Config_Intake_View'!Q124&lt;&gt;"","PM Approved",IF('12 - Device_Configuration'!BH124&lt;&gt;"","Assumed",""))</f>
        <v/>
      </c>
      <c r="K124" s="31">
        <f>'12 - Device_Configuration'!BG124</f>
        <v>0</v>
      </c>
      <c r="L124" s="17">
        <f>'12 - Device_Configuration'!P124</f>
        <v>0</v>
      </c>
      <c r="M124" s="17">
        <f>'12 - Device_Configuration'!Q124</f>
        <v>0</v>
      </c>
      <c r="N124" s="17" t="str">
        <f>'12 - Device_Configuration'!BK124</f>
        <v/>
      </c>
      <c r="O124" s="31" t="str">
        <f>'12 - Device_Configuration'!BL124</f>
        <v/>
      </c>
      <c r="P124" s="2">
        <f>'12 - Device_Configuration'!BA124</f>
        <v>0</v>
      </c>
      <c r="Q124" s="31" t="str">
        <f t="shared" si="4"/>
        <v/>
      </c>
      <c r="R124" s="17" t="str">
        <f t="shared" si="5"/>
        <v>SW NOT INSTALLED</v>
      </c>
      <c r="S124" s="17" t="str">
        <f t="shared" si="6"/>
        <v/>
      </c>
      <c r="T124" s="17" t="str">
        <f t="shared" si="7"/>
        <v>SW NOT INSTALLED</v>
      </c>
    </row>
    <row r="125" spans="1:20">
      <c r="A125" s="31" t="str">
        <f>'12 - Device_Configuration'!H125</f>
        <v>LIJ - OR</v>
      </c>
      <c r="B125" s="31" t="str">
        <f>'12 - Device_Configuration'!S125</f>
        <v>WNH270OPR437</v>
      </c>
      <c r="C125" s="31">
        <f>'12 - Device_Configuration'!T125</f>
        <v>0</v>
      </c>
      <c r="D125" s="17">
        <f>'12 - Device_Configuration'!AJ125</f>
        <v>0</v>
      </c>
      <c r="E125" s="17" t="str">
        <f>'12 - Device_Configuration'!J125</f>
        <v>Yes</v>
      </c>
      <c r="F125" s="31" t="str">
        <f>'12 - Device_Configuration'!K125</f>
        <v>No</v>
      </c>
      <c r="G125" s="17" t="str">
        <f>'12 - Device_Configuration'!L125</f>
        <v>No</v>
      </c>
      <c r="H125" s="17">
        <f>'13 - Config_Intake_View'!M125</f>
        <v>0</v>
      </c>
      <c r="I125" s="31">
        <f>IF('13 - Config_Intake_View'!Q125&lt;&gt;"",'13 - Config_Intake_View'!Q125,'12 - Device_Configuration'!BH125)</f>
        <v>0</v>
      </c>
      <c r="J125" s="17" t="str">
        <f>IF('13 - Config_Intake_View'!Q125&lt;&gt;"","PM Approved",IF('12 - Device_Configuration'!BH125&lt;&gt;"","Assumed",""))</f>
        <v/>
      </c>
      <c r="K125" s="31">
        <f>'12 - Device_Configuration'!BG125</f>
        <v>0</v>
      </c>
      <c r="L125" s="17">
        <f>'12 - Device_Configuration'!P125</f>
        <v>0</v>
      </c>
      <c r="M125" s="17">
        <f>'12 - Device_Configuration'!Q125</f>
        <v>0</v>
      </c>
      <c r="N125" s="17" t="str">
        <f>'12 - Device_Configuration'!BK125</f>
        <v/>
      </c>
      <c r="O125" s="31" t="str">
        <f>'12 - Device_Configuration'!BL125</f>
        <v/>
      </c>
      <c r="P125" s="2">
        <f>'12 - Device_Configuration'!BA125</f>
        <v>0</v>
      </c>
      <c r="Q125" s="31" t="str">
        <f t="shared" si="4"/>
        <v/>
      </c>
      <c r="R125" s="17" t="str">
        <f t="shared" si="5"/>
        <v>SW NOT INSTALLED</v>
      </c>
      <c r="S125" s="17" t="str">
        <f t="shared" si="6"/>
        <v/>
      </c>
      <c r="T125" s="17" t="str">
        <f t="shared" si="7"/>
        <v>SW NOT INSTALLED</v>
      </c>
    </row>
    <row r="126" spans="1:20">
      <c r="A126" s="31" t="str">
        <f>'12 - Device_Configuration'!H126</f>
        <v>LIJ - OR</v>
      </c>
      <c r="B126" s="31" t="str">
        <f>'12 - Device_Configuration'!S126</f>
        <v>WNH270OPR438</v>
      </c>
      <c r="C126" s="31">
        <f>'12 - Device_Configuration'!T126</f>
        <v>0</v>
      </c>
      <c r="D126" s="17">
        <f>'12 - Device_Configuration'!AJ126</f>
        <v>0</v>
      </c>
      <c r="E126" s="17" t="str">
        <f>'12 - Device_Configuration'!J126</f>
        <v>Yes</v>
      </c>
      <c r="F126" s="31" t="str">
        <f>'12 - Device_Configuration'!K126</f>
        <v>No</v>
      </c>
      <c r="G126" s="17" t="str">
        <f>'12 - Device_Configuration'!L126</f>
        <v>No</v>
      </c>
      <c r="H126" s="17">
        <f>'13 - Config_Intake_View'!M126</f>
        <v>0</v>
      </c>
      <c r="I126" s="31">
        <f>IF('13 - Config_Intake_View'!Q126&lt;&gt;"",'13 - Config_Intake_View'!Q126,'12 - Device_Configuration'!BH126)</f>
        <v>0</v>
      </c>
      <c r="J126" s="17" t="str">
        <f>IF('13 - Config_Intake_View'!Q126&lt;&gt;"","PM Approved",IF('12 - Device_Configuration'!BH126&lt;&gt;"","Assumed",""))</f>
        <v/>
      </c>
      <c r="K126" s="31">
        <f>'12 - Device_Configuration'!BG126</f>
        <v>0</v>
      </c>
      <c r="L126" s="17">
        <f>'12 - Device_Configuration'!P126</f>
        <v>0</v>
      </c>
      <c r="M126" s="17">
        <f>'12 - Device_Configuration'!Q126</f>
        <v>0</v>
      </c>
      <c r="N126" s="17" t="str">
        <f>'12 - Device_Configuration'!BK126</f>
        <v/>
      </c>
      <c r="O126" s="31" t="str">
        <f>'12 - Device_Configuration'!BL126</f>
        <v/>
      </c>
      <c r="P126" s="2">
        <f>'12 - Device_Configuration'!BA126</f>
        <v>0</v>
      </c>
      <c r="Q126" s="31" t="str">
        <f t="shared" si="4"/>
        <v/>
      </c>
      <c r="R126" s="17" t="str">
        <f t="shared" si="5"/>
        <v>SW NOT INSTALLED</v>
      </c>
      <c r="S126" s="17" t="str">
        <f t="shared" si="6"/>
        <v/>
      </c>
      <c r="T126" s="17" t="str">
        <f t="shared" si="7"/>
        <v>SW NOT INSTALLED</v>
      </c>
    </row>
    <row r="127" spans="1:20">
      <c r="A127" s="31" t="str">
        <f>'12 - Device_Configuration'!H127</f>
        <v>LIJ - OR</v>
      </c>
      <c r="B127" s="31" t="str">
        <f>'12 - Device_Configuration'!S127</f>
        <v>WNH270OPR439</v>
      </c>
      <c r="C127" s="31">
        <f>'12 - Device_Configuration'!T127</f>
        <v>0</v>
      </c>
      <c r="D127" s="17">
        <f>'12 - Device_Configuration'!AJ127</f>
        <v>0</v>
      </c>
      <c r="E127" s="17" t="str">
        <f>'12 - Device_Configuration'!J127</f>
        <v>Yes</v>
      </c>
      <c r="F127" s="31" t="str">
        <f>'12 - Device_Configuration'!K127</f>
        <v>No</v>
      </c>
      <c r="G127" s="17" t="str">
        <f>'12 - Device_Configuration'!L127</f>
        <v>No</v>
      </c>
      <c r="H127" s="17">
        <f>'13 - Config_Intake_View'!M127</f>
        <v>0</v>
      </c>
      <c r="I127" s="31">
        <f>IF('13 - Config_Intake_View'!Q127&lt;&gt;"",'13 - Config_Intake_View'!Q127,'12 - Device_Configuration'!BH127)</f>
        <v>0</v>
      </c>
      <c r="J127" s="17" t="str">
        <f>IF('13 - Config_Intake_View'!Q127&lt;&gt;"","PM Approved",IF('12 - Device_Configuration'!BH127&lt;&gt;"","Assumed",""))</f>
        <v/>
      </c>
      <c r="K127" s="31">
        <f>'12 - Device_Configuration'!BG127</f>
        <v>0</v>
      </c>
      <c r="L127" s="17">
        <f>'12 - Device_Configuration'!P127</f>
        <v>0</v>
      </c>
      <c r="M127" s="17">
        <f>'12 - Device_Configuration'!Q127</f>
        <v>0</v>
      </c>
      <c r="N127" s="17" t="str">
        <f>'12 - Device_Configuration'!BK127</f>
        <v/>
      </c>
      <c r="O127" s="31" t="str">
        <f>'12 - Device_Configuration'!BL127</f>
        <v/>
      </c>
      <c r="P127" s="2">
        <f>'12 - Device_Configuration'!BA127</f>
        <v>0</v>
      </c>
      <c r="Q127" s="31" t="str">
        <f t="shared" si="4"/>
        <v/>
      </c>
      <c r="R127" s="17" t="str">
        <f t="shared" si="5"/>
        <v>SW NOT INSTALLED</v>
      </c>
      <c r="S127" s="17" t="str">
        <f t="shared" si="6"/>
        <v/>
      </c>
      <c r="T127" s="17" t="str">
        <f t="shared" si="7"/>
        <v>SW NOT INSTALLED</v>
      </c>
    </row>
    <row r="128" spans="1:20">
      <c r="A128" s="31" t="str">
        <f>'12 - Device_Configuration'!H128</f>
        <v>LIJ - OR</v>
      </c>
      <c r="B128" s="31" t="str">
        <f>'12 - Device_Configuration'!S128</f>
        <v>WNH270OPR440</v>
      </c>
      <c r="C128" s="31">
        <f>'12 - Device_Configuration'!T128</f>
        <v>0</v>
      </c>
      <c r="D128" s="17">
        <f>'12 - Device_Configuration'!AJ128</f>
        <v>0</v>
      </c>
      <c r="E128" s="17" t="str">
        <f>'12 - Device_Configuration'!J128</f>
        <v>Yes</v>
      </c>
      <c r="F128" s="31" t="str">
        <f>'12 - Device_Configuration'!K128</f>
        <v>No</v>
      </c>
      <c r="G128" s="17" t="str">
        <f>'12 - Device_Configuration'!L128</f>
        <v>No</v>
      </c>
      <c r="H128" s="17">
        <f>'13 - Config_Intake_View'!M128</f>
        <v>0</v>
      </c>
      <c r="I128" s="31">
        <f>IF('13 - Config_Intake_View'!Q128&lt;&gt;"",'13 - Config_Intake_View'!Q128,'12 - Device_Configuration'!BH128)</f>
        <v>0</v>
      </c>
      <c r="J128" s="17" t="str">
        <f>IF('13 - Config_Intake_View'!Q128&lt;&gt;"","PM Approved",IF('12 - Device_Configuration'!BH128&lt;&gt;"","Assumed",""))</f>
        <v/>
      </c>
      <c r="K128" s="31">
        <f>'12 - Device_Configuration'!BG128</f>
        <v>0</v>
      </c>
      <c r="L128" s="17">
        <f>'12 - Device_Configuration'!P128</f>
        <v>0</v>
      </c>
      <c r="M128" s="17">
        <f>'12 - Device_Configuration'!Q128</f>
        <v>0</v>
      </c>
      <c r="N128" s="17" t="str">
        <f>'12 - Device_Configuration'!BK128</f>
        <v/>
      </c>
      <c r="O128" s="31" t="str">
        <f>'12 - Device_Configuration'!BL128</f>
        <v/>
      </c>
      <c r="P128" s="2">
        <f>'12 - Device_Configuration'!BA128</f>
        <v>0</v>
      </c>
      <c r="Q128" s="31" t="str">
        <f t="shared" si="4"/>
        <v/>
      </c>
      <c r="R128" s="17" t="str">
        <f t="shared" si="5"/>
        <v>SW NOT INSTALLED</v>
      </c>
      <c r="S128" s="17" t="str">
        <f t="shared" si="6"/>
        <v/>
      </c>
      <c r="T128" s="17" t="str">
        <f t="shared" si="7"/>
        <v>SW NOT INSTALLED</v>
      </c>
    </row>
    <row r="129" spans="1:20">
      <c r="A129" s="31" t="str">
        <f>'12 - Device_Configuration'!H129</f>
        <v>LIJ - OR</v>
      </c>
      <c r="B129" s="31" t="str">
        <f>'12 - Device_Configuration'!S129</f>
        <v>WNH270OPR441</v>
      </c>
      <c r="C129" s="31">
        <f>'12 - Device_Configuration'!T129</f>
        <v>0</v>
      </c>
      <c r="D129" s="17">
        <f>'12 - Device_Configuration'!AJ129</f>
        <v>0</v>
      </c>
      <c r="E129" s="17" t="str">
        <f>'12 - Device_Configuration'!J129</f>
        <v>Yes</v>
      </c>
      <c r="F129" s="31" t="str">
        <f>'12 - Device_Configuration'!K129</f>
        <v>No</v>
      </c>
      <c r="G129" s="17" t="str">
        <f>'12 - Device_Configuration'!L129</f>
        <v>No</v>
      </c>
      <c r="H129" s="17">
        <f>'13 - Config_Intake_View'!M129</f>
        <v>0</v>
      </c>
      <c r="I129" s="31">
        <f>IF('13 - Config_Intake_View'!Q129&lt;&gt;"",'13 - Config_Intake_View'!Q129,'12 - Device_Configuration'!BH129)</f>
        <v>0</v>
      </c>
      <c r="J129" s="17" t="str">
        <f>IF('13 - Config_Intake_View'!Q129&lt;&gt;"","PM Approved",IF('12 - Device_Configuration'!BH129&lt;&gt;"","Assumed",""))</f>
        <v/>
      </c>
      <c r="K129" s="31">
        <f>'12 - Device_Configuration'!BG129</f>
        <v>0</v>
      </c>
      <c r="L129" s="17">
        <f>'12 - Device_Configuration'!P129</f>
        <v>0</v>
      </c>
      <c r="M129" s="17">
        <f>'12 - Device_Configuration'!Q129</f>
        <v>0</v>
      </c>
      <c r="N129" s="17" t="str">
        <f>'12 - Device_Configuration'!BK129</f>
        <v/>
      </c>
      <c r="O129" s="31" t="str">
        <f>'12 - Device_Configuration'!BL129</f>
        <v/>
      </c>
      <c r="P129" s="2">
        <f>'12 - Device_Configuration'!BA129</f>
        <v>0</v>
      </c>
      <c r="Q129" s="31" t="str">
        <f t="shared" si="4"/>
        <v/>
      </c>
      <c r="R129" s="17" t="str">
        <f t="shared" si="5"/>
        <v>SW NOT INSTALLED</v>
      </c>
      <c r="S129" s="17" t="str">
        <f t="shared" si="6"/>
        <v/>
      </c>
      <c r="T129" s="17" t="str">
        <f t="shared" si="7"/>
        <v>SW NOT INSTALLED</v>
      </c>
    </row>
    <row r="130" spans="1:20">
      <c r="A130" s="31" t="str">
        <f>'12 - Device_Configuration'!H130</f>
        <v>LIJ - OR</v>
      </c>
      <c r="B130" s="31" t="str">
        <f>'12 - Device_Configuration'!S130</f>
        <v>WNH270OPR442</v>
      </c>
      <c r="C130" s="31">
        <f>'12 - Device_Configuration'!T130</f>
        <v>0</v>
      </c>
      <c r="D130" s="17">
        <f>'12 - Device_Configuration'!AJ130</f>
        <v>0</v>
      </c>
      <c r="E130" s="17" t="str">
        <f>'12 - Device_Configuration'!J130</f>
        <v>Yes</v>
      </c>
      <c r="F130" s="31" t="str">
        <f>'12 - Device_Configuration'!K130</f>
        <v>No</v>
      </c>
      <c r="G130" s="17" t="str">
        <f>'12 - Device_Configuration'!L130</f>
        <v>No</v>
      </c>
      <c r="H130" s="17">
        <f>'13 - Config_Intake_View'!M130</f>
        <v>0</v>
      </c>
      <c r="I130" s="31">
        <f>IF('13 - Config_Intake_View'!Q130&lt;&gt;"",'13 - Config_Intake_View'!Q130,'12 - Device_Configuration'!BH130)</f>
        <v>0</v>
      </c>
      <c r="J130" s="17" t="str">
        <f>IF('13 - Config_Intake_View'!Q130&lt;&gt;"","PM Approved",IF('12 - Device_Configuration'!BH130&lt;&gt;"","Assumed",""))</f>
        <v/>
      </c>
      <c r="K130" s="31">
        <f>'12 - Device_Configuration'!BG130</f>
        <v>0</v>
      </c>
      <c r="L130" s="17">
        <f>'12 - Device_Configuration'!P130</f>
        <v>0</v>
      </c>
      <c r="M130" s="17">
        <f>'12 - Device_Configuration'!Q130</f>
        <v>0</v>
      </c>
      <c r="N130" s="17" t="str">
        <f>'12 - Device_Configuration'!BK130</f>
        <v/>
      </c>
      <c r="O130" s="31" t="str">
        <f>'12 - Device_Configuration'!BL130</f>
        <v/>
      </c>
      <c r="P130" s="2">
        <f>'12 - Device_Configuration'!BA130</f>
        <v>0</v>
      </c>
      <c r="Q130" s="31" t="str">
        <f t="shared" ref="Q130:Q193" si="8">IF(OR($A130="",$B130="",$D130=""),"MISSING CORE FIELDS","")</f>
        <v/>
      </c>
      <c r="R130" s="17" t="str">
        <f t="shared" ref="R130:R193" si="9">IF(AND($I130&lt;&gt;"",$K130&lt;&gt;"Yes"),"SW NOT INSTALLED","")</f>
        <v>SW NOT INSTALLED</v>
      </c>
      <c r="S130" s="17" t="str">
        <f t="shared" ref="S130:S193" si="10">IF(AND($H130&lt;&gt;"",ISNUMBER(SEARCH("auto",LOWER($H130))),$F130=""),"AUTOLOGON REQUIRED","")</f>
        <v/>
      </c>
      <c r="T130" s="17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31" t="str">
        <f>'12 - Device_Configuration'!H131</f>
        <v>LIJ - OR</v>
      </c>
      <c r="B131" s="31" t="str">
        <f>'12 - Device_Configuration'!S131</f>
        <v>WNH270OPR443</v>
      </c>
      <c r="C131" s="31">
        <f>'12 - Device_Configuration'!T131</f>
        <v>0</v>
      </c>
      <c r="D131" s="17">
        <f>'12 - Device_Configuration'!AJ131</f>
        <v>0</v>
      </c>
      <c r="E131" s="17" t="str">
        <f>'12 - Device_Configuration'!J131</f>
        <v>Yes</v>
      </c>
      <c r="F131" s="31" t="str">
        <f>'12 - Device_Configuration'!K131</f>
        <v>No</v>
      </c>
      <c r="G131" s="17" t="str">
        <f>'12 - Device_Configuration'!L131</f>
        <v>No</v>
      </c>
      <c r="H131" s="17">
        <f>'13 - Config_Intake_View'!M131</f>
        <v>0</v>
      </c>
      <c r="I131" s="31">
        <f>IF('13 - Config_Intake_View'!Q131&lt;&gt;"",'13 - Config_Intake_View'!Q131,'12 - Device_Configuration'!BH131)</f>
        <v>0</v>
      </c>
      <c r="J131" s="17" t="str">
        <f>IF('13 - Config_Intake_View'!Q131&lt;&gt;"","PM Approved",IF('12 - Device_Configuration'!BH131&lt;&gt;"","Assumed",""))</f>
        <v/>
      </c>
      <c r="K131" s="31">
        <f>'12 - Device_Configuration'!BG131</f>
        <v>0</v>
      </c>
      <c r="L131" s="17">
        <f>'12 - Device_Configuration'!P131</f>
        <v>0</v>
      </c>
      <c r="M131" s="17">
        <f>'12 - Device_Configuration'!Q131</f>
        <v>0</v>
      </c>
      <c r="N131" s="17" t="str">
        <f>'12 - Device_Configuration'!BK131</f>
        <v/>
      </c>
      <c r="O131" s="31" t="str">
        <f>'12 - Device_Configuration'!BL131</f>
        <v/>
      </c>
      <c r="P131" s="2">
        <f>'12 - Device_Configuration'!BA131</f>
        <v>0</v>
      </c>
      <c r="Q131" s="31" t="str">
        <f t="shared" si="8"/>
        <v/>
      </c>
      <c r="R131" s="17" t="str">
        <f t="shared" si="9"/>
        <v>SW NOT INSTALLED</v>
      </c>
      <c r="S131" s="17" t="str">
        <f t="shared" si="10"/>
        <v/>
      </c>
      <c r="T131" s="17" t="str">
        <f t="shared" si="11"/>
        <v>SW NOT INSTALLED</v>
      </c>
    </row>
    <row r="132" spans="1:20">
      <c r="A132" s="31" t="str">
        <f>'12 - Device_Configuration'!H132</f>
        <v>LIJ - OR</v>
      </c>
      <c r="B132" s="31" t="str">
        <f>'12 - Device_Configuration'!S132</f>
        <v>WNH270OPR444</v>
      </c>
      <c r="C132" s="31">
        <f>'12 - Device_Configuration'!T132</f>
        <v>0</v>
      </c>
      <c r="D132" s="17">
        <f>'12 - Device_Configuration'!AJ132</f>
        <v>0</v>
      </c>
      <c r="E132" s="17" t="str">
        <f>'12 - Device_Configuration'!J132</f>
        <v>Yes</v>
      </c>
      <c r="F132" s="31" t="str">
        <f>'12 - Device_Configuration'!K132</f>
        <v>No</v>
      </c>
      <c r="G132" s="17" t="str">
        <f>'12 - Device_Configuration'!L132</f>
        <v>No</v>
      </c>
      <c r="H132" s="17">
        <f>'13 - Config_Intake_View'!M132</f>
        <v>0</v>
      </c>
      <c r="I132" s="31">
        <f>IF('13 - Config_Intake_View'!Q132&lt;&gt;"",'13 - Config_Intake_View'!Q132,'12 - Device_Configuration'!BH132)</f>
        <v>0</v>
      </c>
      <c r="J132" s="17" t="str">
        <f>IF('13 - Config_Intake_View'!Q132&lt;&gt;"","PM Approved",IF('12 - Device_Configuration'!BH132&lt;&gt;"","Assumed",""))</f>
        <v/>
      </c>
      <c r="K132" s="31">
        <f>'12 - Device_Configuration'!BG132</f>
        <v>0</v>
      </c>
      <c r="L132" s="17">
        <f>'12 - Device_Configuration'!P132</f>
        <v>0</v>
      </c>
      <c r="M132" s="17">
        <f>'12 - Device_Configuration'!Q132</f>
        <v>0</v>
      </c>
      <c r="N132" s="17" t="str">
        <f>'12 - Device_Configuration'!BK132</f>
        <v/>
      </c>
      <c r="O132" s="31" t="str">
        <f>'12 - Device_Configuration'!BL132</f>
        <v/>
      </c>
      <c r="P132" s="2">
        <f>'12 - Device_Configuration'!BA132</f>
        <v>0</v>
      </c>
      <c r="Q132" s="31" t="str">
        <f t="shared" si="8"/>
        <v/>
      </c>
      <c r="R132" s="17" t="str">
        <f t="shared" si="9"/>
        <v>SW NOT INSTALLED</v>
      </c>
      <c r="S132" s="17" t="str">
        <f t="shared" si="10"/>
        <v/>
      </c>
      <c r="T132" s="17" t="str">
        <f t="shared" si="11"/>
        <v>SW NOT INSTALLED</v>
      </c>
    </row>
    <row r="133" spans="1:20">
      <c r="A133" s="31" t="str">
        <f>'12 - Device_Configuration'!H133</f>
        <v>LIJ - OR</v>
      </c>
      <c r="B133" s="31" t="str">
        <f>'12 - Device_Configuration'!S133</f>
        <v>WNH270OPR445</v>
      </c>
      <c r="C133" s="31">
        <f>'12 - Device_Configuration'!T133</f>
        <v>0</v>
      </c>
      <c r="D133" s="17">
        <f>'12 - Device_Configuration'!AJ133</f>
        <v>0</v>
      </c>
      <c r="E133" s="17" t="str">
        <f>'12 - Device_Configuration'!J133</f>
        <v>Yes</v>
      </c>
      <c r="F133" s="31" t="str">
        <f>'12 - Device_Configuration'!K133</f>
        <v>No</v>
      </c>
      <c r="G133" s="17" t="str">
        <f>'12 - Device_Configuration'!L133</f>
        <v>No</v>
      </c>
      <c r="H133" s="17">
        <f>'13 - Config_Intake_View'!M133</f>
        <v>0</v>
      </c>
      <c r="I133" s="31">
        <f>IF('13 - Config_Intake_View'!Q133&lt;&gt;"",'13 - Config_Intake_View'!Q133,'12 - Device_Configuration'!BH133)</f>
        <v>0</v>
      </c>
      <c r="J133" s="17" t="str">
        <f>IF('13 - Config_Intake_View'!Q133&lt;&gt;"","PM Approved",IF('12 - Device_Configuration'!BH133&lt;&gt;"","Assumed",""))</f>
        <v/>
      </c>
      <c r="K133" s="31">
        <f>'12 - Device_Configuration'!BG133</f>
        <v>0</v>
      </c>
      <c r="L133" s="17">
        <f>'12 - Device_Configuration'!P133</f>
        <v>0</v>
      </c>
      <c r="M133" s="17">
        <f>'12 - Device_Configuration'!Q133</f>
        <v>0</v>
      </c>
      <c r="N133" s="17" t="str">
        <f>'12 - Device_Configuration'!BK133</f>
        <v/>
      </c>
      <c r="O133" s="31" t="str">
        <f>'12 - Device_Configuration'!BL133</f>
        <v/>
      </c>
      <c r="P133" s="2">
        <f>'12 - Device_Configuration'!BA133</f>
        <v>0</v>
      </c>
      <c r="Q133" s="31" t="str">
        <f t="shared" si="8"/>
        <v/>
      </c>
      <c r="R133" s="17" t="str">
        <f t="shared" si="9"/>
        <v>SW NOT INSTALLED</v>
      </c>
      <c r="S133" s="17" t="str">
        <f t="shared" si="10"/>
        <v/>
      </c>
      <c r="T133" s="17" t="str">
        <f t="shared" si="11"/>
        <v>SW NOT INSTALLED</v>
      </c>
    </row>
    <row r="134" spans="1:20">
      <c r="A134" s="31" t="str">
        <f>'12 - Device_Configuration'!H134</f>
        <v>LIJ - OR</v>
      </c>
      <c r="B134" s="31" t="str">
        <f>'12 - Device_Configuration'!S134</f>
        <v>WNH270OPR446</v>
      </c>
      <c r="C134" s="31">
        <f>'12 - Device_Configuration'!T134</f>
        <v>0</v>
      </c>
      <c r="D134" s="17">
        <f>'12 - Device_Configuration'!AJ134</f>
        <v>0</v>
      </c>
      <c r="E134" s="17" t="str">
        <f>'12 - Device_Configuration'!J134</f>
        <v>Yes</v>
      </c>
      <c r="F134" s="31" t="str">
        <f>'12 - Device_Configuration'!K134</f>
        <v>No</v>
      </c>
      <c r="G134" s="17" t="str">
        <f>'12 - Device_Configuration'!L134</f>
        <v>No</v>
      </c>
      <c r="H134" s="17">
        <f>'13 - Config_Intake_View'!M134</f>
        <v>0</v>
      </c>
      <c r="I134" s="31">
        <f>IF('13 - Config_Intake_View'!Q134&lt;&gt;"",'13 - Config_Intake_View'!Q134,'12 - Device_Configuration'!BH134)</f>
        <v>0</v>
      </c>
      <c r="J134" s="17" t="str">
        <f>IF('13 - Config_Intake_View'!Q134&lt;&gt;"","PM Approved",IF('12 - Device_Configuration'!BH134&lt;&gt;"","Assumed",""))</f>
        <v/>
      </c>
      <c r="K134" s="31">
        <f>'12 - Device_Configuration'!BG134</f>
        <v>0</v>
      </c>
      <c r="L134" s="17">
        <f>'12 - Device_Configuration'!P134</f>
        <v>0</v>
      </c>
      <c r="M134" s="17">
        <f>'12 - Device_Configuration'!Q134</f>
        <v>0</v>
      </c>
      <c r="N134" s="17" t="str">
        <f>'12 - Device_Configuration'!BK134</f>
        <v/>
      </c>
      <c r="O134" s="31" t="str">
        <f>'12 - Device_Configuration'!BL134</f>
        <v/>
      </c>
      <c r="P134" s="2">
        <f>'12 - Device_Configuration'!BA134</f>
        <v>0</v>
      </c>
      <c r="Q134" s="31" t="str">
        <f t="shared" si="8"/>
        <v/>
      </c>
      <c r="R134" s="17" t="str">
        <f t="shared" si="9"/>
        <v>SW NOT INSTALLED</v>
      </c>
      <c r="S134" s="17" t="str">
        <f t="shared" si="10"/>
        <v/>
      </c>
      <c r="T134" s="17" t="str">
        <f t="shared" si="11"/>
        <v>SW NOT INSTALLED</v>
      </c>
    </row>
    <row r="135" spans="1:20">
      <c r="A135" s="31" t="str">
        <f>'12 - Device_Configuration'!H135</f>
        <v>LIJ - OR</v>
      </c>
      <c r="B135" s="31" t="str">
        <f>'12 - Device_Configuration'!S135</f>
        <v>WNH270OPR447</v>
      </c>
      <c r="C135" s="31">
        <f>'12 - Device_Configuration'!T135</f>
        <v>0</v>
      </c>
      <c r="D135" s="17">
        <f>'12 - Device_Configuration'!AJ135</f>
        <v>0</v>
      </c>
      <c r="E135" s="17" t="str">
        <f>'12 - Device_Configuration'!J135</f>
        <v>Yes</v>
      </c>
      <c r="F135" s="31" t="str">
        <f>'12 - Device_Configuration'!K135</f>
        <v>No</v>
      </c>
      <c r="G135" s="17" t="str">
        <f>'12 - Device_Configuration'!L135</f>
        <v>No</v>
      </c>
      <c r="H135" s="17">
        <f>'13 - Config_Intake_View'!M135</f>
        <v>0</v>
      </c>
      <c r="I135" s="31">
        <f>IF('13 - Config_Intake_View'!Q135&lt;&gt;"",'13 - Config_Intake_View'!Q135,'12 - Device_Configuration'!BH135)</f>
        <v>0</v>
      </c>
      <c r="J135" s="17" t="str">
        <f>IF('13 - Config_Intake_View'!Q135&lt;&gt;"","PM Approved",IF('12 - Device_Configuration'!BH135&lt;&gt;"","Assumed",""))</f>
        <v/>
      </c>
      <c r="K135" s="31">
        <f>'12 - Device_Configuration'!BG135</f>
        <v>0</v>
      </c>
      <c r="L135" s="17">
        <f>'12 - Device_Configuration'!P135</f>
        <v>0</v>
      </c>
      <c r="M135" s="17">
        <f>'12 - Device_Configuration'!Q135</f>
        <v>0</v>
      </c>
      <c r="N135" s="17" t="str">
        <f>'12 - Device_Configuration'!BK135</f>
        <v/>
      </c>
      <c r="O135" s="31" t="str">
        <f>'12 - Device_Configuration'!BL135</f>
        <v/>
      </c>
      <c r="P135" s="2">
        <f>'12 - Device_Configuration'!BA135</f>
        <v>0</v>
      </c>
      <c r="Q135" s="31" t="str">
        <f t="shared" si="8"/>
        <v/>
      </c>
      <c r="R135" s="17" t="str">
        <f t="shared" si="9"/>
        <v>SW NOT INSTALLED</v>
      </c>
      <c r="S135" s="17" t="str">
        <f t="shared" si="10"/>
        <v/>
      </c>
      <c r="T135" s="17" t="str">
        <f t="shared" si="11"/>
        <v>SW NOT INSTALLED</v>
      </c>
    </row>
    <row r="136" spans="1:20">
      <c r="A136" s="31" t="str">
        <f>'12 - Device_Configuration'!H136</f>
        <v>LIJ - OR</v>
      </c>
      <c r="B136" s="31" t="str">
        <f>'12 - Device_Configuration'!S136</f>
        <v>WNH270OPR448</v>
      </c>
      <c r="C136" s="31">
        <f>'12 - Device_Configuration'!T136</f>
        <v>0</v>
      </c>
      <c r="D136" s="17">
        <f>'12 - Device_Configuration'!AJ136</f>
        <v>0</v>
      </c>
      <c r="E136" s="17" t="str">
        <f>'12 - Device_Configuration'!J136</f>
        <v>Yes</v>
      </c>
      <c r="F136" s="31" t="str">
        <f>'12 - Device_Configuration'!K136</f>
        <v>No</v>
      </c>
      <c r="G136" s="17" t="str">
        <f>'12 - Device_Configuration'!L136</f>
        <v>No</v>
      </c>
      <c r="H136" s="17">
        <f>'13 - Config_Intake_View'!M136</f>
        <v>0</v>
      </c>
      <c r="I136" s="31">
        <f>IF('13 - Config_Intake_View'!Q136&lt;&gt;"",'13 - Config_Intake_View'!Q136,'12 - Device_Configuration'!BH136)</f>
        <v>0</v>
      </c>
      <c r="J136" s="17" t="str">
        <f>IF('13 - Config_Intake_View'!Q136&lt;&gt;"","PM Approved",IF('12 - Device_Configuration'!BH136&lt;&gt;"","Assumed",""))</f>
        <v/>
      </c>
      <c r="K136" s="31">
        <f>'12 - Device_Configuration'!BG136</f>
        <v>0</v>
      </c>
      <c r="L136" s="17">
        <f>'12 - Device_Configuration'!P136</f>
        <v>0</v>
      </c>
      <c r="M136" s="17">
        <f>'12 - Device_Configuration'!Q136</f>
        <v>0</v>
      </c>
      <c r="N136" s="17" t="str">
        <f>'12 - Device_Configuration'!BK136</f>
        <v/>
      </c>
      <c r="O136" s="31" t="str">
        <f>'12 - Device_Configuration'!BL136</f>
        <v/>
      </c>
      <c r="P136" s="2">
        <f>'12 - Device_Configuration'!BA136</f>
        <v>0</v>
      </c>
      <c r="Q136" s="31" t="str">
        <f t="shared" si="8"/>
        <v/>
      </c>
      <c r="R136" s="17" t="str">
        <f t="shared" si="9"/>
        <v>SW NOT INSTALLED</v>
      </c>
      <c r="S136" s="17" t="str">
        <f t="shared" si="10"/>
        <v/>
      </c>
      <c r="T136" s="17" t="str">
        <f t="shared" si="11"/>
        <v>SW NOT INSTALLED</v>
      </c>
    </row>
    <row r="137" spans="1:20">
      <c r="A137" s="31" t="str">
        <f>'12 - Device_Configuration'!H137</f>
        <v>LIJ - OR</v>
      </c>
      <c r="B137" s="31" t="str">
        <f>'12 - Device_Configuration'!S137</f>
        <v>WNH270OPR449</v>
      </c>
      <c r="C137" s="31">
        <f>'12 - Device_Configuration'!T137</f>
        <v>0</v>
      </c>
      <c r="D137" s="17">
        <f>'12 - Device_Configuration'!AJ137</f>
        <v>0</v>
      </c>
      <c r="E137" s="17" t="str">
        <f>'12 - Device_Configuration'!J137</f>
        <v>Yes</v>
      </c>
      <c r="F137" s="31" t="str">
        <f>'12 - Device_Configuration'!K137</f>
        <v>No</v>
      </c>
      <c r="G137" s="17" t="str">
        <f>'12 - Device_Configuration'!L137</f>
        <v>No</v>
      </c>
      <c r="H137" s="17">
        <f>'13 - Config_Intake_View'!M137</f>
        <v>0</v>
      </c>
      <c r="I137" s="31">
        <f>IF('13 - Config_Intake_View'!Q137&lt;&gt;"",'13 - Config_Intake_View'!Q137,'12 - Device_Configuration'!BH137)</f>
        <v>0</v>
      </c>
      <c r="J137" s="17" t="str">
        <f>IF('13 - Config_Intake_View'!Q137&lt;&gt;"","PM Approved",IF('12 - Device_Configuration'!BH137&lt;&gt;"","Assumed",""))</f>
        <v/>
      </c>
      <c r="K137" s="31">
        <f>'12 - Device_Configuration'!BG137</f>
        <v>0</v>
      </c>
      <c r="L137" s="17">
        <f>'12 - Device_Configuration'!P137</f>
        <v>0</v>
      </c>
      <c r="M137" s="17">
        <f>'12 - Device_Configuration'!Q137</f>
        <v>0</v>
      </c>
      <c r="N137" s="17" t="str">
        <f>'12 - Device_Configuration'!BK137</f>
        <v/>
      </c>
      <c r="O137" s="31" t="str">
        <f>'12 - Device_Configuration'!BL137</f>
        <v/>
      </c>
      <c r="P137" s="2">
        <f>'12 - Device_Configuration'!BA137</f>
        <v>0</v>
      </c>
      <c r="Q137" s="31" t="str">
        <f t="shared" si="8"/>
        <v/>
      </c>
      <c r="R137" s="17" t="str">
        <f t="shared" si="9"/>
        <v>SW NOT INSTALLED</v>
      </c>
      <c r="S137" s="17" t="str">
        <f t="shared" si="10"/>
        <v/>
      </c>
      <c r="T137" s="17" t="str">
        <f t="shared" si="11"/>
        <v>SW NOT INSTALLED</v>
      </c>
    </row>
    <row r="138" spans="1:20">
      <c r="A138" s="31" t="str">
        <f>'12 - Device_Configuration'!H139</f>
        <v>LIJVS</v>
      </c>
      <c r="B138" s="31" t="str">
        <f>'12 - Device_Configuration'!S139</f>
        <v>WVS900OPR028</v>
      </c>
      <c r="C138" s="31" t="str">
        <f>'12 - Device_Configuration'!T139</f>
        <v>A0F5097FA59B</v>
      </c>
      <c r="D138" s="17">
        <f>'12 - Device_Configuration'!AJ139</f>
        <v>0</v>
      </c>
      <c r="E138" s="17">
        <f>'12 - Device_Configuration'!J139</f>
        <v>0</v>
      </c>
      <c r="F138" s="31">
        <f>'12 - Device_Configuration'!K139</f>
        <v>0</v>
      </c>
      <c r="G138" s="17">
        <f>'12 - Device_Configuration'!L139</f>
        <v>0</v>
      </c>
      <c r="H138" s="17">
        <f>'13 - Config_Intake_View'!M138</f>
        <v>0</v>
      </c>
      <c r="I138" s="31">
        <f>IF('13 - Config_Intake_View'!Q138&lt;&gt;"",'13 - Config_Intake_View'!Q138,'12 - Device_Configuration'!BH139)</f>
        <v>0</v>
      </c>
      <c r="J138" s="17" t="str">
        <f>IF('13 - Config_Intake_View'!Q138&lt;&gt;"","PM Approved",IF('12 - Device_Configuration'!BH139&lt;&gt;"","Assumed",""))</f>
        <v/>
      </c>
      <c r="K138" s="31">
        <f>'12 - Device_Configuration'!BG139</f>
        <v>0</v>
      </c>
      <c r="L138" s="17">
        <f>'12 - Device_Configuration'!P139</f>
        <v>0</v>
      </c>
      <c r="M138" s="17">
        <f>'12 - Device_Configuration'!Q139</f>
        <v>0</v>
      </c>
      <c r="N138" s="17" t="str">
        <f>'12 - Device_Configuration'!BK139</f>
        <v>Power Cable, Battery, Firmware Download, Device ID, Epic Beans Relay</v>
      </c>
      <c r="O138" s="31" t="str">
        <f>'12 - Device_Configuration'!BL139</f>
        <v>Blocked</v>
      </c>
      <c r="P138" s="2" t="str">
        <f>'12 - Device_Configuration'!BA139</f>
        <v>Yes</v>
      </c>
      <c r="Q138" s="31" t="str">
        <f t="shared" si="8"/>
        <v/>
      </c>
      <c r="R138" s="17" t="str">
        <f t="shared" si="9"/>
        <v>SW NOT INSTALLED</v>
      </c>
      <c r="S138" s="17" t="str">
        <f t="shared" si="10"/>
        <v/>
      </c>
      <c r="T138" s="17" t="str">
        <f t="shared" si="11"/>
        <v>SW NOT INSTALLED</v>
      </c>
    </row>
    <row r="139" spans="1:20">
      <c r="A139" s="31" t="str">
        <f>'12 - Device_Configuration'!H140</f>
        <v>LIJVS</v>
      </c>
      <c r="B139" s="31" t="str">
        <f>'12 - Device_Configuration'!S140</f>
        <v>WVS900OPR023</v>
      </c>
      <c r="C139" s="31" t="str">
        <f>'12 - Device_Configuration'!T140</f>
        <v>A0F5097FA526</v>
      </c>
      <c r="D139" s="17">
        <f>'12 - Device_Configuration'!AJ140</f>
        <v>0</v>
      </c>
      <c r="E139" s="17">
        <f>'12 - Device_Configuration'!J140</f>
        <v>0</v>
      </c>
      <c r="F139" s="31">
        <f>'12 - Device_Configuration'!K140</f>
        <v>0</v>
      </c>
      <c r="G139" s="17">
        <f>'12 - Device_Configuration'!L140</f>
        <v>0</v>
      </c>
      <c r="H139" s="17">
        <f>'13 - Config_Intake_View'!M139</f>
        <v>0</v>
      </c>
      <c r="I139" s="31">
        <f>IF('13 - Config_Intake_View'!Q139&lt;&gt;"",'13 - Config_Intake_View'!Q139,'12 - Device_Configuration'!BH140)</f>
        <v>0</v>
      </c>
      <c r="J139" s="17" t="str">
        <f>IF('13 - Config_Intake_View'!Q139&lt;&gt;"","PM Approved",IF('12 - Device_Configuration'!BH140&lt;&gt;"","Assumed",""))</f>
        <v/>
      </c>
      <c r="K139" s="31">
        <f>'12 - Device_Configuration'!BG140</f>
        <v>0</v>
      </c>
      <c r="L139" s="17">
        <f>'12 - Device_Configuration'!P140</f>
        <v>0</v>
      </c>
      <c r="M139" s="17">
        <f>'12 - Device_Configuration'!Q140</f>
        <v>0</v>
      </c>
      <c r="N139" s="17" t="str">
        <f>'12 - Device_Configuration'!BK140</f>
        <v>Power Cable, Battery, Firmware Download, Device ID, Epic Beans Relay</v>
      </c>
      <c r="O139" s="31" t="str">
        <f>'12 - Device_Configuration'!BL140</f>
        <v>Blocked</v>
      </c>
      <c r="P139" s="2" t="str">
        <f>'12 - Device_Configuration'!BA140</f>
        <v>Yes</v>
      </c>
      <c r="Q139" s="31" t="str">
        <f t="shared" si="8"/>
        <v/>
      </c>
      <c r="R139" s="17" t="str">
        <f t="shared" si="9"/>
        <v>SW NOT INSTALLED</v>
      </c>
      <c r="S139" s="17" t="str">
        <f t="shared" si="10"/>
        <v/>
      </c>
      <c r="T139" s="17" t="str">
        <f t="shared" si="11"/>
        <v>SW NOT INSTALLED</v>
      </c>
    </row>
    <row r="140" spans="1:20">
      <c r="A140" s="31" t="str">
        <f>'12 - Device_Configuration'!H141</f>
        <v>LIJVS</v>
      </c>
      <c r="B140" s="31" t="str">
        <f>'12 - Device_Configuration'!S141</f>
        <v>WVS900OPR026</v>
      </c>
      <c r="C140" s="31" t="str">
        <f>'12 - Device_Configuration'!T141</f>
        <v>A0F5097FA52B</v>
      </c>
      <c r="D140" s="17">
        <f>'12 - Device_Configuration'!AJ141</f>
        <v>0</v>
      </c>
      <c r="E140" s="17">
        <f>'12 - Device_Configuration'!J141</f>
        <v>0</v>
      </c>
      <c r="F140" s="31">
        <f>'12 - Device_Configuration'!K141</f>
        <v>0</v>
      </c>
      <c r="G140" s="17">
        <f>'12 - Device_Configuration'!L141</f>
        <v>0</v>
      </c>
      <c r="H140" s="17">
        <f>'13 - Config_Intake_View'!M140</f>
        <v>0</v>
      </c>
      <c r="I140" s="31">
        <f>IF('13 - Config_Intake_View'!Q140&lt;&gt;"",'13 - Config_Intake_View'!Q140,'12 - Device_Configuration'!BH141)</f>
        <v>0</v>
      </c>
      <c r="J140" s="17" t="str">
        <f>IF('13 - Config_Intake_View'!Q140&lt;&gt;"","PM Approved",IF('12 - Device_Configuration'!BH141&lt;&gt;"","Assumed",""))</f>
        <v/>
      </c>
      <c r="K140" s="31">
        <f>'12 - Device_Configuration'!BG141</f>
        <v>0</v>
      </c>
      <c r="L140" s="17">
        <f>'12 - Device_Configuration'!P141</f>
        <v>0</v>
      </c>
      <c r="M140" s="17">
        <f>'12 - Device_Configuration'!Q141</f>
        <v>0</v>
      </c>
      <c r="N140" s="17" t="str">
        <f>'12 - Device_Configuration'!BK141</f>
        <v>Power Cable, Battery, Firmware Download, Device ID, Epic Beans Relay</v>
      </c>
      <c r="O140" s="31" t="str">
        <f>'12 - Device_Configuration'!BL141</f>
        <v>Blocked</v>
      </c>
      <c r="P140" s="2" t="str">
        <f>'12 - Device_Configuration'!BA141</f>
        <v>Yes</v>
      </c>
      <c r="Q140" s="31" t="str">
        <f t="shared" si="8"/>
        <v/>
      </c>
      <c r="R140" s="17" t="str">
        <f t="shared" si="9"/>
        <v>SW NOT INSTALLED</v>
      </c>
      <c r="S140" s="17" t="str">
        <f t="shared" si="10"/>
        <v/>
      </c>
      <c r="T140" s="17" t="str">
        <f t="shared" si="11"/>
        <v>SW NOT INSTALLED</v>
      </c>
    </row>
    <row r="141" spans="1:20">
      <c r="A141" s="31" t="str">
        <f>'12 - Device_Configuration'!H142</f>
        <v>LIJVS</v>
      </c>
      <c r="B141" s="31" t="str">
        <f>'12 - Device_Configuration'!S142</f>
        <v>WVS900OPR030</v>
      </c>
      <c r="C141" s="31" t="str">
        <f>'12 - Device_Configuration'!T142</f>
        <v>A0F5097FA5C5</v>
      </c>
      <c r="D141" s="17">
        <f>'12 - Device_Configuration'!AJ142</f>
        <v>0</v>
      </c>
      <c r="E141" s="17">
        <f>'12 - Device_Configuration'!J142</f>
        <v>0</v>
      </c>
      <c r="F141" s="31">
        <f>'12 - Device_Configuration'!K142</f>
        <v>0</v>
      </c>
      <c r="G141" s="17">
        <f>'12 - Device_Configuration'!L142</f>
        <v>0</v>
      </c>
      <c r="H141" s="17">
        <f>'13 - Config_Intake_View'!M141</f>
        <v>0</v>
      </c>
      <c r="I141" s="31">
        <f>IF('13 - Config_Intake_View'!Q141&lt;&gt;"",'13 - Config_Intake_View'!Q141,'12 - Device_Configuration'!BH142)</f>
        <v>0</v>
      </c>
      <c r="J141" s="17" t="str">
        <f>IF('13 - Config_Intake_View'!Q141&lt;&gt;"","PM Approved",IF('12 - Device_Configuration'!BH142&lt;&gt;"","Assumed",""))</f>
        <v/>
      </c>
      <c r="K141" s="31">
        <f>'12 - Device_Configuration'!BG142</f>
        <v>0</v>
      </c>
      <c r="L141" s="17">
        <f>'12 - Device_Configuration'!P142</f>
        <v>0</v>
      </c>
      <c r="M141" s="17">
        <f>'12 - Device_Configuration'!Q142</f>
        <v>0</v>
      </c>
      <c r="N141" s="17" t="str">
        <f>'12 - Device_Configuration'!BK142</f>
        <v>Power Cable, Battery, Firmware Download, Device ID, Epic Beans Relay</v>
      </c>
      <c r="O141" s="31" t="str">
        <f>'12 - Device_Configuration'!BL142</f>
        <v>Blocked</v>
      </c>
      <c r="P141" s="2" t="str">
        <f>'12 - Device_Configuration'!BA142</f>
        <v>Yes</v>
      </c>
      <c r="Q141" s="31" t="str">
        <f t="shared" si="8"/>
        <v/>
      </c>
      <c r="R141" s="17" t="str">
        <f t="shared" si="9"/>
        <v>SW NOT INSTALLED</v>
      </c>
      <c r="S141" s="17" t="str">
        <f t="shared" si="10"/>
        <v/>
      </c>
      <c r="T141" s="17" t="str">
        <f t="shared" si="11"/>
        <v>SW NOT INSTALLED</v>
      </c>
    </row>
    <row r="142" spans="1:20">
      <c r="A142" s="31" t="str">
        <f>'12 - Device_Configuration'!H143</f>
        <v>LIJVS</v>
      </c>
      <c r="B142" s="31" t="str">
        <f>'12 - Device_Configuration'!S143</f>
        <v>WVS900OPR029</v>
      </c>
      <c r="C142" s="31" t="str">
        <f>'12 - Device_Configuration'!T143</f>
        <v>A0F5097FA3F3</v>
      </c>
      <c r="D142" s="17">
        <f>'12 - Device_Configuration'!AJ143</f>
        <v>0</v>
      </c>
      <c r="E142" s="17">
        <f>'12 - Device_Configuration'!J143</f>
        <v>0</v>
      </c>
      <c r="F142" s="31">
        <f>'12 - Device_Configuration'!K143</f>
        <v>0</v>
      </c>
      <c r="G142" s="17">
        <f>'12 - Device_Configuration'!L143</f>
        <v>0</v>
      </c>
      <c r="H142" s="17">
        <f>'13 - Config_Intake_View'!M142</f>
        <v>0</v>
      </c>
      <c r="I142" s="31">
        <f>IF('13 - Config_Intake_View'!Q142&lt;&gt;"",'13 - Config_Intake_View'!Q142,'12 - Device_Configuration'!BH143)</f>
        <v>0</v>
      </c>
      <c r="J142" s="17" t="str">
        <f>IF('13 - Config_Intake_View'!Q142&lt;&gt;"","PM Approved",IF('12 - Device_Configuration'!BH143&lt;&gt;"","Assumed",""))</f>
        <v/>
      </c>
      <c r="K142" s="31">
        <f>'12 - Device_Configuration'!BG143</f>
        <v>0</v>
      </c>
      <c r="L142" s="17">
        <f>'12 - Device_Configuration'!P143</f>
        <v>0</v>
      </c>
      <c r="M142" s="17">
        <f>'12 - Device_Configuration'!Q143</f>
        <v>0</v>
      </c>
      <c r="N142" s="17" t="str">
        <f>'12 - Device_Configuration'!BK143</f>
        <v>Power Cable, Battery, Firmware Download, Device ID, Epic Beans Relay</v>
      </c>
      <c r="O142" s="31" t="str">
        <f>'12 - Device_Configuration'!BL143</f>
        <v>Blocked</v>
      </c>
      <c r="P142" s="2" t="str">
        <f>'12 - Device_Configuration'!BA143</f>
        <v>Yes</v>
      </c>
      <c r="Q142" s="31" t="str">
        <f t="shared" si="8"/>
        <v/>
      </c>
      <c r="R142" s="17" t="str">
        <f t="shared" si="9"/>
        <v>SW NOT INSTALLED</v>
      </c>
      <c r="S142" s="17" t="str">
        <f t="shared" si="10"/>
        <v/>
      </c>
      <c r="T142" s="17" t="str">
        <f t="shared" si="11"/>
        <v>SW NOT INSTALLED</v>
      </c>
    </row>
    <row r="143" spans="1:20">
      <c r="A143" s="31" t="str">
        <f>'12 - Device_Configuration'!H144</f>
        <v>LIJVS</v>
      </c>
      <c r="B143" s="31" t="str">
        <f>'12 - Device_Configuration'!S144</f>
        <v>WVS900OPR024</v>
      </c>
      <c r="C143" s="31" t="str">
        <f>'12 - Device_Configuration'!T144</f>
        <v>A0F5097FA58A</v>
      </c>
      <c r="D143" s="17">
        <f>'12 - Device_Configuration'!AJ144</f>
        <v>0</v>
      </c>
      <c r="E143" s="17">
        <f>'12 - Device_Configuration'!J144</f>
        <v>0</v>
      </c>
      <c r="F143" s="31">
        <f>'12 - Device_Configuration'!K144</f>
        <v>0</v>
      </c>
      <c r="G143" s="17">
        <f>'12 - Device_Configuration'!L144</f>
        <v>0</v>
      </c>
      <c r="H143" s="17">
        <f>'13 - Config_Intake_View'!M143</f>
        <v>0</v>
      </c>
      <c r="I143" s="31">
        <f>IF('13 - Config_Intake_View'!Q143&lt;&gt;"",'13 - Config_Intake_View'!Q143,'12 - Device_Configuration'!BH144)</f>
        <v>0</v>
      </c>
      <c r="J143" s="17" t="str">
        <f>IF('13 - Config_Intake_View'!Q143&lt;&gt;"","PM Approved",IF('12 - Device_Configuration'!BH144&lt;&gt;"","Assumed",""))</f>
        <v/>
      </c>
      <c r="K143" s="31">
        <f>'12 - Device_Configuration'!BG144</f>
        <v>0</v>
      </c>
      <c r="L143" s="17">
        <f>'12 - Device_Configuration'!P144</f>
        <v>0</v>
      </c>
      <c r="M143" s="17">
        <f>'12 - Device_Configuration'!Q144</f>
        <v>0</v>
      </c>
      <c r="N143" s="17" t="str">
        <f>'12 - Device_Configuration'!BK144</f>
        <v>Power Cable, Battery, Firmware Download, Device ID, Epic Beans Relay</v>
      </c>
      <c r="O143" s="31" t="str">
        <f>'12 - Device_Configuration'!BL144</f>
        <v>Blocked</v>
      </c>
      <c r="P143" s="2" t="str">
        <f>'12 - Device_Configuration'!BA144</f>
        <v>Yes</v>
      </c>
      <c r="Q143" s="31" t="str">
        <f t="shared" si="8"/>
        <v/>
      </c>
      <c r="R143" s="17" t="str">
        <f t="shared" si="9"/>
        <v>SW NOT INSTALLED</v>
      </c>
      <c r="S143" s="17" t="str">
        <f t="shared" si="10"/>
        <v/>
      </c>
      <c r="T143" s="17" t="str">
        <f t="shared" si="11"/>
        <v>SW NOT INSTALLED</v>
      </c>
    </row>
    <row r="144" spans="1:20">
      <c r="A144" s="31" t="str">
        <f>'12 - Device_Configuration'!H145</f>
        <v>LIJVS</v>
      </c>
      <c r="B144" s="31" t="str">
        <f>'12 - Device_Configuration'!S145</f>
        <v>WVS900OPR025</v>
      </c>
      <c r="C144" s="31" t="str">
        <f>'12 - Device_Configuration'!T145</f>
        <v>A0F5097F9550</v>
      </c>
      <c r="D144" s="17">
        <f>'12 - Device_Configuration'!AJ145</f>
        <v>0</v>
      </c>
      <c r="E144" s="17">
        <f>'12 - Device_Configuration'!J145</f>
        <v>0</v>
      </c>
      <c r="F144" s="31">
        <f>'12 - Device_Configuration'!K145</f>
        <v>0</v>
      </c>
      <c r="G144" s="17">
        <f>'12 - Device_Configuration'!L145</f>
        <v>0</v>
      </c>
      <c r="H144" s="17">
        <f>'13 - Config_Intake_View'!M144</f>
        <v>0</v>
      </c>
      <c r="I144" s="31">
        <f>IF('13 - Config_Intake_View'!Q144&lt;&gt;"",'13 - Config_Intake_View'!Q144,'12 - Device_Configuration'!BH145)</f>
        <v>0</v>
      </c>
      <c r="J144" s="17" t="str">
        <f>IF('13 - Config_Intake_View'!Q144&lt;&gt;"","PM Approved",IF('12 - Device_Configuration'!BH145&lt;&gt;"","Assumed",""))</f>
        <v/>
      </c>
      <c r="K144" s="31">
        <f>'12 - Device_Configuration'!BG145</f>
        <v>0</v>
      </c>
      <c r="L144" s="17">
        <f>'12 - Device_Configuration'!P145</f>
        <v>0</v>
      </c>
      <c r="M144" s="17">
        <f>'12 - Device_Configuration'!Q145</f>
        <v>0</v>
      </c>
      <c r="N144" s="17" t="str">
        <f>'12 - Device_Configuration'!BK145</f>
        <v>Power Cable, Battery, Firmware Download, Device ID, Epic Beans Relay</v>
      </c>
      <c r="O144" s="31" t="str">
        <f>'12 - Device_Configuration'!BL145</f>
        <v>Blocked</v>
      </c>
      <c r="P144" s="2" t="str">
        <f>'12 - Device_Configuration'!BA145</f>
        <v>Yes</v>
      </c>
      <c r="Q144" s="31" t="str">
        <f t="shared" si="8"/>
        <v/>
      </c>
      <c r="R144" s="17" t="str">
        <f t="shared" si="9"/>
        <v>SW NOT INSTALLED</v>
      </c>
      <c r="S144" s="17" t="str">
        <f t="shared" si="10"/>
        <v/>
      </c>
      <c r="T144" s="17" t="str">
        <f t="shared" si="11"/>
        <v>SW NOT INSTALLED</v>
      </c>
    </row>
    <row r="145" spans="1:20">
      <c r="A145" s="31" t="str">
        <f>'12 - Device_Configuration'!H146</f>
        <v>LIJVS</v>
      </c>
      <c r="B145" s="31">
        <f>'12 - Device_Configuration'!S146</f>
        <v>0</v>
      </c>
      <c r="C145" s="31">
        <f>'12 - Device_Configuration'!T146</f>
        <v>0</v>
      </c>
      <c r="D145" s="17">
        <f>'12 - Device_Configuration'!AJ146</f>
        <v>0</v>
      </c>
      <c r="E145" s="17">
        <f>'12 - Device_Configuration'!J146</f>
        <v>0</v>
      </c>
      <c r="F145" s="31">
        <f>'12 - Device_Configuration'!K146</f>
        <v>0</v>
      </c>
      <c r="G145" s="17">
        <f>'12 - Device_Configuration'!L146</f>
        <v>0</v>
      </c>
      <c r="H145" s="17">
        <f>'13 - Config_Intake_View'!M145</f>
        <v>0</v>
      </c>
      <c r="I145" s="31">
        <f>IF('13 - Config_Intake_View'!Q145&lt;&gt;"",'13 - Config_Intake_View'!Q145,'12 - Device_Configuration'!BH146)</f>
        <v>0</v>
      </c>
      <c r="J145" s="17" t="str">
        <f>IF('13 - Config_Intake_View'!Q145&lt;&gt;"","PM Approved",IF('12 - Device_Configuration'!BH146&lt;&gt;"","Assumed",""))</f>
        <v/>
      </c>
      <c r="K145" s="31">
        <f>'12 - Device_Configuration'!BG146</f>
        <v>0</v>
      </c>
      <c r="L145" s="17">
        <f>'12 - Device_Configuration'!P146</f>
        <v>0</v>
      </c>
      <c r="M145" s="17">
        <f>'12 - Device_Configuration'!Q146</f>
        <v>0</v>
      </c>
      <c r="N145" s="17" t="str">
        <f>'12 - Device_Configuration'!BK146</f>
        <v/>
      </c>
      <c r="O145" s="31" t="str">
        <f>'12 - Device_Configuration'!BL146</f>
        <v/>
      </c>
      <c r="P145" s="2" t="str">
        <f>'12 - Device_Configuration'!BA146</f>
        <v>Yes</v>
      </c>
      <c r="Q145" s="31" t="str">
        <f t="shared" si="8"/>
        <v/>
      </c>
      <c r="R145" s="17" t="str">
        <f t="shared" si="9"/>
        <v>SW NOT INSTALLED</v>
      </c>
      <c r="S145" s="17" t="str">
        <f t="shared" si="10"/>
        <v/>
      </c>
      <c r="T145" s="17" t="str">
        <f t="shared" si="11"/>
        <v>SW NOT INSTALLED</v>
      </c>
    </row>
    <row r="146" spans="1:20">
      <c r="A146" s="31" t="str">
        <f>'12 - Device_Configuration'!H147</f>
        <v>LIJVS</v>
      </c>
      <c r="B146" s="31">
        <f>'12 - Device_Configuration'!S147</f>
        <v>0</v>
      </c>
      <c r="C146" s="31">
        <f>'12 - Device_Configuration'!T147</f>
        <v>0</v>
      </c>
      <c r="D146" s="17">
        <f>'12 - Device_Configuration'!AJ147</f>
        <v>0</v>
      </c>
      <c r="E146" s="17">
        <f>'12 - Device_Configuration'!J147</f>
        <v>0</v>
      </c>
      <c r="F146" s="31">
        <f>'12 - Device_Configuration'!K147</f>
        <v>0</v>
      </c>
      <c r="G146" s="17">
        <f>'12 - Device_Configuration'!L147</f>
        <v>0</v>
      </c>
      <c r="H146" s="17">
        <f>'13 - Config_Intake_View'!M146</f>
        <v>0</v>
      </c>
      <c r="I146" s="31">
        <f>IF('13 - Config_Intake_View'!Q146&lt;&gt;"",'13 - Config_Intake_View'!Q146,'12 - Device_Configuration'!BH147)</f>
        <v>0</v>
      </c>
      <c r="J146" s="17" t="str">
        <f>IF('13 - Config_Intake_View'!Q146&lt;&gt;"","PM Approved",IF('12 - Device_Configuration'!BH147&lt;&gt;"","Assumed",""))</f>
        <v/>
      </c>
      <c r="K146" s="31">
        <f>'12 - Device_Configuration'!BG147</f>
        <v>0</v>
      </c>
      <c r="L146" s="17">
        <f>'12 - Device_Configuration'!P147</f>
        <v>0</v>
      </c>
      <c r="M146" s="17">
        <f>'12 - Device_Configuration'!Q147</f>
        <v>0</v>
      </c>
      <c r="N146" s="17" t="str">
        <f>'12 - Device_Configuration'!BK147</f>
        <v/>
      </c>
      <c r="O146" s="31" t="str">
        <f>'12 - Device_Configuration'!BL147</f>
        <v/>
      </c>
      <c r="P146" s="2" t="str">
        <f>'12 - Device_Configuration'!BA147</f>
        <v>Yes</v>
      </c>
      <c r="Q146" s="31" t="str">
        <f t="shared" si="8"/>
        <v/>
      </c>
      <c r="R146" s="17" t="str">
        <f t="shared" si="9"/>
        <v>SW NOT INSTALLED</v>
      </c>
      <c r="S146" s="17" t="str">
        <f t="shared" si="10"/>
        <v/>
      </c>
      <c r="T146" s="17" t="str">
        <f t="shared" si="11"/>
        <v>SW NOT INSTALLED</v>
      </c>
    </row>
    <row r="147" spans="1:20">
      <c r="A147" s="31" t="str">
        <f>'12 - Device_Configuration'!H148</f>
        <v>LIJVS</v>
      </c>
      <c r="B147" s="31">
        <f>'12 - Device_Configuration'!S148</f>
        <v>0</v>
      </c>
      <c r="C147" s="31">
        <f>'12 - Device_Configuration'!T148</f>
        <v>0</v>
      </c>
      <c r="D147" s="17">
        <f>'12 - Device_Configuration'!AJ148</f>
        <v>0</v>
      </c>
      <c r="E147" s="17">
        <f>'12 - Device_Configuration'!J148</f>
        <v>0</v>
      </c>
      <c r="F147" s="31">
        <f>'12 - Device_Configuration'!K148</f>
        <v>0</v>
      </c>
      <c r="G147" s="17">
        <f>'12 - Device_Configuration'!L148</f>
        <v>0</v>
      </c>
      <c r="H147" s="17">
        <f>'13 - Config_Intake_View'!M147</f>
        <v>0</v>
      </c>
      <c r="I147" s="31">
        <f>IF('13 - Config_Intake_View'!Q147&lt;&gt;"",'13 - Config_Intake_View'!Q147,'12 - Device_Configuration'!BH148)</f>
        <v>0</v>
      </c>
      <c r="J147" s="17" t="str">
        <f>IF('13 - Config_Intake_View'!Q147&lt;&gt;"","PM Approved",IF('12 - Device_Configuration'!BH148&lt;&gt;"","Assumed",""))</f>
        <v/>
      </c>
      <c r="K147" s="31">
        <f>'12 - Device_Configuration'!BG148</f>
        <v>0</v>
      </c>
      <c r="L147" s="17">
        <f>'12 - Device_Configuration'!P148</f>
        <v>0</v>
      </c>
      <c r="M147" s="17">
        <f>'12 - Device_Configuration'!Q148</f>
        <v>0</v>
      </c>
      <c r="N147" s="17" t="str">
        <f>'12 - Device_Configuration'!BK148</f>
        <v/>
      </c>
      <c r="O147" s="31" t="str">
        <f>'12 - Device_Configuration'!BL148</f>
        <v/>
      </c>
      <c r="P147" s="2" t="str">
        <f>'12 - Device_Configuration'!BA148</f>
        <v>Yes</v>
      </c>
      <c r="Q147" s="31" t="str">
        <f t="shared" si="8"/>
        <v/>
      </c>
      <c r="R147" s="17" t="str">
        <f t="shared" si="9"/>
        <v>SW NOT INSTALLED</v>
      </c>
      <c r="S147" s="17" t="str">
        <f t="shared" si="10"/>
        <v/>
      </c>
      <c r="T147" s="17" t="str">
        <f t="shared" si="11"/>
        <v>SW NOT INSTALLED</v>
      </c>
    </row>
    <row r="148" spans="1:20">
      <c r="A148" s="31">
        <f>'12 - Device_Configuration'!H149</f>
        <v>0</v>
      </c>
      <c r="B148" s="31">
        <f>'12 - Device_Configuration'!S149</f>
        <v>0</v>
      </c>
      <c r="C148" s="31">
        <f>'12 - Device_Configuration'!T149</f>
        <v>0</v>
      </c>
      <c r="D148" s="17">
        <f>'12 - Device_Configuration'!AJ149</f>
        <v>0</v>
      </c>
      <c r="E148" s="17">
        <f>'12 - Device_Configuration'!J149</f>
        <v>0</v>
      </c>
      <c r="F148" s="31">
        <f>'12 - Device_Configuration'!K149</f>
        <v>0</v>
      </c>
      <c r="G148" s="17">
        <f>'12 - Device_Configuration'!L149</f>
        <v>0</v>
      </c>
      <c r="H148" s="17">
        <f>'13 - Config_Intake_View'!M148</f>
        <v>0</v>
      </c>
      <c r="I148" s="31">
        <f>IF('13 - Config_Intake_View'!Q148&lt;&gt;"",'13 - Config_Intake_View'!Q148,'12 - Device_Configuration'!BH149)</f>
        <v>0</v>
      </c>
      <c r="J148" s="17" t="str">
        <f>IF('13 - Config_Intake_View'!Q148&lt;&gt;"","PM Approved",IF('12 - Device_Configuration'!BH149&lt;&gt;"","Assumed",""))</f>
        <v/>
      </c>
      <c r="K148" s="31">
        <f>'12 - Device_Configuration'!BG149</f>
        <v>0</v>
      </c>
      <c r="L148" s="17">
        <f>'12 - Device_Configuration'!P149</f>
        <v>0</v>
      </c>
      <c r="M148" s="17">
        <f>'12 - Device_Configuration'!Q149</f>
        <v>0</v>
      </c>
      <c r="N148" s="17" t="str">
        <f>'12 - Device_Configuration'!BK149</f>
        <v/>
      </c>
      <c r="O148" s="31" t="str">
        <f>'12 - Device_Configuration'!BL149</f>
        <v/>
      </c>
      <c r="P148" s="2">
        <f>'12 - Device_Configuration'!BA149</f>
        <v>0</v>
      </c>
      <c r="Q148" s="31" t="str">
        <f t="shared" si="8"/>
        <v/>
      </c>
      <c r="R148" s="17" t="str">
        <f t="shared" si="9"/>
        <v>SW NOT INSTALLED</v>
      </c>
      <c r="S148" s="17" t="str">
        <f t="shared" si="10"/>
        <v/>
      </c>
      <c r="T148" s="17" t="str">
        <f t="shared" si="11"/>
        <v>SW NOT INSTALLED</v>
      </c>
    </row>
    <row r="149" spans="1:20">
      <c r="A149" s="31">
        <f>'12 - Device_Configuration'!H150</f>
        <v>0</v>
      </c>
      <c r="B149" s="31">
        <f>'12 - Device_Configuration'!S150</f>
        <v>0</v>
      </c>
      <c r="C149" s="31">
        <f>'12 - Device_Configuration'!T150</f>
        <v>0</v>
      </c>
      <c r="D149" s="17">
        <f>'12 - Device_Configuration'!AJ150</f>
        <v>0</v>
      </c>
      <c r="E149" s="17">
        <f>'12 - Device_Configuration'!J150</f>
        <v>0</v>
      </c>
      <c r="F149" s="31">
        <f>'12 - Device_Configuration'!K150</f>
        <v>0</v>
      </c>
      <c r="G149" s="17">
        <f>'12 - Device_Configuration'!L150</f>
        <v>0</v>
      </c>
      <c r="H149" s="17">
        <f>'13 - Config_Intake_View'!M149</f>
        <v>0</v>
      </c>
      <c r="I149" s="31">
        <f>IF('13 - Config_Intake_View'!Q149&lt;&gt;"",'13 - Config_Intake_View'!Q149,'12 - Device_Configuration'!BH150)</f>
        <v>0</v>
      </c>
      <c r="J149" s="17" t="str">
        <f>IF('13 - Config_Intake_View'!Q149&lt;&gt;"","PM Approved",IF('12 - Device_Configuration'!BH150&lt;&gt;"","Assumed",""))</f>
        <v/>
      </c>
      <c r="K149" s="31">
        <f>'12 - Device_Configuration'!BG150</f>
        <v>0</v>
      </c>
      <c r="L149" s="17">
        <f>'12 - Device_Configuration'!P150</f>
        <v>0</v>
      </c>
      <c r="M149" s="17">
        <f>'12 - Device_Configuration'!Q150</f>
        <v>0</v>
      </c>
      <c r="N149" s="17" t="str">
        <f>'12 - Device_Configuration'!BK150</f>
        <v/>
      </c>
      <c r="O149" s="31" t="str">
        <f>'12 - Device_Configuration'!BL150</f>
        <v/>
      </c>
      <c r="P149" s="2">
        <f>'12 - Device_Configuration'!BA150</f>
        <v>0</v>
      </c>
      <c r="Q149" s="31" t="str">
        <f t="shared" si="8"/>
        <v/>
      </c>
      <c r="R149" s="17" t="str">
        <f t="shared" si="9"/>
        <v>SW NOT INSTALLED</v>
      </c>
      <c r="S149" s="17" t="str">
        <f t="shared" si="10"/>
        <v/>
      </c>
      <c r="T149" s="17" t="str">
        <f t="shared" si="11"/>
        <v>SW NOT INSTALLED</v>
      </c>
    </row>
    <row r="150" spans="1:20">
      <c r="A150" s="31">
        <f>'12 - Device_Configuration'!H151</f>
        <v>0</v>
      </c>
      <c r="B150" s="31">
        <f>'12 - Device_Configuration'!S151</f>
        <v>0</v>
      </c>
      <c r="C150" s="31">
        <f>'12 - Device_Configuration'!T151</f>
        <v>0</v>
      </c>
      <c r="D150" s="17">
        <f>'12 - Device_Configuration'!AJ151</f>
        <v>0</v>
      </c>
      <c r="E150" s="17">
        <f>'12 - Device_Configuration'!J151</f>
        <v>0</v>
      </c>
      <c r="F150" s="31">
        <f>'12 - Device_Configuration'!K151</f>
        <v>0</v>
      </c>
      <c r="G150" s="17">
        <f>'12 - Device_Configuration'!L151</f>
        <v>0</v>
      </c>
      <c r="H150" s="17">
        <f>'13 - Config_Intake_View'!M150</f>
        <v>0</v>
      </c>
      <c r="I150" s="31">
        <f>IF('13 - Config_Intake_View'!Q150&lt;&gt;"",'13 - Config_Intake_View'!Q150,'12 - Device_Configuration'!BH151)</f>
        <v>0</v>
      </c>
      <c r="J150" s="17" t="str">
        <f>IF('13 - Config_Intake_View'!Q150&lt;&gt;"","PM Approved",IF('12 - Device_Configuration'!BH151&lt;&gt;"","Assumed",""))</f>
        <v/>
      </c>
      <c r="K150" s="31">
        <f>'12 - Device_Configuration'!BG151</f>
        <v>0</v>
      </c>
      <c r="L150" s="17">
        <f>'12 - Device_Configuration'!P151</f>
        <v>0</v>
      </c>
      <c r="M150" s="17">
        <f>'12 - Device_Configuration'!Q151</f>
        <v>0</v>
      </c>
      <c r="N150" s="17" t="str">
        <f>'12 - Device_Configuration'!BK151</f>
        <v/>
      </c>
      <c r="O150" s="31" t="str">
        <f>'12 - Device_Configuration'!BL151</f>
        <v/>
      </c>
      <c r="P150" s="2">
        <f>'12 - Device_Configuration'!BA151</f>
        <v>0</v>
      </c>
      <c r="Q150" s="31" t="str">
        <f t="shared" si="8"/>
        <v/>
      </c>
      <c r="R150" s="17" t="str">
        <f t="shared" si="9"/>
        <v>SW NOT INSTALLED</v>
      </c>
      <c r="S150" s="17" t="str">
        <f t="shared" si="10"/>
        <v/>
      </c>
      <c r="T150" s="17" t="str">
        <f t="shared" si="11"/>
        <v>SW NOT INSTALLED</v>
      </c>
    </row>
    <row r="151" spans="1:20">
      <c r="A151" s="31">
        <f>'12 - Device_Configuration'!H152</f>
        <v>0</v>
      </c>
      <c r="B151" s="31">
        <f>'12 - Device_Configuration'!S152</f>
        <v>0</v>
      </c>
      <c r="C151" s="31">
        <f>'12 - Device_Configuration'!T152</f>
        <v>0</v>
      </c>
      <c r="D151" s="17">
        <f>'12 - Device_Configuration'!AJ152</f>
        <v>0</v>
      </c>
      <c r="E151" s="17">
        <f>'12 - Device_Configuration'!J152</f>
        <v>0</v>
      </c>
      <c r="F151" s="31">
        <f>'12 - Device_Configuration'!K152</f>
        <v>0</v>
      </c>
      <c r="G151" s="17">
        <f>'12 - Device_Configuration'!L152</f>
        <v>0</v>
      </c>
      <c r="H151" s="17">
        <f>'13 - Config_Intake_View'!M151</f>
        <v>0</v>
      </c>
      <c r="I151" s="31">
        <f>IF('13 - Config_Intake_View'!Q151&lt;&gt;"",'13 - Config_Intake_View'!Q151,'12 - Device_Configuration'!BH152)</f>
        <v>0</v>
      </c>
      <c r="J151" s="17" t="str">
        <f>IF('13 - Config_Intake_View'!Q151&lt;&gt;"","PM Approved",IF('12 - Device_Configuration'!BH152&lt;&gt;"","Assumed",""))</f>
        <v/>
      </c>
      <c r="K151" s="31">
        <f>'12 - Device_Configuration'!BG152</f>
        <v>0</v>
      </c>
      <c r="L151" s="17">
        <f>'12 - Device_Configuration'!P152</f>
        <v>0</v>
      </c>
      <c r="M151" s="17">
        <f>'12 - Device_Configuration'!Q152</f>
        <v>0</v>
      </c>
      <c r="N151" s="17" t="str">
        <f>'12 - Device_Configuration'!BK152</f>
        <v/>
      </c>
      <c r="O151" s="31" t="str">
        <f>'12 - Device_Configuration'!BL152</f>
        <v/>
      </c>
      <c r="P151" s="2">
        <f>'12 - Device_Configuration'!BA152</f>
        <v>0</v>
      </c>
      <c r="Q151" s="31" t="str">
        <f t="shared" si="8"/>
        <v/>
      </c>
      <c r="R151" s="17" t="str">
        <f t="shared" si="9"/>
        <v>SW NOT INSTALLED</v>
      </c>
      <c r="S151" s="17" t="str">
        <f t="shared" si="10"/>
        <v/>
      </c>
      <c r="T151" s="17" t="str">
        <f t="shared" si="11"/>
        <v>SW NOT INSTALLED</v>
      </c>
    </row>
    <row r="152" spans="1:20">
      <c r="A152" s="31">
        <f>'12 - Device_Configuration'!H153</f>
        <v>0</v>
      </c>
      <c r="B152" s="31">
        <f>'12 - Device_Configuration'!S153</f>
        <v>0</v>
      </c>
      <c r="C152" s="31">
        <f>'12 - Device_Configuration'!T153</f>
        <v>0</v>
      </c>
      <c r="D152" s="17">
        <f>'12 - Device_Configuration'!AJ153</f>
        <v>0</v>
      </c>
      <c r="E152" s="17">
        <f>'12 - Device_Configuration'!J153</f>
        <v>0</v>
      </c>
      <c r="F152" s="31">
        <f>'12 - Device_Configuration'!K153</f>
        <v>0</v>
      </c>
      <c r="G152" s="17">
        <f>'12 - Device_Configuration'!L153</f>
        <v>0</v>
      </c>
      <c r="H152" s="17">
        <f>'13 - Config_Intake_View'!M152</f>
        <v>0</v>
      </c>
      <c r="I152" s="31">
        <f>IF('13 - Config_Intake_View'!Q152&lt;&gt;"",'13 - Config_Intake_View'!Q152,'12 - Device_Configuration'!BH153)</f>
        <v>0</v>
      </c>
      <c r="J152" s="17" t="str">
        <f>IF('13 - Config_Intake_View'!Q152&lt;&gt;"","PM Approved",IF('12 - Device_Configuration'!BH153&lt;&gt;"","Assumed",""))</f>
        <v/>
      </c>
      <c r="K152" s="31">
        <f>'12 - Device_Configuration'!BG153</f>
        <v>0</v>
      </c>
      <c r="L152" s="17">
        <f>'12 - Device_Configuration'!P153</f>
        <v>0</v>
      </c>
      <c r="M152" s="17">
        <f>'12 - Device_Configuration'!Q153</f>
        <v>0</v>
      </c>
      <c r="N152" s="17" t="str">
        <f>'12 - Device_Configuration'!BK153</f>
        <v/>
      </c>
      <c r="O152" s="31" t="str">
        <f>'12 - Device_Configuration'!BL153</f>
        <v/>
      </c>
      <c r="P152" s="2">
        <f>'12 - Device_Configuration'!BA153</f>
        <v>0</v>
      </c>
      <c r="Q152" s="31" t="str">
        <f t="shared" si="8"/>
        <v/>
      </c>
      <c r="R152" s="17" t="str">
        <f t="shared" si="9"/>
        <v>SW NOT INSTALLED</v>
      </c>
      <c r="S152" s="17" t="str">
        <f t="shared" si="10"/>
        <v/>
      </c>
      <c r="T152" s="17" t="str">
        <f t="shared" si="11"/>
        <v>SW NOT INSTALLED</v>
      </c>
    </row>
    <row r="153" spans="1:20">
      <c r="A153" s="31">
        <f>'12 - Device_Configuration'!H154</f>
        <v>0</v>
      </c>
      <c r="B153" s="31">
        <f>'12 - Device_Configuration'!S154</f>
        <v>0</v>
      </c>
      <c r="C153" s="31">
        <f>'12 - Device_Configuration'!T154</f>
        <v>0</v>
      </c>
      <c r="D153" s="17">
        <f>'12 - Device_Configuration'!AJ154</f>
        <v>0</v>
      </c>
      <c r="E153" s="17">
        <f>'12 - Device_Configuration'!J154</f>
        <v>0</v>
      </c>
      <c r="F153" s="31">
        <f>'12 - Device_Configuration'!K154</f>
        <v>0</v>
      </c>
      <c r="G153" s="17">
        <f>'12 - Device_Configuration'!L154</f>
        <v>0</v>
      </c>
      <c r="H153" s="17">
        <f>'13 - Config_Intake_View'!M153</f>
        <v>0</v>
      </c>
      <c r="I153" s="31">
        <f>IF('13 - Config_Intake_View'!Q153&lt;&gt;"",'13 - Config_Intake_View'!Q153,'12 - Device_Configuration'!BH154)</f>
        <v>0</v>
      </c>
      <c r="J153" s="17" t="str">
        <f>IF('13 - Config_Intake_View'!Q153&lt;&gt;"","PM Approved",IF('12 - Device_Configuration'!BH154&lt;&gt;"","Assumed",""))</f>
        <v/>
      </c>
      <c r="K153" s="31">
        <f>'12 - Device_Configuration'!BG154</f>
        <v>0</v>
      </c>
      <c r="L153" s="17">
        <f>'12 - Device_Configuration'!P154</f>
        <v>0</v>
      </c>
      <c r="M153" s="17">
        <f>'12 - Device_Configuration'!Q154</f>
        <v>0</v>
      </c>
      <c r="N153" s="17" t="str">
        <f>'12 - Device_Configuration'!BK154</f>
        <v/>
      </c>
      <c r="O153" s="31" t="str">
        <f>'12 - Device_Configuration'!BL154</f>
        <v/>
      </c>
      <c r="P153" s="2">
        <f>'12 - Device_Configuration'!BA154</f>
        <v>0</v>
      </c>
      <c r="Q153" s="31" t="str">
        <f t="shared" si="8"/>
        <v/>
      </c>
      <c r="R153" s="17" t="str">
        <f t="shared" si="9"/>
        <v>SW NOT INSTALLED</v>
      </c>
      <c r="S153" s="17" t="str">
        <f t="shared" si="10"/>
        <v/>
      </c>
      <c r="T153" s="17" t="str">
        <f t="shared" si="11"/>
        <v>SW NOT INSTALLED</v>
      </c>
    </row>
    <row r="154" spans="1:20">
      <c r="A154" s="31">
        <f>'12 - Device_Configuration'!H155</f>
        <v>0</v>
      </c>
      <c r="B154" s="31">
        <f>'12 - Device_Configuration'!S155</f>
        <v>0</v>
      </c>
      <c r="C154" s="31">
        <f>'12 - Device_Configuration'!T155</f>
        <v>0</v>
      </c>
      <c r="D154" s="17">
        <f>'12 - Device_Configuration'!AJ155</f>
        <v>0</v>
      </c>
      <c r="E154" s="17">
        <f>'12 - Device_Configuration'!J155</f>
        <v>0</v>
      </c>
      <c r="F154" s="31">
        <f>'12 - Device_Configuration'!K155</f>
        <v>0</v>
      </c>
      <c r="G154" s="17">
        <f>'12 - Device_Configuration'!L155</f>
        <v>0</v>
      </c>
      <c r="H154" s="17">
        <f>'13 - Config_Intake_View'!M154</f>
        <v>0</v>
      </c>
      <c r="I154" s="31">
        <f>IF('13 - Config_Intake_View'!Q154&lt;&gt;"",'13 - Config_Intake_View'!Q154,'12 - Device_Configuration'!BH155)</f>
        <v>0</v>
      </c>
      <c r="J154" s="17" t="str">
        <f>IF('13 - Config_Intake_View'!Q154&lt;&gt;"","PM Approved",IF('12 - Device_Configuration'!BH155&lt;&gt;"","Assumed",""))</f>
        <v/>
      </c>
      <c r="K154" s="31">
        <f>'12 - Device_Configuration'!BG155</f>
        <v>0</v>
      </c>
      <c r="L154" s="17">
        <f>'12 - Device_Configuration'!P155</f>
        <v>0</v>
      </c>
      <c r="M154" s="17">
        <f>'12 - Device_Configuration'!Q155</f>
        <v>0</v>
      </c>
      <c r="N154" s="17" t="str">
        <f>'12 - Device_Configuration'!BK155</f>
        <v/>
      </c>
      <c r="O154" s="31" t="str">
        <f>'12 - Device_Configuration'!BL155</f>
        <v/>
      </c>
      <c r="P154" s="2">
        <f>'12 - Device_Configuration'!BA155</f>
        <v>0</v>
      </c>
      <c r="Q154" s="31" t="str">
        <f t="shared" si="8"/>
        <v/>
      </c>
      <c r="R154" s="17" t="str">
        <f t="shared" si="9"/>
        <v>SW NOT INSTALLED</v>
      </c>
      <c r="S154" s="17" t="str">
        <f t="shared" si="10"/>
        <v/>
      </c>
      <c r="T154" s="17" t="str">
        <f t="shared" si="11"/>
        <v>SW NOT INSTALLED</v>
      </c>
    </row>
    <row r="155" spans="1:20">
      <c r="A155" s="31">
        <f>'12 - Device_Configuration'!H156</f>
        <v>0</v>
      </c>
      <c r="B155" s="31">
        <f>'12 - Device_Configuration'!S156</f>
        <v>0</v>
      </c>
      <c r="C155" s="31">
        <f>'12 - Device_Configuration'!T156</f>
        <v>0</v>
      </c>
      <c r="D155" s="17">
        <f>'12 - Device_Configuration'!AJ156</f>
        <v>0</v>
      </c>
      <c r="E155" s="17">
        <f>'12 - Device_Configuration'!J156</f>
        <v>0</v>
      </c>
      <c r="F155" s="31">
        <f>'12 - Device_Configuration'!K156</f>
        <v>0</v>
      </c>
      <c r="G155" s="17">
        <f>'12 - Device_Configuration'!L156</f>
        <v>0</v>
      </c>
      <c r="H155" s="17">
        <f>'13 - Config_Intake_View'!M155</f>
        <v>0</v>
      </c>
      <c r="I155" s="31">
        <f>IF('13 - Config_Intake_View'!Q155&lt;&gt;"",'13 - Config_Intake_View'!Q155,'12 - Device_Configuration'!BH156)</f>
        <v>0</v>
      </c>
      <c r="J155" s="17" t="str">
        <f>IF('13 - Config_Intake_View'!Q155&lt;&gt;"","PM Approved",IF('12 - Device_Configuration'!BH156&lt;&gt;"","Assumed",""))</f>
        <v/>
      </c>
      <c r="K155" s="31">
        <f>'12 - Device_Configuration'!BG156</f>
        <v>0</v>
      </c>
      <c r="L155" s="17">
        <f>'12 - Device_Configuration'!P156</f>
        <v>0</v>
      </c>
      <c r="M155" s="17">
        <f>'12 - Device_Configuration'!Q156</f>
        <v>0</v>
      </c>
      <c r="N155" s="17" t="str">
        <f>'12 - Device_Configuration'!BK156</f>
        <v/>
      </c>
      <c r="O155" s="31" t="str">
        <f>'12 - Device_Configuration'!BL156</f>
        <v/>
      </c>
      <c r="P155" s="2">
        <f>'12 - Device_Configuration'!BA156</f>
        <v>0</v>
      </c>
      <c r="Q155" s="31" t="str">
        <f t="shared" si="8"/>
        <v/>
      </c>
      <c r="R155" s="17" t="str">
        <f t="shared" si="9"/>
        <v>SW NOT INSTALLED</v>
      </c>
      <c r="S155" s="17" t="str">
        <f t="shared" si="10"/>
        <v/>
      </c>
      <c r="T155" s="17" t="str">
        <f t="shared" si="11"/>
        <v>SW NOT INSTALLED</v>
      </c>
    </row>
    <row r="156" spans="1:20">
      <c r="A156" s="31">
        <f>'12 - Device_Configuration'!H157</f>
        <v>0</v>
      </c>
      <c r="B156" s="31">
        <f>'12 - Device_Configuration'!S157</f>
        <v>0</v>
      </c>
      <c r="C156" s="31">
        <f>'12 - Device_Configuration'!T157</f>
        <v>0</v>
      </c>
      <c r="D156" s="17">
        <f>'12 - Device_Configuration'!AJ157</f>
        <v>0</v>
      </c>
      <c r="E156" s="17">
        <f>'12 - Device_Configuration'!J157</f>
        <v>0</v>
      </c>
      <c r="F156" s="31">
        <f>'12 - Device_Configuration'!K157</f>
        <v>0</v>
      </c>
      <c r="G156" s="17">
        <f>'12 - Device_Configuration'!L157</f>
        <v>0</v>
      </c>
      <c r="H156" s="17">
        <f>'13 - Config_Intake_View'!M156</f>
        <v>0</v>
      </c>
      <c r="I156" s="31">
        <f>IF('13 - Config_Intake_View'!Q156&lt;&gt;"",'13 - Config_Intake_View'!Q156,'12 - Device_Configuration'!BH157)</f>
        <v>0</v>
      </c>
      <c r="J156" s="17" t="str">
        <f>IF('13 - Config_Intake_View'!Q156&lt;&gt;"","PM Approved",IF('12 - Device_Configuration'!BH157&lt;&gt;"","Assumed",""))</f>
        <v/>
      </c>
      <c r="K156" s="31">
        <f>'12 - Device_Configuration'!BG157</f>
        <v>0</v>
      </c>
      <c r="L156" s="17">
        <f>'12 - Device_Configuration'!P157</f>
        <v>0</v>
      </c>
      <c r="M156" s="17">
        <f>'12 - Device_Configuration'!Q157</f>
        <v>0</v>
      </c>
      <c r="N156" s="17" t="str">
        <f>'12 - Device_Configuration'!BK157</f>
        <v/>
      </c>
      <c r="O156" s="31" t="str">
        <f>'12 - Device_Configuration'!BL157</f>
        <v/>
      </c>
      <c r="P156" s="2">
        <f>'12 - Device_Configuration'!BA157</f>
        <v>0</v>
      </c>
      <c r="Q156" s="31" t="str">
        <f t="shared" si="8"/>
        <v/>
      </c>
      <c r="R156" s="17" t="str">
        <f t="shared" si="9"/>
        <v>SW NOT INSTALLED</v>
      </c>
      <c r="S156" s="17" t="str">
        <f t="shared" si="10"/>
        <v/>
      </c>
      <c r="T156" s="17" t="str">
        <f t="shared" si="11"/>
        <v>SW NOT INSTALLED</v>
      </c>
    </row>
    <row r="157" spans="1:20">
      <c r="A157" s="31">
        <f>'12 - Device_Configuration'!H158</f>
        <v>0</v>
      </c>
      <c r="B157" s="31">
        <f>'12 - Device_Configuration'!S158</f>
        <v>0</v>
      </c>
      <c r="C157" s="31">
        <f>'12 - Device_Configuration'!T158</f>
        <v>0</v>
      </c>
      <c r="D157" s="17">
        <f>'12 - Device_Configuration'!AJ158</f>
        <v>0</v>
      </c>
      <c r="E157" s="17">
        <f>'12 - Device_Configuration'!J158</f>
        <v>0</v>
      </c>
      <c r="F157" s="31">
        <f>'12 - Device_Configuration'!K158</f>
        <v>0</v>
      </c>
      <c r="G157" s="17">
        <f>'12 - Device_Configuration'!L158</f>
        <v>0</v>
      </c>
      <c r="H157" s="17">
        <f>'13 - Config_Intake_View'!M157</f>
        <v>0</v>
      </c>
      <c r="I157" s="31">
        <f>IF('13 - Config_Intake_View'!Q157&lt;&gt;"",'13 - Config_Intake_View'!Q157,'12 - Device_Configuration'!BH158)</f>
        <v>0</v>
      </c>
      <c r="J157" s="17" t="str">
        <f>IF('13 - Config_Intake_View'!Q157&lt;&gt;"","PM Approved",IF('12 - Device_Configuration'!BH158&lt;&gt;"","Assumed",""))</f>
        <v/>
      </c>
      <c r="K157" s="31">
        <f>'12 - Device_Configuration'!BG158</f>
        <v>0</v>
      </c>
      <c r="L157" s="17">
        <f>'12 - Device_Configuration'!P158</f>
        <v>0</v>
      </c>
      <c r="M157" s="17">
        <f>'12 - Device_Configuration'!Q158</f>
        <v>0</v>
      </c>
      <c r="N157" s="17" t="str">
        <f>'12 - Device_Configuration'!BK158</f>
        <v/>
      </c>
      <c r="O157" s="31" t="str">
        <f>'12 - Device_Configuration'!BL158</f>
        <v/>
      </c>
      <c r="P157" s="2">
        <f>'12 - Device_Configuration'!BA158</f>
        <v>0</v>
      </c>
      <c r="Q157" s="31" t="str">
        <f t="shared" si="8"/>
        <v/>
      </c>
      <c r="R157" s="17" t="str">
        <f t="shared" si="9"/>
        <v>SW NOT INSTALLED</v>
      </c>
      <c r="S157" s="17" t="str">
        <f t="shared" si="10"/>
        <v/>
      </c>
      <c r="T157" s="17" t="str">
        <f t="shared" si="11"/>
        <v>SW NOT INSTALLED</v>
      </c>
    </row>
    <row r="158" spans="1:20">
      <c r="A158" s="31">
        <f>'12 - Device_Configuration'!H159</f>
        <v>0</v>
      </c>
      <c r="B158" s="31">
        <f>'12 - Device_Configuration'!S159</f>
        <v>0</v>
      </c>
      <c r="C158" s="31">
        <f>'12 - Device_Configuration'!T159</f>
        <v>0</v>
      </c>
      <c r="D158" s="17">
        <f>'12 - Device_Configuration'!AJ159</f>
        <v>0</v>
      </c>
      <c r="E158" s="17">
        <f>'12 - Device_Configuration'!J159</f>
        <v>0</v>
      </c>
      <c r="F158" s="31">
        <f>'12 - Device_Configuration'!K159</f>
        <v>0</v>
      </c>
      <c r="G158" s="17">
        <f>'12 - Device_Configuration'!L159</f>
        <v>0</v>
      </c>
      <c r="H158" s="17">
        <f>'13 - Config_Intake_View'!M158</f>
        <v>0</v>
      </c>
      <c r="I158" s="31">
        <f>IF('13 - Config_Intake_View'!Q158&lt;&gt;"",'13 - Config_Intake_View'!Q158,'12 - Device_Configuration'!BH159)</f>
        <v>0</v>
      </c>
      <c r="J158" s="17" t="str">
        <f>IF('13 - Config_Intake_View'!Q158&lt;&gt;"","PM Approved",IF('12 - Device_Configuration'!BH159&lt;&gt;"","Assumed",""))</f>
        <v/>
      </c>
      <c r="K158" s="31">
        <f>'12 - Device_Configuration'!BG159</f>
        <v>0</v>
      </c>
      <c r="L158" s="17">
        <f>'12 - Device_Configuration'!P159</f>
        <v>0</v>
      </c>
      <c r="M158" s="17">
        <f>'12 - Device_Configuration'!Q159</f>
        <v>0</v>
      </c>
      <c r="N158" s="17" t="str">
        <f>'12 - Device_Configuration'!BK159</f>
        <v/>
      </c>
      <c r="O158" s="31" t="str">
        <f>'12 - Device_Configuration'!BL159</f>
        <v/>
      </c>
      <c r="P158" s="2">
        <f>'12 - Device_Configuration'!BA159</f>
        <v>0</v>
      </c>
      <c r="Q158" s="31" t="str">
        <f t="shared" si="8"/>
        <v/>
      </c>
      <c r="R158" s="17" t="str">
        <f t="shared" si="9"/>
        <v>SW NOT INSTALLED</v>
      </c>
      <c r="S158" s="17" t="str">
        <f t="shared" si="10"/>
        <v/>
      </c>
      <c r="T158" s="17" t="str">
        <f t="shared" si="11"/>
        <v>SW NOT INSTALLED</v>
      </c>
    </row>
    <row r="159" spans="1:20">
      <c r="A159" s="31">
        <f>'12 - Device_Configuration'!H160</f>
        <v>0</v>
      </c>
      <c r="B159" s="31">
        <f>'12 - Device_Configuration'!S160</f>
        <v>0</v>
      </c>
      <c r="C159" s="31">
        <f>'12 - Device_Configuration'!T160</f>
        <v>0</v>
      </c>
      <c r="D159" s="17">
        <f>'12 - Device_Configuration'!AJ160</f>
        <v>0</v>
      </c>
      <c r="E159" s="17">
        <f>'12 - Device_Configuration'!J160</f>
        <v>0</v>
      </c>
      <c r="F159" s="31">
        <f>'12 - Device_Configuration'!K160</f>
        <v>0</v>
      </c>
      <c r="G159" s="17">
        <f>'12 - Device_Configuration'!L160</f>
        <v>0</v>
      </c>
      <c r="H159" s="17">
        <f>'13 - Config_Intake_View'!M159</f>
        <v>0</v>
      </c>
      <c r="I159" s="31">
        <f>IF('13 - Config_Intake_View'!Q159&lt;&gt;"",'13 - Config_Intake_View'!Q159,'12 - Device_Configuration'!BH160)</f>
        <v>0</v>
      </c>
      <c r="J159" s="17" t="str">
        <f>IF('13 - Config_Intake_View'!Q159&lt;&gt;"","PM Approved",IF('12 - Device_Configuration'!BH160&lt;&gt;"","Assumed",""))</f>
        <v/>
      </c>
      <c r="K159" s="31">
        <f>'12 - Device_Configuration'!BG160</f>
        <v>0</v>
      </c>
      <c r="L159" s="17">
        <f>'12 - Device_Configuration'!P160</f>
        <v>0</v>
      </c>
      <c r="M159" s="17">
        <f>'12 - Device_Configuration'!Q160</f>
        <v>0</v>
      </c>
      <c r="N159" s="17" t="str">
        <f>'12 - Device_Configuration'!BK160</f>
        <v/>
      </c>
      <c r="O159" s="31" t="str">
        <f>'12 - Device_Configuration'!BL160</f>
        <v/>
      </c>
      <c r="P159" s="2">
        <f>'12 - Device_Configuration'!BA160</f>
        <v>0</v>
      </c>
      <c r="Q159" s="31" t="str">
        <f t="shared" si="8"/>
        <v/>
      </c>
      <c r="R159" s="17" t="str">
        <f t="shared" si="9"/>
        <v>SW NOT INSTALLED</v>
      </c>
      <c r="S159" s="17" t="str">
        <f t="shared" si="10"/>
        <v/>
      </c>
      <c r="T159" s="17" t="str">
        <f t="shared" si="11"/>
        <v>SW NOT INSTALLED</v>
      </c>
    </row>
    <row r="160" spans="1:20">
      <c r="A160" s="31">
        <f>'12 - Device_Configuration'!H161</f>
        <v>0</v>
      </c>
      <c r="B160" s="31">
        <f>'12 - Device_Configuration'!S161</f>
        <v>0</v>
      </c>
      <c r="C160" s="31">
        <f>'12 - Device_Configuration'!T161</f>
        <v>0</v>
      </c>
      <c r="D160" s="17">
        <f>'12 - Device_Configuration'!AJ161</f>
        <v>0</v>
      </c>
      <c r="E160" s="17">
        <f>'12 - Device_Configuration'!J161</f>
        <v>0</v>
      </c>
      <c r="F160" s="31">
        <f>'12 - Device_Configuration'!K161</f>
        <v>0</v>
      </c>
      <c r="G160" s="17">
        <f>'12 - Device_Configuration'!L161</f>
        <v>0</v>
      </c>
      <c r="H160" s="17">
        <f>'13 - Config_Intake_View'!M160</f>
        <v>0</v>
      </c>
      <c r="I160" s="31">
        <f>IF('13 - Config_Intake_View'!Q160&lt;&gt;"",'13 - Config_Intake_View'!Q160,'12 - Device_Configuration'!BH161)</f>
        <v>0</v>
      </c>
      <c r="J160" s="17" t="str">
        <f>IF('13 - Config_Intake_View'!Q160&lt;&gt;"","PM Approved",IF('12 - Device_Configuration'!BH161&lt;&gt;"","Assumed",""))</f>
        <v/>
      </c>
      <c r="K160" s="31">
        <f>'12 - Device_Configuration'!BG161</f>
        <v>0</v>
      </c>
      <c r="L160" s="17">
        <f>'12 - Device_Configuration'!P161</f>
        <v>0</v>
      </c>
      <c r="M160" s="17">
        <f>'12 - Device_Configuration'!Q161</f>
        <v>0</v>
      </c>
      <c r="N160" s="17" t="str">
        <f>'12 - Device_Configuration'!BK161</f>
        <v/>
      </c>
      <c r="O160" s="31" t="str">
        <f>'12 - Device_Configuration'!BL161</f>
        <v/>
      </c>
      <c r="P160" s="2">
        <f>'12 - Device_Configuration'!BA161</f>
        <v>0</v>
      </c>
      <c r="Q160" s="31" t="str">
        <f t="shared" si="8"/>
        <v/>
      </c>
      <c r="R160" s="17" t="str">
        <f t="shared" si="9"/>
        <v>SW NOT INSTALLED</v>
      </c>
      <c r="S160" s="17" t="str">
        <f t="shared" si="10"/>
        <v/>
      </c>
      <c r="T160" s="17" t="str">
        <f t="shared" si="11"/>
        <v>SW NOT INSTALLED</v>
      </c>
    </row>
    <row r="161" spans="1:20">
      <c r="A161" s="31">
        <f>'12 - Device_Configuration'!H162</f>
        <v>0</v>
      </c>
      <c r="B161" s="31">
        <f>'12 - Device_Configuration'!S162</f>
        <v>0</v>
      </c>
      <c r="C161" s="31">
        <f>'12 - Device_Configuration'!T162</f>
        <v>0</v>
      </c>
      <c r="D161" s="17">
        <f>'12 - Device_Configuration'!AJ162</f>
        <v>0</v>
      </c>
      <c r="E161" s="17">
        <f>'12 - Device_Configuration'!J162</f>
        <v>0</v>
      </c>
      <c r="F161" s="31">
        <f>'12 - Device_Configuration'!K162</f>
        <v>0</v>
      </c>
      <c r="G161" s="17">
        <f>'12 - Device_Configuration'!L162</f>
        <v>0</v>
      </c>
      <c r="H161" s="17">
        <f>'13 - Config_Intake_View'!M161</f>
        <v>0</v>
      </c>
      <c r="I161" s="31">
        <f>IF('13 - Config_Intake_View'!Q161&lt;&gt;"",'13 - Config_Intake_View'!Q161,'12 - Device_Configuration'!BH162)</f>
        <v>0</v>
      </c>
      <c r="J161" s="17" t="str">
        <f>IF('13 - Config_Intake_View'!Q161&lt;&gt;"","PM Approved",IF('12 - Device_Configuration'!BH162&lt;&gt;"","Assumed",""))</f>
        <v/>
      </c>
      <c r="K161" s="31">
        <f>'12 - Device_Configuration'!BG162</f>
        <v>0</v>
      </c>
      <c r="L161" s="17">
        <f>'12 - Device_Configuration'!P162</f>
        <v>0</v>
      </c>
      <c r="M161" s="17">
        <f>'12 - Device_Configuration'!Q162</f>
        <v>0</v>
      </c>
      <c r="N161" s="17" t="str">
        <f>'12 - Device_Configuration'!BK162</f>
        <v/>
      </c>
      <c r="O161" s="31" t="str">
        <f>'12 - Device_Configuration'!BL162</f>
        <v/>
      </c>
      <c r="P161" s="2">
        <f>'12 - Device_Configuration'!BA162</f>
        <v>0</v>
      </c>
      <c r="Q161" s="31" t="str">
        <f t="shared" si="8"/>
        <v/>
      </c>
      <c r="R161" s="17" t="str">
        <f t="shared" si="9"/>
        <v>SW NOT INSTALLED</v>
      </c>
      <c r="S161" s="17" t="str">
        <f t="shared" si="10"/>
        <v/>
      </c>
      <c r="T161" s="17" t="str">
        <f t="shared" si="11"/>
        <v>SW NOT INSTALLED</v>
      </c>
    </row>
    <row r="162" spans="1:20">
      <c r="A162" s="31">
        <f>'12 - Device_Configuration'!H163</f>
        <v>0</v>
      </c>
      <c r="B162" s="31">
        <f>'12 - Device_Configuration'!S163</f>
        <v>0</v>
      </c>
      <c r="C162" s="31">
        <f>'12 - Device_Configuration'!T163</f>
        <v>0</v>
      </c>
      <c r="D162" s="17">
        <f>'12 - Device_Configuration'!AJ163</f>
        <v>0</v>
      </c>
      <c r="E162" s="17">
        <f>'12 - Device_Configuration'!J163</f>
        <v>0</v>
      </c>
      <c r="F162" s="31">
        <f>'12 - Device_Configuration'!K163</f>
        <v>0</v>
      </c>
      <c r="G162" s="17">
        <f>'12 - Device_Configuration'!L163</f>
        <v>0</v>
      </c>
      <c r="H162" s="17">
        <f>'13 - Config_Intake_View'!M162</f>
        <v>0</v>
      </c>
      <c r="I162" s="31">
        <f>IF('13 - Config_Intake_View'!Q162&lt;&gt;"",'13 - Config_Intake_View'!Q162,'12 - Device_Configuration'!BH163)</f>
        <v>0</v>
      </c>
      <c r="J162" s="17" t="str">
        <f>IF('13 - Config_Intake_View'!Q162&lt;&gt;"","PM Approved",IF('12 - Device_Configuration'!BH163&lt;&gt;"","Assumed",""))</f>
        <v/>
      </c>
      <c r="K162" s="31">
        <f>'12 - Device_Configuration'!BG163</f>
        <v>0</v>
      </c>
      <c r="L162" s="17">
        <f>'12 - Device_Configuration'!P163</f>
        <v>0</v>
      </c>
      <c r="M162" s="17">
        <f>'12 - Device_Configuration'!Q163</f>
        <v>0</v>
      </c>
      <c r="N162" s="17" t="str">
        <f>'12 - Device_Configuration'!BK163</f>
        <v/>
      </c>
      <c r="O162" s="31" t="str">
        <f>'12 - Device_Configuration'!BL163</f>
        <v/>
      </c>
      <c r="P162" s="2">
        <f>'12 - Device_Configuration'!BA163</f>
        <v>0</v>
      </c>
      <c r="Q162" s="31" t="str">
        <f t="shared" si="8"/>
        <v/>
      </c>
      <c r="R162" s="17" t="str">
        <f t="shared" si="9"/>
        <v>SW NOT INSTALLED</v>
      </c>
      <c r="S162" s="17" t="str">
        <f t="shared" si="10"/>
        <v/>
      </c>
      <c r="T162" s="17" t="str">
        <f t="shared" si="11"/>
        <v>SW NOT INSTALLED</v>
      </c>
    </row>
    <row r="163" spans="1:20">
      <c r="A163" s="31">
        <f>'12 - Device_Configuration'!H164</f>
        <v>0</v>
      </c>
      <c r="B163" s="31">
        <f>'12 - Device_Configuration'!S164</f>
        <v>0</v>
      </c>
      <c r="C163" s="31">
        <f>'12 - Device_Configuration'!T164</f>
        <v>0</v>
      </c>
      <c r="D163" s="17">
        <f>'12 - Device_Configuration'!AJ164</f>
        <v>0</v>
      </c>
      <c r="E163" s="17">
        <f>'12 - Device_Configuration'!J164</f>
        <v>0</v>
      </c>
      <c r="F163" s="31">
        <f>'12 - Device_Configuration'!K164</f>
        <v>0</v>
      </c>
      <c r="G163" s="17">
        <f>'12 - Device_Configuration'!L164</f>
        <v>0</v>
      </c>
      <c r="H163" s="17">
        <f>'13 - Config_Intake_View'!M163</f>
        <v>0</v>
      </c>
      <c r="I163" s="31">
        <f>IF('13 - Config_Intake_View'!Q163&lt;&gt;"",'13 - Config_Intake_View'!Q163,'12 - Device_Configuration'!BH164)</f>
        <v>0</v>
      </c>
      <c r="J163" s="17" t="str">
        <f>IF('13 - Config_Intake_View'!Q163&lt;&gt;"","PM Approved",IF('12 - Device_Configuration'!BH164&lt;&gt;"","Assumed",""))</f>
        <v/>
      </c>
      <c r="K163" s="31">
        <f>'12 - Device_Configuration'!BG164</f>
        <v>0</v>
      </c>
      <c r="L163" s="17">
        <f>'12 - Device_Configuration'!P164</f>
        <v>0</v>
      </c>
      <c r="M163" s="17">
        <f>'12 - Device_Configuration'!Q164</f>
        <v>0</v>
      </c>
      <c r="N163" s="17" t="str">
        <f>'12 - Device_Configuration'!BK164</f>
        <v/>
      </c>
      <c r="O163" s="31" t="str">
        <f>'12 - Device_Configuration'!BL164</f>
        <v/>
      </c>
      <c r="P163" s="2">
        <f>'12 - Device_Configuration'!BA164</f>
        <v>0</v>
      </c>
      <c r="Q163" s="31" t="str">
        <f t="shared" si="8"/>
        <v/>
      </c>
      <c r="R163" s="17" t="str">
        <f t="shared" si="9"/>
        <v>SW NOT INSTALLED</v>
      </c>
      <c r="S163" s="17" t="str">
        <f t="shared" si="10"/>
        <v/>
      </c>
      <c r="T163" s="17" t="str">
        <f t="shared" si="11"/>
        <v>SW NOT INSTALLED</v>
      </c>
    </row>
    <row r="164" spans="1:20">
      <c r="A164" s="31">
        <f>'12 - Device_Configuration'!H165</f>
        <v>0</v>
      </c>
      <c r="B164" s="31">
        <f>'12 - Device_Configuration'!S165</f>
        <v>0</v>
      </c>
      <c r="C164" s="31">
        <f>'12 - Device_Configuration'!T165</f>
        <v>0</v>
      </c>
      <c r="D164" s="17">
        <f>'12 - Device_Configuration'!AJ165</f>
        <v>0</v>
      </c>
      <c r="E164" s="17">
        <f>'12 - Device_Configuration'!J165</f>
        <v>0</v>
      </c>
      <c r="F164" s="31">
        <f>'12 - Device_Configuration'!K165</f>
        <v>0</v>
      </c>
      <c r="G164" s="17">
        <f>'12 - Device_Configuration'!L165</f>
        <v>0</v>
      </c>
      <c r="H164" s="17">
        <f>'13 - Config_Intake_View'!M164</f>
        <v>0</v>
      </c>
      <c r="I164" s="31">
        <f>IF('13 - Config_Intake_View'!Q164&lt;&gt;"",'13 - Config_Intake_View'!Q164,'12 - Device_Configuration'!BH165)</f>
        <v>0</v>
      </c>
      <c r="J164" s="17" t="str">
        <f>IF('13 - Config_Intake_View'!Q164&lt;&gt;"","PM Approved",IF('12 - Device_Configuration'!BH165&lt;&gt;"","Assumed",""))</f>
        <v/>
      </c>
      <c r="K164" s="31">
        <f>'12 - Device_Configuration'!BG165</f>
        <v>0</v>
      </c>
      <c r="L164" s="17">
        <f>'12 - Device_Configuration'!P165</f>
        <v>0</v>
      </c>
      <c r="M164" s="17">
        <f>'12 - Device_Configuration'!Q165</f>
        <v>0</v>
      </c>
      <c r="N164" s="17" t="str">
        <f>'12 - Device_Configuration'!BK165</f>
        <v/>
      </c>
      <c r="O164" s="31" t="str">
        <f>'12 - Device_Configuration'!BL165</f>
        <v/>
      </c>
      <c r="P164" s="2">
        <f>'12 - Device_Configuration'!BA165</f>
        <v>0</v>
      </c>
      <c r="Q164" s="31" t="str">
        <f t="shared" si="8"/>
        <v/>
      </c>
      <c r="R164" s="17" t="str">
        <f t="shared" si="9"/>
        <v>SW NOT INSTALLED</v>
      </c>
      <c r="S164" s="17" t="str">
        <f t="shared" si="10"/>
        <v/>
      </c>
      <c r="T164" s="17" t="str">
        <f t="shared" si="11"/>
        <v>SW NOT INSTALLED</v>
      </c>
    </row>
    <row r="165" spans="1:20">
      <c r="A165" s="31">
        <f>'12 - Device_Configuration'!H166</f>
        <v>0</v>
      </c>
      <c r="B165" s="31">
        <f>'12 - Device_Configuration'!S166</f>
        <v>0</v>
      </c>
      <c r="C165" s="31">
        <f>'12 - Device_Configuration'!T166</f>
        <v>0</v>
      </c>
      <c r="D165" s="17">
        <f>'12 - Device_Configuration'!AJ166</f>
        <v>0</v>
      </c>
      <c r="E165" s="17">
        <f>'12 - Device_Configuration'!J166</f>
        <v>0</v>
      </c>
      <c r="F165" s="31">
        <f>'12 - Device_Configuration'!K166</f>
        <v>0</v>
      </c>
      <c r="G165" s="17">
        <f>'12 - Device_Configuration'!L166</f>
        <v>0</v>
      </c>
      <c r="H165" s="17">
        <f>'13 - Config_Intake_View'!M165</f>
        <v>0</v>
      </c>
      <c r="I165" s="31">
        <f>IF('13 - Config_Intake_View'!Q165&lt;&gt;"",'13 - Config_Intake_View'!Q165,'12 - Device_Configuration'!BH166)</f>
        <v>0</v>
      </c>
      <c r="J165" s="17" t="str">
        <f>IF('13 - Config_Intake_View'!Q165&lt;&gt;"","PM Approved",IF('12 - Device_Configuration'!BH166&lt;&gt;"","Assumed",""))</f>
        <v/>
      </c>
      <c r="K165" s="31">
        <f>'12 - Device_Configuration'!BG166</f>
        <v>0</v>
      </c>
      <c r="L165" s="17">
        <f>'12 - Device_Configuration'!P166</f>
        <v>0</v>
      </c>
      <c r="M165" s="17">
        <f>'12 - Device_Configuration'!Q166</f>
        <v>0</v>
      </c>
      <c r="N165" s="17" t="str">
        <f>'12 - Device_Configuration'!BK166</f>
        <v/>
      </c>
      <c r="O165" s="31" t="str">
        <f>'12 - Device_Configuration'!BL166</f>
        <v/>
      </c>
      <c r="P165" s="2">
        <f>'12 - Device_Configuration'!BA166</f>
        <v>0</v>
      </c>
      <c r="Q165" s="31" t="str">
        <f t="shared" si="8"/>
        <v/>
      </c>
      <c r="R165" s="17" t="str">
        <f t="shared" si="9"/>
        <v>SW NOT INSTALLED</v>
      </c>
      <c r="S165" s="17" t="str">
        <f t="shared" si="10"/>
        <v/>
      </c>
      <c r="T165" s="17" t="str">
        <f t="shared" si="11"/>
        <v>SW NOT INSTALLED</v>
      </c>
    </row>
    <row r="166" spans="1:20">
      <c r="A166" s="31">
        <f>'12 - Device_Configuration'!H167</f>
        <v>0</v>
      </c>
      <c r="B166" s="31">
        <f>'12 - Device_Configuration'!S167</f>
        <v>0</v>
      </c>
      <c r="C166" s="31">
        <f>'12 - Device_Configuration'!T167</f>
        <v>0</v>
      </c>
      <c r="D166" s="17">
        <f>'12 - Device_Configuration'!AJ167</f>
        <v>0</v>
      </c>
      <c r="E166" s="17">
        <f>'12 - Device_Configuration'!J167</f>
        <v>0</v>
      </c>
      <c r="F166" s="31">
        <f>'12 - Device_Configuration'!K167</f>
        <v>0</v>
      </c>
      <c r="G166" s="17">
        <f>'12 - Device_Configuration'!L167</f>
        <v>0</v>
      </c>
      <c r="H166" s="17">
        <f>'13 - Config_Intake_View'!M166</f>
        <v>0</v>
      </c>
      <c r="I166" s="31">
        <f>IF('13 - Config_Intake_View'!Q166&lt;&gt;"",'13 - Config_Intake_View'!Q166,'12 - Device_Configuration'!BH167)</f>
        <v>0</v>
      </c>
      <c r="J166" s="17" t="str">
        <f>IF('13 - Config_Intake_View'!Q166&lt;&gt;"","PM Approved",IF('12 - Device_Configuration'!BH167&lt;&gt;"","Assumed",""))</f>
        <v/>
      </c>
      <c r="K166" s="31">
        <f>'12 - Device_Configuration'!BG167</f>
        <v>0</v>
      </c>
      <c r="L166" s="17">
        <f>'12 - Device_Configuration'!P167</f>
        <v>0</v>
      </c>
      <c r="M166" s="17">
        <f>'12 - Device_Configuration'!Q167</f>
        <v>0</v>
      </c>
      <c r="N166" s="17" t="str">
        <f>'12 - Device_Configuration'!BK167</f>
        <v/>
      </c>
      <c r="O166" s="31" t="str">
        <f>'12 - Device_Configuration'!BL167</f>
        <v/>
      </c>
      <c r="P166" s="2">
        <f>'12 - Device_Configuration'!BA167</f>
        <v>0</v>
      </c>
      <c r="Q166" s="31" t="str">
        <f t="shared" si="8"/>
        <v/>
      </c>
      <c r="R166" s="17" t="str">
        <f t="shared" si="9"/>
        <v>SW NOT INSTALLED</v>
      </c>
      <c r="S166" s="17" t="str">
        <f t="shared" si="10"/>
        <v/>
      </c>
      <c r="T166" s="17" t="str">
        <f t="shared" si="11"/>
        <v>SW NOT INSTALLED</v>
      </c>
    </row>
    <row r="167" spans="1:20">
      <c r="A167" s="31">
        <f>'12 - Device_Configuration'!H168</f>
        <v>0</v>
      </c>
      <c r="B167" s="31">
        <f>'12 - Device_Configuration'!S168</f>
        <v>0</v>
      </c>
      <c r="C167" s="31">
        <f>'12 - Device_Configuration'!T168</f>
        <v>0</v>
      </c>
      <c r="D167" s="17">
        <f>'12 - Device_Configuration'!AJ168</f>
        <v>0</v>
      </c>
      <c r="E167" s="17">
        <f>'12 - Device_Configuration'!J168</f>
        <v>0</v>
      </c>
      <c r="F167" s="31">
        <f>'12 - Device_Configuration'!K168</f>
        <v>0</v>
      </c>
      <c r="G167" s="17">
        <f>'12 - Device_Configuration'!L168</f>
        <v>0</v>
      </c>
      <c r="H167" s="17">
        <f>'13 - Config_Intake_View'!M167</f>
        <v>0</v>
      </c>
      <c r="I167" s="31">
        <f>IF('13 - Config_Intake_View'!Q167&lt;&gt;"",'13 - Config_Intake_View'!Q167,'12 - Device_Configuration'!BH168)</f>
        <v>0</v>
      </c>
      <c r="J167" s="17" t="str">
        <f>IF('13 - Config_Intake_View'!Q167&lt;&gt;"","PM Approved",IF('12 - Device_Configuration'!BH168&lt;&gt;"","Assumed",""))</f>
        <v/>
      </c>
      <c r="K167" s="31">
        <f>'12 - Device_Configuration'!BG168</f>
        <v>0</v>
      </c>
      <c r="L167" s="17">
        <f>'12 - Device_Configuration'!P168</f>
        <v>0</v>
      </c>
      <c r="M167" s="17">
        <f>'12 - Device_Configuration'!Q168</f>
        <v>0</v>
      </c>
      <c r="N167" s="17" t="str">
        <f>'12 - Device_Configuration'!BK168</f>
        <v/>
      </c>
      <c r="O167" s="31" t="str">
        <f>'12 - Device_Configuration'!BL168</f>
        <v/>
      </c>
      <c r="P167" s="2">
        <f>'12 - Device_Configuration'!BA168</f>
        <v>0</v>
      </c>
      <c r="Q167" s="31" t="str">
        <f t="shared" si="8"/>
        <v/>
      </c>
      <c r="R167" s="17" t="str">
        <f t="shared" si="9"/>
        <v>SW NOT INSTALLED</v>
      </c>
      <c r="S167" s="17" t="str">
        <f t="shared" si="10"/>
        <v/>
      </c>
      <c r="T167" s="17" t="str">
        <f t="shared" si="11"/>
        <v>SW NOT INSTALLED</v>
      </c>
    </row>
    <row r="168" spans="1:20">
      <c r="A168" s="31">
        <f>'12 - Device_Configuration'!H169</f>
        <v>0</v>
      </c>
      <c r="B168" s="31">
        <f>'12 - Device_Configuration'!S169</f>
        <v>0</v>
      </c>
      <c r="C168" s="31">
        <f>'12 - Device_Configuration'!T169</f>
        <v>0</v>
      </c>
      <c r="D168" s="17">
        <f>'12 - Device_Configuration'!AJ169</f>
        <v>0</v>
      </c>
      <c r="E168" s="17">
        <f>'12 - Device_Configuration'!J169</f>
        <v>0</v>
      </c>
      <c r="F168" s="31">
        <f>'12 - Device_Configuration'!K169</f>
        <v>0</v>
      </c>
      <c r="G168" s="17">
        <f>'12 - Device_Configuration'!L169</f>
        <v>0</v>
      </c>
      <c r="H168" s="17">
        <f>'13 - Config_Intake_View'!M168</f>
        <v>0</v>
      </c>
      <c r="I168" s="31">
        <f>IF('13 - Config_Intake_View'!Q168&lt;&gt;"",'13 - Config_Intake_View'!Q168,'12 - Device_Configuration'!BH169)</f>
        <v>0</v>
      </c>
      <c r="J168" s="17" t="str">
        <f>IF('13 - Config_Intake_View'!Q168&lt;&gt;"","PM Approved",IF('12 - Device_Configuration'!BH169&lt;&gt;"","Assumed",""))</f>
        <v/>
      </c>
      <c r="K168" s="31">
        <f>'12 - Device_Configuration'!BG169</f>
        <v>0</v>
      </c>
      <c r="L168" s="17">
        <f>'12 - Device_Configuration'!P169</f>
        <v>0</v>
      </c>
      <c r="M168" s="17">
        <f>'12 - Device_Configuration'!Q169</f>
        <v>0</v>
      </c>
      <c r="N168" s="17" t="str">
        <f>'12 - Device_Configuration'!BK169</f>
        <v/>
      </c>
      <c r="O168" s="31" t="str">
        <f>'12 - Device_Configuration'!BL169</f>
        <v/>
      </c>
      <c r="P168" s="2">
        <f>'12 - Device_Configuration'!BA169</f>
        <v>0</v>
      </c>
      <c r="Q168" s="31" t="str">
        <f t="shared" si="8"/>
        <v/>
      </c>
      <c r="R168" s="17" t="str">
        <f t="shared" si="9"/>
        <v>SW NOT INSTALLED</v>
      </c>
      <c r="S168" s="17" t="str">
        <f t="shared" si="10"/>
        <v/>
      </c>
      <c r="T168" s="17" t="str">
        <f t="shared" si="11"/>
        <v>SW NOT INSTALLED</v>
      </c>
    </row>
    <row r="169" spans="1:20">
      <c r="A169" s="31">
        <f>'12 - Device_Configuration'!H170</f>
        <v>0</v>
      </c>
      <c r="B169" s="31">
        <f>'12 - Device_Configuration'!S170</f>
        <v>0</v>
      </c>
      <c r="C169" s="31">
        <f>'12 - Device_Configuration'!T170</f>
        <v>0</v>
      </c>
      <c r="D169" s="17">
        <f>'12 - Device_Configuration'!AJ170</f>
        <v>0</v>
      </c>
      <c r="E169" s="17">
        <f>'12 - Device_Configuration'!J170</f>
        <v>0</v>
      </c>
      <c r="F169" s="31">
        <f>'12 - Device_Configuration'!K170</f>
        <v>0</v>
      </c>
      <c r="G169" s="17">
        <f>'12 - Device_Configuration'!L170</f>
        <v>0</v>
      </c>
      <c r="H169" s="17">
        <f>'13 - Config_Intake_View'!M169</f>
        <v>0</v>
      </c>
      <c r="I169" s="31">
        <f>IF('13 - Config_Intake_View'!Q169&lt;&gt;"",'13 - Config_Intake_View'!Q169,'12 - Device_Configuration'!BH170)</f>
        <v>0</v>
      </c>
      <c r="J169" s="17" t="str">
        <f>IF('13 - Config_Intake_View'!Q169&lt;&gt;"","PM Approved",IF('12 - Device_Configuration'!BH170&lt;&gt;"","Assumed",""))</f>
        <v/>
      </c>
      <c r="K169" s="31">
        <f>'12 - Device_Configuration'!BG170</f>
        <v>0</v>
      </c>
      <c r="L169" s="17">
        <f>'12 - Device_Configuration'!P170</f>
        <v>0</v>
      </c>
      <c r="M169" s="17">
        <f>'12 - Device_Configuration'!Q170</f>
        <v>0</v>
      </c>
      <c r="N169" s="17" t="str">
        <f>'12 - Device_Configuration'!BK170</f>
        <v/>
      </c>
      <c r="O169" s="31" t="str">
        <f>'12 - Device_Configuration'!BL170</f>
        <v/>
      </c>
      <c r="P169" s="2">
        <f>'12 - Device_Configuration'!BA170</f>
        <v>0</v>
      </c>
      <c r="Q169" s="31" t="str">
        <f t="shared" si="8"/>
        <v/>
      </c>
      <c r="R169" s="17" t="str">
        <f t="shared" si="9"/>
        <v>SW NOT INSTALLED</v>
      </c>
      <c r="S169" s="17" t="str">
        <f t="shared" si="10"/>
        <v/>
      </c>
      <c r="T169" s="17" t="str">
        <f t="shared" si="11"/>
        <v>SW NOT INSTALLED</v>
      </c>
    </row>
    <row r="170" spans="1:20">
      <c r="A170" s="31">
        <f>'12 - Device_Configuration'!H171</f>
        <v>0</v>
      </c>
      <c r="B170" s="31">
        <f>'12 - Device_Configuration'!S171</f>
        <v>0</v>
      </c>
      <c r="C170" s="31">
        <f>'12 - Device_Configuration'!T171</f>
        <v>0</v>
      </c>
      <c r="D170" s="17">
        <f>'12 - Device_Configuration'!AJ171</f>
        <v>0</v>
      </c>
      <c r="E170" s="17">
        <f>'12 - Device_Configuration'!J171</f>
        <v>0</v>
      </c>
      <c r="F170" s="31">
        <f>'12 - Device_Configuration'!K171</f>
        <v>0</v>
      </c>
      <c r="G170" s="17">
        <f>'12 - Device_Configuration'!L171</f>
        <v>0</v>
      </c>
      <c r="H170" s="17">
        <f>'13 - Config_Intake_View'!M170</f>
        <v>0</v>
      </c>
      <c r="I170" s="31">
        <f>IF('13 - Config_Intake_View'!Q170&lt;&gt;"",'13 - Config_Intake_View'!Q170,'12 - Device_Configuration'!BH171)</f>
        <v>0</v>
      </c>
      <c r="J170" s="17" t="str">
        <f>IF('13 - Config_Intake_View'!Q170&lt;&gt;"","PM Approved",IF('12 - Device_Configuration'!BH171&lt;&gt;"","Assumed",""))</f>
        <v/>
      </c>
      <c r="K170" s="31">
        <f>'12 - Device_Configuration'!BG171</f>
        <v>0</v>
      </c>
      <c r="L170" s="17">
        <f>'12 - Device_Configuration'!P171</f>
        <v>0</v>
      </c>
      <c r="M170" s="17">
        <f>'12 - Device_Configuration'!Q171</f>
        <v>0</v>
      </c>
      <c r="N170" s="17" t="str">
        <f>'12 - Device_Configuration'!BK171</f>
        <v/>
      </c>
      <c r="O170" s="31" t="str">
        <f>'12 - Device_Configuration'!BL171</f>
        <v/>
      </c>
      <c r="P170" s="2">
        <f>'12 - Device_Configuration'!BA171</f>
        <v>0</v>
      </c>
      <c r="Q170" s="31" t="str">
        <f t="shared" si="8"/>
        <v/>
      </c>
      <c r="R170" s="17" t="str">
        <f t="shared" si="9"/>
        <v>SW NOT INSTALLED</v>
      </c>
      <c r="S170" s="17" t="str">
        <f t="shared" si="10"/>
        <v/>
      </c>
      <c r="T170" s="17" t="str">
        <f t="shared" si="11"/>
        <v>SW NOT INSTALLED</v>
      </c>
    </row>
    <row r="171" spans="1:20">
      <c r="A171" s="31">
        <f>'12 - Device_Configuration'!H172</f>
        <v>0</v>
      </c>
      <c r="B171" s="31">
        <f>'12 - Device_Configuration'!S172</f>
        <v>0</v>
      </c>
      <c r="C171" s="31">
        <f>'12 - Device_Configuration'!T172</f>
        <v>0</v>
      </c>
      <c r="D171" s="17">
        <f>'12 - Device_Configuration'!AJ172</f>
        <v>0</v>
      </c>
      <c r="E171" s="17">
        <f>'12 - Device_Configuration'!J172</f>
        <v>0</v>
      </c>
      <c r="F171" s="31">
        <f>'12 - Device_Configuration'!K172</f>
        <v>0</v>
      </c>
      <c r="G171" s="17">
        <f>'12 - Device_Configuration'!L172</f>
        <v>0</v>
      </c>
      <c r="H171" s="17">
        <f>'13 - Config_Intake_View'!M171</f>
        <v>0</v>
      </c>
      <c r="I171" s="31">
        <f>IF('13 - Config_Intake_View'!Q171&lt;&gt;"",'13 - Config_Intake_View'!Q171,'12 - Device_Configuration'!BH172)</f>
        <v>0</v>
      </c>
      <c r="J171" s="17" t="str">
        <f>IF('13 - Config_Intake_View'!Q171&lt;&gt;"","PM Approved",IF('12 - Device_Configuration'!BH172&lt;&gt;"","Assumed",""))</f>
        <v/>
      </c>
      <c r="K171" s="31">
        <f>'12 - Device_Configuration'!BG172</f>
        <v>0</v>
      </c>
      <c r="L171" s="17">
        <f>'12 - Device_Configuration'!P172</f>
        <v>0</v>
      </c>
      <c r="M171" s="17">
        <f>'12 - Device_Configuration'!Q172</f>
        <v>0</v>
      </c>
      <c r="N171" s="17" t="str">
        <f>'12 - Device_Configuration'!BK172</f>
        <v/>
      </c>
      <c r="O171" s="31" t="str">
        <f>'12 - Device_Configuration'!BL172</f>
        <v/>
      </c>
      <c r="P171" s="2">
        <f>'12 - Device_Configuration'!BA172</f>
        <v>0</v>
      </c>
      <c r="Q171" s="31" t="str">
        <f t="shared" si="8"/>
        <v/>
      </c>
      <c r="R171" s="17" t="str">
        <f t="shared" si="9"/>
        <v>SW NOT INSTALLED</v>
      </c>
      <c r="S171" s="17" t="str">
        <f t="shared" si="10"/>
        <v/>
      </c>
      <c r="T171" s="17" t="str">
        <f t="shared" si="11"/>
        <v>SW NOT INSTALLED</v>
      </c>
    </row>
    <row r="172" spans="1:20">
      <c r="A172" s="31">
        <f>'12 - Device_Configuration'!H173</f>
        <v>0</v>
      </c>
      <c r="B172" s="31">
        <f>'12 - Device_Configuration'!S173</f>
        <v>0</v>
      </c>
      <c r="C172" s="31">
        <f>'12 - Device_Configuration'!T173</f>
        <v>0</v>
      </c>
      <c r="D172" s="17">
        <f>'12 - Device_Configuration'!AJ173</f>
        <v>0</v>
      </c>
      <c r="E172" s="17">
        <f>'12 - Device_Configuration'!J173</f>
        <v>0</v>
      </c>
      <c r="F172" s="31">
        <f>'12 - Device_Configuration'!K173</f>
        <v>0</v>
      </c>
      <c r="G172" s="17">
        <f>'12 - Device_Configuration'!L173</f>
        <v>0</v>
      </c>
      <c r="H172" s="17">
        <f>'13 - Config_Intake_View'!M172</f>
        <v>0</v>
      </c>
      <c r="I172" s="31">
        <f>IF('13 - Config_Intake_View'!Q172&lt;&gt;"",'13 - Config_Intake_View'!Q172,'12 - Device_Configuration'!BH173)</f>
        <v>0</v>
      </c>
      <c r="J172" s="17" t="str">
        <f>IF('13 - Config_Intake_View'!Q172&lt;&gt;"","PM Approved",IF('12 - Device_Configuration'!BH173&lt;&gt;"","Assumed",""))</f>
        <v/>
      </c>
      <c r="K172" s="31">
        <f>'12 - Device_Configuration'!BG173</f>
        <v>0</v>
      </c>
      <c r="L172" s="17">
        <f>'12 - Device_Configuration'!P173</f>
        <v>0</v>
      </c>
      <c r="M172" s="17">
        <f>'12 - Device_Configuration'!Q173</f>
        <v>0</v>
      </c>
      <c r="N172" s="17" t="str">
        <f>'12 - Device_Configuration'!BK173</f>
        <v/>
      </c>
      <c r="O172" s="31" t="str">
        <f>'12 - Device_Configuration'!BL173</f>
        <v/>
      </c>
      <c r="P172" s="2">
        <f>'12 - Device_Configuration'!BA173</f>
        <v>0</v>
      </c>
      <c r="Q172" s="31" t="str">
        <f t="shared" si="8"/>
        <v/>
      </c>
      <c r="R172" s="17" t="str">
        <f t="shared" si="9"/>
        <v>SW NOT INSTALLED</v>
      </c>
      <c r="S172" s="17" t="str">
        <f t="shared" si="10"/>
        <v/>
      </c>
      <c r="T172" s="17" t="str">
        <f t="shared" si="11"/>
        <v>SW NOT INSTALLED</v>
      </c>
    </row>
    <row r="173" spans="1:20">
      <c r="A173" s="31">
        <f>'12 - Device_Configuration'!H174</f>
        <v>0</v>
      </c>
      <c r="B173" s="31">
        <f>'12 - Device_Configuration'!S174</f>
        <v>0</v>
      </c>
      <c r="C173" s="31">
        <f>'12 - Device_Configuration'!T174</f>
        <v>0</v>
      </c>
      <c r="D173" s="17">
        <f>'12 - Device_Configuration'!AJ174</f>
        <v>0</v>
      </c>
      <c r="E173" s="17">
        <f>'12 - Device_Configuration'!J174</f>
        <v>0</v>
      </c>
      <c r="F173" s="31">
        <f>'12 - Device_Configuration'!K174</f>
        <v>0</v>
      </c>
      <c r="G173" s="17">
        <f>'12 - Device_Configuration'!L174</f>
        <v>0</v>
      </c>
      <c r="H173" s="17">
        <f>'13 - Config_Intake_View'!M173</f>
        <v>0</v>
      </c>
      <c r="I173" s="31">
        <f>IF('13 - Config_Intake_View'!Q173&lt;&gt;"",'13 - Config_Intake_View'!Q173,'12 - Device_Configuration'!BH174)</f>
        <v>0</v>
      </c>
      <c r="J173" s="17" t="str">
        <f>IF('13 - Config_Intake_View'!Q173&lt;&gt;"","PM Approved",IF('12 - Device_Configuration'!BH174&lt;&gt;"","Assumed",""))</f>
        <v/>
      </c>
      <c r="K173" s="31">
        <f>'12 - Device_Configuration'!BG174</f>
        <v>0</v>
      </c>
      <c r="L173" s="17">
        <f>'12 - Device_Configuration'!P174</f>
        <v>0</v>
      </c>
      <c r="M173" s="17">
        <f>'12 - Device_Configuration'!Q174</f>
        <v>0</v>
      </c>
      <c r="N173" s="17" t="str">
        <f>'12 - Device_Configuration'!BK174</f>
        <v/>
      </c>
      <c r="O173" s="31" t="str">
        <f>'12 - Device_Configuration'!BL174</f>
        <v/>
      </c>
      <c r="P173" s="2">
        <f>'12 - Device_Configuration'!BA174</f>
        <v>0</v>
      </c>
      <c r="Q173" s="31" t="str">
        <f t="shared" si="8"/>
        <v/>
      </c>
      <c r="R173" s="17" t="str">
        <f t="shared" si="9"/>
        <v>SW NOT INSTALLED</v>
      </c>
      <c r="S173" s="17" t="str">
        <f t="shared" si="10"/>
        <v/>
      </c>
      <c r="T173" s="17" t="str">
        <f t="shared" si="11"/>
        <v>SW NOT INSTALLED</v>
      </c>
    </row>
    <row r="174" spans="1:20">
      <c r="A174" s="31">
        <f>'12 - Device_Configuration'!H175</f>
        <v>0</v>
      </c>
      <c r="B174" s="31">
        <f>'12 - Device_Configuration'!S175</f>
        <v>0</v>
      </c>
      <c r="C174" s="31">
        <f>'12 - Device_Configuration'!T175</f>
        <v>0</v>
      </c>
      <c r="D174" s="17">
        <f>'12 - Device_Configuration'!AJ175</f>
        <v>0</v>
      </c>
      <c r="E174" s="17">
        <f>'12 - Device_Configuration'!J175</f>
        <v>0</v>
      </c>
      <c r="F174" s="31">
        <f>'12 - Device_Configuration'!K175</f>
        <v>0</v>
      </c>
      <c r="G174" s="17">
        <f>'12 - Device_Configuration'!L175</f>
        <v>0</v>
      </c>
      <c r="H174" s="17">
        <f>'13 - Config_Intake_View'!M174</f>
        <v>0</v>
      </c>
      <c r="I174" s="31">
        <f>IF('13 - Config_Intake_View'!Q174&lt;&gt;"",'13 - Config_Intake_View'!Q174,'12 - Device_Configuration'!BH175)</f>
        <v>0</v>
      </c>
      <c r="J174" s="17" t="str">
        <f>IF('13 - Config_Intake_View'!Q174&lt;&gt;"","PM Approved",IF('12 - Device_Configuration'!BH175&lt;&gt;"","Assumed",""))</f>
        <v/>
      </c>
      <c r="K174" s="31">
        <f>'12 - Device_Configuration'!BG175</f>
        <v>0</v>
      </c>
      <c r="L174" s="17">
        <f>'12 - Device_Configuration'!P175</f>
        <v>0</v>
      </c>
      <c r="M174" s="17">
        <f>'12 - Device_Configuration'!Q175</f>
        <v>0</v>
      </c>
      <c r="N174" s="17" t="str">
        <f>'12 - Device_Configuration'!BK175</f>
        <v/>
      </c>
      <c r="O174" s="31" t="str">
        <f>'12 - Device_Configuration'!BL175</f>
        <v/>
      </c>
      <c r="P174" s="2">
        <f>'12 - Device_Configuration'!BA175</f>
        <v>0</v>
      </c>
      <c r="Q174" s="31" t="str">
        <f t="shared" si="8"/>
        <v/>
      </c>
      <c r="R174" s="17" t="str">
        <f t="shared" si="9"/>
        <v>SW NOT INSTALLED</v>
      </c>
      <c r="S174" s="17" t="str">
        <f t="shared" si="10"/>
        <v/>
      </c>
      <c r="T174" s="17" t="str">
        <f t="shared" si="11"/>
        <v>SW NOT INSTALLED</v>
      </c>
    </row>
    <row r="175" spans="1:20">
      <c r="A175" s="31">
        <f>'12 - Device_Configuration'!H176</f>
        <v>0</v>
      </c>
      <c r="B175" s="31">
        <f>'12 - Device_Configuration'!S176</f>
        <v>0</v>
      </c>
      <c r="C175" s="31">
        <f>'12 - Device_Configuration'!T176</f>
        <v>0</v>
      </c>
      <c r="D175" s="17">
        <f>'12 - Device_Configuration'!AJ176</f>
        <v>0</v>
      </c>
      <c r="E175" s="17">
        <f>'12 - Device_Configuration'!J176</f>
        <v>0</v>
      </c>
      <c r="F175" s="31">
        <f>'12 - Device_Configuration'!K176</f>
        <v>0</v>
      </c>
      <c r="G175" s="17">
        <f>'12 - Device_Configuration'!L176</f>
        <v>0</v>
      </c>
      <c r="H175" s="17">
        <f>'13 - Config_Intake_View'!M175</f>
        <v>0</v>
      </c>
      <c r="I175" s="31">
        <f>IF('13 - Config_Intake_View'!Q175&lt;&gt;"",'13 - Config_Intake_View'!Q175,'12 - Device_Configuration'!BH176)</f>
        <v>0</v>
      </c>
      <c r="J175" s="17" t="str">
        <f>IF('13 - Config_Intake_View'!Q175&lt;&gt;"","PM Approved",IF('12 - Device_Configuration'!BH176&lt;&gt;"","Assumed",""))</f>
        <v/>
      </c>
      <c r="K175" s="31">
        <f>'12 - Device_Configuration'!BG176</f>
        <v>0</v>
      </c>
      <c r="L175" s="17">
        <f>'12 - Device_Configuration'!P176</f>
        <v>0</v>
      </c>
      <c r="M175" s="17">
        <f>'12 - Device_Configuration'!Q176</f>
        <v>0</v>
      </c>
      <c r="N175" s="17" t="str">
        <f>'12 - Device_Configuration'!BK176</f>
        <v/>
      </c>
      <c r="O175" s="31" t="str">
        <f>'12 - Device_Configuration'!BL176</f>
        <v/>
      </c>
      <c r="P175" s="2">
        <f>'12 - Device_Configuration'!BA176</f>
        <v>0</v>
      </c>
      <c r="Q175" s="31" t="str">
        <f t="shared" si="8"/>
        <v/>
      </c>
      <c r="R175" s="17" t="str">
        <f t="shared" si="9"/>
        <v>SW NOT INSTALLED</v>
      </c>
      <c r="S175" s="17" t="str">
        <f t="shared" si="10"/>
        <v/>
      </c>
      <c r="T175" s="17" t="str">
        <f t="shared" si="11"/>
        <v>SW NOT INSTALLED</v>
      </c>
    </row>
    <row r="176" spans="1:20">
      <c r="A176" s="31">
        <f>'12 - Device_Configuration'!H177</f>
        <v>0</v>
      </c>
      <c r="B176" s="31">
        <f>'12 - Device_Configuration'!S177</f>
        <v>0</v>
      </c>
      <c r="C176" s="31">
        <f>'12 - Device_Configuration'!T177</f>
        <v>0</v>
      </c>
      <c r="D176" s="17">
        <f>'12 - Device_Configuration'!AJ177</f>
        <v>0</v>
      </c>
      <c r="E176" s="17">
        <f>'12 - Device_Configuration'!J177</f>
        <v>0</v>
      </c>
      <c r="F176" s="31">
        <f>'12 - Device_Configuration'!K177</f>
        <v>0</v>
      </c>
      <c r="G176" s="17">
        <f>'12 - Device_Configuration'!L177</f>
        <v>0</v>
      </c>
      <c r="H176" s="17">
        <f>'13 - Config_Intake_View'!M176</f>
        <v>0</v>
      </c>
      <c r="I176" s="31">
        <f>IF('13 - Config_Intake_View'!Q176&lt;&gt;"",'13 - Config_Intake_View'!Q176,'12 - Device_Configuration'!BH177)</f>
        <v>0</v>
      </c>
      <c r="J176" s="17" t="str">
        <f>IF('13 - Config_Intake_View'!Q176&lt;&gt;"","PM Approved",IF('12 - Device_Configuration'!BH177&lt;&gt;"","Assumed",""))</f>
        <v/>
      </c>
      <c r="K176" s="31">
        <f>'12 - Device_Configuration'!BG177</f>
        <v>0</v>
      </c>
      <c r="L176" s="17">
        <f>'12 - Device_Configuration'!P177</f>
        <v>0</v>
      </c>
      <c r="M176" s="17">
        <f>'12 - Device_Configuration'!Q177</f>
        <v>0</v>
      </c>
      <c r="N176" s="17" t="str">
        <f>'12 - Device_Configuration'!BK177</f>
        <v/>
      </c>
      <c r="O176" s="31" t="str">
        <f>'12 - Device_Configuration'!BL177</f>
        <v/>
      </c>
      <c r="P176" s="2">
        <f>'12 - Device_Configuration'!BA177</f>
        <v>0</v>
      </c>
      <c r="Q176" s="31" t="str">
        <f t="shared" si="8"/>
        <v/>
      </c>
      <c r="R176" s="17" t="str">
        <f t="shared" si="9"/>
        <v>SW NOT INSTALLED</v>
      </c>
      <c r="S176" s="17" t="str">
        <f t="shared" si="10"/>
        <v/>
      </c>
      <c r="T176" s="17" t="str">
        <f t="shared" si="11"/>
        <v>SW NOT INSTALLED</v>
      </c>
    </row>
    <row r="177" spans="1:20">
      <c r="A177" s="31">
        <f>'12 - Device_Configuration'!H178</f>
        <v>0</v>
      </c>
      <c r="B177" s="31">
        <f>'12 - Device_Configuration'!S178</f>
        <v>0</v>
      </c>
      <c r="C177" s="31">
        <f>'12 - Device_Configuration'!T178</f>
        <v>0</v>
      </c>
      <c r="D177" s="17">
        <f>'12 - Device_Configuration'!AJ178</f>
        <v>0</v>
      </c>
      <c r="E177" s="17">
        <f>'12 - Device_Configuration'!J178</f>
        <v>0</v>
      </c>
      <c r="F177" s="31">
        <f>'12 - Device_Configuration'!K178</f>
        <v>0</v>
      </c>
      <c r="G177" s="17">
        <f>'12 - Device_Configuration'!L178</f>
        <v>0</v>
      </c>
      <c r="H177" s="17">
        <f>'13 - Config_Intake_View'!M177</f>
        <v>0</v>
      </c>
      <c r="I177" s="31">
        <f>IF('13 - Config_Intake_View'!Q177&lt;&gt;"",'13 - Config_Intake_View'!Q177,'12 - Device_Configuration'!BH178)</f>
        <v>0</v>
      </c>
      <c r="J177" s="17" t="str">
        <f>IF('13 - Config_Intake_View'!Q177&lt;&gt;"","PM Approved",IF('12 - Device_Configuration'!BH178&lt;&gt;"","Assumed",""))</f>
        <v/>
      </c>
      <c r="K177" s="31">
        <f>'12 - Device_Configuration'!BG178</f>
        <v>0</v>
      </c>
      <c r="L177" s="17">
        <f>'12 - Device_Configuration'!P178</f>
        <v>0</v>
      </c>
      <c r="M177" s="17">
        <f>'12 - Device_Configuration'!Q178</f>
        <v>0</v>
      </c>
      <c r="N177" s="17" t="str">
        <f>'12 - Device_Configuration'!BK178</f>
        <v/>
      </c>
      <c r="O177" s="31" t="str">
        <f>'12 - Device_Configuration'!BL178</f>
        <v/>
      </c>
      <c r="P177" s="2">
        <f>'12 - Device_Configuration'!BA178</f>
        <v>0</v>
      </c>
      <c r="Q177" s="31" t="str">
        <f t="shared" si="8"/>
        <v/>
      </c>
      <c r="R177" s="17" t="str">
        <f t="shared" si="9"/>
        <v>SW NOT INSTALLED</v>
      </c>
      <c r="S177" s="17" t="str">
        <f t="shared" si="10"/>
        <v/>
      </c>
      <c r="T177" s="17" t="str">
        <f t="shared" si="11"/>
        <v>SW NOT INSTALLED</v>
      </c>
    </row>
    <row r="178" spans="1:20">
      <c r="A178" s="31">
        <f>'12 - Device_Configuration'!H179</f>
        <v>0</v>
      </c>
      <c r="B178" s="31">
        <f>'12 - Device_Configuration'!S179</f>
        <v>0</v>
      </c>
      <c r="C178" s="31">
        <f>'12 - Device_Configuration'!T179</f>
        <v>0</v>
      </c>
      <c r="D178" s="17">
        <f>'12 - Device_Configuration'!AJ179</f>
        <v>0</v>
      </c>
      <c r="E178" s="17">
        <f>'12 - Device_Configuration'!J179</f>
        <v>0</v>
      </c>
      <c r="F178" s="31">
        <f>'12 - Device_Configuration'!K179</f>
        <v>0</v>
      </c>
      <c r="G178" s="17">
        <f>'12 - Device_Configuration'!L179</f>
        <v>0</v>
      </c>
      <c r="H178" s="17">
        <f>'13 - Config_Intake_View'!M178</f>
        <v>0</v>
      </c>
      <c r="I178" s="31">
        <f>IF('13 - Config_Intake_View'!Q178&lt;&gt;"",'13 - Config_Intake_View'!Q178,'12 - Device_Configuration'!BH179)</f>
        <v>0</v>
      </c>
      <c r="J178" s="17" t="str">
        <f>IF('13 - Config_Intake_View'!Q178&lt;&gt;"","PM Approved",IF('12 - Device_Configuration'!BH179&lt;&gt;"","Assumed",""))</f>
        <v/>
      </c>
      <c r="K178" s="31">
        <f>'12 - Device_Configuration'!BG179</f>
        <v>0</v>
      </c>
      <c r="L178" s="17">
        <f>'12 - Device_Configuration'!P179</f>
        <v>0</v>
      </c>
      <c r="M178" s="17">
        <f>'12 - Device_Configuration'!Q179</f>
        <v>0</v>
      </c>
      <c r="N178" s="17" t="str">
        <f>'12 - Device_Configuration'!BK179</f>
        <v/>
      </c>
      <c r="O178" s="31" t="str">
        <f>'12 - Device_Configuration'!BL179</f>
        <v/>
      </c>
      <c r="P178" s="2">
        <f>'12 - Device_Configuration'!BA179</f>
        <v>0</v>
      </c>
      <c r="Q178" s="31" t="str">
        <f t="shared" si="8"/>
        <v/>
      </c>
      <c r="R178" s="17" t="str">
        <f t="shared" si="9"/>
        <v>SW NOT INSTALLED</v>
      </c>
      <c r="S178" s="17" t="str">
        <f t="shared" si="10"/>
        <v/>
      </c>
      <c r="T178" s="17" t="str">
        <f t="shared" si="11"/>
        <v>SW NOT INSTALLED</v>
      </c>
    </row>
    <row r="179" spans="1:20">
      <c r="A179" s="31">
        <f>'12 - Device_Configuration'!H180</f>
        <v>0</v>
      </c>
      <c r="B179" s="31">
        <f>'12 - Device_Configuration'!S180</f>
        <v>0</v>
      </c>
      <c r="C179" s="31">
        <f>'12 - Device_Configuration'!T180</f>
        <v>0</v>
      </c>
      <c r="D179" s="17">
        <f>'12 - Device_Configuration'!AJ180</f>
        <v>0</v>
      </c>
      <c r="E179" s="17">
        <f>'12 - Device_Configuration'!J180</f>
        <v>0</v>
      </c>
      <c r="F179" s="31">
        <f>'12 - Device_Configuration'!K180</f>
        <v>0</v>
      </c>
      <c r="G179" s="17">
        <f>'12 - Device_Configuration'!L180</f>
        <v>0</v>
      </c>
      <c r="H179" s="17">
        <f>'13 - Config_Intake_View'!M179</f>
        <v>0</v>
      </c>
      <c r="I179" s="31">
        <f>IF('13 - Config_Intake_View'!Q179&lt;&gt;"",'13 - Config_Intake_View'!Q179,'12 - Device_Configuration'!BH180)</f>
        <v>0</v>
      </c>
      <c r="J179" s="17" t="str">
        <f>IF('13 - Config_Intake_View'!Q179&lt;&gt;"","PM Approved",IF('12 - Device_Configuration'!BH180&lt;&gt;"","Assumed",""))</f>
        <v/>
      </c>
      <c r="K179" s="31">
        <f>'12 - Device_Configuration'!BG180</f>
        <v>0</v>
      </c>
      <c r="L179" s="17">
        <f>'12 - Device_Configuration'!P180</f>
        <v>0</v>
      </c>
      <c r="M179" s="17">
        <f>'12 - Device_Configuration'!Q180</f>
        <v>0</v>
      </c>
      <c r="N179" s="17" t="str">
        <f>'12 - Device_Configuration'!BK180</f>
        <v/>
      </c>
      <c r="O179" s="31" t="str">
        <f>'12 - Device_Configuration'!BL180</f>
        <v/>
      </c>
      <c r="P179" s="2">
        <f>'12 - Device_Configuration'!BA180</f>
        <v>0</v>
      </c>
      <c r="Q179" s="31" t="str">
        <f t="shared" si="8"/>
        <v/>
      </c>
      <c r="R179" s="17" t="str">
        <f t="shared" si="9"/>
        <v>SW NOT INSTALLED</v>
      </c>
      <c r="S179" s="17" t="str">
        <f t="shared" si="10"/>
        <v/>
      </c>
      <c r="T179" s="17" t="str">
        <f t="shared" si="11"/>
        <v>SW NOT INSTALLED</v>
      </c>
    </row>
    <row r="180" spans="1:20">
      <c r="A180" s="31">
        <f>'12 - Device_Configuration'!H181</f>
        <v>0</v>
      </c>
      <c r="B180" s="31">
        <f>'12 - Device_Configuration'!S181</f>
        <v>0</v>
      </c>
      <c r="C180" s="31">
        <f>'12 - Device_Configuration'!T181</f>
        <v>0</v>
      </c>
      <c r="D180" s="17">
        <f>'12 - Device_Configuration'!AJ181</f>
        <v>0</v>
      </c>
      <c r="E180" s="17">
        <f>'12 - Device_Configuration'!J181</f>
        <v>0</v>
      </c>
      <c r="F180" s="31">
        <f>'12 - Device_Configuration'!K181</f>
        <v>0</v>
      </c>
      <c r="G180" s="17">
        <f>'12 - Device_Configuration'!L181</f>
        <v>0</v>
      </c>
      <c r="H180" s="17">
        <f>'13 - Config_Intake_View'!M180</f>
        <v>0</v>
      </c>
      <c r="I180" s="31">
        <f>IF('13 - Config_Intake_View'!Q180&lt;&gt;"",'13 - Config_Intake_View'!Q180,'12 - Device_Configuration'!BH181)</f>
        <v>0</v>
      </c>
      <c r="J180" s="17" t="str">
        <f>IF('13 - Config_Intake_View'!Q180&lt;&gt;"","PM Approved",IF('12 - Device_Configuration'!BH181&lt;&gt;"","Assumed",""))</f>
        <v/>
      </c>
      <c r="K180" s="31">
        <f>'12 - Device_Configuration'!BG181</f>
        <v>0</v>
      </c>
      <c r="L180" s="17">
        <f>'12 - Device_Configuration'!P181</f>
        <v>0</v>
      </c>
      <c r="M180" s="17">
        <f>'12 - Device_Configuration'!Q181</f>
        <v>0</v>
      </c>
      <c r="N180" s="17" t="str">
        <f>'12 - Device_Configuration'!BK181</f>
        <v/>
      </c>
      <c r="O180" s="31" t="str">
        <f>'12 - Device_Configuration'!BL181</f>
        <v/>
      </c>
      <c r="P180" s="2">
        <f>'12 - Device_Configuration'!BA181</f>
        <v>0</v>
      </c>
      <c r="Q180" s="31" t="str">
        <f t="shared" si="8"/>
        <v/>
      </c>
      <c r="R180" s="17" t="str">
        <f t="shared" si="9"/>
        <v>SW NOT INSTALLED</v>
      </c>
      <c r="S180" s="17" t="str">
        <f t="shared" si="10"/>
        <v/>
      </c>
      <c r="T180" s="17" t="str">
        <f t="shared" si="11"/>
        <v>SW NOT INSTALLED</v>
      </c>
    </row>
    <row r="181" spans="1:20">
      <c r="A181" s="31">
        <f>'12 - Device_Configuration'!H182</f>
        <v>0</v>
      </c>
      <c r="B181" s="31">
        <f>'12 - Device_Configuration'!S182</f>
        <v>0</v>
      </c>
      <c r="C181" s="31">
        <f>'12 - Device_Configuration'!T182</f>
        <v>0</v>
      </c>
      <c r="D181" s="17">
        <f>'12 - Device_Configuration'!AJ182</f>
        <v>0</v>
      </c>
      <c r="E181" s="17">
        <f>'12 - Device_Configuration'!J182</f>
        <v>0</v>
      </c>
      <c r="F181" s="31">
        <f>'12 - Device_Configuration'!K182</f>
        <v>0</v>
      </c>
      <c r="G181" s="17">
        <f>'12 - Device_Configuration'!L182</f>
        <v>0</v>
      </c>
      <c r="H181" s="17">
        <f>'13 - Config_Intake_View'!M181</f>
        <v>0</v>
      </c>
      <c r="I181" s="31">
        <f>IF('13 - Config_Intake_View'!Q181&lt;&gt;"",'13 - Config_Intake_View'!Q181,'12 - Device_Configuration'!BH182)</f>
        <v>0</v>
      </c>
      <c r="J181" s="17" t="str">
        <f>IF('13 - Config_Intake_View'!Q181&lt;&gt;"","PM Approved",IF('12 - Device_Configuration'!BH182&lt;&gt;"","Assumed",""))</f>
        <v/>
      </c>
      <c r="K181" s="31">
        <f>'12 - Device_Configuration'!BG182</f>
        <v>0</v>
      </c>
      <c r="L181" s="17">
        <f>'12 - Device_Configuration'!P182</f>
        <v>0</v>
      </c>
      <c r="M181" s="17">
        <f>'12 - Device_Configuration'!Q182</f>
        <v>0</v>
      </c>
      <c r="N181" s="17" t="str">
        <f>'12 - Device_Configuration'!BK182</f>
        <v/>
      </c>
      <c r="O181" s="31" t="str">
        <f>'12 - Device_Configuration'!BL182</f>
        <v/>
      </c>
      <c r="P181" s="2">
        <f>'12 - Device_Configuration'!BA182</f>
        <v>0</v>
      </c>
      <c r="Q181" s="31" t="str">
        <f t="shared" si="8"/>
        <v/>
      </c>
      <c r="R181" s="17" t="str">
        <f t="shared" si="9"/>
        <v>SW NOT INSTALLED</v>
      </c>
      <c r="S181" s="17" t="str">
        <f t="shared" si="10"/>
        <v/>
      </c>
      <c r="T181" s="17" t="str">
        <f t="shared" si="11"/>
        <v>SW NOT INSTALLED</v>
      </c>
    </row>
    <row r="182" spans="1:20">
      <c r="A182" s="31">
        <f>'12 - Device_Configuration'!H183</f>
        <v>0</v>
      </c>
      <c r="B182" s="31">
        <f>'12 - Device_Configuration'!S183</f>
        <v>0</v>
      </c>
      <c r="C182" s="31">
        <f>'12 - Device_Configuration'!T183</f>
        <v>0</v>
      </c>
      <c r="D182" s="17">
        <f>'12 - Device_Configuration'!AJ183</f>
        <v>0</v>
      </c>
      <c r="E182" s="17">
        <f>'12 - Device_Configuration'!J183</f>
        <v>0</v>
      </c>
      <c r="F182" s="31">
        <f>'12 - Device_Configuration'!K183</f>
        <v>0</v>
      </c>
      <c r="G182" s="17">
        <f>'12 - Device_Configuration'!L183</f>
        <v>0</v>
      </c>
      <c r="H182" s="17">
        <f>'13 - Config_Intake_View'!M182</f>
        <v>0</v>
      </c>
      <c r="I182" s="31">
        <f>IF('13 - Config_Intake_View'!Q182&lt;&gt;"",'13 - Config_Intake_View'!Q182,'12 - Device_Configuration'!BH183)</f>
        <v>0</v>
      </c>
      <c r="J182" s="17" t="str">
        <f>IF('13 - Config_Intake_View'!Q182&lt;&gt;"","PM Approved",IF('12 - Device_Configuration'!BH183&lt;&gt;"","Assumed",""))</f>
        <v/>
      </c>
      <c r="K182" s="31">
        <f>'12 - Device_Configuration'!BG183</f>
        <v>0</v>
      </c>
      <c r="L182" s="17">
        <f>'12 - Device_Configuration'!P183</f>
        <v>0</v>
      </c>
      <c r="M182" s="17">
        <f>'12 - Device_Configuration'!Q183</f>
        <v>0</v>
      </c>
      <c r="N182" s="17" t="str">
        <f>'12 - Device_Configuration'!BK183</f>
        <v/>
      </c>
      <c r="O182" s="31" t="str">
        <f>'12 - Device_Configuration'!BL183</f>
        <v/>
      </c>
      <c r="P182" s="2">
        <f>'12 - Device_Configuration'!BA183</f>
        <v>0</v>
      </c>
      <c r="Q182" s="31" t="str">
        <f t="shared" si="8"/>
        <v/>
      </c>
      <c r="R182" s="17" t="str">
        <f t="shared" si="9"/>
        <v>SW NOT INSTALLED</v>
      </c>
      <c r="S182" s="17" t="str">
        <f t="shared" si="10"/>
        <v/>
      </c>
      <c r="T182" s="17" t="str">
        <f t="shared" si="11"/>
        <v>SW NOT INSTALLED</v>
      </c>
    </row>
    <row r="183" spans="1:20">
      <c r="A183" s="31">
        <f>'12 - Device_Configuration'!H184</f>
        <v>0</v>
      </c>
      <c r="B183" s="31">
        <f>'12 - Device_Configuration'!S184</f>
        <v>0</v>
      </c>
      <c r="C183" s="31">
        <f>'12 - Device_Configuration'!T184</f>
        <v>0</v>
      </c>
      <c r="D183" s="17">
        <f>'12 - Device_Configuration'!AJ184</f>
        <v>0</v>
      </c>
      <c r="E183" s="17">
        <f>'12 - Device_Configuration'!J184</f>
        <v>0</v>
      </c>
      <c r="F183" s="31">
        <f>'12 - Device_Configuration'!K184</f>
        <v>0</v>
      </c>
      <c r="G183" s="17">
        <f>'12 - Device_Configuration'!L184</f>
        <v>0</v>
      </c>
      <c r="H183" s="17">
        <f>'13 - Config_Intake_View'!M183</f>
        <v>0</v>
      </c>
      <c r="I183" s="31">
        <f>IF('13 - Config_Intake_View'!Q183&lt;&gt;"",'13 - Config_Intake_View'!Q183,'12 - Device_Configuration'!BH184)</f>
        <v>0</v>
      </c>
      <c r="J183" s="17" t="str">
        <f>IF('13 - Config_Intake_View'!Q183&lt;&gt;"","PM Approved",IF('12 - Device_Configuration'!BH184&lt;&gt;"","Assumed",""))</f>
        <v/>
      </c>
      <c r="K183" s="31">
        <f>'12 - Device_Configuration'!BG184</f>
        <v>0</v>
      </c>
      <c r="L183" s="17">
        <f>'12 - Device_Configuration'!P184</f>
        <v>0</v>
      </c>
      <c r="M183" s="17">
        <f>'12 - Device_Configuration'!Q184</f>
        <v>0</v>
      </c>
      <c r="N183" s="17" t="str">
        <f>'12 - Device_Configuration'!BK184</f>
        <v/>
      </c>
      <c r="O183" s="31" t="str">
        <f>'12 - Device_Configuration'!BL184</f>
        <v/>
      </c>
      <c r="P183" s="2">
        <f>'12 - Device_Configuration'!BA184</f>
        <v>0</v>
      </c>
      <c r="Q183" s="31" t="str">
        <f t="shared" si="8"/>
        <v/>
      </c>
      <c r="R183" s="17" t="str">
        <f t="shared" si="9"/>
        <v>SW NOT INSTALLED</v>
      </c>
      <c r="S183" s="17" t="str">
        <f t="shared" si="10"/>
        <v/>
      </c>
      <c r="T183" s="17" t="str">
        <f t="shared" si="11"/>
        <v>SW NOT INSTALLED</v>
      </c>
    </row>
    <row r="184" spans="1:20">
      <c r="A184" s="31">
        <f>'12 - Device_Configuration'!H185</f>
        <v>0</v>
      </c>
      <c r="B184" s="31">
        <f>'12 - Device_Configuration'!S185</f>
        <v>0</v>
      </c>
      <c r="C184" s="31">
        <f>'12 - Device_Configuration'!T185</f>
        <v>0</v>
      </c>
      <c r="D184" s="17">
        <f>'12 - Device_Configuration'!AJ185</f>
        <v>0</v>
      </c>
      <c r="E184" s="17">
        <f>'12 - Device_Configuration'!J185</f>
        <v>0</v>
      </c>
      <c r="F184" s="31">
        <f>'12 - Device_Configuration'!K185</f>
        <v>0</v>
      </c>
      <c r="G184" s="17">
        <f>'12 - Device_Configuration'!L185</f>
        <v>0</v>
      </c>
      <c r="H184" s="17">
        <f>'13 - Config_Intake_View'!M184</f>
        <v>0</v>
      </c>
      <c r="I184" s="31">
        <f>IF('13 - Config_Intake_View'!Q184&lt;&gt;"",'13 - Config_Intake_View'!Q184,'12 - Device_Configuration'!BH185)</f>
        <v>0</v>
      </c>
      <c r="J184" s="17" t="str">
        <f>IF('13 - Config_Intake_View'!Q184&lt;&gt;"","PM Approved",IF('12 - Device_Configuration'!BH185&lt;&gt;"","Assumed",""))</f>
        <v/>
      </c>
      <c r="K184" s="31">
        <f>'12 - Device_Configuration'!BG185</f>
        <v>0</v>
      </c>
      <c r="L184" s="17">
        <f>'12 - Device_Configuration'!P185</f>
        <v>0</v>
      </c>
      <c r="M184" s="17">
        <f>'12 - Device_Configuration'!Q185</f>
        <v>0</v>
      </c>
      <c r="N184" s="17" t="str">
        <f>'12 - Device_Configuration'!BK185</f>
        <v/>
      </c>
      <c r="O184" s="31" t="str">
        <f>'12 - Device_Configuration'!BL185</f>
        <v/>
      </c>
      <c r="P184" s="2">
        <f>'12 - Device_Configuration'!BA185</f>
        <v>0</v>
      </c>
      <c r="Q184" s="31" t="str">
        <f t="shared" si="8"/>
        <v/>
      </c>
      <c r="R184" s="17" t="str">
        <f t="shared" si="9"/>
        <v>SW NOT INSTALLED</v>
      </c>
      <c r="S184" s="17" t="str">
        <f t="shared" si="10"/>
        <v/>
      </c>
      <c r="T184" s="17" t="str">
        <f t="shared" si="11"/>
        <v>SW NOT INSTALLED</v>
      </c>
    </row>
    <row r="185" spans="1:20">
      <c r="A185" s="31">
        <f>'12 - Device_Configuration'!H186</f>
        <v>0</v>
      </c>
      <c r="B185" s="31">
        <f>'12 - Device_Configuration'!S186</f>
        <v>0</v>
      </c>
      <c r="C185" s="31">
        <f>'12 - Device_Configuration'!T186</f>
        <v>0</v>
      </c>
      <c r="D185" s="17">
        <f>'12 - Device_Configuration'!AJ186</f>
        <v>0</v>
      </c>
      <c r="E185" s="17">
        <f>'12 - Device_Configuration'!J186</f>
        <v>0</v>
      </c>
      <c r="F185" s="31">
        <f>'12 - Device_Configuration'!K186</f>
        <v>0</v>
      </c>
      <c r="G185" s="17">
        <f>'12 - Device_Configuration'!L186</f>
        <v>0</v>
      </c>
      <c r="H185" s="17">
        <f>'13 - Config_Intake_View'!M185</f>
        <v>0</v>
      </c>
      <c r="I185" s="31">
        <f>IF('13 - Config_Intake_View'!Q185&lt;&gt;"",'13 - Config_Intake_View'!Q185,'12 - Device_Configuration'!BH186)</f>
        <v>0</v>
      </c>
      <c r="J185" s="17" t="str">
        <f>IF('13 - Config_Intake_View'!Q185&lt;&gt;"","PM Approved",IF('12 - Device_Configuration'!BH186&lt;&gt;"","Assumed",""))</f>
        <v/>
      </c>
      <c r="K185" s="31">
        <f>'12 - Device_Configuration'!BG186</f>
        <v>0</v>
      </c>
      <c r="L185" s="17">
        <f>'12 - Device_Configuration'!P186</f>
        <v>0</v>
      </c>
      <c r="M185" s="17">
        <f>'12 - Device_Configuration'!Q186</f>
        <v>0</v>
      </c>
      <c r="N185" s="17" t="str">
        <f>'12 - Device_Configuration'!BK186</f>
        <v/>
      </c>
      <c r="O185" s="31" t="str">
        <f>'12 - Device_Configuration'!BL186</f>
        <v/>
      </c>
      <c r="P185" s="2">
        <f>'12 - Device_Configuration'!BA186</f>
        <v>0</v>
      </c>
      <c r="Q185" s="31" t="str">
        <f t="shared" si="8"/>
        <v/>
      </c>
      <c r="R185" s="17" t="str">
        <f t="shared" si="9"/>
        <v>SW NOT INSTALLED</v>
      </c>
      <c r="S185" s="17" t="str">
        <f t="shared" si="10"/>
        <v/>
      </c>
      <c r="T185" s="17" t="str">
        <f t="shared" si="11"/>
        <v>SW NOT INSTALLED</v>
      </c>
    </row>
    <row r="186" spans="1:20">
      <c r="A186" s="31">
        <f>'12 - Device_Configuration'!H187</f>
        <v>0</v>
      </c>
      <c r="B186" s="31">
        <f>'12 - Device_Configuration'!S187</f>
        <v>0</v>
      </c>
      <c r="C186" s="31">
        <f>'12 - Device_Configuration'!T187</f>
        <v>0</v>
      </c>
      <c r="D186" s="17">
        <f>'12 - Device_Configuration'!AJ187</f>
        <v>0</v>
      </c>
      <c r="E186" s="17">
        <f>'12 - Device_Configuration'!J187</f>
        <v>0</v>
      </c>
      <c r="F186" s="31">
        <f>'12 - Device_Configuration'!K187</f>
        <v>0</v>
      </c>
      <c r="G186" s="17">
        <f>'12 - Device_Configuration'!L187</f>
        <v>0</v>
      </c>
      <c r="H186" s="17">
        <f>'13 - Config_Intake_View'!M186</f>
        <v>0</v>
      </c>
      <c r="I186" s="31">
        <f>IF('13 - Config_Intake_View'!Q186&lt;&gt;"",'13 - Config_Intake_View'!Q186,'12 - Device_Configuration'!BH187)</f>
        <v>0</v>
      </c>
      <c r="J186" s="17" t="str">
        <f>IF('13 - Config_Intake_View'!Q186&lt;&gt;"","PM Approved",IF('12 - Device_Configuration'!BH187&lt;&gt;"","Assumed",""))</f>
        <v/>
      </c>
      <c r="K186" s="31">
        <f>'12 - Device_Configuration'!BG187</f>
        <v>0</v>
      </c>
      <c r="L186" s="17">
        <f>'12 - Device_Configuration'!P187</f>
        <v>0</v>
      </c>
      <c r="M186" s="17">
        <f>'12 - Device_Configuration'!Q187</f>
        <v>0</v>
      </c>
      <c r="N186" s="17" t="str">
        <f>'12 - Device_Configuration'!BK187</f>
        <v/>
      </c>
      <c r="O186" s="31" t="str">
        <f>'12 - Device_Configuration'!BL187</f>
        <v/>
      </c>
      <c r="P186" s="2">
        <f>'12 - Device_Configuration'!BA187</f>
        <v>0</v>
      </c>
      <c r="Q186" s="31" t="str">
        <f t="shared" si="8"/>
        <v/>
      </c>
      <c r="R186" s="17" t="str">
        <f t="shared" si="9"/>
        <v>SW NOT INSTALLED</v>
      </c>
      <c r="S186" s="17" t="str">
        <f t="shared" si="10"/>
        <v/>
      </c>
      <c r="T186" s="17" t="str">
        <f t="shared" si="11"/>
        <v>SW NOT INSTALLED</v>
      </c>
    </row>
    <row r="187" spans="1:20">
      <c r="A187" s="31">
        <f>'12 - Device_Configuration'!H188</f>
        <v>0</v>
      </c>
      <c r="B187" s="31">
        <f>'12 - Device_Configuration'!S188</f>
        <v>0</v>
      </c>
      <c r="C187" s="31">
        <f>'12 - Device_Configuration'!T188</f>
        <v>0</v>
      </c>
      <c r="D187" s="17">
        <f>'12 - Device_Configuration'!AJ188</f>
        <v>0</v>
      </c>
      <c r="E187" s="17">
        <f>'12 - Device_Configuration'!J188</f>
        <v>0</v>
      </c>
      <c r="F187" s="31">
        <f>'12 - Device_Configuration'!K188</f>
        <v>0</v>
      </c>
      <c r="G187" s="17">
        <f>'12 - Device_Configuration'!L188</f>
        <v>0</v>
      </c>
      <c r="H187" s="17">
        <f>'13 - Config_Intake_View'!M187</f>
        <v>0</v>
      </c>
      <c r="I187" s="31">
        <f>IF('13 - Config_Intake_View'!Q187&lt;&gt;"",'13 - Config_Intake_View'!Q187,'12 - Device_Configuration'!BH188)</f>
        <v>0</v>
      </c>
      <c r="J187" s="17" t="str">
        <f>IF('13 - Config_Intake_View'!Q187&lt;&gt;"","PM Approved",IF('12 - Device_Configuration'!BH188&lt;&gt;"","Assumed",""))</f>
        <v/>
      </c>
      <c r="K187" s="31">
        <f>'12 - Device_Configuration'!BG188</f>
        <v>0</v>
      </c>
      <c r="L187" s="17">
        <f>'12 - Device_Configuration'!P188</f>
        <v>0</v>
      </c>
      <c r="M187" s="17">
        <f>'12 - Device_Configuration'!Q188</f>
        <v>0</v>
      </c>
      <c r="N187" s="17" t="str">
        <f>'12 - Device_Configuration'!BK188</f>
        <v/>
      </c>
      <c r="O187" s="31" t="str">
        <f>'12 - Device_Configuration'!BL188</f>
        <v/>
      </c>
      <c r="P187" s="2">
        <f>'12 - Device_Configuration'!BA188</f>
        <v>0</v>
      </c>
      <c r="Q187" s="31" t="str">
        <f t="shared" si="8"/>
        <v/>
      </c>
      <c r="R187" s="17" t="str">
        <f t="shared" si="9"/>
        <v>SW NOT INSTALLED</v>
      </c>
      <c r="S187" s="17" t="str">
        <f t="shared" si="10"/>
        <v/>
      </c>
      <c r="T187" s="17" t="str">
        <f t="shared" si="11"/>
        <v>SW NOT INSTALLED</v>
      </c>
    </row>
    <row r="188" spans="1:20">
      <c r="A188" s="31">
        <f>'12 - Device_Configuration'!H189</f>
        <v>0</v>
      </c>
      <c r="B188" s="31">
        <f>'12 - Device_Configuration'!S189</f>
        <v>0</v>
      </c>
      <c r="C188" s="31">
        <f>'12 - Device_Configuration'!T189</f>
        <v>0</v>
      </c>
      <c r="D188" s="17">
        <f>'12 - Device_Configuration'!AJ189</f>
        <v>0</v>
      </c>
      <c r="E188" s="17">
        <f>'12 - Device_Configuration'!J189</f>
        <v>0</v>
      </c>
      <c r="F188" s="31">
        <f>'12 - Device_Configuration'!K189</f>
        <v>0</v>
      </c>
      <c r="G188" s="17">
        <f>'12 - Device_Configuration'!L189</f>
        <v>0</v>
      </c>
      <c r="H188" s="17">
        <f>'13 - Config_Intake_View'!M188</f>
        <v>0</v>
      </c>
      <c r="I188" s="31">
        <f>IF('13 - Config_Intake_View'!Q188&lt;&gt;"",'13 - Config_Intake_View'!Q188,'12 - Device_Configuration'!BH189)</f>
        <v>0</v>
      </c>
      <c r="J188" s="17" t="str">
        <f>IF('13 - Config_Intake_View'!Q188&lt;&gt;"","PM Approved",IF('12 - Device_Configuration'!BH189&lt;&gt;"","Assumed",""))</f>
        <v/>
      </c>
      <c r="K188" s="31">
        <f>'12 - Device_Configuration'!BG189</f>
        <v>0</v>
      </c>
      <c r="L188" s="17">
        <f>'12 - Device_Configuration'!P189</f>
        <v>0</v>
      </c>
      <c r="M188" s="17">
        <f>'12 - Device_Configuration'!Q189</f>
        <v>0</v>
      </c>
      <c r="N188" s="17" t="str">
        <f>'12 - Device_Configuration'!BK189</f>
        <v/>
      </c>
      <c r="O188" s="31" t="str">
        <f>'12 - Device_Configuration'!BL189</f>
        <v/>
      </c>
      <c r="P188" s="2">
        <f>'12 - Device_Configuration'!BA189</f>
        <v>0</v>
      </c>
      <c r="Q188" s="31" t="str">
        <f t="shared" si="8"/>
        <v/>
      </c>
      <c r="R188" s="17" t="str">
        <f t="shared" si="9"/>
        <v>SW NOT INSTALLED</v>
      </c>
      <c r="S188" s="17" t="str">
        <f t="shared" si="10"/>
        <v/>
      </c>
      <c r="T188" s="17" t="str">
        <f t="shared" si="11"/>
        <v>SW NOT INSTALLED</v>
      </c>
    </row>
    <row r="189" spans="1:20">
      <c r="A189" s="31">
        <f>'12 - Device_Configuration'!H190</f>
        <v>0</v>
      </c>
      <c r="B189" s="31">
        <f>'12 - Device_Configuration'!S190</f>
        <v>0</v>
      </c>
      <c r="C189" s="31">
        <f>'12 - Device_Configuration'!T190</f>
        <v>0</v>
      </c>
      <c r="D189" s="17">
        <f>'12 - Device_Configuration'!AJ190</f>
        <v>0</v>
      </c>
      <c r="E189" s="17">
        <f>'12 - Device_Configuration'!J190</f>
        <v>0</v>
      </c>
      <c r="F189" s="31">
        <f>'12 - Device_Configuration'!K190</f>
        <v>0</v>
      </c>
      <c r="G189" s="17">
        <f>'12 - Device_Configuration'!L190</f>
        <v>0</v>
      </c>
      <c r="H189" s="17">
        <f>'13 - Config_Intake_View'!M189</f>
        <v>0</v>
      </c>
      <c r="I189" s="31">
        <f>IF('13 - Config_Intake_View'!Q189&lt;&gt;"",'13 - Config_Intake_View'!Q189,'12 - Device_Configuration'!BH190)</f>
        <v>0</v>
      </c>
      <c r="J189" s="17" t="str">
        <f>IF('13 - Config_Intake_View'!Q189&lt;&gt;"","PM Approved",IF('12 - Device_Configuration'!BH190&lt;&gt;"","Assumed",""))</f>
        <v/>
      </c>
      <c r="K189" s="31">
        <f>'12 - Device_Configuration'!BG190</f>
        <v>0</v>
      </c>
      <c r="L189" s="17">
        <f>'12 - Device_Configuration'!P190</f>
        <v>0</v>
      </c>
      <c r="M189" s="17">
        <f>'12 - Device_Configuration'!Q190</f>
        <v>0</v>
      </c>
      <c r="N189" s="17" t="str">
        <f>'12 - Device_Configuration'!BK190</f>
        <v/>
      </c>
      <c r="O189" s="31" t="str">
        <f>'12 - Device_Configuration'!BL190</f>
        <v/>
      </c>
      <c r="P189" s="2">
        <f>'12 - Device_Configuration'!BA190</f>
        <v>0</v>
      </c>
      <c r="Q189" s="31" t="str">
        <f t="shared" si="8"/>
        <v/>
      </c>
      <c r="R189" s="17" t="str">
        <f t="shared" si="9"/>
        <v>SW NOT INSTALLED</v>
      </c>
      <c r="S189" s="17" t="str">
        <f t="shared" si="10"/>
        <v/>
      </c>
      <c r="T189" s="17" t="str">
        <f t="shared" si="11"/>
        <v>SW NOT INSTALLED</v>
      </c>
    </row>
    <row r="190" spans="1:20">
      <c r="A190" s="31">
        <f>'12 - Device_Configuration'!H191</f>
        <v>0</v>
      </c>
      <c r="B190" s="31">
        <f>'12 - Device_Configuration'!S191</f>
        <v>0</v>
      </c>
      <c r="C190" s="31">
        <f>'12 - Device_Configuration'!T191</f>
        <v>0</v>
      </c>
      <c r="D190" s="17">
        <f>'12 - Device_Configuration'!AJ191</f>
        <v>0</v>
      </c>
      <c r="E190" s="17">
        <f>'12 - Device_Configuration'!J191</f>
        <v>0</v>
      </c>
      <c r="F190" s="31">
        <f>'12 - Device_Configuration'!K191</f>
        <v>0</v>
      </c>
      <c r="G190" s="17">
        <f>'12 - Device_Configuration'!L191</f>
        <v>0</v>
      </c>
      <c r="H190" s="17">
        <f>'13 - Config_Intake_View'!M190</f>
        <v>0</v>
      </c>
      <c r="I190" s="31">
        <f>IF('13 - Config_Intake_View'!Q190&lt;&gt;"",'13 - Config_Intake_View'!Q190,'12 - Device_Configuration'!BH191)</f>
        <v>0</v>
      </c>
      <c r="J190" s="17" t="str">
        <f>IF('13 - Config_Intake_View'!Q190&lt;&gt;"","PM Approved",IF('12 - Device_Configuration'!BH191&lt;&gt;"","Assumed",""))</f>
        <v/>
      </c>
      <c r="K190" s="31">
        <f>'12 - Device_Configuration'!BG191</f>
        <v>0</v>
      </c>
      <c r="L190" s="17">
        <f>'12 - Device_Configuration'!P191</f>
        <v>0</v>
      </c>
      <c r="M190" s="17">
        <f>'12 - Device_Configuration'!Q191</f>
        <v>0</v>
      </c>
      <c r="N190" s="17" t="str">
        <f>'12 - Device_Configuration'!BK191</f>
        <v/>
      </c>
      <c r="O190" s="31" t="str">
        <f>'12 - Device_Configuration'!BL191</f>
        <v/>
      </c>
      <c r="P190" s="2">
        <f>'12 - Device_Configuration'!BA191</f>
        <v>0</v>
      </c>
      <c r="Q190" s="31" t="str">
        <f t="shared" si="8"/>
        <v/>
      </c>
      <c r="R190" s="17" t="str">
        <f t="shared" si="9"/>
        <v>SW NOT INSTALLED</v>
      </c>
      <c r="S190" s="17" t="str">
        <f t="shared" si="10"/>
        <v/>
      </c>
      <c r="T190" s="17" t="str">
        <f t="shared" si="11"/>
        <v>SW NOT INSTALLED</v>
      </c>
    </row>
    <row r="191" spans="1:20">
      <c r="A191" s="31">
        <f>'12 - Device_Configuration'!H192</f>
        <v>0</v>
      </c>
      <c r="B191" s="31">
        <f>'12 - Device_Configuration'!S192</f>
        <v>0</v>
      </c>
      <c r="C191" s="31">
        <f>'12 - Device_Configuration'!T192</f>
        <v>0</v>
      </c>
      <c r="D191" s="17">
        <f>'12 - Device_Configuration'!AJ192</f>
        <v>0</v>
      </c>
      <c r="E191" s="17">
        <f>'12 - Device_Configuration'!J192</f>
        <v>0</v>
      </c>
      <c r="F191" s="31">
        <f>'12 - Device_Configuration'!K192</f>
        <v>0</v>
      </c>
      <c r="G191" s="17">
        <f>'12 - Device_Configuration'!L192</f>
        <v>0</v>
      </c>
      <c r="H191" s="17">
        <f>'13 - Config_Intake_View'!M191</f>
        <v>0</v>
      </c>
      <c r="I191" s="31">
        <f>IF('13 - Config_Intake_View'!Q191&lt;&gt;"",'13 - Config_Intake_View'!Q191,'12 - Device_Configuration'!BH192)</f>
        <v>0</v>
      </c>
      <c r="J191" s="17" t="str">
        <f>IF('13 - Config_Intake_View'!Q191&lt;&gt;"","PM Approved",IF('12 - Device_Configuration'!BH192&lt;&gt;"","Assumed",""))</f>
        <v/>
      </c>
      <c r="K191" s="31">
        <f>'12 - Device_Configuration'!BG192</f>
        <v>0</v>
      </c>
      <c r="L191" s="17">
        <f>'12 - Device_Configuration'!P192</f>
        <v>0</v>
      </c>
      <c r="M191" s="17">
        <f>'12 - Device_Configuration'!Q192</f>
        <v>0</v>
      </c>
      <c r="N191" s="17" t="str">
        <f>'12 - Device_Configuration'!BK192</f>
        <v/>
      </c>
      <c r="O191" s="31" t="str">
        <f>'12 - Device_Configuration'!BL192</f>
        <v/>
      </c>
      <c r="P191" s="2">
        <f>'12 - Device_Configuration'!BA192</f>
        <v>0</v>
      </c>
      <c r="Q191" s="31" t="str">
        <f t="shared" si="8"/>
        <v/>
      </c>
      <c r="R191" s="17" t="str">
        <f t="shared" si="9"/>
        <v>SW NOT INSTALLED</v>
      </c>
      <c r="S191" s="17" t="str">
        <f t="shared" si="10"/>
        <v/>
      </c>
      <c r="T191" s="17" t="str">
        <f t="shared" si="11"/>
        <v>SW NOT INSTALLED</v>
      </c>
    </row>
    <row r="192" spans="1:20">
      <c r="A192" s="31">
        <f>'12 - Device_Configuration'!H193</f>
        <v>0</v>
      </c>
      <c r="B192" s="31">
        <f>'12 - Device_Configuration'!S193</f>
        <v>0</v>
      </c>
      <c r="C192" s="31">
        <f>'12 - Device_Configuration'!T193</f>
        <v>0</v>
      </c>
      <c r="D192" s="17">
        <f>'12 - Device_Configuration'!AJ193</f>
        <v>0</v>
      </c>
      <c r="E192" s="17">
        <f>'12 - Device_Configuration'!J193</f>
        <v>0</v>
      </c>
      <c r="F192" s="31">
        <f>'12 - Device_Configuration'!K193</f>
        <v>0</v>
      </c>
      <c r="G192" s="17">
        <f>'12 - Device_Configuration'!L193</f>
        <v>0</v>
      </c>
      <c r="H192" s="17">
        <f>'13 - Config_Intake_View'!M192</f>
        <v>0</v>
      </c>
      <c r="I192" s="31">
        <f>IF('13 - Config_Intake_View'!Q192&lt;&gt;"",'13 - Config_Intake_View'!Q192,'12 - Device_Configuration'!BH193)</f>
        <v>0</v>
      </c>
      <c r="J192" s="17" t="str">
        <f>IF('13 - Config_Intake_View'!Q192&lt;&gt;"","PM Approved",IF('12 - Device_Configuration'!BH193&lt;&gt;"","Assumed",""))</f>
        <v/>
      </c>
      <c r="K192" s="31">
        <f>'12 - Device_Configuration'!BG193</f>
        <v>0</v>
      </c>
      <c r="L192" s="17">
        <f>'12 - Device_Configuration'!P193</f>
        <v>0</v>
      </c>
      <c r="M192" s="17">
        <f>'12 - Device_Configuration'!Q193</f>
        <v>0</v>
      </c>
      <c r="N192" s="17" t="str">
        <f>'12 - Device_Configuration'!BK193</f>
        <v/>
      </c>
      <c r="O192" s="31" t="str">
        <f>'12 - Device_Configuration'!BL193</f>
        <v/>
      </c>
      <c r="P192" s="2">
        <f>'12 - Device_Configuration'!BA193</f>
        <v>0</v>
      </c>
      <c r="Q192" s="31" t="str">
        <f t="shared" si="8"/>
        <v/>
      </c>
      <c r="R192" s="17" t="str">
        <f t="shared" si="9"/>
        <v>SW NOT INSTALLED</v>
      </c>
      <c r="S192" s="17" t="str">
        <f t="shared" si="10"/>
        <v/>
      </c>
      <c r="T192" s="17" t="str">
        <f t="shared" si="11"/>
        <v>SW NOT INSTALLED</v>
      </c>
    </row>
    <row r="193" spans="1:20">
      <c r="A193" s="31">
        <f>'12 - Device_Configuration'!H194</f>
        <v>0</v>
      </c>
      <c r="B193" s="31">
        <f>'12 - Device_Configuration'!S194</f>
        <v>0</v>
      </c>
      <c r="C193" s="31">
        <f>'12 - Device_Configuration'!T194</f>
        <v>0</v>
      </c>
      <c r="D193" s="17">
        <f>'12 - Device_Configuration'!AJ194</f>
        <v>0</v>
      </c>
      <c r="E193" s="17">
        <f>'12 - Device_Configuration'!J194</f>
        <v>0</v>
      </c>
      <c r="F193" s="31">
        <f>'12 - Device_Configuration'!K194</f>
        <v>0</v>
      </c>
      <c r="G193" s="17">
        <f>'12 - Device_Configuration'!L194</f>
        <v>0</v>
      </c>
      <c r="H193" s="17">
        <f>'13 - Config_Intake_View'!M193</f>
        <v>0</v>
      </c>
      <c r="I193" s="31">
        <f>IF('13 - Config_Intake_View'!Q193&lt;&gt;"",'13 - Config_Intake_View'!Q193,'12 - Device_Configuration'!BH194)</f>
        <v>0</v>
      </c>
      <c r="J193" s="17" t="str">
        <f>IF('13 - Config_Intake_View'!Q193&lt;&gt;"","PM Approved",IF('12 - Device_Configuration'!BH194&lt;&gt;"","Assumed",""))</f>
        <v/>
      </c>
      <c r="K193" s="31">
        <f>'12 - Device_Configuration'!BG194</f>
        <v>0</v>
      </c>
      <c r="L193" s="17">
        <f>'12 - Device_Configuration'!P194</f>
        <v>0</v>
      </c>
      <c r="M193" s="17">
        <f>'12 - Device_Configuration'!Q194</f>
        <v>0</v>
      </c>
      <c r="N193" s="17" t="str">
        <f>'12 - Device_Configuration'!BK194</f>
        <v/>
      </c>
      <c r="O193" s="31" t="str">
        <f>'12 - Device_Configuration'!BL194</f>
        <v/>
      </c>
      <c r="P193" s="2">
        <f>'12 - Device_Configuration'!BA194</f>
        <v>0</v>
      </c>
      <c r="Q193" s="31" t="str">
        <f t="shared" si="8"/>
        <v/>
      </c>
      <c r="R193" s="17" t="str">
        <f t="shared" si="9"/>
        <v>SW NOT INSTALLED</v>
      </c>
      <c r="S193" s="17" t="str">
        <f t="shared" si="10"/>
        <v/>
      </c>
      <c r="T193" s="17" t="str">
        <f t="shared" si="11"/>
        <v>SW NOT INSTALLED</v>
      </c>
    </row>
    <row r="194" spans="1:20">
      <c r="A194" s="31">
        <f>'12 - Device_Configuration'!H195</f>
        <v>0</v>
      </c>
      <c r="B194" s="31">
        <f>'12 - Device_Configuration'!S195</f>
        <v>0</v>
      </c>
      <c r="C194" s="31">
        <f>'12 - Device_Configuration'!T195</f>
        <v>0</v>
      </c>
      <c r="D194" s="17">
        <f>'12 - Device_Configuration'!AJ195</f>
        <v>0</v>
      </c>
      <c r="E194" s="17">
        <f>'12 - Device_Configuration'!J195</f>
        <v>0</v>
      </c>
      <c r="F194" s="31">
        <f>'12 - Device_Configuration'!K195</f>
        <v>0</v>
      </c>
      <c r="G194" s="17">
        <f>'12 - Device_Configuration'!L195</f>
        <v>0</v>
      </c>
      <c r="H194" s="17">
        <f>'13 - Config_Intake_View'!M194</f>
        <v>0</v>
      </c>
      <c r="I194" s="31">
        <f>IF('13 - Config_Intake_View'!Q194&lt;&gt;"",'13 - Config_Intake_View'!Q194,'12 - Device_Configuration'!BH195)</f>
        <v>0</v>
      </c>
      <c r="J194" s="17" t="str">
        <f>IF('13 - Config_Intake_View'!Q194&lt;&gt;"","PM Approved",IF('12 - Device_Configuration'!BH195&lt;&gt;"","Assumed",""))</f>
        <v/>
      </c>
      <c r="K194" s="31">
        <f>'12 - Device_Configuration'!BG195</f>
        <v>0</v>
      </c>
      <c r="L194" s="17">
        <f>'12 - Device_Configuration'!P195</f>
        <v>0</v>
      </c>
      <c r="M194" s="17">
        <f>'12 - Device_Configuration'!Q195</f>
        <v>0</v>
      </c>
      <c r="N194" s="17" t="str">
        <f>'12 - Device_Configuration'!BK195</f>
        <v/>
      </c>
      <c r="O194" s="31" t="str">
        <f>'12 - Device_Configuration'!BL195</f>
        <v/>
      </c>
      <c r="P194" s="2">
        <f>'12 - Device_Configuration'!BA195</f>
        <v>0</v>
      </c>
      <c r="Q194" s="31" t="str">
        <f t="shared" ref="Q194:Q257" si="12">IF(OR($A194="",$B194="",$D194=""),"MISSING CORE FIELDS","")</f>
        <v/>
      </c>
      <c r="R194" s="17" t="str">
        <f t="shared" ref="R194:R257" si="13">IF(AND($I194&lt;&gt;"",$K194&lt;&gt;"Yes"),"SW NOT INSTALLED","")</f>
        <v>SW NOT INSTALLED</v>
      </c>
      <c r="S194" s="17" t="str">
        <f t="shared" ref="S194:S257" si="14">IF(AND($H194&lt;&gt;"",ISNUMBER(SEARCH("auto",LOWER($H194))),$F194=""),"AUTOLOGON REQUIRED","")</f>
        <v/>
      </c>
      <c r="T194" s="17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31">
        <f>'12 - Device_Configuration'!H196</f>
        <v>0</v>
      </c>
      <c r="B195" s="31">
        <f>'12 - Device_Configuration'!S196</f>
        <v>0</v>
      </c>
      <c r="C195" s="31">
        <f>'12 - Device_Configuration'!T196</f>
        <v>0</v>
      </c>
      <c r="D195" s="17">
        <f>'12 - Device_Configuration'!AJ196</f>
        <v>0</v>
      </c>
      <c r="E195" s="17">
        <f>'12 - Device_Configuration'!J196</f>
        <v>0</v>
      </c>
      <c r="F195" s="31">
        <f>'12 - Device_Configuration'!K196</f>
        <v>0</v>
      </c>
      <c r="G195" s="17">
        <f>'12 - Device_Configuration'!L196</f>
        <v>0</v>
      </c>
      <c r="H195" s="17">
        <f>'13 - Config_Intake_View'!M195</f>
        <v>0</v>
      </c>
      <c r="I195" s="31">
        <f>IF('13 - Config_Intake_View'!Q195&lt;&gt;"",'13 - Config_Intake_View'!Q195,'12 - Device_Configuration'!BH196)</f>
        <v>0</v>
      </c>
      <c r="J195" s="17" t="str">
        <f>IF('13 - Config_Intake_View'!Q195&lt;&gt;"","PM Approved",IF('12 - Device_Configuration'!BH196&lt;&gt;"","Assumed",""))</f>
        <v/>
      </c>
      <c r="K195" s="31">
        <f>'12 - Device_Configuration'!BG196</f>
        <v>0</v>
      </c>
      <c r="L195" s="17">
        <f>'12 - Device_Configuration'!P196</f>
        <v>0</v>
      </c>
      <c r="M195" s="17">
        <f>'12 - Device_Configuration'!Q196</f>
        <v>0</v>
      </c>
      <c r="N195" s="17" t="str">
        <f>'12 - Device_Configuration'!BK196</f>
        <v/>
      </c>
      <c r="O195" s="31" t="str">
        <f>'12 - Device_Configuration'!BL196</f>
        <v/>
      </c>
      <c r="P195" s="2">
        <f>'12 - Device_Configuration'!BA196</f>
        <v>0</v>
      </c>
      <c r="Q195" s="31" t="str">
        <f t="shared" si="12"/>
        <v/>
      </c>
      <c r="R195" s="17" t="str">
        <f t="shared" si="13"/>
        <v>SW NOT INSTALLED</v>
      </c>
      <c r="S195" s="17" t="str">
        <f t="shared" si="14"/>
        <v/>
      </c>
      <c r="T195" s="17" t="str">
        <f t="shared" si="15"/>
        <v>SW NOT INSTALLED</v>
      </c>
    </row>
    <row r="196" spans="1:20">
      <c r="A196" s="31">
        <f>'12 - Device_Configuration'!H197</f>
        <v>0</v>
      </c>
      <c r="B196" s="31">
        <f>'12 - Device_Configuration'!S197</f>
        <v>0</v>
      </c>
      <c r="C196" s="31">
        <f>'12 - Device_Configuration'!T197</f>
        <v>0</v>
      </c>
      <c r="D196" s="17">
        <f>'12 - Device_Configuration'!AJ197</f>
        <v>0</v>
      </c>
      <c r="E196" s="17">
        <f>'12 - Device_Configuration'!J197</f>
        <v>0</v>
      </c>
      <c r="F196" s="31">
        <f>'12 - Device_Configuration'!K197</f>
        <v>0</v>
      </c>
      <c r="G196" s="17">
        <f>'12 - Device_Configuration'!L197</f>
        <v>0</v>
      </c>
      <c r="H196" s="17">
        <f>'13 - Config_Intake_View'!M196</f>
        <v>0</v>
      </c>
      <c r="I196" s="31">
        <f>IF('13 - Config_Intake_View'!Q196&lt;&gt;"",'13 - Config_Intake_View'!Q196,'12 - Device_Configuration'!BH197)</f>
        <v>0</v>
      </c>
      <c r="J196" s="17" t="str">
        <f>IF('13 - Config_Intake_View'!Q196&lt;&gt;"","PM Approved",IF('12 - Device_Configuration'!BH197&lt;&gt;"","Assumed",""))</f>
        <v/>
      </c>
      <c r="K196" s="31">
        <f>'12 - Device_Configuration'!BG197</f>
        <v>0</v>
      </c>
      <c r="L196" s="17">
        <f>'12 - Device_Configuration'!P197</f>
        <v>0</v>
      </c>
      <c r="M196" s="17">
        <f>'12 - Device_Configuration'!Q197</f>
        <v>0</v>
      </c>
      <c r="N196" s="17" t="str">
        <f>'12 - Device_Configuration'!BK197</f>
        <v/>
      </c>
      <c r="O196" s="31" t="str">
        <f>'12 - Device_Configuration'!BL197</f>
        <v/>
      </c>
      <c r="P196" s="2">
        <f>'12 - Device_Configuration'!BA197</f>
        <v>0</v>
      </c>
      <c r="Q196" s="31" t="str">
        <f t="shared" si="12"/>
        <v/>
      </c>
      <c r="R196" s="17" t="str">
        <f t="shared" si="13"/>
        <v>SW NOT INSTALLED</v>
      </c>
      <c r="S196" s="17" t="str">
        <f t="shared" si="14"/>
        <v/>
      </c>
      <c r="T196" s="17" t="str">
        <f t="shared" si="15"/>
        <v>SW NOT INSTALLED</v>
      </c>
    </row>
    <row r="197" spans="1:20">
      <c r="A197" s="31">
        <f>'12 - Device_Configuration'!H198</f>
        <v>0</v>
      </c>
      <c r="B197" s="31">
        <f>'12 - Device_Configuration'!S198</f>
        <v>0</v>
      </c>
      <c r="C197" s="31">
        <f>'12 - Device_Configuration'!T198</f>
        <v>0</v>
      </c>
      <c r="D197" s="17">
        <f>'12 - Device_Configuration'!AJ198</f>
        <v>0</v>
      </c>
      <c r="E197" s="17">
        <f>'12 - Device_Configuration'!J198</f>
        <v>0</v>
      </c>
      <c r="F197" s="31">
        <f>'12 - Device_Configuration'!K198</f>
        <v>0</v>
      </c>
      <c r="G197" s="17">
        <f>'12 - Device_Configuration'!L198</f>
        <v>0</v>
      </c>
      <c r="H197" s="17">
        <f>'13 - Config_Intake_View'!M197</f>
        <v>0</v>
      </c>
      <c r="I197" s="31">
        <f>IF('13 - Config_Intake_View'!Q197&lt;&gt;"",'13 - Config_Intake_View'!Q197,'12 - Device_Configuration'!BH198)</f>
        <v>0</v>
      </c>
      <c r="J197" s="17" t="str">
        <f>IF('13 - Config_Intake_View'!Q197&lt;&gt;"","PM Approved",IF('12 - Device_Configuration'!BH198&lt;&gt;"","Assumed",""))</f>
        <v/>
      </c>
      <c r="K197" s="31">
        <f>'12 - Device_Configuration'!BG198</f>
        <v>0</v>
      </c>
      <c r="L197" s="17">
        <f>'12 - Device_Configuration'!P198</f>
        <v>0</v>
      </c>
      <c r="M197" s="17">
        <f>'12 - Device_Configuration'!Q198</f>
        <v>0</v>
      </c>
      <c r="N197" s="17" t="str">
        <f>'12 - Device_Configuration'!BK198</f>
        <v/>
      </c>
      <c r="O197" s="31" t="str">
        <f>'12 - Device_Configuration'!BL198</f>
        <v/>
      </c>
      <c r="P197" s="2">
        <f>'12 - Device_Configuration'!BA198</f>
        <v>0</v>
      </c>
      <c r="Q197" s="31" t="str">
        <f t="shared" si="12"/>
        <v/>
      </c>
      <c r="R197" s="17" t="str">
        <f t="shared" si="13"/>
        <v>SW NOT INSTALLED</v>
      </c>
      <c r="S197" s="17" t="str">
        <f t="shared" si="14"/>
        <v/>
      </c>
      <c r="T197" s="17" t="str">
        <f t="shared" si="15"/>
        <v>SW NOT INSTALLED</v>
      </c>
    </row>
    <row r="198" spans="1:20">
      <c r="A198" s="31">
        <f>'12 - Device_Configuration'!H199</f>
        <v>0</v>
      </c>
      <c r="B198" s="31">
        <f>'12 - Device_Configuration'!S199</f>
        <v>0</v>
      </c>
      <c r="C198" s="31">
        <f>'12 - Device_Configuration'!T199</f>
        <v>0</v>
      </c>
      <c r="D198" s="17">
        <f>'12 - Device_Configuration'!AJ199</f>
        <v>0</v>
      </c>
      <c r="E198" s="17">
        <f>'12 - Device_Configuration'!J199</f>
        <v>0</v>
      </c>
      <c r="F198" s="31">
        <f>'12 - Device_Configuration'!K199</f>
        <v>0</v>
      </c>
      <c r="G198" s="17">
        <f>'12 - Device_Configuration'!L199</f>
        <v>0</v>
      </c>
      <c r="H198" s="17">
        <f>'13 - Config_Intake_View'!M198</f>
        <v>0</v>
      </c>
      <c r="I198" s="31">
        <f>IF('13 - Config_Intake_View'!Q198&lt;&gt;"",'13 - Config_Intake_View'!Q198,'12 - Device_Configuration'!BH199)</f>
        <v>0</v>
      </c>
      <c r="J198" s="17" t="str">
        <f>IF('13 - Config_Intake_View'!Q198&lt;&gt;"","PM Approved",IF('12 - Device_Configuration'!BH199&lt;&gt;"","Assumed",""))</f>
        <v/>
      </c>
      <c r="K198" s="31">
        <f>'12 - Device_Configuration'!BG199</f>
        <v>0</v>
      </c>
      <c r="L198" s="17">
        <f>'12 - Device_Configuration'!P199</f>
        <v>0</v>
      </c>
      <c r="M198" s="17">
        <f>'12 - Device_Configuration'!Q199</f>
        <v>0</v>
      </c>
      <c r="N198" s="17" t="str">
        <f>'12 - Device_Configuration'!BK199</f>
        <v/>
      </c>
      <c r="O198" s="31" t="str">
        <f>'12 - Device_Configuration'!BL199</f>
        <v/>
      </c>
      <c r="P198" s="2">
        <f>'12 - Device_Configuration'!BA199</f>
        <v>0</v>
      </c>
      <c r="Q198" s="31" t="str">
        <f t="shared" si="12"/>
        <v/>
      </c>
      <c r="R198" s="17" t="str">
        <f t="shared" si="13"/>
        <v>SW NOT INSTALLED</v>
      </c>
      <c r="S198" s="17" t="str">
        <f t="shared" si="14"/>
        <v/>
      </c>
      <c r="T198" s="17" t="str">
        <f t="shared" si="15"/>
        <v>SW NOT INSTALLED</v>
      </c>
    </row>
    <row r="199" spans="1:20">
      <c r="A199" s="31">
        <f>'12 - Device_Configuration'!H200</f>
        <v>0</v>
      </c>
      <c r="B199" s="31">
        <f>'12 - Device_Configuration'!S200</f>
        <v>0</v>
      </c>
      <c r="C199" s="31">
        <f>'12 - Device_Configuration'!T200</f>
        <v>0</v>
      </c>
      <c r="D199" s="17">
        <f>'12 - Device_Configuration'!AJ200</f>
        <v>0</v>
      </c>
      <c r="E199" s="17">
        <f>'12 - Device_Configuration'!J200</f>
        <v>0</v>
      </c>
      <c r="F199" s="31">
        <f>'12 - Device_Configuration'!K200</f>
        <v>0</v>
      </c>
      <c r="G199" s="17">
        <f>'12 - Device_Configuration'!L200</f>
        <v>0</v>
      </c>
      <c r="H199" s="17">
        <f>'13 - Config_Intake_View'!M199</f>
        <v>0</v>
      </c>
      <c r="I199" s="31">
        <f>IF('13 - Config_Intake_View'!Q199&lt;&gt;"",'13 - Config_Intake_View'!Q199,'12 - Device_Configuration'!BH200)</f>
        <v>0</v>
      </c>
      <c r="J199" s="17" t="str">
        <f>IF('13 - Config_Intake_View'!Q199&lt;&gt;"","PM Approved",IF('12 - Device_Configuration'!BH200&lt;&gt;"","Assumed",""))</f>
        <v/>
      </c>
      <c r="K199" s="31">
        <f>'12 - Device_Configuration'!BG200</f>
        <v>0</v>
      </c>
      <c r="L199" s="17">
        <f>'12 - Device_Configuration'!P200</f>
        <v>0</v>
      </c>
      <c r="M199" s="17">
        <f>'12 - Device_Configuration'!Q200</f>
        <v>0</v>
      </c>
      <c r="N199" s="17" t="str">
        <f>'12 - Device_Configuration'!BK200</f>
        <v/>
      </c>
      <c r="O199" s="31" t="str">
        <f>'12 - Device_Configuration'!BL200</f>
        <v/>
      </c>
      <c r="P199" s="2">
        <f>'12 - Device_Configuration'!BA200</f>
        <v>0</v>
      </c>
      <c r="Q199" s="31" t="str">
        <f t="shared" si="12"/>
        <v/>
      </c>
      <c r="R199" s="17" t="str">
        <f t="shared" si="13"/>
        <v>SW NOT INSTALLED</v>
      </c>
      <c r="S199" s="17" t="str">
        <f t="shared" si="14"/>
        <v/>
      </c>
      <c r="T199" s="17" t="str">
        <f t="shared" si="15"/>
        <v>SW NOT INSTALLED</v>
      </c>
    </row>
    <row r="200" spans="1:20">
      <c r="A200" s="31">
        <f>'12 - Device_Configuration'!H201</f>
        <v>0</v>
      </c>
      <c r="B200" s="31">
        <f>'12 - Device_Configuration'!S201</f>
        <v>0</v>
      </c>
      <c r="C200" s="31">
        <f>'12 - Device_Configuration'!T201</f>
        <v>0</v>
      </c>
      <c r="D200" s="17">
        <f>'12 - Device_Configuration'!AJ201</f>
        <v>0</v>
      </c>
      <c r="E200" s="17">
        <f>'12 - Device_Configuration'!J201</f>
        <v>0</v>
      </c>
      <c r="F200" s="31">
        <f>'12 - Device_Configuration'!K201</f>
        <v>0</v>
      </c>
      <c r="G200" s="17">
        <f>'12 - Device_Configuration'!L201</f>
        <v>0</v>
      </c>
      <c r="H200" s="17">
        <f>'13 - Config_Intake_View'!M200</f>
        <v>0</v>
      </c>
      <c r="I200" s="31">
        <f>IF('13 - Config_Intake_View'!Q200&lt;&gt;"",'13 - Config_Intake_View'!Q200,'12 - Device_Configuration'!BH201)</f>
        <v>0</v>
      </c>
      <c r="J200" s="17" t="str">
        <f>IF('13 - Config_Intake_View'!Q200&lt;&gt;"","PM Approved",IF('12 - Device_Configuration'!BH201&lt;&gt;"","Assumed",""))</f>
        <v/>
      </c>
      <c r="K200" s="31">
        <f>'12 - Device_Configuration'!BG201</f>
        <v>0</v>
      </c>
      <c r="L200" s="17">
        <f>'12 - Device_Configuration'!P201</f>
        <v>0</v>
      </c>
      <c r="M200" s="17">
        <f>'12 - Device_Configuration'!Q201</f>
        <v>0</v>
      </c>
      <c r="N200" s="17" t="str">
        <f>'12 - Device_Configuration'!BK201</f>
        <v/>
      </c>
      <c r="O200" s="31" t="str">
        <f>'12 - Device_Configuration'!BL201</f>
        <v/>
      </c>
      <c r="P200" s="2">
        <f>'12 - Device_Configuration'!BA201</f>
        <v>0</v>
      </c>
      <c r="Q200" s="31" t="str">
        <f t="shared" si="12"/>
        <v/>
      </c>
      <c r="R200" s="17" t="str">
        <f t="shared" si="13"/>
        <v>SW NOT INSTALLED</v>
      </c>
      <c r="S200" s="17" t="str">
        <f t="shared" si="14"/>
        <v/>
      </c>
      <c r="T200" s="17" t="str">
        <f t="shared" si="15"/>
        <v>SW NOT INSTALLED</v>
      </c>
    </row>
    <row r="201" spans="1:20">
      <c r="A201" s="31">
        <f>'12 - Device_Configuration'!H202</f>
        <v>0</v>
      </c>
      <c r="B201" s="31">
        <f>'12 - Device_Configuration'!S202</f>
        <v>0</v>
      </c>
      <c r="C201" s="31">
        <f>'12 - Device_Configuration'!T202</f>
        <v>0</v>
      </c>
      <c r="D201" s="17">
        <f>'12 - Device_Configuration'!AJ202</f>
        <v>0</v>
      </c>
      <c r="E201" s="17">
        <f>'12 - Device_Configuration'!J202</f>
        <v>0</v>
      </c>
      <c r="F201" s="31">
        <f>'12 - Device_Configuration'!K202</f>
        <v>0</v>
      </c>
      <c r="G201" s="17">
        <f>'12 - Device_Configuration'!L202</f>
        <v>0</v>
      </c>
      <c r="H201" s="17">
        <f>'13 - Config_Intake_View'!M201</f>
        <v>0</v>
      </c>
      <c r="I201" s="31">
        <f>IF('13 - Config_Intake_View'!Q201&lt;&gt;"",'13 - Config_Intake_View'!Q201,'12 - Device_Configuration'!BH202)</f>
        <v>0</v>
      </c>
      <c r="J201" s="17" t="str">
        <f>IF('13 - Config_Intake_View'!Q201&lt;&gt;"","PM Approved",IF('12 - Device_Configuration'!BH202&lt;&gt;"","Assumed",""))</f>
        <v/>
      </c>
      <c r="K201" s="31">
        <f>'12 - Device_Configuration'!BG202</f>
        <v>0</v>
      </c>
      <c r="L201" s="17">
        <f>'12 - Device_Configuration'!P202</f>
        <v>0</v>
      </c>
      <c r="M201" s="17">
        <f>'12 - Device_Configuration'!Q202</f>
        <v>0</v>
      </c>
      <c r="N201" s="17" t="str">
        <f>'12 - Device_Configuration'!BK202</f>
        <v/>
      </c>
      <c r="O201" s="31" t="str">
        <f>'12 - Device_Configuration'!BL202</f>
        <v/>
      </c>
      <c r="P201" s="2">
        <f>'12 - Device_Configuration'!BA202</f>
        <v>0</v>
      </c>
      <c r="Q201" s="31" t="str">
        <f t="shared" si="12"/>
        <v/>
      </c>
      <c r="R201" s="17" t="str">
        <f t="shared" si="13"/>
        <v>SW NOT INSTALLED</v>
      </c>
      <c r="S201" s="17" t="str">
        <f t="shared" si="14"/>
        <v/>
      </c>
      <c r="T201" s="17" t="str">
        <f t="shared" si="15"/>
        <v>SW NOT INSTALLED</v>
      </c>
    </row>
    <row r="202" spans="1:20">
      <c r="A202" s="31">
        <f>'12 - Device_Configuration'!H203</f>
        <v>0</v>
      </c>
      <c r="B202" s="31">
        <f>'12 - Device_Configuration'!S203</f>
        <v>0</v>
      </c>
      <c r="C202" s="31">
        <f>'12 - Device_Configuration'!T203</f>
        <v>0</v>
      </c>
      <c r="D202" s="17">
        <f>'12 - Device_Configuration'!AJ203</f>
        <v>0</v>
      </c>
      <c r="E202" s="17">
        <f>'12 - Device_Configuration'!J203</f>
        <v>0</v>
      </c>
      <c r="F202" s="31">
        <f>'12 - Device_Configuration'!K203</f>
        <v>0</v>
      </c>
      <c r="G202" s="17">
        <f>'12 - Device_Configuration'!L203</f>
        <v>0</v>
      </c>
      <c r="H202" s="17">
        <f>'13 - Config_Intake_View'!M202</f>
        <v>0</v>
      </c>
      <c r="I202" s="31">
        <f>IF('13 - Config_Intake_View'!Q202&lt;&gt;"",'13 - Config_Intake_View'!Q202,'12 - Device_Configuration'!BH203)</f>
        <v>0</v>
      </c>
      <c r="J202" s="17" t="str">
        <f>IF('13 - Config_Intake_View'!Q202&lt;&gt;"","PM Approved",IF('12 - Device_Configuration'!BH203&lt;&gt;"","Assumed",""))</f>
        <v/>
      </c>
      <c r="K202" s="31">
        <f>'12 - Device_Configuration'!BG203</f>
        <v>0</v>
      </c>
      <c r="L202" s="17">
        <f>'12 - Device_Configuration'!P203</f>
        <v>0</v>
      </c>
      <c r="M202" s="17">
        <f>'12 - Device_Configuration'!Q203</f>
        <v>0</v>
      </c>
      <c r="N202" s="17" t="str">
        <f>'12 - Device_Configuration'!BK203</f>
        <v/>
      </c>
      <c r="O202" s="31" t="str">
        <f>'12 - Device_Configuration'!BL203</f>
        <v/>
      </c>
      <c r="P202" s="2">
        <f>'12 - Device_Configuration'!BA203</f>
        <v>0</v>
      </c>
      <c r="Q202" s="31" t="str">
        <f t="shared" si="12"/>
        <v/>
      </c>
      <c r="R202" s="17" t="str">
        <f t="shared" si="13"/>
        <v>SW NOT INSTALLED</v>
      </c>
      <c r="S202" s="17" t="str">
        <f t="shared" si="14"/>
        <v/>
      </c>
      <c r="T202" s="17" t="str">
        <f t="shared" si="15"/>
        <v>SW NOT INSTALLED</v>
      </c>
    </row>
    <row r="203" spans="1:20">
      <c r="A203" s="31">
        <f>'12 - Device_Configuration'!H204</f>
        <v>0</v>
      </c>
      <c r="B203" s="31">
        <f>'12 - Device_Configuration'!S204</f>
        <v>0</v>
      </c>
      <c r="C203" s="31">
        <f>'12 - Device_Configuration'!T204</f>
        <v>0</v>
      </c>
      <c r="D203" s="17">
        <f>'12 - Device_Configuration'!AJ204</f>
        <v>0</v>
      </c>
      <c r="E203" s="17">
        <f>'12 - Device_Configuration'!J204</f>
        <v>0</v>
      </c>
      <c r="F203" s="31">
        <f>'12 - Device_Configuration'!K204</f>
        <v>0</v>
      </c>
      <c r="G203" s="17">
        <f>'12 - Device_Configuration'!L204</f>
        <v>0</v>
      </c>
      <c r="H203" s="17">
        <f>'13 - Config_Intake_View'!M203</f>
        <v>0</v>
      </c>
      <c r="I203" s="31">
        <f>IF('13 - Config_Intake_View'!Q203&lt;&gt;"",'13 - Config_Intake_View'!Q203,'12 - Device_Configuration'!BH204)</f>
        <v>0</v>
      </c>
      <c r="J203" s="17" t="str">
        <f>IF('13 - Config_Intake_View'!Q203&lt;&gt;"","PM Approved",IF('12 - Device_Configuration'!BH204&lt;&gt;"","Assumed",""))</f>
        <v/>
      </c>
      <c r="K203" s="31">
        <f>'12 - Device_Configuration'!BG204</f>
        <v>0</v>
      </c>
      <c r="L203" s="17">
        <f>'12 - Device_Configuration'!P204</f>
        <v>0</v>
      </c>
      <c r="M203" s="17">
        <f>'12 - Device_Configuration'!Q204</f>
        <v>0</v>
      </c>
      <c r="N203" s="17" t="str">
        <f>'12 - Device_Configuration'!BK204</f>
        <v/>
      </c>
      <c r="O203" s="31" t="str">
        <f>'12 - Device_Configuration'!BL204</f>
        <v/>
      </c>
      <c r="P203" s="2">
        <f>'12 - Device_Configuration'!BA204</f>
        <v>0</v>
      </c>
      <c r="Q203" s="31" t="str">
        <f t="shared" si="12"/>
        <v/>
      </c>
      <c r="R203" s="17" t="str">
        <f t="shared" si="13"/>
        <v>SW NOT INSTALLED</v>
      </c>
      <c r="S203" s="17" t="str">
        <f t="shared" si="14"/>
        <v/>
      </c>
      <c r="T203" s="17" t="str">
        <f t="shared" si="15"/>
        <v>SW NOT INSTALLED</v>
      </c>
    </row>
    <row r="204" spans="1:20">
      <c r="A204" s="31">
        <f>'12 - Device_Configuration'!H205</f>
        <v>0</v>
      </c>
      <c r="B204" s="31">
        <f>'12 - Device_Configuration'!S205</f>
        <v>0</v>
      </c>
      <c r="C204" s="31">
        <f>'12 - Device_Configuration'!T205</f>
        <v>0</v>
      </c>
      <c r="D204" s="17">
        <f>'12 - Device_Configuration'!AJ205</f>
        <v>0</v>
      </c>
      <c r="E204" s="17">
        <f>'12 - Device_Configuration'!J205</f>
        <v>0</v>
      </c>
      <c r="F204" s="31">
        <f>'12 - Device_Configuration'!K205</f>
        <v>0</v>
      </c>
      <c r="G204" s="17">
        <f>'12 - Device_Configuration'!L205</f>
        <v>0</v>
      </c>
      <c r="H204" s="17">
        <f>'13 - Config_Intake_View'!M204</f>
        <v>0</v>
      </c>
      <c r="I204" s="31">
        <f>IF('13 - Config_Intake_View'!Q204&lt;&gt;"",'13 - Config_Intake_View'!Q204,'12 - Device_Configuration'!BH205)</f>
        <v>0</v>
      </c>
      <c r="J204" s="17" t="str">
        <f>IF('13 - Config_Intake_View'!Q204&lt;&gt;"","PM Approved",IF('12 - Device_Configuration'!BH205&lt;&gt;"","Assumed",""))</f>
        <v/>
      </c>
      <c r="K204" s="31">
        <f>'12 - Device_Configuration'!BG205</f>
        <v>0</v>
      </c>
      <c r="L204" s="17">
        <f>'12 - Device_Configuration'!P205</f>
        <v>0</v>
      </c>
      <c r="M204" s="17">
        <f>'12 - Device_Configuration'!Q205</f>
        <v>0</v>
      </c>
      <c r="N204" s="17" t="str">
        <f>'12 - Device_Configuration'!BK205</f>
        <v/>
      </c>
      <c r="O204" s="31" t="str">
        <f>'12 - Device_Configuration'!BL205</f>
        <v/>
      </c>
      <c r="P204" s="2">
        <f>'12 - Device_Configuration'!BA205</f>
        <v>0</v>
      </c>
      <c r="Q204" s="31" t="str">
        <f t="shared" si="12"/>
        <v/>
      </c>
      <c r="R204" s="17" t="str">
        <f t="shared" si="13"/>
        <v>SW NOT INSTALLED</v>
      </c>
      <c r="S204" s="17" t="str">
        <f t="shared" si="14"/>
        <v/>
      </c>
      <c r="T204" s="17" t="str">
        <f t="shared" si="15"/>
        <v>SW NOT INSTALLED</v>
      </c>
    </row>
    <row r="205" spans="1:20">
      <c r="A205" s="31">
        <f>'12 - Device_Configuration'!H206</f>
        <v>0</v>
      </c>
      <c r="B205" s="31">
        <f>'12 - Device_Configuration'!S206</f>
        <v>0</v>
      </c>
      <c r="C205" s="31">
        <f>'12 - Device_Configuration'!T206</f>
        <v>0</v>
      </c>
      <c r="D205" s="17">
        <f>'12 - Device_Configuration'!AJ206</f>
        <v>0</v>
      </c>
      <c r="E205" s="17">
        <f>'12 - Device_Configuration'!J206</f>
        <v>0</v>
      </c>
      <c r="F205" s="31">
        <f>'12 - Device_Configuration'!K206</f>
        <v>0</v>
      </c>
      <c r="G205" s="17">
        <f>'12 - Device_Configuration'!L206</f>
        <v>0</v>
      </c>
      <c r="H205" s="17">
        <f>'13 - Config_Intake_View'!M205</f>
        <v>0</v>
      </c>
      <c r="I205" s="31">
        <f>IF('13 - Config_Intake_View'!Q205&lt;&gt;"",'13 - Config_Intake_View'!Q205,'12 - Device_Configuration'!BH206)</f>
        <v>0</v>
      </c>
      <c r="J205" s="17" t="str">
        <f>IF('13 - Config_Intake_View'!Q205&lt;&gt;"","PM Approved",IF('12 - Device_Configuration'!BH206&lt;&gt;"","Assumed",""))</f>
        <v/>
      </c>
      <c r="K205" s="31">
        <f>'12 - Device_Configuration'!BG206</f>
        <v>0</v>
      </c>
      <c r="L205" s="17">
        <f>'12 - Device_Configuration'!P206</f>
        <v>0</v>
      </c>
      <c r="M205" s="17">
        <f>'12 - Device_Configuration'!Q206</f>
        <v>0</v>
      </c>
      <c r="N205" s="17" t="str">
        <f>'12 - Device_Configuration'!BK206</f>
        <v/>
      </c>
      <c r="O205" s="31" t="str">
        <f>'12 - Device_Configuration'!BL206</f>
        <v/>
      </c>
      <c r="P205" s="2">
        <f>'12 - Device_Configuration'!BA206</f>
        <v>0</v>
      </c>
      <c r="Q205" s="31" t="str">
        <f t="shared" si="12"/>
        <v/>
      </c>
      <c r="R205" s="17" t="str">
        <f t="shared" si="13"/>
        <v>SW NOT INSTALLED</v>
      </c>
      <c r="S205" s="17" t="str">
        <f t="shared" si="14"/>
        <v/>
      </c>
      <c r="T205" s="17" t="str">
        <f t="shared" si="15"/>
        <v>SW NOT INSTALLED</v>
      </c>
    </row>
    <row r="206" spans="1:20">
      <c r="A206" s="31">
        <f>'12 - Device_Configuration'!H207</f>
        <v>0</v>
      </c>
      <c r="B206" s="31">
        <f>'12 - Device_Configuration'!S207</f>
        <v>0</v>
      </c>
      <c r="C206" s="31">
        <f>'12 - Device_Configuration'!T207</f>
        <v>0</v>
      </c>
      <c r="D206" s="17">
        <f>'12 - Device_Configuration'!AJ207</f>
        <v>0</v>
      </c>
      <c r="E206" s="17">
        <f>'12 - Device_Configuration'!J207</f>
        <v>0</v>
      </c>
      <c r="F206" s="31">
        <f>'12 - Device_Configuration'!K207</f>
        <v>0</v>
      </c>
      <c r="G206" s="17">
        <f>'12 - Device_Configuration'!L207</f>
        <v>0</v>
      </c>
      <c r="H206" s="17">
        <f>'13 - Config_Intake_View'!M206</f>
        <v>0</v>
      </c>
      <c r="I206" s="31">
        <f>IF('13 - Config_Intake_View'!Q206&lt;&gt;"",'13 - Config_Intake_View'!Q206,'12 - Device_Configuration'!BH207)</f>
        <v>0</v>
      </c>
      <c r="J206" s="17" t="str">
        <f>IF('13 - Config_Intake_View'!Q206&lt;&gt;"","PM Approved",IF('12 - Device_Configuration'!BH207&lt;&gt;"","Assumed",""))</f>
        <v/>
      </c>
      <c r="K206" s="31">
        <f>'12 - Device_Configuration'!BG207</f>
        <v>0</v>
      </c>
      <c r="L206" s="17">
        <f>'12 - Device_Configuration'!P207</f>
        <v>0</v>
      </c>
      <c r="M206" s="17">
        <f>'12 - Device_Configuration'!Q207</f>
        <v>0</v>
      </c>
      <c r="N206" s="17" t="str">
        <f>'12 - Device_Configuration'!BK207</f>
        <v/>
      </c>
      <c r="O206" s="31" t="str">
        <f>'12 - Device_Configuration'!BL207</f>
        <v/>
      </c>
      <c r="P206" s="2">
        <f>'12 - Device_Configuration'!BA207</f>
        <v>0</v>
      </c>
      <c r="Q206" s="31" t="str">
        <f t="shared" si="12"/>
        <v/>
      </c>
      <c r="R206" s="17" t="str">
        <f t="shared" si="13"/>
        <v>SW NOT INSTALLED</v>
      </c>
      <c r="S206" s="17" t="str">
        <f t="shared" si="14"/>
        <v/>
      </c>
      <c r="T206" s="17" t="str">
        <f t="shared" si="15"/>
        <v>SW NOT INSTALLED</v>
      </c>
    </row>
    <row r="207" spans="1:20">
      <c r="A207" s="31">
        <f>'12 - Device_Configuration'!H208</f>
        <v>0</v>
      </c>
      <c r="B207" s="31">
        <f>'12 - Device_Configuration'!S208</f>
        <v>0</v>
      </c>
      <c r="C207" s="31">
        <f>'12 - Device_Configuration'!T208</f>
        <v>0</v>
      </c>
      <c r="D207" s="17">
        <f>'12 - Device_Configuration'!AJ208</f>
        <v>0</v>
      </c>
      <c r="E207" s="17">
        <f>'12 - Device_Configuration'!J208</f>
        <v>0</v>
      </c>
      <c r="F207" s="31">
        <f>'12 - Device_Configuration'!K208</f>
        <v>0</v>
      </c>
      <c r="G207" s="17">
        <f>'12 - Device_Configuration'!L208</f>
        <v>0</v>
      </c>
      <c r="H207" s="17">
        <f>'13 - Config_Intake_View'!M207</f>
        <v>0</v>
      </c>
      <c r="I207" s="31">
        <f>IF('13 - Config_Intake_View'!Q207&lt;&gt;"",'13 - Config_Intake_View'!Q207,'12 - Device_Configuration'!BH208)</f>
        <v>0</v>
      </c>
      <c r="J207" s="17" t="str">
        <f>IF('13 - Config_Intake_View'!Q207&lt;&gt;"","PM Approved",IF('12 - Device_Configuration'!BH208&lt;&gt;"","Assumed",""))</f>
        <v/>
      </c>
      <c r="K207" s="31">
        <f>'12 - Device_Configuration'!BG208</f>
        <v>0</v>
      </c>
      <c r="L207" s="17">
        <f>'12 - Device_Configuration'!P208</f>
        <v>0</v>
      </c>
      <c r="M207" s="17">
        <f>'12 - Device_Configuration'!Q208</f>
        <v>0</v>
      </c>
      <c r="N207" s="17" t="str">
        <f>'12 - Device_Configuration'!BK208</f>
        <v/>
      </c>
      <c r="O207" s="31" t="str">
        <f>'12 - Device_Configuration'!BL208</f>
        <v/>
      </c>
      <c r="P207" s="2">
        <f>'12 - Device_Configuration'!BA208</f>
        <v>0</v>
      </c>
      <c r="Q207" s="31" t="str">
        <f t="shared" si="12"/>
        <v/>
      </c>
      <c r="R207" s="17" t="str">
        <f t="shared" si="13"/>
        <v>SW NOT INSTALLED</v>
      </c>
      <c r="S207" s="17" t="str">
        <f t="shared" si="14"/>
        <v/>
      </c>
      <c r="T207" s="17" t="str">
        <f t="shared" si="15"/>
        <v>SW NOT INSTALLED</v>
      </c>
    </row>
    <row r="208" spans="1:20">
      <c r="A208" s="31">
        <f>'12 - Device_Configuration'!H209</f>
        <v>0</v>
      </c>
      <c r="B208" s="31">
        <f>'12 - Device_Configuration'!S209</f>
        <v>0</v>
      </c>
      <c r="C208" s="31">
        <f>'12 - Device_Configuration'!T209</f>
        <v>0</v>
      </c>
      <c r="D208" s="17">
        <f>'12 - Device_Configuration'!AJ209</f>
        <v>0</v>
      </c>
      <c r="E208" s="17">
        <f>'12 - Device_Configuration'!J209</f>
        <v>0</v>
      </c>
      <c r="F208" s="31">
        <f>'12 - Device_Configuration'!K209</f>
        <v>0</v>
      </c>
      <c r="G208" s="17">
        <f>'12 - Device_Configuration'!L209</f>
        <v>0</v>
      </c>
      <c r="H208" s="17">
        <f>'13 - Config_Intake_View'!M208</f>
        <v>0</v>
      </c>
      <c r="I208" s="31">
        <f>IF('13 - Config_Intake_View'!Q208&lt;&gt;"",'13 - Config_Intake_View'!Q208,'12 - Device_Configuration'!BH209)</f>
        <v>0</v>
      </c>
      <c r="J208" s="17" t="str">
        <f>IF('13 - Config_Intake_View'!Q208&lt;&gt;"","PM Approved",IF('12 - Device_Configuration'!BH209&lt;&gt;"","Assumed",""))</f>
        <v/>
      </c>
      <c r="K208" s="31">
        <f>'12 - Device_Configuration'!BG209</f>
        <v>0</v>
      </c>
      <c r="L208" s="17">
        <f>'12 - Device_Configuration'!P209</f>
        <v>0</v>
      </c>
      <c r="M208" s="17">
        <f>'12 - Device_Configuration'!Q209</f>
        <v>0</v>
      </c>
      <c r="N208" s="17" t="str">
        <f>'12 - Device_Configuration'!BK209</f>
        <v/>
      </c>
      <c r="O208" s="31" t="str">
        <f>'12 - Device_Configuration'!BL209</f>
        <v/>
      </c>
      <c r="P208" s="2">
        <f>'12 - Device_Configuration'!BA209</f>
        <v>0</v>
      </c>
      <c r="Q208" s="31" t="str">
        <f t="shared" si="12"/>
        <v/>
      </c>
      <c r="R208" s="17" t="str">
        <f t="shared" si="13"/>
        <v>SW NOT INSTALLED</v>
      </c>
      <c r="S208" s="17" t="str">
        <f t="shared" si="14"/>
        <v/>
      </c>
      <c r="T208" s="17" t="str">
        <f t="shared" si="15"/>
        <v>SW NOT INSTALLED</v>
      </c>
    </row>
    <row r="209" spans="1:20">
      <c r="A209" s="31">
        <f>'12 - Device_Configuration'!H210</f>
        <v>0</v>
      </c>
      <c r="B209" s="31">
        <f>'12 - Device_Configuration'!S210</f>
        <v>0</v>
      </c>
      <c r="C209" s="31">
        <f>'12 - Device_Configuration'!T210</f>
        <v>0</v>
      </c>
      <c r="D209" s="17">
        <f>'12 - Device_Configuration'!AJ210</f>
        <v>0</v>
      </c>
      <c r="E209" s="17">
        <f>'12 - Device_Configuration'!J210</f>
        <v>0</v>
      </c>
      <c r="F209" s="31">
        <f>'12 - Device_Configuration'!K210</f>
        <v>0</v>
      </c>
      <c r="G209" s="17">
        <f>'12 - Device_Configuration'!L210</f>
        <v>0</v>
      </c>
      <c r="H209" s="17">
        <f>'13 - Config_Intake_View'!M209</f>
        <v>0</v>
      </c>
      <c r="I209" s="31">
        <f>IF('13 - Config_Intake_View'!Q209&lt;&gt;"",'13 - Config_Intake_View'!Q209,'12 - Device_Configuration'!BH210)</f>
        <v>0</v>
      </c>
      <c r="J209" s="17" t="str">
        <f>IF('13 - Config_Intake_View'!Q209&lt;&gt;"","PM Approved",IF('12 - Device_Configuration'!BH210&lt;&gt;"","Assumed",""))</f>
        <v/>
      </c>
      <c r="K209" s="31">
        <f>'12 - Device_Configuration'!BG210</f>
        <v>0</v>
      </c>
      <c r="L209" s="17">
        <f>'12 - Device_Configuration'!P210</f>
        <v>0</v>
      </c>
      <c r="M209" s="17">
        <f>'12 - Device_Configuration'!Q210</f>
        <v>0</v>
      </c>
      <c r="N209" s="17" t="str">
        <f>'12 - Device_Configuration'!BK210</f>
        <v/>
      </c>
      <c r="O209" s="31" t="str">
        <f>'12 - Device_Configuration'!BL210</f>
        <v/>
      </c>
      <c r="P209" s="2">
        <f>'12 - Device_Configuration'!BA210</f>
        <v>0</v>
      </c>
      <c r="Q209" s="31" t="str">
        <f t="shared" si="12"/>
        <v/>
      </c>
      <c r="R209" s="17" t="str">
        <f t="shared" si="13"/>
        <v>SW NOT INSTALLED</v>
      </c>
      <c r="S209" s="17" t="str">
        <f t="shared" si="14"/>
        <v/>
      </c>
      <c r="T209" s="17" t="str">
        <f t="shared" si="15"/>
        <v>SW NOT INSTALLED</v>
      </c>
    </row>
    <row r="210" spans="1:20">
      <c r="A210" s="31">
        <f>'12 - Device_Configuration'!H211</f>
        <v>0</v>
      </c>
      <c r="B210" s="31">
        <f>'12 - Device_Configuration'!S211</f>
        <v>0</v>
      </c>
      <c r="C210" s="31">
        <f>'12 - Device_Configuration'!T211</f>
        <v>0</v>
      </c>
      <c r="D210" s="17">
        <f>'12 - Device_Configuration'!AJ211</f>
        <v>0</v>
      </c>
      <c r="E210" s="17">
        <f>'12 - Device_Configuration'!J211</f>
        <v>0</v>
      </c>
      <c r="F210" s="31">
        <f>'12 - Device_Configuration'!K211</f>
        <v>0</v>
      </c>
      <c r="G210" s="17">
        <f>'12 - Device_Configuration'!L211</f>
        <v>0</v>
      </c>
      <c r="H210" s="17">
        <f>'13 - Config_Intake_View'!M210</f>
        <v>0</v>
      </c>
      <c r="I210" s="31">
        <f>IF('13 - Config_Intake_View'!Q210&lt;&gt;"",'13 - Config_Intake_View'!Q210,'12 - Device_Configuration'!BH211)</f>
        <v>0</v>
      </c>
      <c r="J210" s="17" t="str">
        <f>IF('13 - Config_Intake_View'!Q210&lt;&gt;"","PM Approved",IF('12 - Device_Configuration'!BH211&lt;&gt;"","Assumed",""))</f>
        <v/>
      </c>
      <c r="K210" s="31">
        <f>'12 - Device_Configuration'!BG211</f>
        <v>0</v>
      </c>
      <c r="L210" s="17">
        <f>'12 - Device_Configuration'!P211</f>
        <v>0</v>
      </c>
      <c r="M210" s="17">
        <f>'12 - Device_Configuration'!Q211</f>
        <v>0</v>
      </c>
      <c r="N210" s="17" t="str">
        <f>'12 - Device_Configuration'!BK211</f>
        <v/>
      </c>
      <c r="O210" s="31" t="str">
        <f>'12 - Device_Configuration'!BL211</f>
        <v/>
      </c>
      <c r="P210" s="2">
        <f>'12 - Device_Configuration'!BA211</f>
        <v>0</v>
      </c>
      <c r="Q210" s="31" t="str">
        <f t="shared" si="12"/>
        <v/>
      </c>
      <c r="R210" s="17" t="str">
        <f t="shared" si="13"/>
        <v>SW NOT INSTALLED</v>
      </c>
      <c r="S210" s="17" t="str">
        <f t="shared" si="14"/>
        <v/>
      </c>
      <c r="T210" s="17" t="str">
        <f t="shared" si="15"/>
        <v>SW NOT INSTALLED</v>
      </c>
    </row>
    <row r="211" spans="1:20">
      <c r="A211" s="31">
        <f>'12 - Device_Configuration'!H212</f>
        <v>0</v>
      </c>
      <c r="B211" s="31">
        <f>'12 - Device_Configuration'!S212</f>
        <v>0</v>
      </c>
      <c r="C211" s="31">
        <f>'12 - Device_Configuration'!T212</f>
        <v>0</v>
      </c>
      <c r="D211" s="17">
        <f>'12 - Device_Configuration'!AJ212</f>
        <v>0</v>
      </c>
      <c r="E211" s="17">
        <f>'12 - Device_Configuration'!J212</f>
        <v>0</v>
      </c>
      <c r="F211" s="31">
        <f>'12 - Device_Configuration'!K212</f>
        <v>0</v>
      </c>
      <c r="G211" s="17">
        <f>'12 - Device_Configuration'!L212</f>
        <v>0</v>
      </c>
      <c r="H211" s="17">
        <f>'13 - Config_Intake_View'!M211</f>
        <v>0</v>
      </c>
      <c r="I211" s="31">
        <f>IF('13 - Config_Intake_View'!Q211&lt;&gt;"",'13 - Config_Intake_View'!Q211,'12 - Device_Configuration'!BH212)</f>
        <v>0</v>
      </c>
      <c r="J211" s="17" t="str">
        <f>IF('13 - Config_Intake_View'!Q211&lt;&gt;"","PM Approved",IF('12 - Device_Configuration'!BH212&lt;&gt;"","Assumed",""))</f>
        <v/>
      </c>
      <c r="K211" s="31">
        <f>'12 - Device_Configuration'!BG212</f>
        <v>0</v>
      </c>
      <c r="L211" s="17">
        <f>'12 - Device_Configuration'!P212</f>
        <v>0</v>
      </c>
      <c r="M211" s="17">
        <f>'12 - Device_Configuration'!Q212</f>
        <v>0</v>
      </c>
      <c r="N211" s="17" t="str">
        <f>'12 - Device_Configuration'!BK212</f>
        <v/>
      </c>
      <c r="O211" s="31" t="str">
        <f>'12 - Device_Configuration'!BL212</f>
        <v/>
      </c>
      <c r="P211" s="2">
        <f>'12 - Device_Configuration'!BA212</f>
        <v>0</v>
      </c>
      <c r="Q211" s="31" t="str">
        <f t="shared" si="12"/>
        <v/>
      </c>
      <c r="R211" s="17" t="str">
        <f t="shared" si="13"/>
        <v>SW NOT INSTALLED</v>
      </c>
      <c r="S211" s="17" t="str">
        <f t="shared" si="14"/>
        <v/>
      </c>
      <c r="T211" s="17" t="str">
        <f t="shared" si="15"/>
        <v>SW NOT INSTALLED</v>
      </c>
    </row>
    <row r="212" spans="1:20">
      <c r="A212" s="31">
        <f>'12 - Device_Configuration'!H213</f>
        <v>0</v>
      </c>
      <c r="B212" s="31">
        <f>'12 - Device_Configuration'!S213</f>
        <v>0</v>
      </c>
      <c r="C212" s="31">
        <f>'12 - Device_Configuration'!T213</f>
        <v>0</v>
      </c>
      <c r="D212" s="17">
        <f>'12 - Device_Configuration'!AJ213</f>
        <v>0</v>
      </c>
      <c r="E212" s="17">
        <f>'12 - Device_Configuration'!J213</f>
        <v>0</v>
      </c>
      <c r="F212" s="31">
        <f>'12 - Device_Configuration'!K213</f>
        <v>0</v>
      </c>
      <c r="G212" s="17">
        <f>'12 - Device_Configuration'!L213</f>
        <v>0</v>
      </c>
      <c r="H212" s="17">
        <f>'13 - Config_Intake_View'!M212</f>
        <v>0</v>
      </c>
      <c r="I212" s="31">
        <f>IF('13 - Config_Intake_View'!Q212&lt;&gt;"",'13 - Config_Intake_View'!Q212,'12 - Device_Configuration'!BH213)</f>
        <v>0</v>
      </c>
      <c r="J212" s="17" t="str">
        <f>IF('13 - Config_Intake_View'!Q212&lt;&gt;"","PM Approved",IF('12 - Device_Configuration'!BH213&lt;&gt;"","Assumed",""))</f>
        <v/>
      </c>
      <c r="K212" s="31">
        <f>'12 - Device_Configuration'!BG213</f>
        <v>0</v>
      </c>
      <c r="L212" s="17">
        <f>'12 - Device_Configuration'!P213</f>
        <v>0</v>
      </c>
      <c r="M212" s="17">
        <f>'12 - Device_Configuration'!Q213</f>
        <v>0</v>
      </c>
      <c r="N212" s="17" t="str">
        <f>'12 - Device_Configuration'!BK213</f>
        <v/>
      </c>
      <c r="O212" s="31" t="str">
        <f>'12 - Device_Configuration'!BL213</f>
        <v/>
      </c>
      <c r="P212" s="2">
        <f>'12 - Device_Configuration'!BA213</f>
        <v>0</v>
      </c>
      <c r="Q212" s="31" t="str">
        <f t="shared" si="12"/>
        <v/>
      </c>
      <c r="R212" s="17" t="str">
        <f t="shared" si="13"/>
        <v>SW NOT INSTALLED</v>
      </c>
      <c r="S212" s="17" t="str">
        <f t="shared" si="14"/>
        <v/>
      </c>
      <c r="T212" s="17" t="str">
        <f t="shared" si="15"/>
        <v>SW NOT INSTALLED</v>
      </c>
    </row>
    <row r="213" spans="1:20">
      <c r="A213" s="31">
        <f>'12 - Device_Configuration'!H214</f>
        <v>0</v>
      </c>
      <c r="B213" s="31">
        <f>'12 - Device_Configuration'!S214</f>
        <v>0</v>
      </c>
      <c r="C213" s="31">
        <f>'12 - Device_Configuration'!T214</f>
        <v>0</v>
      </c>
      <c r="D213" s="17">
        <f>'12 - Device_Configuration'!AJ214</f>
        <v>0</v>
      </c>
      <c r="E213" s="17">
        <f>'12 - Device_Configuration'!J214</f>
        <v>0</v>
      </c>
      <c r="F213" s="31">
        <f>'12 - Device_Configuration'!K214</f>
        <v>0</v>
      </c>
      <c r="G213" s="17">
        <f>'12 - Device_Configuration'!L214</f>
        <v>0</v>
      </c>
      <c r="H213" s="17">
        <f>'13 - Config_Intake_View'!M213</f>
        <v>0</v>
      </c>
      <c r="I213" s="31">
        <f>IF('13 - Config_Intake_View'!Q213&lt;&gt;"",'13 - Config_Intake_View'!Q213,'12 - Device_Configuration'!BH214)</f>
        <v>0</v>
      </c>
      <c r="J213" s="17" t="str">
        <f>IF('13 - Config_Intake_View'!Q213&lt;&gt;"","PM Approved",IF('12 - Device_Configuration'!BH214&lt;&gt;"","Assumed",""))</f>
        <v/>
      </c>
      <c r="K213" s="31">
        <f>'12 - Device_Configuration'!BG214</f>
        <v>0</v>
      </c>
      <c r="L213" s="17">
        <f>'12 - Device_Configuration'!P214</f>
        <v>0</v>
      </c>
      <c r="M213" s="17">
        <f>'12 - Device_Configuration'!Q214</f>
        <v>0</v>
      </c>
      <c r="N213" s="17" t="str">
        <f>'12 - Device_Configuration'!BK214</f>
        <v/>
      </c>
      <c r="O213" s="31" t="str">
        <f>'12 - Device_Configuration'!BL214</f>
        <v/>
      </c>
      <c r="P213" s="2">
        <f>'12 - Device_Configuration'!BA214</f>
        <v>0</v>
      </c>
      <c r="Q213" s="31" t="str">
        <f t="shared" si="12"/>
        <v/>
      </c>
      <c r="R213" s="17" t="str">
        <f t="shared" si="13"/>
        <v>SW NOT INSTALLED</v>
      </c>
      <c r="S213" s="17" t="str">
        <f t="shared" si="14"/>
        <v/>
      </c>
      <c r="T213" s="17" t="str">
        <f t="shared" si="15"/>
        <v>SW NOT INSTALLED</v>
      </c>
    </row>
    <row r="214" spans="1:20">
      <c r="A214" s="31">
        <f>'12 - Device_Configuration'!H215</f>
        <v>0</v>
      </c>
      <c r="B214" s="31">
        <f>'12 - Device_Configuration'!S215</f>
        <v>0</v>
      </c>
      <c r="C214" s="31">
        <f>'12 - Device_Configuration'!T215</f>
        <v>0</v>
      </c>
      <c r="D214" s="17">
        <f>'12 - Device_Configuration'!AJ215</f>
        <v>0</v>
      </c>
      <c r="E214" s="17">
        <f>'12 - Device_Configuration'!J215</f>
        <v>0</v>
      </c>
      <c r="F214" s="31">
        <f>'12 - Device_Configuration'!K215</f>
        <v>0</v>
      </c>
      <c r="G214" s="17">
        <f>'12 - Device_Configuration'!L215</f>
        <v>0</v>
      </c>
      <c r="H214" s="17">
        <f>'13 - Config_Intake_View'!M214</f>
        <v>0</v>
      </c>
      <c r="I214" s="31">
        <f>IF('13 - Config_Intake_View'!Q214&lt;&gt;"",'13 - Config_Intake_View'!Q214,'12 - Device_Configuration'!BH215)</f>
        <v>0</v>
      </c>
      <c r="J214" s="17" t="str">
        <f>IF('13 - Config_Intake_View'!Q214&lt;&gt;"","PM Approved",IF('12 - Device_Configuration'!BH215&lt;&gt;"","Assumed",""))</f>
        <v/>
      </c>
      <c r="K214" s="31">
        <f>'12 - Device_Configuration'!BG215</f>
        <v>0</v>
      </c>
      <c r="L214" s="17">
        <f>'12 - Device_Configuration'!P215</f>
        <v>0</v>
      </c>
      <c r="M214" s="17">
        <f>'12 - Device_Configuration'!Q215</f>
        <v>0</v>
      </c>
      <c r="N214" s="17" t="str">
        <f>'12 - Device_Configuration'!BK215</f>
        <v/>
      </c>
      <c r="O214" s="31" t="str">
        <f>'12 - Device_Configuration'!BL215</f>
        <v/>
      </c>
      <c r="P214" s="2">
        <f>'12 - Device_Configuration'!BA215</f>
        <v>0</v>
      </c>
      <c r="Q214" s="31" t="str">
        <f t="shared" si="12"/>
        <v/>
      </c>
      <c r="R214" s="17" t="str">
        <f t="shared" si="13"/>
        <v>SW NOT INSTALLED</v>
      </c>
      <c r="S214" s="17" t="str">
        <f t="shared" si="14"/>
        <v/>
      </c>
      <c r="T214" s="17" t="str">
        <f t="shared" si="15"/>
        <v>SW NOT INSTALLED</v>
      </c>
    </row>
    <row r="215" spans="1:20">
      <c r="A215" s="31">
        <f>'12 - Device_Configuration'!H216</f>
        <v>0</v>
      </c>
      <c r="B215" s="31">
        <f>'12 - Device_Configuration'!S216</f>
        <v>0</v>
      </c>
      <c r="C215" s="31">
        <f>'12 - Device_Configuration'!T216</f>
        <v>0</v>
      </c>
      <c r="D215" s="17">
        <f>'12 - Device_Configuration'!AJ216</f>
        <v>0</v>
      </c>
      <c r="E215" s="17">
        <f>'12 - Device_Configuration'!J216</f>
        <v>0</v>
      </c>
      <c r="F215" s="31">
        <f>'12 - Device_Configuration'!K216</f>
        <v>0</v>
      </c>
      <c r="G215" s="17">
        <f>'12 - Device_Configuration'!L216</f>
        <v>0</v>
      </c>
      <c r="H215" s="17">
        <f>'13 - Config_Intake_View'!M215</f>
        <v>0</v>
      </c>
      <c r="I215" s="31">
        <f>IF('13 - Config_Intake_View'!Q215&lt;&gt;"",'13 - Config_Intake_View'!Q215,'12 - Device_Configuration'!BH216)</f>
        <v>0</v>
      </c>
      <c r="J215" s="17" t="str">
        <f>IF('13 - Config_Intake_View'!Q215&lt;&gt;"","PM Approved",IF('12 - Device_Configuration'!BH216&lt;&gt;"","Assumed",""))</f>
        <v/>
      </c>
      <c r="K215" s="31">
        <f>'12 - Device_Configuration'!BG216</f>
        <v>0</v>
      </c>
      <c r="L215" s="17">
        <f>'12 - Device_Configuration'!P216</f>
        <v>0</v>
      </c>
      <c r="M215" s="17">
        <f>'12 - Device_Configuration'!Q216</f>
        <v>0</v>
      </c>
      <c r="N215" s="17" t="str">
        <f>'12 - Device_Configuration'!BK216</f>
        <v/>
      </c>
      <c r="O215" s="31" t="str">
        <f>'12 - Device_Configuration'!BL216</f>
        <v/>
      </c>
      <c r="P215" s="2">
        <f>'12 - Device_Configuration'!BA216</f>
        <v>0</v>
      </c>
      <c r="Q215" s="31" t="str">
        <f t="shared" si="12"/>
        <v/>
      </c>
      <c r="R215" s="17" t="str">
        <f t="shared" si="13"/>
        <v>SW NOT INSTALLED</v>
      </c>
      <c r="S215" s="17" t="str">
        <f t="shared" si="14"/>
        <v/>
      </c>
      <c r="T215" s="17" t="str">
        <f t="shared" si="15"/>
        <v>SW NOT INSTALLED</v>
      </c>
    </row>
    <row r="216" spans="1:20">
      <c r="A216" s="31">
        <f>'12 - Device_Configuration'!H217</f>
        <v>0</v>
      </c>
      <c r="B216" s="31">
        <f>'12 - Device_Configuration'!S217</f>
        <v>0</v>
      </c>
      <c r="C216" s="31">
        <f>'12 - Device_Configuration'!T217</f>
        <v>0</v>
      </c>
      <c r="D216" s="17">
        <f>'12 - Device_Configuration'!AJ217</f>
        <v>0</v>
      </c>
      <c r="E216" s="17">
        <f>'12 - Device_Configuration'!J217</f>
        <v>0</v>
      </c>
      <c r="F216" s="31">
        <f>'12 - Device_Configuration'!K217</f>
        <v>0</v>
      </c>
      <c r="G216" s="17">
        <f>'12 - Device_Configuration'!L217</f>
        <v>0</v>
      </c>
      <c r="H216" s="17">
        <f>'13 - Config_Intake_View'!M216</f>
        <v>0</v>
      </c>
      <c r="I216" s="31">
        <f>IF('13 - Config_Intake_View'!Q216&lt;&gt;"",'13 - Config_Intake_View'!Q216,'12 - Device_Configuration'!BH217)</f>
        <v>0</v>
      </c>
      <c r="J216" s="17" t="str">
        <f>IF('13 - Config_Intake_View'!Q216&lt;&gt;"","PM Approved",IF('12 - Device_Configuration'!BH217&lt;&gt;"","Assumed",""))</f>
        <v/>
      </c>
      <c r="K216" s="31">
        <f>'12 - Device_Configuration'!BG217</f>
        <v>0</v>
      </c>
      <c r="L216" s="17">
        <f>'12 - Device_Configuration'!P217</f>
        <v>0</v>
      </c>
      <c r="M216" s="17">
        <f>'12 - Device_Configuration'!Q217</f>
        <v>0</v>
      </c>
      <c r="N216" s="17" t="str">
        <f>'12 - Device_Configuration'!BK217</f>
        <v/>
      </c>
      <c r="O216" s="31" t="str">
        <f>'12 - Device_Configuration'!BL217</f>
        <v/>
      </c>
      <c r="P216" s="2">
        <f>'12 - Device_Configuration'!BA217</f>
        <v>0</v>
      </c>
      <c r="Q216" s="31" t="str">
        <f t="shared" si="12"/>
        <v/>
      </c>
      <c r="R216" s="17" t="str">
        <f t="shared" si="13"/>
        <v>SW NOT INSTALLED</v>
      </c>
      <c r="S216" s="17" t="str">
        <f t="shared" si="14"/>
        <v/>
      </c>
      <c r="T216" s="17" t="str">
        <f t="shared" si="15"/>
        <v>SW NOT INSTALLED</v>
      </c>
    </row>
    <row r="217" spans="1:20">
      <c r="A217" s="31">
        <f>'12 - Device_Configuration'!H218</f>
        <v>0</v>
      </c>
      <c r="B217" s="31">
        <f>'12 - Device_Configuration'!S218</f>
        <v>0</v>
      </c>
      <c r="C217" s="31">
        <f>'12 - Device_Configuration'!T218</f>
        <v>0</v>
      </c>
      <c r="D217" s="17">
        <f>'12 - Device_Configuration'!AJ218</f>
        <v>0</v>
      </c>
      <c r="E217" s="17">
        <f>'12 - Device_Configuration'!J218</f>
        <v>0</v>
      </c>
      <c r="F217" s="31">
        <f>'12 - Device_Configuration'!K218</f>
        <v>0</v>
      </c>
      <c r="G217" s="17">
        <f>'12 - Device_Configuration'!L218</f>
        <v>0</v>
      </c>
      <c r="H217" s="17">
        <f>'13 - Config_Intake_View'!M217</f>
        <v>0</v>
      </c>
      <c r="I217" s="31">
        <f>IF('13 - Config_Intake_View'!Q217&lt;&gt;"",'13 - Config_Intake_View'!Q217,'12 - Device_Configuration'!BH218)</f>
        <v>0</v>
      </c>
      <c r="J217" s="17" t="str">
        <f>IF('13 - Config_Intake_View'!Q217&lt;&gt;"","PM Approved",IF('12 - Device_Configuration'!BH218&lt;&gt;"","Assumed",""))</f>
        <v/>
      </c>
      <c r="K217" s="31">
        <f>'12 - Device_Configuration'!BG218</f>
        <v>0</v>
      </c>
      <c r="L217" s="17">
        <f>'12 - Device_Configuration'!P218</f>
        <v>0</v>
      </c>
      <c r="M217" s="17">
        <f>'12 - Device_Configuration'!Q218</f>
        <v>0</v>
      </c>
      <c r="N217" s="17" t="str">
        <f>'12 - Device_Configuration'!BK218</f>
        <v/>
      </c>
      <c r="O217" s="31" t="str">
        <f>'12 - Device_Configuration'!BL218</f>
        <v/>
      </c>
      <c r="P217" s="2">
        <f>'12 - Device_Configuration'!BA218</f>
        <v>0</v>
      </c>
      <c r="Q217" s="31" t="str">
        <f t="shared" si="12"/>
        <v/>
      </c>
      <c r="R217" s="17" t="str">
        <f t="shared" si="13"/>
        <v>SW NOT INSTALLED</v>
      </c>
      <c r="S217" s="17" t="str">
        <f t="shared" si="14"/>
        <v/>
      </c>
      <c r="T217" s="17" t="str">
        <f t="shared" si="15"/>
        <v>SW NOT INSTALLED</v>
      </c>
    </row>
    <row r="218" spans="1:20">
      <c r="A218" s="31">
        <f>'12 - Device_Configuration'!H219</f>
        <v>0</v>
      </c>
      <c r="B218" s="31">
        <f>'12 - Device_Configuration'!S219</f>
        <v>0</v>
      </c>
      <c r="C218" s="31">
        <f>'12 - Device_Configuration'!T219</f>
        <v>0</v>
      </c>
      <c r="D218" s="17">
        <f>'12 - Device_Configuration'!AJ219</f>
        <v>0</v>
      </c>
      <c r="E218" s="17">
        <f>'12 - Device_Configuration'!J219</f>
        <v>0</v>
      </c>
      <c r="F218" s="31">
        <f>'12 - Device_Configuration'!K219</f>
        <v>0</v>
      </c>
      <c r="G218" s="17">
        <f>'12 - Device_Configuration'!L219</f>
        <v>0</v>
      </c>
      <c r="H218" s="17">
        <f>'13 - Config_Intake_View'!M218</f>
        <v>0</v>
      </c>
      <c r="I218" s="31">
        <f>IF('13 - Config_Intake_View'!Q218&lt;&gt;"",'13 - Config_Intake_View'!Q218,'12 - Device_Configuration'!BH219)</f>
        <v>0</v>
      </c>
      <c r="J218" s="17" t="str">
        <f>IF('13 - Config_Intake_View'!Q218&lt;&gt;"","PM Approved",IF('12 - Device_Configuration'!BH219&lt;&gt;"","Assumed",""))</f>
        <v/>
      </c>
      <c r="K218" s="31">
        <f>'12 - Device_Configuration'!BG219</f>
        <v>0</v>
      </c>
      <c r="L218" s="17">
        <f>'12 - Device_Configuration'!P219</f>
        <v>0</v>
      </c>
      <c r="M218" s="17">
        <f>'12 - Device_Configuration'!Q219</f>
        <v>0</v>
      </c>
      <c r="N218" s="17" t="str">
        <f>'12 - Device_Configuration'!BK219</f>
        <v/>
      </c>
      <c r="O218" s="31" t="str">
        <f>'12 - Device_Configuration'!BL219</f>
        <v/>
      </c>
      <c r="P218" s="2">
        <f>'12 - Device_Configuration'!BA219</f>
        <v>0</v>
      </c>
      <c r="Q218" s="31" t="str">
        <f t="shared" si="12"/>
        <v/>
      </c>
      <c r="R218" s="17" t="str">
        <f t="shared" si="13"/>
        <v>SW NOT INSTALLED</v>
      </c>
      <c r="S218" s="17" t="str">
        <f t="shared" si="14"/>
        <v/>
      </c>
      <c r="T218" s="17" t="str">
        <f t="shared" si="15"/>
        <v>SW NOT INSTALLED</v>
      </c>
    </row>
    <row r="219" spans="1:20">
      <c r="A219" s="31">
        <f>'12 - Device_Configuration'!H220</f>
        <v>0</v>
      </c>
      <c r="B219" s="31">
        <f>'12 - Device_Configuration'!S220</f>
        <v>0</v>
      </c>
      <c r="C219" s="31">
        <f>'12 - Device_Configuration'!T220</f>
        <v>0</v>
      </c>
      <c r="D219" s="17">
        <f>'12 - Device_Configuration'!AJ220</f>
        <v>0</v>
      </c>
      <c r="E219" s="17">
        <f>'12 - Device_Configuration'!J220</f>
        <v>0</v>
      </c>
      <c r="F219" s="31">
        <f>'12 - Device_Configuration'!K220</f>
        <v>0</v>
      </c>
      <c r="G219" s="17">
        <f>'12 - Device_Configuration'!L220</f>
        <v>0</v>
      </c>
      <c r="H219" s="17">
        <f>'13 - Config_Intake_View'!M219</f>
        <v>0</v>
      </c>
      <c r="I219" s="31">
        <f>IF('13 - Config_Intake_View'!Q219&lt;&gt;"",'13 - Config_Intake_View'!Q219,'12 - Device_Configuration'!BH220)</f>
        <v>0</v>
      </c>
      <c r="J219" s="17" t="str">
        <f>IF('13 - Config_Intake_View'!Q219&lt;&gt;"","PM Approved",IF('12 - Device_Configuration'!BH220&lt;&gt;"","Assumed",""))</f>
        <v/>
      </c>
      <c r="K219" s="31">
        <f>'12 - Device_Configuration'!BG220</f>
        <v>0</v>
      </c>
      <c r="L219" s="17">
        <f>'12 - Device_Configuration'!P220</f>
        <v>0</v>
      </c>
      <c r="M219" s="17">
        <f>'12 - Device_Configuration'!Q220</f>
        <v>0</v>
      </c>
      <c r="N219" s="17" t="str">
        <f>'12 - Device_Configuration'!BK220</f>
        <v/>
      </c>
      <c r="O219" s="31" t="str">
        <f>'12 - Device_Configuration'!BL220</f>
        <v/>
      </c>
      <c r="P219" s="2">
        <f>'12 - Device_Configuration'!BA220</f>
        <v>0</v>
      </c>
      <c r="Q219" s="31" t="str">
        <f t="shared" si="12"/>
        <v/>
      </c>
      <c r="R219" s="17" t="str">
        <f t="shared" si="13"/>
        <v>SW NOT INSTALLED</v>
      </c>
      <c r="S219" s="17" t="str">
        <f t="shared" si="14"/>
        <v/>
      </c>
      <c r="T219" s="17" t="str">
        <f t="shared" si="15"/>
        <v>SW NOT INSTALLED</v>
      </c>
    </row>
    <row r="220" spans="1:20">
      <c r="A220" s="31">
        <f>'12 - Device_Configuration'!H221</f>
        <v>0</v>
      </c>
      <c r="B220" s="31">
        <f>'12 - Device_Configuration'!S221</f>
        <v>0</v>
      </c>
      <c r="C220" s="31">
        <f>'12 - Device_Configuration'!T221</f>
        <v>0</v>
      </c>
      <c r="D220" s="17">
        <f>'12 - Device_Configuration'!AJ221</f>
        <v>0</v>
      </c>
      <c r="E220" s="17">
        <f>'12 - Device_Configuration'!J221</f>
        <v>0</v>
      </c>
      <c r="F220" s="31">
        <f>'12 - Device_Configuration'!K221</f>
        <v>0</v>
      </c>
      <c r="G220" s="17">
        <f>'12 - Device_Configuration'!L221</f>
        <v>0</v>
      </c>
      <c r="H220" s="17">
        <f>'13 - Config_Intake_View'!M220</f>
        <v>0</v>
      </c>
      <c r="I220" s="31">
        <f>IF('13 - Config_Intake_View'!Q220&lt;&gt;"",'13 - Config_Intake_View'!Q220,'12 - Device_Configuration'!BH221)</f>
        <v>0</v>
      </c>
      <c r="J220" s="17" t="str">
        <f>IF('13 - Config_Intake_View'!Q220&lt;&gt;"","PM Approved",IF('12 - Device_Configuration'!BH221&lt;&gt;"","Assumed",""))</f>
        <v/>
      </c>
      <c r="K220" s="31">
        <f>'12 - Device_Configuration'!BG221</f>
        <v>0</v>
      </c>
      <c r="L220" s="17">
        <f>'12 - Device_Configuration'!P221</f>
        <v>0</v>
      </c>
      <c r="M220" s="17">
        <f>'12 - Device_Configuration'!Q221</f>
        <v>0</v>
      </c>
      <c r="N220" s="17" t="str">
        <f>'12 - Device_Configuration'!BK221</f>
        <v/>
      </c>
      <c r="O220" s="31" t="str">
        <f>'12 - Device_Configuration'!BL221</f>
        <v/>
      </c>
      <c r="P220" s="2">
        <f>'12 - Device_Configuration'!BA221</f>
        <v>0</v>
      </c>
      <c r="Q220" s="31" t="str">
        <f t="shared" si="12"/>
        <v/>
      </c>
      <c r="R220" s="17" t="str">
        <f t="shared" si="13"/>
        <v>SW NOT INSTALLED</v>
      </c>
      <c r="S220" s="17" t="str">
        <f t="shared" si="14"/>
        <v/>
      </c>
      <c r="T220" s="17" t="str">
        <f t="shared" si="15"/>
        <v>SW NOT INSTALLED</v>
      </c>
    </row>
    <row r="221" spans="1:20">
      <c r="A221" s="31">
        <f>'12 - Device_Configuration'!H222</f>
        <v>0</v>
      </c>
      <c r="B221" s="31">
        <f>'12 - Device_Configuration'!S222</f>
        <v>0</v>
      </c>
      <c r="C221" s="31">
        <f>'12 - Device_Configuration'!T222</f>
        <v>0</v>
      </c>
      <c r="D221" s="17">
        <f>'12 - Device_Configuration'!AJ222</f>
        <v>0</v>
      </c>
      <c r="E221" s="17">
        <f>'12 - Device_Configuration'!J222</f>
        <v>0</v>
      </c>
      <c r="F221" s="31">
        <f>'12 - Device_Configuration'!K222</f>
        <v>0</v>
      </c>
      <c r="G221" s="17">
        <f>'12 - Device_Configuration'!L222</f>
        <v>0</v>
      </c>
      <c r="H221" s="17">
        <f>'13 - Config_Intake_View'!M221</f>
        <v>0</v>
      </c>
      <c r="I221" s="31">
        <f>IF('13 - Config_Intake_View'!Q221&lt;&gt;"",'13 - Config_Intake_View'!Q221,'12 - Device_Configuration'!BH222)</f>
        <v>0</v>
      </c>
      <c r="J221" s="17" t="str">
        <f>IF('13 - Config_Intake_View'!Q221&lt;&gt;"","PM Approved",IF('12 - Device_Configuration'!BH222&lt;&gt;"","Assumed",""))</f>
        <v/>
      </c>
      <c r="K221" s="31">
        <f>'12 - Device_Configuration'!BG222</f>
        <v>0</v>
      </c>
      <c r="L221" s="17">
        <f>'12 - Device_Configuration'!P222</f>
        <v>0</v>
      </c>
      <c r="M221" s="17">
        <f>'12 - Device_Configuration'!Q222</f>
        <v>0</v>
      </c>
      <c r="N221" s="17" t="str">
        <f>'12 - Device_Configuration'!BK222</f>
        <v/>
      </c>
      <c r="O221" s="31" t="str">
        <f>'12 - Device_Configuration'!BL222</f>
        <v/>
      </c>
      <c r="P221" s="2">
        <f>'12 - Device_Configuration'!BA222</f>
        <v>0</v>
      </c>
      <c r="Q221" s="31" t="str">
        <f t="shared" si="12"/>
        <v/>
      </c>
      <c r="R221" s="17" t="str">
        <f t="shared" si="13"/>
        <v>SW NOT INSTALLED</v>
      </c>
      <c r="S221" s="17" t="str">
        <f t="shared" si="14"/>
        <v/>
      </c>
      <c r="T221" s="17" t="str">
        <f t="shared" si="15"/>
        <v>SW NOT INSTALLED</v>
      </c>
    </row>
    <row r="222" spans="1:20">
      <c r="A222" s="31">
        <f>'12 - Device_Configuration'!H223</f>
        <v>0</v>
      </c>
      <c r="B222" s="31">
        <f>'12 - Device_Configuration'!S223</f>
        <v>0</v>
      </c>
      <c r="C222" s="31">
        <f>'12 - Device_Configuration'!T223</f>
        <v>0</v>
      </c>
      <c r="D222" s="17">
        <f>'12 - Device_Configuration'!AJ223</f>
        <v>0</v>
      </c>
      <c r="E222" s="17">
        <f>'12 - Device_Configuration'!J223</f>
        <v>0</v>
      </c>
      <c r="F222" s="31">
        <f>'12 - Device_Configuration'!K223</f>
        <v>0</v>
      </c>
      <c r="G222" s="17">
        <f>'12 - Device_Configuration'!L223</f>
        <v>0</v>
      </c>
      <c r="H222" s="17">
        <f>'13 - Config_Intake_View'!M222</f>
        <v>0</v>
      </c>
      <c r="I222" s="31">
        <f>IF('13 - Config_Intake_View'!Q222&lt;&gt;"",'13 - Config_Intake_View'!Q222,'12 - Device_Configuration'!BH223)</f>
        <v>0</v>
      </c>
      <c r="J222" s="17" t="str">
        <f>IF('13 - Config_Intake_View'!Q222&lt;&gt;"","PM Approved",IF('12 - Device_Configuration'!BH223&lt;&gt;"","Assumed",""))</f>
        <v/>
      </c>
      <c r="K222" s="31">
        <f>'12 - Device_Configuration'!BG223</f>
        <v>0</v>
      </c>
      <c r="L222" s="17">
        <f>'12 - Device_Configuration'!P223</f>
        <v>0</v>
      </c>
      <c r="M222" s="17">
        <f>'12 - Device_Configuration'!Q223</f>
        <v>0</v>
      </c>
      <c r="N222" s="17" t="str">
        <f>'12 - Device_Configuration'!BK223</f>
        <v/>
      </c>
      <c r="O222" s="31" t="str">
        <f>'12 - Device_Configuration'!BL223</f>
        <v/>
      </c>
      <c r="P222" s="2">
        <f>'12 - Device_Configuration'!BA223</f>
        <v>0</v>
      </c>
      <c r="Q222" s="31" t="str">
        <f t="shared" si="12"/>
        <v/>
      </c>
      <c r="R222" s="17" t="str">
        <f t="shared" si="13"/>
        <v>SW NOT INSTALLED</v>
      </c>
      <c r="S222" s="17" t="str">
        <f t="shared" si="14"/>
        <v/>
      </c>
      <c r="T222" s="17" t="str">
        <f t="shared" si="15"/>
        <v>SW NOT INSTALLED</v>
      </c>
    </row>
    <row r="223" spans="1:20">
      <c r="A223" s="31">
        <f>'12 - Device_Configuration'!H224</f>
        <v>0</v>
      </c>
      <c r="B223" s="31">
        <f>'12 - Device_Configuration'!S224</f>
        <v>0</v>
      </c>
      <c r="C223" s="31">
        <f>'12 - Device_Configuration'!T224</f>
        <v>0</v>
      </c>
      <c r="D223" s="17">
        <f>'12 - Device_Configuration'!AJ224</f>
        <v>0</v>
      </c>
      <c r="E223" s="17">
        <f>'12 - Device_Configuration'!J224</f>
        <v>0</v>
      </c>
      <c r="F223" s="31">
        <f>'12 - Device_Configuration'!K224</f>
        <v>0</v>
      </c>
      <c r="G223" s="17">
        <f>'12 - Device_Configuration'!L224</f>
        <v>0</v>
      </c>
      <c r="H223" s="17">
        <f>'13 - Config_Intake_View'!M223</f>
        <v>0</v>
      </c>
      <c r="I223" s="31">
        <f>IF('13 - Config_Intake_View'!Q223&lt;&gt;"",'13 - Config_Intake_View'!Q223,'12 - Device_Configuration'!BH224)</f>
        <v>0</v>
      </c>
      <c r="J223" s="17" t="str">
        <f>IF('13 - Config_Intake_View'!Q223&lt;&gt;"","PM Approved",IF('12 - Device_Configuration'!BH224&lt;&gt;"","Assumed",""))</f>
        <v/>
      </c>
      <c r="K223" s="31">
        <f>'12 - Device_Configuration'!BG224</f>
        <v>0</v>
      </c>
      <c r="L223" s="17">
        <f>'12 - Device_Configuration'!P224</f>
        <v>0</v>
      </c>
      <c r="M223" s="17">
        <f>'12 - Device_Configuration'!Q224</f>
        <v>0</v>
      </c>
      <c r="N223" s="17" t="str">
        <f>'12 - Device_Configuration'!BK224</f>
        <v/>
      </c>
      <c r="O223" s="31" t="str">
        <f>'12 - Device_Configuration'!BL224</f>
        <v/>
      </c>
      <c r="P223" s="2">
        <f>'12 - Device_Configuration'!BA224</f>
        <v>0</v>
      </c>
      <c r="Q223" s="31" t="str">
        <f t="shared" si="12"/>
        <v/>
      </c>
      <c r="R223" s="17" t="str">
        <f t="shared" si="13"/>
        <v>SW NOT INSTALLED</v>
      </c>
      <c r="S223" s="17" t="str">
        <f t="shared" si="14"/>
        <v/>
      </c>
      <c r="T223" s="17" t="str">
        <f t="shared" si="15"/>
        <v>SW NOT INSTALLED</v>
      </c>
    </row>
    <row r="224" spans="1:20">
      <c r="A224" s="31">
        <f>'12 - Device_Configuration'!H225</f>
        <v>0</v>
      </c>
      <c r="B224" s="31">
        <f>'12 - Device_Configuration'!S225</f>
        <v>0</v>
      </c>
      <c r="C224" s="31">
        <f>'12 - Device_Configuration'!T225</f>
        <v>0</v>
      </c>
      <c r="D224" s="17">
        <f>'12 - Device_Configuration'!AJ225</f>
        <v>0</v>
      </c>
      <c r="E224" s="17">
        <f>'12 - Device_Configuration'!J225</f>
        <v>0</v>
      </c>
      <c r="F224" s="31">
        <f>'12 - Device_Configuration'!K225</f>
        <v>0</v>
      </c>
      <c r="G224" s="17">
        <f>'12 - Device_Configuration'!L225</f>
        <v>0</v>
      </c>
      <c r="H224" s="17">
        <f>'13 - Config_Intake_View'!M224</f>
        <v>0</v>
      </c>
      <c r="I224" s="31">
        <f>IF('13 - Config_Intake_View'!Q224&lt;&gt;"",'13 - Config_Intake_View'!Q224,'12 - Device_Configuration'!BH225)</f>
        <v>0</v>
      </c>
      <c r="J224" s="17" t="str">
        <f>IF('13 - Config_Intake_View'!Q224&lt;&gt;"","PM Approved",IF('12 - Device_Configuration'!BH225&lt;&gt;"","Assumed",""))</f>
        <v/>
      </c>
      <c r="K224" s="31">
        <f>'12 - Device_Configuration'!BG225</f>
        <v>0</v>
      </c>
      <c r="L224" s="17">
        <f>'12 - Device_Configuration'!P225</f>
        <v>0</v>
      </c>
      <c r="M224" s="17">
        <f>'12 - Device_Configuration'!Q225</f>
        <v>0</v>
      </c>
      <c r="N224" s="17" t="str">
        <f>'12 - Device_Configuration'!BK225</f>
        <v/>
      </c>
      <c r="O224" s="31" t="str">
        <f>'12 - Device_Configuration'!BL225</f>
        <v/>
      </c>
      <c r="P224" s="2">
        <f>'12 - Device_Configuration'!BA225</f>
        <v>0</v>
      </c>
      <c r="Q224" s="31" t="str">
        <f t="shared" si="12"/>
        <v/>
      </c>
      <c r="R224" s="17" t="str">
        <f t="shared" si="13"/>
        <v>SW NOT INSTALLED</v>
      </c>
      <c r="S224" s="17" t="str">
        <f t="shared" si="14"/>
        <v/>
      </c>
      <c r="T224" s="17" t="str">
        <f t="shared" si="15"/>
        <v>SW NOT INSTALLED</v>
      </c>
    </row>
    <row r="225" spans="1:20">
      <c r="A225" s="31">
        <f>'12 - Device_Configuration'!H226</f>
        <v>0</v>
      </c>
      <c r="B225" s="31">
        <f>'12 - Device_Configuration'!S226</f>
        <v>0</v>
      </c>
      <c r="C225" s="31">
        <f>'12 - Device_Configuration'!T226</f>
        <v>0</v>
      </c>
      <c r="D225" s="17">
        <f>'12 - Device_Configuration'!AJ226</f>
        <v>0</v>
      </c>
      <c r="E225" s="17">
        <f>'12 - Device_Configuration'!J226</f>
        <v>0</v>
      </c>
      <c r="F225" s="31">
        <f>'12 - Device_Configuration'!K226</f>
        <v>0</v>
      </c>
      <c r="G225" s="17">
        <f>'12 - Device_Configuration'!L226</f>
        <v>0</v>
      </c>
      <c r="H225" s="17">
        <f>'13 - Config_Intake_View'!M225</f>
        <v>0</v>
      </c>
      <c r="I225" s="31">
        <f>IF('13 - Config_Intake_View'!Q225&lt;&gt;"",'13 - Config_Intake_View'!Q225,'12 - Device_Configuration'!BH226)</f>
        <v>0</v>
      </c>
      <c r="J225" s="17" t="str">
        <f>IF('13 - Config_Intake_View'!Q225&lt;&gt;"","PM Approved",IF('12 - Device_Configuration'!BH226&lt;&gt;"","Assumed",""))</f>
        <v/>
      </c>
      <c r="K225" s="31">
        <f>'12 - Device_Configuration'!BG226</f>
        <v>0</v>
      </c>
      <c r="L225" s="17">
        <f>'12 - Device_Configuration'!P226</f>
        <v>0</v>
      </c>
      <c r="M225" s="17">
        <f>'12 - Device_Configuration'!Q226</f>
        <v>0</v>
      </c>
      <c r="N225" s="17" t="str">
        <f>'12 - Device_Configuration'!BK226</f>
        <v/>
      </c>
      <c r="O225" s="31" t="str">
        <f>'12 - Device_Configuration'!BL226</f>
        <v/>
      </c>
      <c r="P225" s="2">
        <f>'12 - Device_Configuration'!BA226</f>
        <v>0</v>
      </c>
      <c r="Q225" s="31" t="str">
        <f t="shared" si="12"/>
        <v/>
      </c>
      <c r="R225" s="17" t="str">
        <f t="shared" si="13"/>
        <v>SW NOT INSTALLED</v>
      </c>
      <c r="S225" s="17" t="str">
        <f t="shared" si="14"/>
        <v/>
      </c>
      <c r="T225" s="17" t="str">
        <f t="shared" si="15"/>
        <v>SW NOT INSTALLED</v>
      </c>
    </row>
    <row r="226" spans="1:20">
      <c r="A226" s="31">
        <f>'12 - Device_Configuration'!H227</f>
        <v>0</v>
      </c>
      <c r="B226" s="31">
        <f>'12 - Device_Configuration'!S227</f>
        <v>0</v>
      </c>
      <c r="C226" s="31">
        <f>'12 - Device_Configuration'!T227</f>
        <v>0</v>
      </c>
      <c r="D226" s="17">
        <f>'12 - Device_Configuration'!AJ227</f>
        <v>0</v>
      </c>
      <c r="E226" s="17">
        <f>'12 - Device_Configuration'!J227</f>
        <v>0</v>
      </c>
      <c r="F226" s="31">
        <f>'12 - Device_Configuration'!K227</f>
        <v>0</v>
      </c>
      <c r="G226" s="17">
        <f>'12 - Device_Configuration'!L227</f>
        <v>0</v>
      </c>
      <c r="H226" s="17">
        <f>'13 - Config_Intake_View'!M226</f>
        <v>0</v>
      </c>
      <c r="I226" s="31">
        <f>IF('13 - Config_Intake_View'!Q226&lt;&gt;"",'13 - Config_Intake_View'!Q226,'12 - Device_Configuration'!BH227)</f>
        <v>0</v>
      </c>
      <c r="J226" s="17" t="str">
        <f>IF('13 - Config_Intake_View'!Q226&lt;&gt;"","PM Approved",IF('12 - Device_Configuration'!BH227&lt;&gt;"","Assumed",""))</f>
        <v/>
      </c>
      <c r="K226" s="31">
        <f>'12 - Device_Configuration'!BG227</f>
        <v>0</v>
      </c>
      <c r="L226" s="17">
        <f>'12 - Device_Configuration'!P227</f>
        <v>0</v>
      </c>
      <c r="M226" s="17">
        <f>'12 - Device_Configuration'!Q227</f>
        <v>0</v>
      </c>
      <c r="N226" s="17" t="str">
        <f>'12 - Device_Configuration'!BK227</f>
        <v/>
      </c>
      <c r="O226" s="31" t="str">
        <f>'12 - Device_Configuration'!BL227</f>
        <v/>
      </c>
      <c r="P226" s="2">
        <f>'12 - Device_Configuration'!BA227</f>
        <v>0</v>
      </c>
      <c r="Q226" s="31" t="str">
        <f t="shared" si="12"/>
        <v/>
      </c>
      <c r="R226" s="17" t="str">
        <f t="shared" si="13"/>
        <v>SW NOT INSTALLED</v>
      </c>
      <c r="S226" s="17" t="str">
        <f t="shared" si="14"/>
        <v/>
      </c>
      <c r="T226" s="17" t="str">
        <f t="shared" si="15"/>
        <v>SW NOT INSTALLED</v>
      </c>
    </row>
    <row r="227" spans="1:20">
      <c r="A227" s="31">
        <f>'12 - Device_Configuration'!H228</f>
        <v>0</v>
      </c>
      <c r="B227" s="31">
        <f>'12 - Device_Configuration'!S228</f>
        <v>0</v>
      </c>
      <c r="C227" s="31">
        <f>'12 - Device_Configuration'!T228</f>
        <v>0</v>
      </c>
      <c r="D227" s="17">
        <f>'12 - Device_Configuration'!AJ228</f>
        <v>0</v>
      </c>
      <c r="E227" s="17">
        <f>'12 - Device_Configuration'!J228</f>
        <v>0</v>
      </c>
      <c r="F227" s="31">
        <f>'12 - Device_Configuration'!K228</f>
        <v>0</v>
      </c>
      <c r="G227" s="17">
        <f>'12 - Device_Configuration'!L228</f>
        <v>0</v>
      </c>
      <c r="H227" s="17">
        <f>'13 - Config_Intake_View'!M227</f>
        <v>0</v>
      </c>
      <c r="I227" s="31">
        <f>IF('13 - Config_Intake_View'!Q227&lt;&gt;"",'13 - Config_Intake_View'!Q227,'12 - Device_Configuration'!BH228)</f>
        <v>0</v>
      </c>
      <c r="J227" s="17" t="str">
        <f>IF('13 - Config_Intake_View'!Q227&lt;&gt;"","PM Approved",IF('12 - Device_Configuration'!BH228&lt;&gt;"","Assumed",""))</f>
        <v/>
      </c>
      <c r="K227" s="31">
        <f>'12 - Device_Configuration'!BG228</f>
        <v>0</v>
      </c>
      <c r="L227" s="17">
        <f>'12 - Device_Configuration'!P228</f>
        <v>0</v>
      </c>
      <c r="M227" s="17">
        <f>'12 - Device_Configuration'!Q228</f>
        <v>0</v>
      </c>
      <c r="N227" s="17" t="str">
        <f>'12 - Device_Configuration'!BK228</f>
        <v/>
      </c>
      <c r="O227" s="31" t="str">
        <f>'12 - Device_Configuration'!BL228</f>
        <v/>
      </c>
      <c r="P227" s="2">
        <f>'12 - Device_Configuration'!BA228</f>
        <v>0</v>
      </c>
      <c r="Q227" s="31" t="str">
        <f t="shared" si="12"/>
        <v/>
      </c>
      <c r="R227" s="17" t="str">
        <f t="shared" si="13"/>
        <v>SW NOT INSTALLED</v>
      </c>
      <c r="S227" s="17" t="str">
        <f t="shared" si="14"/>
        <v/>
      </c>
      <c r="T227" s="17" t="str">
        <f t="shared" si="15"/>
        <v>SW NOT INSTALLED</v>
      </c>
    </row>
    <row r="228" spans="1:20">
      <c r="A228" s="31">
        <f>'12 - Device_Configuration'!H229</f>
        <v>0</v>
      </c>
      <c r="B228" s="31">
        <f>'12 - Device_Configuration'!S229</f>
        <v>0</v>
      </c>
      <c r="C228" s="31">
        <f>'12 - Device_Configuration'!T229</f>
        <v>0</v>
      </c>
      <c r="D228" s="17">
        <f>'12 - Device_Configuration'!AJ229</f>
        <v>0</v>
      </c>
      <c r="E228" s="17">
        <f>'12 - Device_Configuration'!J229</f>
        <v>0</v>
      </c>
      <c r="F228" s="31">
        <f>'12 - Device_Configuration'!K229</f>
        <v>0</v>
      </c>
      <c r="G228" s="17">
        <f>'12 - Device_Configuration'!L229</f>
        <v>0</v>
      </c>
      <c r="H228" s="17">
        <f>'13 - Config_Intake_View'!M228</f>
        <v>0</v>
      </c>
      <c r="I228" s="31">
        <f>IF('13 - Config_Intake_View'!Q228&lt;&gt;"",'13 - Config_Intake_View'!Q228,'12 - Device_Configuration'!BH229)</f>
        <v>0</v>
      </c>
      <c r="J228" s="17" t="str">
        <f>IF('13 - Config_Intake_View'!Q228&lt;&gt;"","PM Approved",IF('12 - Device_Configuration'!BH229&lt;&gt;"","Assumed",""))</f>
        <v/>
      </c>
      <c r="K228" s="31">
        <f>'12 - Device_Configuration'!BG229</f>
        <v>0</v>
      </c>
      <c r="L228" s="17">
        <f>'12 - Device_Configuration'!P229</f>
        <v>0</v>
      </c>
      <c r="M228" s="17">
        <f>'12 - Device_Configuration'!Q229</f>
        <v>0</v>
      </c>
      <c r="N228" s="17" t="str">
        <f>'12 - Device_Configuration'!BK229</f>
        <v/>
      </c>
      <c r="O228" s="31" t="str">
        <f>'12 - Device_Configuration'!BL229</f>
        <v/>
      </c>
      <c r="P228" s="2">
        <f>'12 - Device_Configuration'!BA229</f>
        <v>0</v>
      </c>
      <c r="Q228" s="31" t="str">
        <f t="shared" si="12"/>
        <v/>
      </c>
      <c r="R228" s="17" t="str">
        <f t="shared" si="13"/>
        <v>SW NOT INSTALLED</v>
      </c>
      <c r="S228" s="17" t="str">
        <f t="shared" si="14"/>
        <v/>
      </c>
      <c r="T228" s="17" t="str">
        <f t="shared" si="15"/>
        <v>SW NOT INSTALLED</v>
      </c>
    </row>
    <row r="229" spans="1:20">
      <c r="A229" s="31">
        <f>'12 - Device_Configuration'!H230</f>
        <v>0</v>
      </c>
      <c r="B229" s="31">
        <f>'12 - Device_Configuration'!S230</f>
        <v>0</v>
      </c>
      <c r="C229" s="31">
        <f>'12 - Device_Configuration'!T230</f>
        <v>0</v>
      </c>
      <c r="D229" s="17">
        <f>'12 - Device_Configuration'!AJ230</f>
        <v>0</v>
      </c>
      <c r="E229" s="17">
        <f>'12 - Device_Configuration'!J230</f>
        <v>0</v>
      </c>
      <c r="F229" s="31">
        <f>'12 - Device_Configuration'!K230</f>
        <v>0</v>
      </c>
      <c r="G229" s="17">
        <f>'12 - Device_Configuration'!L230</f>
        <v>0</v>
      </c>
      <c r="H229" s="17">
        <f>'13 - Config_Intake_View'!M229</f>
        <v>0</v>
      </c>
      <c r="I229" s="31">
        <f>IF('13 - Config_Intake_View'!Q229&lt;&gt;"",'13 - Config_Intake_View'!Q229,'12 - Device_Configuration'!BH230)</f>
        <v>0</v>
      </c>
      <c r="J229" s="17" t="str">
        <f>IF('13 - Config_Intake_View'!Q229&lt;&gt;"","PM Approved",IF('12 - Device_Configuration'!BH230&lt;&gt;"","Assumed",""))</f>
        <v/>
      </c>
      <c r="K229" s="31">
        <f>'12 - Device_Configuration'!BG230</f>
        <v>0</v>
      </c>
      <c r="L229" s="17">
        <f>'12 - Device_Configuration'!P230</f>
        <v>0</v>
      </c>
      <c r="M229" s="17">
        <f>'12 - Device_Configuration'!Q230</f>
        <v>0</v>
      </c>
      <c r="N229" s="17" t="str">
        <f>'12 - Device_Configuration'!BK230</f>
        <v/>
      </c>
      <c r="O229" s="31" t="str">
        <f>'12 - Device_Configuration'!BL230</f>
        <v/>
      </c>
      <c r="P229" s="2">
        <f>'12 - Device_Configuration'!BA230</f>
        <v>0</v>
      </c>
      <c r="Q229" s="31" t="str">
        <f t="shared" si="12"/>
        <v/>
      </c>
      <c r="R229" s="17" t="str">
        <f t="shared" si="13"/>
        <v>SW NOT INSTALLED</v>
      </c>
      <c r="S229" s="17" t="str">
        <f t="shared" si="14"/>
        <v/>
      </c>
      <c r="T229" s="17" t="str">
        <f t="shared" si="15"/>
        <v>SW NOT INSTALLED</v>
      </c>
    </row>
    <row r="230" spans="1:20">
      <c r="A230" s="31">
        <f>'12 - Device_Configuration'!H231</f>
        <v>0</v>
      </c>
      <c r="B230" s="31">
        <f>'12 - Device_Configuration'!S231</f>
        <v>0</v>
      </c>
      <c r="C230" s="31">
        <f>'12 - Device_Configuration'!T231</f>
        <v>0</v>
      </c>
      <c r="D230" s="17">
        <f>'12 - Device_Configuration'!AJ231</f>
        <v>0</v>
      </c>
      <c r="E230" s="17">
        <f>'12 - Device_Configuration'!J231</f>
        <v>0</v>
      </c>
      <c r="F230" s="31">
        <f>'12 - Device_Configuration'!K231</f>
        <v>0</v>
      </c>
      <c r="G230" s="17">
        <f>'12 - Device_Configuration'!L231</f>
        <v>0</v>
      </c>
      <c r="H230" s="17">
        <f>'13 - Config_Intake_View'!M230</f>
        <v>0</v>
      </c>
      <c r="I230" s="31">
        <f>IF('13 - Config_Intake_View'!Q230&lt;&gt;"",'13 - Config_Intake_View'!Q230,'12 - Device_Configuration'!BH231)</f>
        <v>0</v>
      </c>
      <c r="J230" s="17" t="str">
        <f>IF('13 - Config_Intake_View'!Q230&lt;&gt;"","PM Approved",IF('12 - Device_Configuration'!BH231&lt;&gt;"","Assumed",""))</f>
        <v/>
      </c>
      <c r="K230" s="31">
        <f>'12 - Device_Configuration'!BG231</f>
        <v>0</v>
      </c>
      <c r="L230" s="17">
        <f>'12 - Device_Configuration'!P231</f>
        <v>0</v>
      </c>
      <c r="M230" s="17">
        <f>'12 - Device_Configuration'!Q231</f>
        <v>0</v>
      </c>
      <c r="N230" s="17" t="str">
        <f>'12 - Device_Configuration'!BK231</f>
        <v/>
      </c>
      <c r="O230" s="31" t="str">
        <f>'12 - Device_Configuration'!BL231</f>
        <v/>
      </c>
      <c r="P230" s="2">
        <f>'12 - Device_Configuration'!BA231</f>
        <v>0</v>
      </c>
      <c r="Q230" s="31" t="str">
        <f t="shared" si="12"/>
        <v/>
      </c>
      <c r="R230" s="17" t="str">
        <f t="shared" si="13"/>
        <v>SW NOT INSTALLED</v>
      </c>
      <c r="S230" s="17" t="str">
        <f t="shared" si="14"/>
        <v/>
      </c>
      <c r="T230" s="17" t="str">
        <f t="shared" si="15"/>
        <v>SW NOT INSTALLED</v>
      </c>
    </row>
    <row r="231" spans="1:20">
      <c r="A231" s="31">
        <f>'12 - Device_Configuration'!H232</f>
        <v>0</v>
      </c>
      <c r="B231" s="31">
        <f>'12 - Device_Configuration'!S232</f>
        <v>0</v>
      </c>
      <c r="C231" s="31">
        <f>'12 - Device_Configuration'!T232</f>
        <v>0</v>
      </c>
      <c r="D231" s="17">
        <f>'12 - Device_Configuration'!AJ232</f>
        <v>0</v>
      </c>
      <c r="E231" s="17">
        <f>'12 - Device_Configuration'!J232</f>
        <v>0</v>
      </c>
      <c r="F231" s="31">
        <f>'12 - Device_Configuration'!K232</f>
        <v>0</v>
      </c>
      <c r="G231" s="17">
        <f>'12 - Device_Configuration'!L232</f>
        <v>0</v>
      </c>
      <c r="H231" s="17">
        <f>'13 - Config_Intake_View'!M231</f>
        <v>0</v>
      </c>
      <c r="I231" s="31">
        <f>IF('13 - Config_Intake_View'!Q231&lt;&gt;"",'13 - Config_Intake_View'!Q231,'12 - Device_Configuration'!BH232)</f>
        <v>0</v>
      </c>
      <c r="J231" s="17" t="str">
        <f>IF('13 - Config_Intake_View'!Q231&lt;&gt;"","PM Approved",IF('12 - Device_Configuration'!BH232&lt;&gt;"","Assumed",""))</f>
        <v/>
      </c>
      <c r="K231" s="31">
        <f>'12 - Device_Configuration'!BG232</f>
        <v>0</v>
      </c>
      <c r="L231" s="17">
        <f>'12 - Device_Configuration'!P232</f>
        <v>0</v>
      </c>
      <c r="M231" s="17">
        <f>'12 - Device_Configuration'!Q232</f>
        <v>0</v>
      </c>
      <c r="N231" s="17" t="str">
        <f>'12 - Device_Configuration'!BK232</f>
        <v/>
      </c>
      <c r="O231" s="31" t="str">
        <f>'12 - Device_Configuration'!BL232</f>
        <v/>
      </c>
      <c r="P231" s="2">
        <f>'12 - Device_Configuration'!BA232</f>
        <v>0</v>
      </c>
      <c r="Q231" s="31" t="str">
        <f t="shared" si="12"/>
        <v/>
      </c>
      <c r="R231" s="17" t="str">
        <f t="shared" si="13"/>
        <v>SW NOT INSTALLED</v>
      </c>
      <c r="S231" s="17" t="str">
        <f t="shared" si="14"/>
        <v/>
      </c>
      <c r="T231" s="17" t="str">
        <f t="shared" si="15"/>
        <v>SW NOT INSTALLED</v>
      </c>
    </row>
    <row r="232" spans="1:20">
      <c r="A232" s="31">
        <f>'12 - Device_Configuration'!H233</f>
        <v>0</v>
      </c>
      <c r="B232" s="31">
        <f>'12 - Device_Configuration'!S233</f>
        <v>0</v>
      </c>
      <c r="C232" s="31">
        <f>'12 - Device_Configuration'!T233</f>
        <v>0</v>
      </c>
      <c r="D232" s="17">
        <f>'12 - Device_Configuration'!AJ233</f>
        <v>0</v>
      </c>
      <c r="E232" s="17">
        <f>'12 - Device_Configuration'!J233</f>
        <v>0</v>
      </c>
      <c r="F232" s="31">
        <f>'12 - Device_Configuration'!K233</f>
        <v>0</v>
      </c>
      <c r="G232" s="17">
        <f>'12 - Device_Configuration'!L233</f>
        <v>0</v>
      </c>
      <c r="H232" s="17">
        <f>'13 - Config_Intake_View'!M232</f>
        <v>0</v>
      </c>
      <c r="I232" s="31">
        <f>IF('13 - Config_Intake_View'!Q232&lt;&gt;"",'13 - Config_Intake_View'!Q232,'12 - Device_Configuration'!BH233)</f>
        <v>0</v>
      </c>
      <c r="J232" s="17" t="str">
        <f>IF('13 - Config_Intake_View'!Q232&lt;&gt;"","PM Approved",IF('12 - Device_Configuration'!BH233&lt;&gt;"","Assumed",""))</f>
        <v/>
      </c>
      <c r="K232" s="31">
        <f>'12 - Device_Configuration'!BG233</f>
        <v>0</v>
      </c>
      <c r="L232" s="17">
        <f>'12 - Device_Configuration'!P233</f>
        <v>0</v>
      </c>
      <c r="M232" s="17">
        <f>'12 - Device_Configuration'!Q233</f>
        <v>0</v>
      </c>
      <c r="N232" s="17" t="str">
        <f>'12 - Device_Configuration'!BK233</f>
        <v/>
      </c>
      <c r="O232" s="31" t="str">
        <f>'12 - Device_Configuration'!BL233</f>
        <v/>
      </c>
      <c r="P232" s="2">
        <f>'12 - Device_Configuration'!BA233</f>
        <v>0</v>
      </c>
      <c r="Q232" s="31" t="str">
        <f t="shared" si="12"/>
        <v/>
      </c>
      <c r="R232" s="17" t="str">
        <f t="shared" si="13"/>
        <v>SW NOT INSTALLED</v>
      </c>
      <c r="S232" s="17" t="str">
        <f t="shared" si="14"/>
        <v/>
      </c>
      <c r="T232" s="17" t="str">
        <f t="shared" si="15"/>
        <v>SW NOT INSTALLED</v>
      </c>
    </row>
    <row r="233" spans="1:20">
      <c r="A233" s="31">
        <f>'12 - Device_Configuration'!H234</f>
        <v>0</v>
      </c>
      <c r="B233" s="31">
        <f>'12 - Device_Configuration'!S234</f>
        <v>0</v>
      </c>
      <c r="C233" s="31">
        <f>'12 - Device_Configuration'!T234</f>
        <v>0</v>
      </c>
      <c r="D233" s="17">
        <f>'12 - Device_Configuration'!AJ234</f>
        <v>0</v>
      </c>
      <c r="E233" s="17">
        <f>'12 - Device_Configuration'!J234</f>
        <v>0</v>
      </c>
      <c r="F233" s="31">
        <f>'12 - Device_Configuration'!K234</f>
        <v>0</v>
      </c>
      <c r="G233" s="17">
        <f>'12 - Device_Configuration'!L234</f>
        <v>0</v>
      </c>
      <c r="H233" s="17">
        <f>'13 - Config_Intake_View'!M233</f>
        <v>0</v>
      </c>
      <c r="I233" s="31">
        <f>IF('13 - Config_Intake_View'!Q233&lt;&gt;"",'13 - Config_Intake_View'!Q233,'12 - Device_Configuration'!BH234)</f>
        <v>0</v>
      </c>
      <c r="J233" s="17" t="str">
        <f>IF('13 - Config_Intake_View'!Q233&lt;&gt;"","PM Approved",IF('12 - Device_Configuration'!BH234&lt;&gt;"","Assumed",""))</f>
        <v/>
      </c>
      <c r="K233" s="31">
        <f>'12 - Device_Configuration'!BG234</f>
        <v>0</v>
      </c>
      <c r="L233" s="17">
        <f>'12 - Device_Configuration'!P234</f>
        <v>0</v>
      </c>
      <c r="M233" s="17">
        <f>'12 - Device_Configuration'!Q234</f>
        <v>0</v>
      </c>
      <c r="N233" s="17" t="str">
        <f>'12 - Device_Configuration'!BK234</f>
        <v/>
      </c>
      <c r="O233" s="31" t="str">
        <f>'12 - Device_Configuration'!BL234</f>
        <v/>
      </c>
      <c r="P233" s="2">
        <f>'12 - Device_Configuration'!BA234</f>
        <v>0</v>
      </c>
      <c r="Q233" s="31" t="str">
        <f t="shared" si="12"/>
        <v/>
      </c>
      <c r="R233" s="17" t="str">
        <f t="shared" si="13"/>
        <v>SW NOT INSTALLED</v>
      </c>
      <c r="S233" s="17" t="str">
        <f t="shared" si="14"/>
        <v/>
      </c>
      <c r="T233" s="17" t="str">
        <f t="shared" si="15"/>
        <v>SW NOT INSTALLED</v>
      </c>
    </row>
    <row r="234" spans="1:20">
      <c r="A234" s="31">
        <f>'12 - Device_Configuration'!H235</f>
        <v>0</v>
      </c>
      <c r="B234" s="31">
        <f>'12 - Device_Configuration'!S235</f>
        <v>0</v>
      </c>
      <c r="C234" s="31">
        <f>'12 - Device_Configuration'!T235</f>
        <v>0</v>
      </c>
      <c r="D234" s="17">
        <f>'12 - Device_Configuration'!AJ235</f>
        <v>0</v>
      </c>
      <c r="E234" s="17">
        <f>'12 - Device_Configuration'!J235</f>
        <v>0</v>
      </c>
      <c r="F234" s="31">
        <f>'12 - Device_Configuration'!K235</f>
        <v>0</v>
      </c>
      <c r="G234" s="17">
        <f>'12 - Device_Configuration'!L235</f>
        <v>0</v>
      </c>
      <c r="H234" s="17">
        <f>'13 - Config_Intake_View'!M234</f>
        <v>0</v>
      </c>
      <c r="I234" s="31">
        <f>IF('13 - Config_Intake_View'!Q234&lt;&gt;"",'13 - Config_Intake_View'!Q234,'12 - Device_Configuration'!BH235)</f>
        <v>0</v>
      </c>
      <c r="J234" s="17" t="str">
        <f>IF('13 - Config_Intake_View'!Q234&lt;&gt;"","PM Approved",IF('12 - Device_Configuration'!BH235&lt;&gt;"","Assumed",""))</f>
        <v/>
      </c>
      <c r="K234" s="31">
        <f>'12 - Device_Configuration'!BG235</f>
        <v>0</v>
      </c>
      <c r="L234" s="17">
        <f>'12 - Device_Configuration'!P235</f>
        <v>0</v>
      </c>
      <c r="M234" s="17">
        <f>'12 - Device_Configuration'!Q235</f>
        <v>0</v>
      </c>
      <c r="N234" s="17" t="str">
        <f>'12 - Device_Configuration'!BK235</f>
        <v/>
      </c>
      <c r="O234" s="31" t="str">
        <f>'12 - Device_Configuration'!BL235</f>
        <v/>
      </c>
      <c r="P234" s="2">
        <f>'12 - Device_Configuration'!BA235</f>
        <v>0</v>
      </c>
      <c r="Q234" s="31" t="str">
        <f t="shared" si="12"/>
        <v/>
      </c>
      <c r="R234" s="17" t="str">
        <f t="shared" si="13"/>
        <v>SW NOT INSTALLED</v>
      </c>
      <c r="S234" s="17" t="str">
        <f t="shared" si="14"/>
        <v/>
      </c>
      <c r="T234" s="17" t="str">
        <f t="shared" si="15"/>
        <v>SW NOT INSTALLED</v>
      </c>
    </row>
    <row r="235" spans="1:20">
      <c r="A235" s="31">
        <f>'12 - Device_Configuration'!H236</f>
        <v>0</v>
      </c>
      <c r="B235" s="31">
        <f>'12 - Device_Configuration'!S236</f>
        <v>0</v>
      </c>
      <c r="C235" s="31">
        <f>'12 - Device_Configuration'!T236</f>
        <v>0</v>
      </c>
      <c r="D235" s="17">
        <f>'12 - Device_Configuration'!AJ236</f>
        <v>0</v>
      </c>
      <c r="E235" s="17">
        <f>'12 - Device_Configuration'!J236</f>
        <v>0</v>
      </c>
      <c r="F235" s="31">
        <f>'12 - Device_Configuration'!K236</f>
        <v>0</v>
      </c>
      <c r="G235" s="17">
        <f>'12 - Device_Configuration'!L236</f>
        <v>0</v>
      </c>
      <c r="H235" s="17">
        <f>'13 - Config_Intake_View'!M235</f>
        <v>0</v>
      </c>
      <c r="I235" s="31">
        <f>IF('13 - Config_Intake_View'!Q235&lt;&gt;"",'13 - Config_Intake_View'!Q235,'12 - Device_Configuration'!BH236)</f>
        <v>0</v>
      </c>
      <c r="J235" s="17" t="str">
        <f>IF('13 - Config_Intake_View'!Q235&lt;&gt;"","PM Approved",IF('12 - Device_Configuration'!BH236&lt;&gt;"","Assumed",""))</f>
        <v/>
      </c>
      <c r="K235" s="31">
        <f>'12 - Device_Configuration'!BG236</f>
        <v>0</v>
      </c>
      <c r="L235" s="17">
        <f>'12 - Device_Configuration'!P236</f>
        <v>0</v>
      </c>
      <c r="M235" s="17">
        <f>'12 - Device_Configuration'!Q236</f>
        <v>0</v>
      </c>
      <c r="N235" s="17" t="str">
        <f>'12 - Device_Configuration'!BK236</f>
        <v/>
      </c>
      <c r="O235" s="31" t="str">
        <f>'12 - Device_Configuration'!BL236</f>
        <v/>
      </c>
      <c r="P235" s="2">
        <f>'12 - Device_Configuration'!BA236</f>
        <v>0</v>
      </c>
      <c r="Q235" s="31" t="str">
        <f t="shared" si="12"/>
        <v/>
      </c>
      <c r="R235" s="17" t="str">
        <f t="shared" si="13"/>
        <v>SW NOT INSTALLED</v>
      </c>
      <c r="S235" s="17" t="str">
        <f t="shared" si="14"/>
        <v/>
      </c>
      <c r="T235" s="17" t="str">
        <f t="shared" si="15"/>
        <v>SW NOT INSTALLED</v>
      </c>
    </row>
    <row r="236" spans="1:20">
      <c r="A236" s="31">
        <f>'12 - Device_Configuration'!H237</f>
        <v>0</v>
      </c>
      <c r="B236" s="31">
        <f>'12 - Device_Configuration'!S237</f>
        <v>0</v>
      </c>
      <c r="C236" s="31">
        <f>'12 - Device_Configuration'!T237</f>
        <v>0</v>
      </c>
      <c r="D236" s="17">
        <f>'12 - Device_Configuration'!AJ237</f>
        <v>0</v>
      </c>
      <c r="E236" s="17">
        <f>'12 - Device_Configuration'!J237</f>
        <v>0</v>
      </c>
      <c r="F236" s="31">
        <f>'12 - Device_Configuration'!K237</f>
        <v>0</v>
      </c>
      <c r="G236" s="17">
        <f>'12 - Device_Configuration'!L237</f>
        <v>0</v>
      </c>
      <c r="H236" s="17">
        <f>'13 - Config_Intake_View'!M236</f>
        <v>0</v>
      </c>
      <c r="I236" s="31">
        <f>IF('13 - Config_Intake_View'!Q236&lt;&gt;"",'13 - Config_Intake_View'!Q236,'12 - Device_Configuration'!BH237)</f>
        <v>0</v>
      </c>
      <c r="J236" s="17" t="str">
        <f>IF('13 - Config_Intake_View'!Q236&lt;&gt;"","PM Approved",IF('12 - Device_Configuration'!BH237&lt;&gt;"","Assumed",""))</f>
        <v/>
      </c>
      <c r="K236" s="31">
        <f>'12 - Device_Configuration'!BG237</f>
        <v>0</v>
      </c>
      <c r="L236" s="17">
        <f>'12 - Device_Configuration'!P237</f>
        <v>0</v>
      </c>
      <c r="M236" s="17">
        <f>'12 - Device_Configuration'!Q237</f>
        <v>0</v>
      </c>
      <c r="N236" s="17" t="str">
        <f>'12 - Device_Configuration'!BK237</f>
        <v/>
      </c>
      <c r="O236" s="31" t="str">
        <f>'12 - Device_Configuration'!BL237</f>
        <v/>
      </c>
      <c r="P236" s="2">
        <f>'12 - Device_Configuration'!BA237</f>
        <v>0</v>
      </c>
      <c r="Q236" s="31" t="str">
        <f t="shared" si="12"/>
        <v/>
      </c>
      <c r="R236" s="17" t="str">
        <f t="shared" si="13"/>
        <v>SW NOT INSTALLED</v>
      </c>
      <c r="S236" s="17" t="str">
        <f t="shared" si="14"/>
        <v/>
      </c>
      <c r="T236" s="17" t="str">
        <f t="shared" si="15"/>
        <v>SW NOT INSTALLED</v>
      </c>
    </row>
    <row r="237" spans="1:20">
      <c r="A237" s="31">
        <f>'12 - Device_Configuration'!H238</f>
        <v>0</v>
      </c>
      <c r="B237" s="31">
        <f>'12 - Device_Configuration'!S238</f>
        <v>0</v>
      </c>
      <c r="C237" s="31">
        <f>'12 - Device_Configuration'!T238</f>
        <v>0</v>
      </c>
      <c r="D237" s="17">
        <f>'12 - Device_Configuration'!AJ238</f>
        <v>0</v>
      </c>
      <c r="E237" s="17">
        <f>'12 - Device_Configuration'!J238</f>
        <v>0</v>
      </c>
      <c r="F237" s="31">
        <f>'12 - Device_Configuration'!K238</f>
        <v>0</v>
      </c>
      <c r="G237" s="17">
        <f>'12 - Device_Configuration'!L238</f>
        <v>0</v>
      </c>
      <c r="H237" s="17">
        <f>'13 - Config_Intake_View'!M237</f>
        <v>0</v>
      </c>
      <c r="I237" s="31">
        <f>IF('13 - Config_Intake_View'!Q237&lt;&gt;"",'13 - Config_Intake_View'!Q237,'12 - Device_Configuration'!BH238)</f>
        <v>0</v>
      </c>
      <c r="J237" s="17" t="str">
        <f>IF('13 - Config_Intake_View'!Q237&lt;&gt;"","PM Approved",IF('12 - Device_Configuration'!BH238&lt;&gt;"","Assumed",""))</f>
        <v/>
      </c>
      <c r="K237" s="31">
        <f>'12 - Device_Configuration'!BG238</f>
        <v>0</v>
      </c>
      <c r="L237" s="17">
        <f>'12 - Device_Configuration'!P238</f>
        <v>0</v>
      </c>
      <c r="M237" s="17">
        <f>'12 - Device_Configuration'!Q238</f>
        <v>0</v>
      </c>
      <c r="N237" s="17" t="str">
        <f>'12 - Device_Configuration'!BK238</f>
        <v/>
      </c>
      <c r="O237" s="31" t="str">
        <f>'12 - Device_Configuration'!BL238</f>
        <v/>
      </c>
      <c r="P237" s="2">
        <f>'12 - Device_Configuration'!BA238</f>
        <v>0</v>
      </c>
      <c r="Q237" s="31" t="str">
        <f t="shared" si="12"/>
        <v/>
      </c>
      <c r="R237" s="17" t="str">
        <f t="shared" si="13"/>
        <v>SW NOT INSTALLED</v>
      </c>
      <c r="S237" s="17" t="str">
        <f t="shared" si="14"/>
        <v/>
      </c>
      <c r="T237" s="17" t="str">
        <f t="shared" si="15"/>
        <v>SW NOT INSTALLED</v>
      </c>
    </row>
    <row r="238" spans="1:20">
      <c r="A238" s="31">
        <f>'12 - Device_Configuration'!H239</f>
        <v>0</v>
      </c>
      <c r="B238" s="31">
        <f>'12 - Device_Configuration'!S239</f>
        <v>0</v>
      </c>
      <c r="C238" s="31">
        <f>'12 - Device_Configuration'!T239</f>
        <v>0</v>
      </c>
      <c r="D238" s="17">
        <f>'12 - Device_Configuration'!AJ239</f>
        <v>0</v>
      </c>
      <c r="E238" s="17">
        <f>'12 - Device_Configuration'!J239</f>
        <v>0</v>
      </c>
      <c r="F238" s="31">
        <f>'12 - Device_Configuration'!K239</f>
        <v>0</v>
      </c>
      <c r="G238" s="17">
        <f>'12 - Device_Configuration'!L239</f>
        <v>0</v>
      </c>
      <c r="H238" s="17">
        <f>'13 - Config_Intake_View'!M238</f>
        <v>0</v>
      </c>
      <c r="I238" s="31">
        <f>IF('13 - Config_Intake_View'!Q238&lt;&gt;"",'13 - Config_Intake_View'!Q238,'12 - Device_Configuration'!BH239)</f>
        <v>0</v>
      </c>
      <c r="J238" s="17" t="str">
        <f>IF('13 - Config_Intake_View'!Q238&lt;&gt;"","PM Approved",IF('12 - Device_Configuration'!BH239&lt;&gt;"","Assumed",""))</f>
        <v/>
      </c>
      <c r="K238" s="31">
        <f>'12 - Device_Configuration'!BG239</f>
        <v>0</v>
      </c>
      <c r="L238" s="17">
        <f>'12 - Device_Configuration'!P239</f>
        <v>0</v>
      </c>
      <c r="M238" s="17">
        <f>'12 - Device_Configuration'!Q239</f>
        <v>0</v>
      </c>
      <c r="N238" s="17" t="str">
        <f>'12 - Device_Configuration'!BK239</f>
        <v/>
      </c>
      <c r="O238" s="31" t="str">
        <f>'12 - Device_Configuration'!BL239</f>
        <v/>
      </c>
      <c r="P238" s="2">
        <f>'12 - Device_Configuration'!BA239</f>
        <v>0</v>
      </c>
      <c r="Q238" s="31" t="str">
        <f t="shared" si="12"/>
        <v/>
      </c>
      <c r="R238" s="17" t="str">
        <f t="shared" si="13"/>
        <v>SW NOT INSTALLED</v>
      </c>
      <c r="S238" s="17" t="str">
        <f t="shared" si="14"/>
        <v/>
      </c>
      <c r="T238" s="17" t="str">
        <f t="shared" si="15"/>
        <v>SW NOT INSTALLED</v>
      </c>
    </row>
    <row r="239" spans="1:20">
      <c r="A239" s="31">
        <f>'12 - Device_Configuration'!H240</f>
        <v>0</v>
      </c>
      <c r="B239" s="31">
        <f>'12 - Device_Configuration'!S240</f>
        <v>0</v>
      </c>
      <c r="C239" s="31">
        <f>'12 - Device_Configuration'!T240</f>
        <v>0</v>
      </c>
      <c r="D239" s="17">
        <f>'12 - Device_Configuration'!AJ240</f>
        <v>0</v>
      </c>
      <c r="E239" s="17">
        <f>'12 - Device_Configuration'!J240</f>
        <v>0</v>
      </c>
      <c r="F239" s="31">
        <f>'12 - Device_Configuration'!K240</f>
        <v>0</v>
      </c>
      <c r="G239" s="17">
        <f>'12 - Device_Configuration'!L240</f>
        <v>0</v>
      </c>
      <c r="H239" s="17">
        <f>'13 - Config_Intake_View'!M239</f>
        <v>0</v>
      </c>
      <c r="I239" s="31">
        <f>IF('13 - Config_Intake_View'!Q239&lt;&gt;"",'13 - Config_Intake_View'!Q239,'12 - Device_Configuration'!BH240)</f>
        <v>0</v>
      </c>
      <c r="J239" s="17" t="str">
        <f>IF('13 - Config_Intake_View'!Q239&lt;&gt;"","PM Approved",IF('12 - Device_Configuration'!BH240&lt;&gt;"","Assumed",""))</f>
        <v/>
      </c>
      <c r="K239" s="31">
        <f>'12 - Device_Configuration'!BG240</f>
        <v>0</v>
      </c>
      <c r="L239" s="17">
        <f>'12 - Device_Configuration'!P240</f>
        <v>0</v>
      </c>
      <c r="M239" s="17">
        <f>'12 - Device_Configuration'!Q240</f>
        <v>0</v>
      </c>
      <c r="N239" s="17" t="str">
        <f>'12 - Device_Configuration'!BK240</f>
        <v/>
      </c>
      <c r="O239" s="31" t="str">
        <f>'12 - Device_Configuration'!BL240</f>
        <v/>
      </c>
      <c r="P239" s="2">
        <f>'12 - Device_Configuration'!BA240</f>
        <v>0</v>
      </c>
      <c r="Q239" s="31" t="str">
        <f t="shared" si="12"/>
        <v/>
      </c>
      <c r="R239" s="17" t="str">
        <f t="shared" si="13"/>
        <v>SW NOT INSTALLED</v>
      </c>
      <c r="S239" s="17" t="str">
        <f t="shared" si="14"/>
        <v/>
      </c>
      <c r="T239" s="17" t="str">
        <f t="shared" si="15"/>
        <v>SW NOT INSTALLED</v>
      </c>
    </row>
    <row r="240" spans="1:20">
      <c r="A240" s="31">
        <f>'12 - Device_Configuration'!H241</f>
        <v>0</v>
      </c>
      <c r="B240" s="31">
        <f>'12 - Device_Configuration'!S241</f>
        <v>0</v>
      </c>
      <c r="C240" s="31">
        <f>'12 - Device_Configuration'!T241</f>
        <v>0</v>
      </c>
      <c r="D240" s="17">
        <f>'12 - Device_Configuration'!AJ241</f>
        <v>0</v>
      </c>
      <c r="E240" s="17">
        <f>'12 - Device_Configuration'!J241</f>
        <v>0</v>
      </c>
      <c r="F240" s="31">
        <f>'12 - Device_Configuration'!K241</f>
        <v>0</v>
      </c>
      <c r="G240" s="17">
        <f>'12 - Device_Configuration'!L241</f>
        <v>0</v>
      </c>
      <c r="H240" s="17">
        <f>'13 - Config_Intake_View'!M240</f>
        <v>0</v>
      </c>
      <c r="I240" s="31">
        <f>IF('13 - Config_Intake_View'!Q240&lt;&gt;"",'13 - Config_Intake_View'!Q240,'12 - Device_Configuration'!BH241)</f>
        <v>0</v>
      </c>
      <c r="J240" s="17" t="str">
        <f>IF('13 - Config_Intake_View'!Q240&lt;&gt;"","PM Approved",IF('12 - Device_Configuration'!BH241&lt;&gt;"","Assumed",""))</f>
        <v/>
      </c>
      <c r="K240" s="31">
        <f>'12 - Device_Configuration'!BG241</f>
        <v>0</v>
      </c>
      <c r="L240" s="17">
        <f>'12 - Device_Configuration'!P241</f>
        <v>0</v>
      </c>
      <c r="M240" s="17">
        <f>'12 - Device_Configuration'!Q241</f>
        <v>0</v>
      </c>
      <c r="N240" s="17" t="str">
        <f>'12 - Device_Configuration'!BK241</f>
        <v/>
      </c>
      <c r="O240" s="31" t="str">
        <f>'12 - Device_Configuration'!BL241</f>
        <v/>
      </c>
      <c r="P240" s="2">
        <f>'12 - Device_Configuration'!BA241</f>
        <v>0</v>
      </c>
      <c r="Q240" s="31" t="str">
        <f t="shared" si="12"/>
        <v/>
      </c>
      <c r="R240" s="17" t="str">
        <f t="shared" si="13"/>
        <v>SW NOT INSTALLED</v>
      </c>
      <c r="S240" s="17" t="str">
        <f t="shared" si="14"/>
        <v/>
      </c>
      <c r="T240" s="17" t="str">
        <f t="shared" si="15"/>
        <v>SW NOT INSTALLED</v>
      </c>
    </row>
    <row r="241" spans="1:20">
      <c r="A241" s="31">
        <f>'12 - Device_Configuration'!H242</f>
        <v>0</v>
      </c>
      <c r="B241" s="31">
        <f>'12 - Device_Configuration'!S242</f>
        <v>0</v>
      </c>
      <c r="C241" s="31">
        <f>'12 - Device_Configuration'!T242</f>
        <v>0</v>
      </c>
      <c r="D241" s="17">
        <f>'12 - Device_Configuration'!AJ242</f>
        <v>0</v>
      </c>
      <c r="E241" s="17">
        <f>'12 - Device_Configuration'!J242</f>
        <v>0</v>
      </c>
      <c r="F241" s="31">
        <f>'12 - Device_Configuration'!K242</f>
        <v>0</v>
      </c>
      <c r="G241" s="17">
        <f>'12 - Device_Configuration'!L242</f>
        <v>0</v>
      </c>
      <c r="H241" s="17">
        <f>'13 - Config_Intake_View'!M241</f>
        <v>0</v>
      </c>
      <c r="I241" s="31">
        <f>IF('13 - Config_Intake_View'!Q241&lt;&gt;"",'13 - Config_Intake_View'!Q241,'12 - Device_Configuration'!BH242)</f>
        <v>0</v>
      </c>
      <c r="J241" s="17" t="str">
        <f>IF('13 - Config_Intake_View'!Q241&lt;&gt;"","PM Approved",IF('12 - Device_Configuration'!BH242&lt;&gt;"","Assumed",""))</f>
        <v/>
      </c>
      <c r="K241" s="31">
        <f>'12 - Device_Configuration'!BG242</f>
        <v>0</v>
      </c>
      <c r="L241" s="17">
        <f>'12 - Device_Configuration'!P242</f>
        <v>0</v>
      </c>
      <c r="M241" s="17">
        <f>'12 - Device_Configuration'!Q242</f>
        <v>0</v>
      </c>
      <c r="N241" s="17" t="str">
        <f>'12 - Device_Configuration'!BK242</f>
        <v/>
      </c>
      <c r="O241" s="31" t="str">
        <f>'12 - Device_Configuration'!BL242</f>
        <v/>
      </c>
      <c r="P241" s="2">
        <f>'12 - Device_Configuration'!BA242</f>
        <v>0</v>
      </c>
      <c r="Q241" s="31" t="str">
        <f t="shared" si="12"/>
        <v/>
      </c>
      <c r="R241" s="17" t="str">
        <f t="shared" si="13"/>
        <v>SW NOT INSTALLED</v>
      </c>
      <c r="S241" s="17" t="str">
        <f t="shared" si="14"/>
        <v/>
      </c>
      <c r="T241" s="17" t="str">
        <f t="shared" si="15"/>
        <v>SW NOT INSTALLED</v>
      </c>
    </row>
    <row r="242" spans="1:20">
      <c r="A242" s="31">
        <f>'12 - Device_Configuration'!H243</f>
        <v>0</v>
      </c>
      <c r="B242" s="31">
        <f>'12 - Device_Configuration'!S243</f>
        <v>0</v>
      </c>
      <c r="C242" s="31">
        <f>'12 - Device_Configuration'!T243</f>
        <v>0</v>
      </c>
      <c r="D242" s="17">
        <f>'12 - Device_Configuration'!AJ243</f>
        <v>0</v>
      </c>
      <c r="E242" s="17">
        <f>'12 - Device_Configuration'!J243</f>
        <v>0</v>
      </c>
      <c r="F242" s="31">
        <f>'12 - Device_Configuration'!K243</f>
        <v>0</v>
      </c>
      <c r="G242" s="17">
        <f>'12 - Device_Configuration'!L243</f>
        <v>0</v>
      </c>
      <c r="H242" s="17">
        <f>'13 - Config_Intake_View'!M242</f>
        <v>0</v>
      </c>
      <c r="I242" s="31">
        <f>IF('13 - Config_Intake_View'!Q242&lt;&gt;"",'13 - Config_Intake_View'!Q242,'12 - Device_Configuration'!BH243)</f>
        <v>0</v>
      </c>
      <c r="J242" s="17" t="str">
        <f>IF('13 - Config_Intake_View'!Q242&lt;&gt;"","PM Approved",IF('12 - Device_Configuration'!BH243&lt;&gt;"","Assumed",""))</f>
        <v/>
      </c>
      <c r="K242" s="31">
        <f>'12 - Device_Configuration'!BG243</f>
        <v>0</v>
      </c>
      <c r="L242" s="17">
        <f>'12 - Device_Configuration'!P243</f>
        <v>0</v>
      </c>
      <c r="M242" s="17">
        <f>'12 - Device_Configuration'!Q243</f>
        <v>0</v>
      </c>
      <c r="N242" s="17" t="str">
        <f>'12 - Device_Configuration'!BK243</f>
        <v/>
      </c>
      <c r="O242" s="31" t="str">
        <f>'12 - Device_Configuration'!BL243</f>
        <v/>
      </c>
      <c r="P242" s="2">
        <f>'12 - Device_Configuration'!BA243</f>
        <v>0</v>
      </c>
      <c r="Q242" s="31" t="str">
        <f t="shared" si="12"/>
        <v/>
      </c>
      <c r="R242" s="17" t="str">
        <f t="shared" si="13"/>
        <v>SW NOT INSTALLED</v>
      </c>
      <c r="S242" s="17" t="str">
        <f t="shared" si="14"/>
        <v/>
      </c>
      <c r="T242" s="17" t="str">
        <f t="shared" si="15"/>
        <v>SW NOT INSTALLED</v>
      </c>
    </row>
    <row r="243" spans="1:20">
      <c r="A243" s="31">
        <f>'12 - Device_Configuration'!H244</f>
        <v>0</v>
      </c>
      <c r="B243" s="31">
        <f>'12 - Device_Configuration'!S244</f>
        <v>0</v>
      </c>
      <c r="C243" s="31">
        <f>'12 - Device_Configuration'!T244</f>
        <v>0</v>
      </c>
      <c r="D243" s="17">
        <f>'12 - Device_Configuration'!AJ244</f>
        <v>0</v>
      </c>
      <c r="E243" s="17">
        <f>'12 - Device_Configuration'!J244</f>
        <v>0</v>
      </c>
      <c r="F243" s="31">
        <f>'12 - Device_Configuration'!K244</f>
        <v>0</v>
      </c>
      <c r="G243" s="17">
        <f>'12 - Device_Configuration'!L244</f>
        <v>0</v>
      </c>
      <c r="H243" s="17">
        <f>'13 - Config_Intake_View'!M243</f>
        <v>0</v>
      </c>
      <c r="I243" s="31">
        <f>IF('13 - Config_Intake_View'!Q243&lt;&gt;"",'13 - Config_Intake_View'!Q243,'12 - Device_Configuration'!BH244)</f>
        <v>0</v>
      </c>
      <c r="J243" s="17" t="str">
        <f>IF('13 - Config_Intake_View'!Q243&lt;&gt;"","PM Approved",IF('12 - Device_Configuration'!BH244&lt;&gt;"","Assumed",""))</f>
        <v/>
      </c>
      <c r="K243" s="31">
        <f>'12 - Device_Configuration'!BG244</f>
        <v>0</v>
      </c>
      <c r="L243" s="17">
        <f>'12 - Device_Configuration'!P244</f>
        <v>0</v>
      </c>
      <c r="M243" s="17">
        <f>'12 - Device_Configuration'!Q244</f>
        <v>0</v>
      </c>
      <c r="N243" s="17" t="str">
        <f>'12 - Device_Configuration'!BK244</f>
        <v/>
      </c>
      <c r="O243" s="31" t="str">
        <f>'12 - Device_Configuration'!BL244</f>
        <v/>
      </c>
      <c r="P243" s="2">
        <f>'12 - Device_Configuration'!BA244</f>
        <v>0</v>
      </c>
      <c r="Q243" s="31" t="str">
        <f t="shared" si="12"/>
        <v/>
      </c>
      <c r="R243" s="17" t="str">
        <f t="shared" si="13"/>
        <v>SW NOT INSTALLED</v>
      </c>
      <c r="S243" s="17" t="str">
        <f t="shared" si="14"/>
        <v/>
      </c>
      <c r="T243" s="17" t="str">
        <f t="shared" si="15"/>
        <v>SW NOT INSTALLED</v>
      </c>
    </row>
    <row r="244" spans="1:20">
      <c r="A244" s="31">
        <f>'12 - Device_Configuration'!H245</f>
        <v>0</v>
      </c>
      <c r="B244" s="31">
        <f>'12 - Device_Configuration'!S245</f>
        <v>0</v>
      </c>
      <c r="C244" s="31">
        <f>'12 - Device_Configuration'!T245</f>
        <v>0</v>
      </c>
      <c r="D244" s="17">
        <f>'12 - Device_Configuration'!AJ245</f>
        <v>0</v>
      </c>
      <c r="E244" s="17">
        <f>'12 - Device_Configuration'!J245</f>
        <v>0</v>
      </c>
      <c r="F244" s="31">
        <f>'12 - Device_Configuration'!K245</f>
        <v>0</v>
      </c>
      <c r="G244" s="17">
        <f>'12 - Device_Configuration'!L245</f>
        <v>0</v>
      </c>
      <c r="H244" s="17">
        <f>'13 - Config_Intake_View'!M244</f>
        <v>0</v>
      </c>
      <c r="I244" s="31">
        <f>IF('13 - Config_Intake_View'!Q244&lt;&gt;"",'13 - Config_Intake_View'!Q244,'12 - Device_Configuration'!BH245)</f>
        <v>0</v>
      </c>
      <c r="J244" s="17" t="str">
        <f>IF('13 - Config_Intake_View'!Q244&lt;&gt;"","PM Approved",IF('12 - Device_Configuration'!BH245&lt;&gt;"","Assumed",""))</f>
        <v/>
      </c>
      <c r="K244" s="31">
        <f>'12 - Device_Configuration'!BG245</f>
        <v>0</v>
      </c>
      <c r="L244" s="17">
        <f>'12 - Device_Configuration'!P245</f>
        <v>0</v>
      </c>
      <c r="M244" s="17">
        <f>'12 - Device_Configuration'!Q245</f>
        <v>0</v>
      </c>
      <c r="N244" s="17" t="str">
        <f>'12 - Device_Configuration'!BK245</f>
        <v/>
      </c>
      <c r="O244" s="31" t="str">
        <f>'12 - Device_Configuration'!BL245</f>
        <v/>
      </c>
      <c r="P244" s="2">
        <f>'12 - Device_Configuration'!BA245</f>
        <v>0</v>
      </c>
      <c r="Q244" s="31" t="str">
        <f t="shared" si="12"/>
        <v/>
      </c>
      <c r="R244" s="17" t="str">
        <f t="shared" si="13"/>
        <v>SW NOT INSTALLED</v>
      </c>
      <c r="S244" s="17" t="str">
        <f t="shared" si="14"/>
        <v/>
      </c>
      <c r="T244" s="17" t="str">
        <f t="shared" si="15"/>
        <v>SW NOT INSTALLED</v>
      </c>
    </row>
    <row r="245" spans="1:20">
      <c r="A245" s="31">
        <f>'12 - Device_Configuration'!H246</f>
        <v>0</v>
      </c>
      <c r="B245" s="31">
        <f>'12 - Device_Configuration'!S246</f>
        <v>0</v>
      </c>
      <c r="C245" s="31">
        <f>'12 - Device_Configuration'!T246</f>
        <v>0</v>
      </c>
      <c r="D245" s="17">
        <f>'12 - Device_Configuration'!AJ246</f>
        <v>0</v>
      </c>
      <c r="E245" s="17">
        <f>'12 - Device_Configuration'!J246</f>
        <v>0</v>
      </c>
      <c r="F245" s="31">
        <f>'12 - Device_Configuration'!K246</f>
        <v>0</v>
      </c>
      <c r="G245" s="17">
        <f>'12 - Device_Configuration'!L246</f>
        <v>0</v>
      </c>
      <c r="H245" s="17">
        <f>'13 - Config_Intake_View'!M245</f>
        <v>0</v>
      </c>
      <c r="I245" s="31">
        <f>IF('13 - Config_Intake_View'!Q245&lt;&gt;"",'13 - Config_Intake_View'!Q245,'12 - Device_Configuration'!BH246)</f>
        <v>0</v>
      </c>
      <c r="J245" s="17" t="str">
        <f>IF('13 - Config_Intake_View'!Q245&lt;&gt;"","PM Approved",IF('12 - Device_Configuration'!BH246&lt;&gt;"","Assumed",""))</f>
        <v/>
      </c>
      <c r="K245" s="31">
        <f>'12 - Device_Configuration'!BG246</f>
        <v>0</v>
      </c>
      <c r="L245" s="17">
        <f>'12 - Device_Configuration'!P246</f>
        <v>0</v>
      </c>
      <c r="M245" s="17">
        <f>'12 - Device_Configuration'!Q246</f>
        <v>0</v>
      </c>
      <c r="N245" s="17" t="str">
        <f>'12 - Device_Configuration'!BK246</f>
        <v/>
      </c>
      <c r="O245" s="31" t="str">
        <f>'12 - Device_Configuration'!BL246</f>
        <v/>
      </c>
      <c r="P245" s="2">
        <f>'12 - Device_Configuration'!BA246</f>
        <v>0</v>
      </c>
      <c r="Q245" s="31" t="str">
        <f t="shared" si="12"/>
        <v/>
      </c>
      <c r="R245" s="17" t="str">
        <f t="shared" si="13"/>
        <v>SW NOT INSTALLED</v>
      </c>
      <c r="S245" s="17" t="str">
        <f t="shared" si="14"/>
        <v/>
      </c>
      <c r="T245" s="17" t="str">
        <f t="shared" si="15"/>
        <v>SW NOT INSTALLED</v>
      </c>
    </row>
    <row r="246" spans="1:20">
      <c r="A246" s="31">
        <f>'12 - Device_Configuration'!H247</f>
        <v>0</v>
      </c>
      <c r="B246" s="31">
        <f>'12 - Device_Configuration'!S247</f>
        <v>0</v>
      </c>
      <c r="C246" s="31">
        <f>'12 - Device_Configuration'!T247</f>
        <v>0</v>
      </c>
      <c r="D246" s="17">
        <f>'12 - Device_Configuration'!AJ247</f>
        <v>0</v>
      </c>
      <c r="E246" s="17">
        <f>'12 - Device_Configuration'!J247</f>
        <v>0</v>
      </c>
      <c r="F246" s="31">
        <f>'12 - Device_Configuration'!K247</f>
        <v>0</v>
      </c>
      <c r="G246" s="17">
        <f>'12 - Device_Configuration'!L247</f>
        <v>0</v>
      </c>
      <c r="H246" s="17">
        <f>'13 - Config_Intake_View'!M246</f>
        <v>0</v>
      </c>
      <c r="I246" s="31">
        <f>IF('13 - Config_Intake_View'!Q246&lt;&gt;"",'13 - Config_Intake_View'!Q246,'12 - Device_Configuration'!BH247)</f>
        <v>0</v>
      </c>
      <c r="J246" s="17" t="str">
        <f>IF('13 - Config_Intake_View'!Q246&lt;&gt;"","PM Approved",IF('12 - Device_Configuration'!BH247&lt;&gt;"","Assumed",""))</f>
        <v/>
      </c>
      <c r="K246" s="31">
        <f>'12 - Device_Configuration'!BG247</f>
        <v>0</v>
      </c>
      <c r="L246" s="17">
        <f>'12 - Device_Configuration'!P247</f>
        <v>0</v>
      </c>
      <c r="M246" s="17">
        <f>'12 - Device_Configuration'!Q247</f>
        <v>0</v>
      </c>
      <c r="N246" s="17" t="str">
        <f>'12 - Device_Configuration'!BK247</f>
        <v/>
      </c>
      <c r="O246" s="31" t="str">
        <f>'12 - Device_Configuration'!BL247</f>
        <v/>
      </c>
      <c r="P246" s="2">
        <f>'12 - Device_Configuration'!BA247</f>
        <v>0</v>
      </c>
      <c r="Q246" s="31" t="str">
        <f t="shared" si="12"/>
        <v/>
      </c>
      <c r="R246" s="17" t="str">
        <f t="shared" si="13"/>
        <v>SW NOT INSTALLED</v>
      </c>
      <c r="S246" s="17" t="str">
        <f t="shared" si="14"/>
        <v/>
      </c>
      <c r="T246" s="17" t="str">
        <f t="shared" si="15"/>
        <v>SW NOT INSTALLED</v>
      </c>
    </row>
    <row r="247" spans="1:20">
      <c r="A247" s="31">
        <f>'12 - Device_Configuration'!H248</f>
        <v>0</v>
      </c>
      <c r="B247" s="31">
        <f>'12 - Device_Configuration'!S248</f>
        <v>0</v>
      </c>
      <c r="C247" s="31">
        <f>'12 - Device_Configuration'!T248</f>
        <v>0</v>
      </c>
      <c r="D247" s="17">
        <f>'12 - Device_Configuration'!AJ248</f>
        <v>0</v>
      </c>
      <c r="E247" s="17">
        <f>'12 - Device_Configuration'!J248</f>
        <v>0</v>
      </c>
      <c r="F247" s="31">
        <f>'12 - Device_Configuration'!K248</f>
        <v>0</v>
      </c>
      <c r="G247" s="17">
        <f>'12 - Device_Configuration'!L248</f>
        <v>0</v>
      </c>
      <c r="H247" s="17">
        <f>'13 - Config_Intake_View'!M247</f>
        <v>0</v>
      </c>
      <c r="I247" s="31">
        <f>IF('13 - Config_Intake_View'!Q247&lt;&gt;"",'13 - Config_Intake_View'!Q247,'12 - Device_Configuration'!BH248)</f>
        <v>0</v>
      </c>
      <c r="J247" s="17" t="str">
        <f>IF('13 - Config_Intake_View'!Q247&lt;&gt;"","PM Approved",IF('12 - Device_Configuration'!BH248&lt;&gt;"","Assumed",""))</f>
        <v/>
      </c>
      <c r="K247" s="31">
        <f>'12 - Device_Configuration'!BG248</f>
        <v>0</v>
      </c>
      <c r="L247" s="17">
        <f>'12 - Device_Configuration'!P248</f>
        <v>0</v>
      </c>
      <c r="M247" s="17">
        <f>'12 - Device_Configuration'!Q248</f>
        <v>0</v>
      </c>
      <c r="N247" s="17" t="str">
        <f>'12 - Device_Configuration'!BK248</f>
        <v/>
      </c>
      <c r="O247" s="31" t="str">
        <f>'12 - Device_Configuration'!BL248</f>
        <v/>
      </c>
      <c r="P247" s="2">
        <f>'12 - Device_Configuration'!BA248</f>
        <v>0</v>
      </c>
      <c r="Q247" s="31" t="str">
        <f t="shared" si="12"/>
        <v/>
      </c>
      <c r="R247" s="17" t="str">
        <f t="shared" si="13"/>
        <v>SW NOT INSTALLED</v>
      </c>
      <c r="S247" s="17" t="str">
        <f t="shared" si="14"/>
        <v/>
      </c>
      <c r="T247" s="17" t="str">
        <f t="shared" si="15"/>
        <v>SW NOT INSTALLED</v>
      </c>
    </row>
    <row r="248" spans="1:20">
      <c r="A248" s="31">
        <f>'12 - Device_Configuration'!H249</f>
        <v>0</v>
      </c>
      <c r="B248" s="31">
        <f>'12 - Device_Configuration'!S249</f>
        <v>0</v>
      </c>
      <c r="C248" s="31">
        <f>'12 - Device_Configuration'!T249</f>
        <v>0</v>
      </c>
      <c r="D248" s="17">
        <f>'12 - Device_Configuration'!AJ249</f>
        <v>0</v>
      </c>
      <c r="E248" s="17">
        <f>'12 - Device_Configuration'!J249</f>
        <v>0</v>
      </c>
      <c r="F248" s="31">
        <f>'12 - Device_Configuration'!K249</f>
        <v>0</v>
      </c>
      <c r="G248" s="17">
        <f>'12 - Device_Configuration'!L249</f>
        <v>0</v>
      </c>
      <c r="H248" s="17">
        <f>'13 - Config_Intake_View'!M248</f>
        <v>0</v>
      </c>
      <c r="I248" s="31">
        <f>IF('13 - Config_Intake_View'!Q248&lt;&gt;"",'13 - Config_Intake_View'!Q248,'12 - Device_Configuration'!BH249)</f>
        <v>0</v>
      </c>
      <c r="J248" s="17" t="str">
        <f>IF('13 - Config_Intake_View'!Q248&lt;&gt;"","PM Approved",IF('12 - Device_Configuration'!BH249&lt;&gt;"","Assumed",""))</f>
        <v/>
      </c>
      <c r="K248" s="31">
        <f>'12 - Device_Configuration'!BG249</f>
        <v>0</v>
      </c>
      <c r="L248" s="17">
        <f>'12 - Device_Configuration'!P249</f>
        <v>0</v>
      </c>
      <c r="M248" s="17">
        <f>'12 - Device_Configuration'!Q249</f>
        <v>0</v>
      </c>
      <c r="N248" s="17" t="str">
        <f>'12 - Device_Configuration'!BK249</f>
        <v/>
      </c>
      <c r="O248" s="31" t="str">
        <f>'12 - Device_Configuration'!BL249</f>
        <v/>
      </c>
      <c r="P248" s="2">
        <f>'12 - Device_Configuration'!BA249</f>
        <v>0</v>
      </c>
      <c r="Q248" s="31" t="str">
        <f t="shared" si="12"/>
        <v/>
      </c>
      <c r="R248" s="17" t="str">
        <f t="shared" si="13"/>
        <v>SW NOT INSTALLED</v>
      </c>
      <c r="S248" s="17" t="str">
        <f t="shared" si="14"/>
        <v/>
      </c>
      <c r="T248" s="17" t="str">
        <f t="shared" si="15"/>
        <v>SW NOT INSTALLED</v>
      </c>
    </row>
    <row r="249" spans="1:20">
      <c r="A249" s="31">
        <f>'12 - Device_Configuration'!H250</f>
        <v>0</v>
      </c>
      <c r="B249" s="31">
        <f>'12 - Device_Configuration'!S250</f>
        <v>0</v>
      </c>
      <c r="C249" s="31">
        <f>'12 - Device_Configuration'!T250</f>
        <v>0</v>
      </c>
      <c r="D249" s="17">
        <f>'12 - Device_Configuration'!AJ250</f>
        <v>0</v>
      </c>
      <c r="E249" s="17">
        <f>'12 - Device_Configuration'!J250</f>
        <v>0</v>
      </c>
      <c r="F249" s="31">
        <f>'12 - Device_Configuration'!K250</f>
        <v>0</v>
      </c>
      <c r="G249" s="17">
        <f>'12 - Device_Configuration'!L250</f>
        <v>0</v>
      </c>
      <c r="H249" s="17">
        <f>'13 - Config_Intake_View'!M249</f>
        <v>0</v>
      </c>
      <c r="I249" s="31">
        <f>IF('13 - Config_Intake_View'!Q249&lt;&gt;"",'13 - Config_Intake_View'!Q249,'12 - Device_Configuration'!BH250)</f>
        <v>0</v>
      </c>
      <c r="J249" s="17" t="str">
        <f>IF('13 - Config_Intake_View'!Q249&lt;&gt;"","PM Approved",IF('12 - Device_Configuration'!BH250&lt;&gt;"","Assumed",""))</f>
        <v/>
      </c>
      <c r="K249" s="31">
        <f>'12 - Device_Configuration'!BG250</f>
        <v>0</v>
      </c>
      <c r="L249" s="17">
        <f>'12 - Device_Configuration'!P250</f>
        <v>0</v>
      </c>
      <c r="M249" s="17">
        <f>'12 - Device_Configuration'!Q250</f>
        <v>0</v>
      </c>
      <c r="N249" s="17" t="str">
        <f>'12 - Device_Configuration'!BK250</f>
        <v/>
      </c>
      <c r="O249" s="31" t="str">
        <f>'12 - Device_Configuration'!BL250</f>
        <v/>
      </c>
      <c r="P249" s="2">
        <f>'12 - Device_Configuration'!BA250</f>
        <v>0</v>
      </c>
      <c r="Q249" s="31" t="str">
        <f t="shared" si="12"/>
        <v/>
      </c>
      <c r="R249" s="17" t="str">
        <f t="shared" si="13"/>
        <v>SW NOT INSTALLED</v>
      </c>
      <c r="S249" s="17" t="str">
        <f t="shared" si="14"/>
        <v/>
      </c>
      <c r="T249" s="17" t="str">
        <f t="shared" si="15"/>
        <v>SW NOT INSTALLED</v>
      </c>
    </row>
    <row r="250" spans="1:20">
      <c r="A250" s="31">
        <f>'12 - Device_Configuration'!H251</f>
        <v>0</v>
      </c>
      <c r="B250" s="31">
        <f>'12 - Device_Configuration'!S251</f>
        <v>0</v>
      </c>
      <c r="C250" s="31">
        <f>'12 - Device_Configuration'!T251</f>
        <v>0</v>
      </c>
      <c r="D250" s="17">
        <f>'12 - Device_Configuration'!AJ251</f>
        <v>0</v>
      </c>
      <c r="E250" s="17">
        <f>'12 - Device_Configuration'!J251</f>
        <v>0</v>
      </c>
      <c r="F250" s="31">
        <f>'12 - Device_Configuration'!K251</f>
        <v>0</v>
      </c>
      <c r="G250" s="17">
        <f>'12 - Device_Configuration'!L251</f>
        <v>0</v>
      </c>
      <c r="H250" s="17">
        <f>'13 - Config_Intake_View'!M250</f>
        <v>0</v>
      </c>
      <c r="I250" s="31">
        <f>IF('13 - Config_Intake_View'!Q250&lt;&gt;"",'13 - Config_Intake_View'!Q250,'12 - Device_Configuration'!BH251)</f>
        <v>0</v>
      </c>
      <c r="J250" s="17" t="str">
        <f>IF('13 - Config_Intake_View'!Q250&lt;&gt;"","PM Approved",IF('12 - Device_Configuration'!BH251&lt;&gt;"","Assumed",""))</f>
        <v/>
      </c>
      <c r="K250" s="31">
        <f>'12 - Device_Configuration'!BG251</f>
        <v>0</v>
      </c>
      <c r="L250" s="17">
        <f>'12 - Device_Configuration'!P251</f>
        <v>0</v>
      </c>
      <c r="M250" s="17">
        <f>'12 - Device_Configuration'!Q251</f>
        <v>0</v>
      </c>
      <c r="N250" s="17" t="str">
        <f>'12 - Device_Configuration'!BK251</f>
        <v/>
      </c>
      <c r="O250" s="31" t="str">
        <f>'12 - Device_Configuration'!BL251</f>
        <v/>
      </c>
      <c r="P250" s="2">
        <f>'12 - Device_Configuration'!BA251</f>
        <v>0</v>
      </c>
      <c r="Q250" s="31" t="str">
        <f t="shared" si="12"/>
        <v/>
      </c>
      <c r="R250" s="17" t="str">
        <f t="shared" si="13"/>
        <v>SW NOT INSTALLED</v>
      </c>
      <c r="S250" s="17" t="str">
        <f t="shared" si="14"/>
        <v/>
      </c>
      <c r="T250" s="17" t="str">
        <f t="shared" si="15"/>
        <v>SW NOT INSTALLED</v>
      </c>
    </row>
    <row r="251" spans="1:20">
      <c r="A251" s="31">
        <f>'12 - Device_Configuration'!H252</f>
        <v>0</v>
      </c>
      <c r="B251" s="31">
        <f>'12 - Device_Configuration'!S252</f>
        <v>0</v>
      </c>
      <c r="C251" s="31">
        <f>'12 - Device_Configuration'!T252</f>
        <v>0</v>
      </c>
      <c r="D251" s="17">
        <f>'12 - Device_Configuration'!AJ252</f>
        <v>0</v>
      </c>
      <c r="E251" s="17">
        <f>'12 - Device_Configuration'!J252</f>
        <v>0</v>
      </c>
      <c r="F251" s="31">
        <f>'12 - Device_Configuration'!K252</f>
        <v>0</v>
      </c>
      <c r="G251" s="17">
        <f>'12 - Device_Configuration'!L252</f>
        <v>0</v>
      </c>
      <c r="H251" s="17">
        <f>'13 - Config_Intake_View'!M251</f>
        <v>0</v>
      </c>
      <c r="I251" s="31">
        <f>IF('13 - Config_Intake_View'!Q251&lt;&gt;"",'13 - Config_Intake_View'!Q251,'12 - Device_Configuration'!BH252)</f>
        <v>0</v>
      </c>
      <c r="J251" s="17" t="str">
        <f>IF('13 - Config_Intake_View'!Q251&lt;&gt;"","PM Approved",IF('12 - Device_Configuration'!BH252&lt;&gt;"","Assumed",""))</f>
        <v/>
      </c>
      <c r="K251" s="31">
        <f>'12 - Device_Configuration'!BG252</f>
        <v>0</v>
      </c>
      <c r="L251" s="17">
        <f>'12 - Device_Configuration'!P252</f>
        <v>0</v>
      </c>
      <c r="M251" s="17">
        <f>'12 - Device_Configuration'!Q252</f>
        <v>0</v>
      </c>
      <c r="N251" s="17" t="str">
        <f>'12 - Device_Configuration'!BK252</f>
        <v/>
      </c>
      <c r="O251" s="31" t="str">
        <f>'12 - Device_Configuration'!BL252</f>
        <v/>
      </c>
      <c r="P251" s="2">
        <f>'12 - Device_Configuration'!BA252</f>
        <v>0</v>
      </c>
      <c r="Q251" s="31" t="str">
        <f t="shared" si="12"/>
        <v/>
      </c>
      <c r="R251" s="17" t="str">
        <f t="shared" si="13"/>
        <v>SW NOT INSTALLED</v>
      </c>
      <c r="S251" s="17" t="str">
        <f t="shared" si="14"/>
        <v/>
      </c>
      <c r="T251" s="17" t="str">
        <f t="shared" si="15"/>
        <v>SW NOT INSTALLED</v>
      </c>
    </row>
    <row r="252" spans="1:20">
      <c r="A252" s="31">
        <f>'12 - Device_Configuration'!H253</f>
        <v>0</v>
      </c>
      <c r="B252" s="31">
        <f>'12 - Device_Configuration'!S253</f>
        <v>0</v>
      </c>
      <c r="C252" s="31">
        <f>'12 - Device_Configuration'!T253</f>
        <v>0</v>
      </c>
      <c r="D252" s="17">
        <f>'12 - Device_Configuration'!AJ253</f>
        <v>0</v>
      </c>
      <c r="E252" s="17">
        <f>'12 - Device_Configuration'!J253</f>
        <v>0</v>
      </c>
      <c r="F252" s="31">
        <f>'12 - Device_Configuration'!K253</f>
        <v>0</v>
      </c>
      <c r="G252" s="17">
        <f>'12 - Device_Configuration'!L253</f>
        <v>0</v>
      </c>
      <c r="H252" s="17">
        <f>'13 - Config_Intake_View'!M252</f>
        <v>0</v>
      </c>
      <c r="I252" s="31">
        <f>IF('13 - Config_Intake_View'!Q252&lt;&gt;"",'13 - Config_Intake_View'!Q252,'12 - Device_Configuration'!BH253)</f>
        <v>0</v>
      </c>
      <c r="J252" s="17" t="str">
        <f>IF('13 - Config_Intake_View'!Q252&lt;&gt;"","PM Approved",IF('12 - Device_Configuration'!BH253&lt;&gt;"","Assumed",""))</f>
        <v/>
      </c>
      <c r="K252" s="31">
        <f>'12 - Device_Configuration'!BG253</f>
        <v>0</v>
      </c>
      <c r="L252" s="17">
        <f>'12 - Device_Configuration'!P253</f>
        <v>0</v>
      </c>
      <c r="M252" s="17">
        <f>'12 - Device_Configuration'!Q253</f>
        <v>0</v>
      </c>
      <c r="N252" s="17" t="str">
        <f>'12 - Device_Configuration'!BK253</f>
        <v/>
      </c>
      <c r="O252" s="31" t="str">
        <f>'12 - Device_Configuration'!BL253</f>
        <v/>
      </c>
      <c r="P252" s="2">
        <f>'12 - Device_Configuration'!BA253</f>
        <v>0</v>
      </c>
      <c r="Q252" s="31" t="str">
        <f t="shared" si="12"/>
        <v/>
      </c>
      <c r="R252" s="17" t="str">
        <f t="shared" si="13"/>
        <v>SW NOT INSTALLED</v>
      </c>
      <c r="S252" s="17" t="str">
        <f t="shared" si="14"/>
        <v/>
      </c>
      <c r="T252" s="17" t="str">
        <f t="shared" si="15"/>
        <v>SW NOT INSTALLED</v>
      </c>
    </row>
    <row r="253" spans="1:20">
      <c r="A253" s="31">
        <f>'12 - Device_Configuration'!H254</f>
        <v>0</v>
      </c>
      <c r="B253" s="31">
        <f>'12 - Device_Configuration'!S254</f>
        <v>0</v>
      </c>
      <c r="C253" s="31">
        <f>'12 - Device_Configuration'!T254</f>
        <v>0</v>
      </c>
      <c r="D253" s="17">
        <f>'12 - Device_Configuration'!AJ254</f>
        <v>0</v>
      </c>
      <c r="E253" s="17">
        <f>'12 - Device_Configuration'!J254</f>
        <v>0</v>
      </c>
      <c r="F253" s="31">
        <f>'12 - Device_Configuration'!K254</f>
        <v>0</v>
      </c>
      <c r="G253" s="17">
        <f>'12 - Device_Configuration'!L254</f>
        <v>0</v>
      </c>
      <c r="H253" s="17">
        <f>'13 - Config_Intake_View'!M253</f>
        <v>0</v>
      </c>
      <c r="I253" s="31">
        <f>IF('13 - Config_Intake_View'!Q253&lt;&gt;"",'13 - Config_Intake_View'!Q253,'12 - Device_Configuration'!BH254)</f>
        <v>0</v>
      </c>
      <c r="J253" s="17" t="str">
        <f>IF('13 - Config_Intake_View'!Q253&lt;&gt;"","PM Approved",IF('12 - Device_Configuration'!BH254&lt;&gt;"","Assumed",""))</f>
        <v/>
      </c>
      <c r="K253" s="31">
        <f>'12 - Device_Configuration'!BG254</f>
        <v>0</v>
      </c>
      <c r="L253" s="17">
        <f>'12 - Device_Configuration'!P254</f>
        <v>0</v>
      </c>
      <c r="M253" s="17">
        <f>'12 - Device_Configuration'!Q254</f>
        <v>0</v>
      </c>
      <c r="N253" s="17" t="str">
        <f>'12 - Device_Configuration'!BK254</f>
        <v/>
      </c>
      <c r="O253" s="31" t="str">
        <f>'12 - Device_Configuration'!BL254</f>
        <v/>
      </c>
      <c r="P253" s="2">
        <f>'12 - Device_Configuration'!BA254</f>
        <v>0</v>
      </c>
      <c r="Q253" s="31" t="str">
        <f t="shared" si="12"/>
        <v/>
      </c>
      <c r="R253" s="17" t="str">
        <f t="shared" si="13"/>
        <v>SW NOT INSTALLED</v>
      </c>
      <c r="S253" s="17" t="str">
        <f t="shared" si="14"/>
        <v/>
      </c>
      <c r="T253" s="17" t="str">
        <f t="shared" si="15"/>
        <v>SW NOT INSTALLED</v>
      </c>
    </row>
    <row r="254" spans="1:20">
      <c r="A254" s="31">
        <f>'12 - Device_Configuration'!H255</f>
        <v>0</v>
      </c>
      <c r="B254" s="31">
        <f>'12 - Device_Configuration'!S255</f>
        <v>0</v>
      </c>
      <c r="C254" s="31">
        <f>'12 - Device_Configuration'!T255</f>
        <v>0</v>
      </c>
      <c r="D254" s="17">
        <f>'12 - Device_Configuration'!AJ255</f>
        <v>0</v>
      </c>
      <c r="E254" s="17">
        <f>'12 - Device_Configuration'!J255</f>
        <v>0</v>
      </c>
      <c r="F254" s="31">
        <f>'12 - Device_Configuration'!K255</f>
        <v>0</v>
      </c>
      <c r="G254" s="17">
        <f>'12 - Device_Configuration'!L255</f>
        <v>0</v>
      </c>
      <c r="H254" s="17">
        <f>'13 - Config_Intake_View'!M254</f>
        <v>0</v>
      </c>
      <c r="I254" s="31">
        <f>IF('13 - Config_Intake_View'!Q254&lt;&gt;"",'13 - Config_Intake_View'!Q254,'12 - Device_Configuration'!BH255)</f>
        <v>0</v>
      </c>
      <c r="J254" s="17" t="str">
        <f>IF('13 - Config_Intake_View'!Q254&lt;&gt;"","PM Approved",IF('12 - Device_Configuration'!BH255&lt;&gt;"","Assumed",""))</f>
        <v/>
      </c>
      <c r="K254" s="31">
        <f>'12 - Device_Configuration'!BG255</f>
        <v>0</v>
      </c>
      <c r="L254" s="17">
        <f>'12 - Device_Configuration'!P255</f>
        <v>0</v>
      </c>
      <c r="M254" s="17">
        <f>'12 - Device_Configuration'!Q255</f>
        <v>0</v>
      </c>
      <c r="N254" s="17" t="str">
        <f>'12 - Device_Configuration'!BK255</f>
        <v/>
      </c>
      <c r="O254" s="31" t="str">
        <f>'12 - Device_Configuration'!BL255</f>
        <v/>
      </c>
      <c r="P254" s="2">
        <f>'12 - Device_Configuration'!BA255</f>
        <v>0</v>
      </c>
      <c r="Q254" s="31" t="str">
        <f t="shared" si="12"/>
        <v/>
      </c>
      <c r="R254" s="17" t="str">
        <f t="shared" si="13"/>
        <v>SW NOT INSTALLED</v>
      </c>
      <c r="S254" s="17" t="str">
        <f t="shared" si="14"/>
        <v/>
      </c>
      <c r="T254" s="17" t="str">
        <f t="shared" si="15"/>
        <v>SW NOT INSTALLED</v>
      </c>
    </row>
    <row r="255" spans="1:20">
      <c r="A255" s="31">
        <f>'12 - Device_Configuration'!H256</f>
        <v>0</v>
      </c>
      <c r="B255" s="31">
        <f>'12 - Device_Configuration'!S256</f>
        <v>0</v>
      </c>
      <c r="C255" s="31">
        <f>'12 - Device_Configuration'!T256</f>
        <v>0</v>
      </c>
      <c r="D255" s="17">
        <f>'12 - Device_Configuration'!AJ256</f>
        <v>0</v>
      </c>
      <c r="E255" s="17">
        <f>'12 - Device_Configuration'!J256</f>
        <v>0</v>
      </c>
      <c r="F255" s="31">
        <f>'12 - Device_Configuration'!K256</f>
        <v>0</v>
      </c>
      <c r="G255" s="17">
        <f>'12 - Device_Configuration'!L256</f>
        <v>0</v>
      </c>
      <c r="H255" s="17">
        <f>'13 - Config_Intake_View'!M255</f>
        <v>0</v>
      </c>
      <c r="I255" s="31">
        <f>IF('13 - Config_Intake_View'!Q255&lt;&gt;"",'13 - Config_Intake_View'!Q255,'12 - Device_Configuration'!BH256)</f>
        <v>0</v>
      </c>
      <c r="J255" s="17" t="str">
        <f>IF('13 - Config_Intake_View'!Q255&lt;&gt;"","PM Approved",IF('12 - Device_Configuration'!BH256&lt;&gt;"","Assumed",""))</f>
        <v/>
      </c>
      <c r="K255" s="31">
        <f>'12 - Device_Configuration'!BG256</f>
        <v>0</v>
      </c>
      <c r="L255" s="17">
        <f>'12 - Device_Configuration'!P256</f>
        <v>0</v>
      </c>
      <c r="M255" s="17">
        <f>'12 - Device_Configuration'!Q256</f>
        <v>0</v>
      </c>
      <c r="N255" s="17" t="str">
        <f>'12 - Device_Configuration'!BK256</f>
        <v/>
      </c>
      <c r="O255" s="31" t="str">
        <f>'12 - Device_Configuration'!BL256</f>
        <v/>
      </c>
      <c r="P255" s="2">
        <f>'12 - Device_Configuration'!BA256</f>
        <v>0</v>
      </c>
      <c r="Q255" s="31" t="str">
        <f t="shared" si="12"/>
        <v/>
      </c>
      <c r="R255" s="17" t="str">
        <f t="shared" si="13"/>
        <v>SW NOT INSTALLED</v>
      </c>
      <c r="S255" s="17" t="str">
        <f t="shared" si="14"/>
        <v/>
      </c>
      <c r="T255" s="17" t="str">
        <f t="shared" si="15"/>
        <v>SW NOT INSTALLED</v>
      </c>
    </row>
    <row r="256" spans="1:20">
      <c r="A256" s="31">
        <f>'12 - Device_Configuration'!H257</f>
        <v>0</v>
      </c>
      <c r="B256" s="31">
        <f>'12 - Device_Configuration'!S257</f>
        <v>0</v>
      </c>
      <c r="C256" s="31">
        <f>'12 - Device_Configuration'!T257</f>
        <v>0</v>
      </c>
      <c r="D256" s="17">
        <f>'12 - Device_Configuration'!AJ257</f>
        <v>0</v>
      </c>
      <c r="E256" s="17">
        <f>'12 - Device_Configuration'!J257</f>
        <v>0</v>
      </c>
      <c r="F256" s="31">
        <f>'12 - Device_Configuration'!K257</f>
        <v>0</v>
      </c>
      <c r="G256" s="17">
        <f>'12 - Device_Configuration'!L257</f>
        <v>0</v>
      </c>
      <c r="H256" s="17">
        <f>'13 - Config_Intake_View'!M256</f>
        <v>0</v>
      </c>
      <c r="I256" s="31">
        <f>IF('13 - Config_Intake_View'!Q256&lt;&gt;"",'13 - Config_Intake_View'!Q256,'12 - Device_Configuration'!BH257)</f>
        <v>0</v>
      </c>
      <c r="J256" s="17" t="str">
        <f>IF('13 - Config_Intake_View'!Q256&lt;&gt;"","PM Approved",IF('12 - Device_Configuration'!BH257&lt;&gt;"","Assumed",""))</f>
        <v/>
      </c>
      <c r="K256" s="31">
        <f>'12 - Device_Configuration'!BG257</f>
        <v>0</v>
      </c>
      <c r="L256" s="17">
        <f>'12 - Device_Configuration'!P257</f>
        <v>0</v>
      </c>
      <c r="M256" s="17">
        <f>'12 - Device_Configuration'!Q257</f>
        <v>0</v>
      </c>
      <c r="N256" s="17" t="str">
        <f>'12 - Device_Configuration'!BK257</f>
        <v/>
      </c>
      <c r="O256" s="31" t="str">
        <f>'12 - Device_Configuration'!BL257</f>
        <v/>
      </c>
      <c r="P256" s="2">
        <f>'12 - Device_Configuration'!BA257</f>
        <v>0</v>
      </c>
      <c r="Q256" s="31" t="str">
        <f t="shared" si="12"/>
        <v/>
      </c>
      <c r="R256" s="17" t="str">
        <f t="shared" si="13"/>
        <v>SW NOT INSTALLED</v>
      </c>
      <c r="S256" s="17" t="str">
        <f t="shared" si="14"/>
        <v/>
      </c>
      <c r="T256" s="17" t="str">
        <f t="shared" si="15"/>
        <v>SW NOT INSTALLED</v>
      </c>
    </row>
    <row r="257" spans="1:20">
      <c r="A257" s="31">
        <f>'12 - Device_Configuration'!H258</f>
        <v>0</v>
      </c>
      <c r="B257" s="31">
        <f>'12 - Device_Configuration'!S258</f>
        <v>0</v>
      </c>
      <c r="C257" s="31">
        <f>'12 - Device_Configuration'!T258</f>
        <v>0</v>
      </c>
      <c r="D257" s="17">
        <f>'12 - Device_Configuration'!AJ258</f>
        <v>0</v>
      </c>
      <c r="E257" s="17">
        <f>'12 - Device_Configuration'!J258</f>
        <v>0</v>
      </c>
      <c r="F257" s="31">
        <f>'12 - Device_Configuration'!K258</f>
        <v>0</v>
      </c>
      <c r="G257" s="17">
        <f>'12 - Device_Configuration'!L258</f>
        <v>0</v>
      </c>
      <c r="H257" s="17">
        <f>'13 - Config_Intake_View'!M257</f>
        <v>0</v>
      </c>
      <c r="I257" s="31">
        <f>IF('13 - Config_Intake_View'!Q257&lt;&gt;"",'13 - Config_Intake_View'!Q257,'12 - Device_Configuration'!BH258)</f>
        <v>0</v>
      </c>
      <c r="J257" s="17" t="str">
        <f>IF('13 - Config_Intake_View'!Q257&lt;&gt;"","PM Approved",IF('12 - Device_Configuration'!BH258&lt;&gt;"","Assumed",""))</f>
        <v/>
      </c>
      <c r="K257" s="31">
        <f>'12 - Device_Configuration'!BG258</f>
        <v>0</v>
      </c>
      <c r="L257" s="17">
        <f>'12 - Device_Configuration'!P258</f>
        <v>0</v>
      </c>
      <c r="M257" s="17">
        <f>'12 - Device_Configuration'!Q258</f>
        <v>0</v>
      </c>
      <c r="N257" s="17" t="str">
        <f>'12 - Device_Configuration'!BK258</f>
        <v/>
      </c>
      <c r="O257" s="31" t="str">
        <f>'12 - Device_Configuration'!BL258</f>
        <v/>
      </c>
      <c r="P257" s="2">
        <f>'12 - Device_Configuration'!BA258</f>
        <v>0</v>
      </c>
      <c r="Q257" s="31" t="str">
        <f t="shared" si="12"/>
        <v/>
      </c>
      <c r="R257" s="17" t="str">
        <f t="shared" si="13"/>
        <v>SW NOT INSTALLED</v>
      </c>
      <c r="S257" s="17" t="str">
        <f t="shared" si="14"/>
        <v/>
      </c>
      <c r="T257" s="17" t="str">
        <f t="shared" si="15"/>
        <v>SW NOT INSTALLED</v>
      </c>
    </row>
    <row r="258" spans="1:20">
      <c r="A258" s="31">
        <f>'12 - Device_Configuration'!H259</f>
        <v>0</v>
      </c>
      <c r="B258" s="31">
        <f>'12 - Device_Configuration'!S259</f>
        <v>0</v>
      </c>
      <c r="C258" s="31">
        <f>'12 - Device_Configuration'!T259</f>
        <v>0</v>
      </c>
      <c r="D258" s="17">
        <f>'12 - Device_Configuration'!AJ259</f>
        <v>0</v>
      </c>
      <c r="E258" s="17">
        <f>'12 - Device_Configuration'!J259</f>
        <v>0</v>
      </c>
      <c r="F258" s="31">
        <f>'12 - Device_Configuration'!K259</f>
        <v>0</v>
      </c>
      <c r="G258" s="17">
        <f>'12 - Device_Configuration'!L259</f>
        <v>0</v>
      </c>
      <c r="H258" s="17">
        <f>'13 - Config_Intake_View'!M258</f>
        <v>0</v>
      </c>
      <c r="I258" s="31">
        <f>IF('13 - Config_Intake_View'!Q258&lt;&gt;"",'13 - Config_Intake_View'!Q258,'12 - Device_Configuration'!BH259)</f>
        <v>0</v>
      </c>
      <c r="J258" s="17" t="str">
        <f>IF('13 - Config_Intake_View'!Q258&lt;&gt;"","PM Approved",IF('12 - Device_Configuration'!BH259&lt;&gt;"","Assumed",""))</f>
        <v/>
      </c>
      <c r="K258" s="31">
        <f>'12 - Device_Configuration'!BG259</f>
        <v>0</v>
      </c>
      <c r="L258" s="17">
        <f>'12 - Device_Configuration'!P259</f>
        <v>0</v>
      </c>
      <c r="M258" s="17">
        <f>'12 - Device_Configuration'!Q259</f>
        <v>0</v>
      </c>
      <c r="N258" s="17" t="str">
        <f>'12 - Device_Configuration'!BK259</f>
        <v/>
      </c>
      <c r="O258" s="31" t="str">
        <f>'12 - Device_Configuration'!BL259</f>
        <v/>
      </c>
      <c r="P258" s="2">
        <f>'12 - Device_Configuration'!BA259</f>
        <v>0</v>
      </c>
      <c r="Q258" s="31" t="str">
        <f t="shared" ref="Q258:Q321" si="16">IF(OR($A258="",$B258="",$D258=""),"MISSING CORE FIELDS","")</f>
        <v/>
      </c>
      <c r="R258" s="17" t="str">
        <f t="shared" ref="R258:R321" si="17">IF(AND($I258&lt;&gt;"",$K258&lt;&gt;"Yes"),"SW NOT INSTALLED","")</f>
        <v>SW NOT INSTALLED</v>
      </c>
      <c r="S258" s="17" t="str">
        <f t="shared" ref="S258:S321" si="18">IF(AND($H258&lt;&gt;"",ISNUMBER(SEARCH("auto",LOWER($H258))),$F258=""),"AUTOLOGON REQUIRED","")</f>
        <v/>
      </c>
      <c r="T258" s="17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31">
        <f>'12 - Device_Configuration'!H260</f>
        <v>0</v>
      </c>
      <c r="B259" s="31">
        <f>'12 - Device_Configuration'!S260</f>
        <v>0</v>
      </c>
      <c r="C259" s="31">
        <f>'12 - Device_Configuration'!T260</f>
        <v>0</v>
      </c>
      <c r="D259" s="17">
        <f>'12 - Device_Configuration'!AJ260</f>
        <v>0</v>
      </c>
      <c r="E259" s="17">
        <f>'12 - Device_Configuration'!J260</f>
        <v>0</v>
      </c>
      <c r="F259" s="31">
        <f>'12 - Device_Configuration'!K260</f>
        <v>0</v>
      </c>
      <c r="G259" s="17">
        <f>'12 - Device_Configuration'!L260</f>
        <v>0</v>
      </c>
      <c r="H259" s="17">
        <f>'13 - Config_Intake_View'!M259</f>
        <v>0</v>
      </c>
      <c r="I259" s="31">
        <f>IF('13 - Config_Intake_View'!Q259&lt;&gt;"",'13 - Config_Intake_View'!Q259,'12 - Device_Configuration'!BH260)</f>
        <v>0</v>
      </c>
      <c r="J259" s="17" t="str">
        <f>IF('13 - Config_Intake_View'!Q259&lt;&gt;"","PM Approved",IF('12 - Device_Configuration'!BH260&lt;&gt;"","Assumed",""))</f>
        <v/>
      </c>
      <c r="K259" s="31">
        <f>'12 - Device_Configuration'!BG260</f>
        <v>0</v>
      </c>
      <c r="L259" s="17">
        <f>'12 - Device_Configuration'!P260</f>
        <v>0</v>
      </c>
      <c r="M259" s="17">
        <f>'12 - Device_Configuration'!Q260</f>
        <v>0</v>
      </c>
      <c r="N259" s="17" t="str">
        <f>'12 - Device_Configuration'!BK260</f>
        <v/>
      </c>
      <c r="O259" s="31" t="str">
        <f>'12 - Device_Configuration'!BL260</f>
        <v/>
      </c>
      <c r="P259" s="2">
        <f>'12 - Device_Configuration'!BA260</f>
        <v>0</v>
      </c>
      <c r="Q259" s="31" t="str">
        <f t="shared" si="16"/>
        <v/>
      </c>
      <c r="R259" s="17" t="str">
        <f t="shared" si="17"/>
        <v>SW NOT INSTALLED</v>
      </c>
      <c r="S259" s="17" t="str">
        <f t="shared" si="18"/>
        <v/>
      </c>
      <c r="T259" s="17" t="str">
        <f t="shared" si="19"/>
        <v>SW NOT INSTALLED</v>
      </c>
    </row>
    <row r="260" spans="1:20">
      <c r="A260" s="31">
        <f>'12 - Device_Configuration'!H261</f>
        <v>0</v>
      </c>
      <c r="B260" s="31">
        <f>'12 - Device_Configuration'!S261</f>
        <v>0</v>
      </c>
      <c r="C260" s="31">
        <f>'12 - Device_Configuration'!T261</f>
        <v>0</v>
      </c>
      <c r="D260" s="17">
        <f>'12 - Device_Configuration'!AJ261</f>
        <v>0</v>
      </c>
      <c r="E260" s="17">
        <f>'12 - Device_Configuration'!J261</f>
        <v>0</v>
      </c>
      <c r="F260" s="31">
        <f>'12 - Device_Configuration'!K261</f>
        <v>0</v>
      </c>
      <c r="G260" s="17">
        <f>'12 - Device_Configuration'!L261</f>
        <v>0</v>
      </c>
      <c r="H260" s="17">
        <f>'13 - Config_Intake_View'!M260</f>
        <v>0</v>
      </c>
      <c r="I260" s="31">
        <f>IF('13 - Config_Intake_View'!Q260&lt;&gt;"",'13 - Config_Intake_View'!Q260,'12 - Device_Configuration'!BH261)</f>
        <v>0</v>
      </c>
      <c r="J260" s="17" t="str">
        <f>IF('13 - Config_Intake_View'!Q260&lt;&gt;"","PM Approved",IF('12 - Device_Configuration'!BH261&lt;&gt;"","Assumed",""))</f>
        <v/>
      </c>
      <c r="K260" s="31">
        <f>'12 - Device_Configuration'!BG261</f>
        <v>0</v>
      </c>
      <c r="L260" s="17">
        <f>'12 - Device_Configuration'!P261</f>
        <v>0</v>
      </c>
      <c r="M260" s="17">
        <f>'12 - Device_Configuration'!Q261</f>
        <v>0</v>
      </c>
      <c r="N260" s="17" t="str">
        <f>'12 - Device_Configuration'!BK261</f>
        <v/>
      </c>
      <c r="O260" s="31" t="str">
        <f>'12 - Device_Configuration'!BL261</f>
        <v/>
      </c>
      <c r="P260" s="2">
        <f>'12 - Device_Configuration'!BA261</f>
        <v>0</v>
      </c>
      <c r="Q260" s="31" t="str">
        <f t="shared" si="16"/>
        <v/>
      </c>
      <c r="R260" s="17" t="str">
        <f t="shared" si="17"/>
        <v>SW NOT INSTALLED</v>
      </c>
      <c r="S260" s="17" t="str">
        <f t="shared" si="18"/>
        <v/>
      </c>
      <c r="T260" s="17" t="str">
        <f t="shared" si="19"/>
        <v>SW NOT INSTALLED</v>
      </c>
    </row>
    <row r="261" spans="1:20">
      <c r="A261" s="31">
        <f>'12 - Device_Configuration'!H262</f>
        <v>0</v>
      </c>
      <c r="B261" s="31">
        <f>'12 - Device_Configuration'!S262</f>
        <v>0</v>
      </c>
      <c r="C261" s="31">
        <f>'12 - Device_Configuration'!T262</f>
        <v>0</v>
      </c>
      <c r="D261" s="17">
        <f>'12 - Device_Configuration'!AJ262</f>
        <v>0</v>
      </c>
      <c r="E261" s="17">
        <f>'12 - Device_Configuration'!J262</f>
        <v>0</v>
      </c>
      <c r="F261" s="31">
        <f>'12 - Device_Configuration'!K262</f>
        <v>0</v>
      </c>
      <c r="G261" s="17">
        <f>'12 - Device_Configuration'!L262</f>
        <v>0</v>
      </c>
      <c r="H261" s="17">
        <f>'13 - Config_Intake_View'!M261</f>
        <v>0</v>
      </c>
      <c r="I261" s="31">
        <f>IF('13 - Config_Intake_View'!Q261&lt;&gt;"",'13 - Config_Intake_View'!Q261,'12 - Device_Configuration'!BH262)</f>
        <v>0</v>
      </c>
      <c r="J261" s="17" t="str">
        <f>IF('13 - Config_Intake_View'!Q261&lt;&gt;"","PM Approved",IF('12 - Device_Configuration'!BH262&lt;&gt;"","Assumed",""))</f>
        <v/>
      </c>
      <c r="K261" s="31">
        <f>'12 - Device_Configuration'!BG262</f>
        <v>0</v>
      </c>
      <c r="L261" s="17">
        <f>'12 - Device_Configuration'!P262</f>
        <v>0</v>
      </c>
      <c r="M261" s="17">
        <f>'12 - Device_Configuration'!Q262</f>
        <v>0</v>
      </c>
      <c r="N261" s="17" t="str">
        <f>'12 - Device_Configuration'!BK262</f>
        <v/>
      </c>
      <c r="O261" s="31" t="str">
        <f>'12 - Device_Configuration'!BL262</f>
        <v/>
      </c>
      <c r="P261" s="2">
        <f>'12 - Device_Configuration'!BA262</f>
        <v>0</v>
      </c>
      <c r="Q261" s="31" t="str">
        <f t="shared" si="16"/>
        <v/>
      </c>
      <c r="R261" s="17" t="str">
        <f t="shared" si="17"/>
        <v>SW NOT INSTALLED</v>
      </c>
      <c r="S261" s="17" t="str">
        <f t="shared" si="18"/>
        <v/>
      </c>
      <c r="T261" s="17" t="str">
        <f t="shared" si="19"/>
        <v>SW NOT INSTALLED</v>
      </c>
    </row>
    <row r="262" spans="1:20">
      <c r="A262" s="31">
        <f>'12 - Device_Configuration'!H263</f>
        <v>0</v>
      </c>
      <c r="B262" s="31">
        <f>'12 - Device_Configuration'!S263</f>
        <v>0</v>
      </c>
      <c r="C262" s="31">
        <f>'12 - Device_Configuration'!T263</f>
        <v>0</v>
      </c>
      <c r="D262" s="17">
        <f>'12 - Device_Configuration'!AJ263</f>
        <v>0</v>
      </c>
      <c r="E262" s="17">
        <f>'12 - Device_Configuration'!J263</f>
        <v>0</v>
      </c>
      <c r="F262" s="31">
        <f>'12 - Device_Configuration'!K263</f>
        <v>0</v>
      </c>
      <c r="G262" s="17">
        <f>'12 - Device_Configuration'!L263</f>
        <v>0</v>
      </c>
      <c r="H262" s="17">
        <f>'13 - Config_Intake_View'!M262</f>
        <v>0</v>
      </c>
      <c r="I262" s="31">
        <f>IF('13 - Config_Intake_View'!Q262&lt;&gt;"",'13 - Config_Intake_View'!Q262,'12 - Device_Configuration'!BH263)</f>
        <v>0</v>
      </c>
      <c r="J262" s="17" t="str">
        <f>IF('13 - Config_Intake_View'!Q262&lt;&gt;"","PM Approved",IF('12 - Device_Configuration'!BH263&lt;&gt;"","Assumed",""))</f>
        <v/>
      </c>
      <c r="K262" s="31">
        <f>'12 - Device_Configuration'!BG263</f>
        <v>0</v>
      </c>
      <c r="L262" s="17">
        <f>'12 - Device_Configuration'!P263</f>
        <v>0</v>
      </c>
      <c r="M262" s="17">
        <f>'12 - Device_Configuration'!Q263</f>
        <v>0</v>
      </c>
      <c r="N262" s="17" t="str">
        <f>'12 - Device_Configuration'!BK263</f>
        <v/>
      </c>
      <c r="O262" s="31" t="str">
        <f>'12 - Device_Configuration'!BL263</f>
        <v/>
      </c>
      <c r="P262" s="2">
        <f>'12 - Device_Configuration'!BA263</f>
        <v>0</v>
      </c>
      <c r="Q262" s="31" t="str">
        <f t="shared" si="16"/>
        <v/>
      </c>
      <c r="R262" s="17" t="str">
        <f t="shared" si="17"/>
        <v>SW NOT INSTALLED</v>
      </c>
      <c r="S262" s="17" t="str">
        <f t="shared" si="18"/>
        <v/>
      </c>
      <c r="T262" s="17" t="str">
        <f t="shared" si="19"/>
        <v>SW NOT INSTALLED</v>
      </c>
    </row>
    <row r="263" spans="1:20">
      <c r="A263" s="31">
        <f>'12 - Device_Configuration'!H264</f>
        <v>0</v>
      </c>
      <c r="B263" s="31">
        <f>'12 - Device_Configuration'!S264</f>
        <v>0</v>
      </c>
      <c r="C263" s="31">
        <f>'12 - Device_Configuration'!T264</f>
        <v>0</v>
      </c>
      <c r="D263" s="17">
        <f>'12 - Device_Configuration'!AJ264</f>
        <v>0</v>
      </c>
      <c r="E263" s="17">
        <f>'12 - Device_Configuration'!J264</f>
        <v>0</v>
      </c>
      <c r="F263" s="31">
        <f>'12 - Device_Configuration'!K264</f>
        <v>0</v>
      </c>
      <c r="G263" s="17">
        <f>'12 - Device_Configuration'!L264</f>
        <v>0</v>
      </c>
      <c r="H263" s="17">
        <f>'13 - Config_Intake_View'!M263</f>
        <v>0</v>
      </c>
      <c r="I263" s="31">
        <f>IF('13 - Config_Intake_View'!Q263&lt;&gt;"",'13 - Config_Intake_View'!Q263,'12 - Device_Configuration'!BH264)</f>
        <v>0</v>
      </c>
      <c r="J263" s="17" t="str">
        <f>IF('13 - Config_Intake_View'!Q263&lt;&gt;"","PM Approved",IF('12 - Device_Configuration'!BH264&lt;&gt;"","Assumed",""))</f>
        <v/>
      </c>
      <c r="K263" s="31">
        <f>'12 - Device_Configuration'!BG264</f>
        <v>0</v>
      </c>
      <c r="L263" s="17">
        <f>'12 - Device_Configuration'!P264</f>
        <v>0</v>
      </c>
      <c r="M263" s="17">
        <f>'12 - Device_Configuration'!Q264</f>
        <v>0</v>
      </c>
      <c r="N263" s="17" t="str">
        <f>'12 - Device_Configuration'!BK264</f>
        <v/>
      </c>
      <c r="O263" s="31" t="str">
        <f>'12 - Device_Configuration'!BL264</f>
        <v/>
      </c>
      <c r="P263" s="2">
        <f>'12 - Device_Configuration'!BA264</f>
        <v>0</v>
      </c>
      <c r="Q263" s="31" t="str">
        <f t="shared" si="16"/>
        <v/>
      </c>
      <c r="R263" s="17" t="str">
        <f t="shared" si="17"/>
        <v>SW NOT INSTALLED</v>
      </c>
      <c r="S263" s="17" t="str">
        <f t="shared" si="18"/>
        <v/>
      </c>
      <c r="T263" s="17" t="str">
        <f t="shared" si="19"/>
        <v>SW NOT INSTALLED</v>
      </c>
    </row>
    <row r="264" spans="1:20">
      <c r="A264" s="31">
        <f>'12 - Device_Configuration'!H265</f>
        <v>0</v>
      </c>
      <c r="B264" s="31">
        <f>'12 - Device_Configuration'!S265</f>
        <v>0</v>
      </c>
      <c r="C264" s="31">
        <f>'12 - Device_Configuration'!T265</f>
        <v>0</v>
      </c>
      <c r="D264" s="17">
        <f>'12 - Device_Configuration'!AJ265</f>
        <v>0</v>
      </c>
      <c r="E264" s="17">
        <f>'12 - Device_Configuration'!J265</f>
        <v>0</v>
      </c>
      <c r="F264" s="31">
        <f>'12 - Device_Configuration'!K265</f>
        <v>0</v>
      </c>
      <c r="G264" s="17">
        <f>'12 - Device_Configuration'!L265</f>
        <v>0</v>
      </c>
      <c r="H264" s="17">
        <f>'13 - Config_Intake_View'!M264</f>
        <v>0</v>
      </c>
      <c r="I264" s="31">
        <f>IF('13 - Config_Intake_View'!Q264&lt;&gt;"",'13 - Config_Intake_View'!Q264,'12 - Device_Configuration'!BH265)</f>
        <v>0</v>
      </c>
      <c r="J264" s="17" t="str">
        <f>IF('13 - Config_Intake_View'!Q264&lt;&gt;"","PM Approved",IF('12 - Device_Configuration'!BH265&lt;&gt;"","Assumed",""))</f>
        <v/>
      </c>
      <c r="K264" s="31">
        <f>'12 - Device_Configuration'!BG265</f>
        <v>0</v>
      </c>
      <c r="L264" s="17">
        <f>'12 - Device_Configuration'!P265</f>
        <v>0</v>
      </c>
      <c r="M264" s="17">
        <f>'12 - Device_Configuration'!Q265</f>
        <v>0</v>
      </c>
      <c r="N264" s="17" t="str">
        <f>'12 - Device_Configuration'!BK265</f>
        <v/>
      </c>
      <c r="O264" s="31" t="str">
        <f>'12 - Device_Configuration'!BL265</f>
        <v/>
      </c>
      <c r="P264" s="2">
        <f>'12 - Device_Configuration'!BA265</f>
        <v>0</v>
      </c>
      <c r="Q264" s="31" t="str">
        <f t="shared" si="16"/>
        <v/>
      </c>
      <c r="R264" s="17" t="str">
        <f t="shared" si="17"/>
        <v>SW NOT INSTALLED</v>
      </c>
      <c r="S264" s="17" t="str">
        <f t="shared" si="18"/>
        <v/>
      </c>
      <c r="T264" s="17" t="str">
        <f t="shared" si="19"/>
        <v>SW NOT INSTALLED</v>
      </c>
    </row>
    <row r="265" spans="1:20">
      <c r="A265" s="31">
        <f>'12 - Device_Configuration'!H266</f>
        <v>0</v>
      </c>
      <c r="B265" s="31">
        <f>'12 - Device_Configuration'!S266</f>
        <v>0</v>
      </c>
      <c r="C265" s="31">
        <f>'12 - Device_Configuration'!T266</f>
        <v>0</v>
      </c>
      <c r="D265" s="17">
        <f>'12 - Device_Configuration'!AJ266</f>
        <v>0</v>
      </c>
      <c r="E265" s="17">
        <f>'12 - Device_Configuration'!J266</f>
        <v>0</v>
      </c>
      <c r="F265" s="31">
        <f>'12 - Device_Configuration'!K266</f>
        <v>0</v>
      </c>
      <c r="G265" s="17">
        <f>'12 - Device_Configuration'!L266</f>
        <v>0</v>
      </c>
      <c r="H265" s="17">
        <f>'13 - Config_Intake_View'!M265</f>
        <v>0</v>
      </c>
      <c r="I265" s="31">
        <f>IF('13 - Config_Intake_View'!Q265&lt;&gt;"",'13 - Config_Intake_View'!Q265,'12 - Device_Configuration'!BH266)</f>
        <v>0</v>
      </c>
      <c r="J265" s="17" t="str">
        <f>IF('13 - Config_Intake_View'!Q265&lt;&gt;"","PM Approved",IF('12 - Device_Configuration'!BH266&lt;&gt;"","Assumed",""))</f>
        <v/>
      </c>
      <c r="K265" s="31">
        <f>'12 - Device_Configuration'!BG266</f>
        <v>0</v>
      </c>
      <c r="L265" s="17">
        <f>'12 - Device_Configuration'!P266</f>
        <v>0</v>
      </c>
      <c r="M265" s="17">
        <f>'12 - Device_Configuration'!Q266</f>
        <v>0</v>
      </c>
      <c r="N265" s="17" t="str">
        <f>'12 - Device_Configuration'!BK266</f>
        <v/>
      </c>
      <c r="O265" s="31" t="str">
        <f>'12 - Device_Configuration'!BL266</f>
        <v/>
      </c>
      <c r="P265" s="2">
        <f>'12 - Device_Configuration'!BA266</f>
        <v>0</v>
      </c>
      <c r="Q265" s="31" t="str">
        <f t="shared" si="16"/>
        <v/>
      </c>
      <c r="R265" s="17" t="str">
        <f t="shared" si="17"/>
        <v>SW NOT INSTALLED</v>
      </c>
      <c r="S265" s="17" t="str">
        <f t="shared" si="18"/>
        <v/>
      </c>
      <c r="T265" s="17" t="str">
        <f t="shared" si="19"/>
        <v>SW NOT INSTALLED</v>
      </c>
    </row>
    <row r="266" spans="1:20">
      <c r="A266" s="31">
        <f>'12 - Device_Configuration'!H267</f>
        <v>0</v>
      </c>
      <c r="B266" s="31">
        <f>'12 - Device_Configuration'!S267</f>
        <v>0</v>
      </c>
      <c r="C266" s="31">
        <f>'12 - Device_Configuration'!T267</f>
        <v>0</v>
      </c>
      <c r="D266" s="17">
        <f>'12 - Device_Configuration'!AJ267</f>
        <v>0</v>
      </c>
      <c r="E266" s="17">
        <f>'12 - Device_Configuration'!J267</f>
        <v>0</v>
      </c>
      <c r="F266" s="31">
        <f>'12 - Device_Configuration'!K267</f>
        <v>0</v>
      </c>
      <c r="G266" s="17">
        <f>'12 - Device_Configuration'!L267</f>
        <v>0</v>
      </c>
      <c r="H266" s="17">
        <f>'13 - Config_Intake_View'!M266</f>
        <v>0</v>
      </c>
      <c r="I266" s="31">
        <f>IF('13 - Config_Intake_View'!Q266&lt;&gt;"",'13 - Config_Intake_View'!Q266,'12 - Device_Configuration'!BH267)</f>
        <v>0</v>
      </c>
      <c r="J266" s="17" t="str">
        <f>IF('13 - Config_Intake_View'!Q266&lt;&gt;"","PM Approved",IF('12 - Device_Configuration'!BH267&lt;&gt;"","Assumed",""))</f>
        <v/>
      </c>
      <c r="K266" s="31">
        <f>'12 - Device_Configuration'!BG267</f>
        <v>0</v>
      </c>
      <c r="L266" s="17">
        <f>'12 - Device_Configuration'!P267</f>
        <v>0</v>
      </c>
      <c r="M266" s="17">
        <f>'12 - Device_Configuration'!Q267</f>
        <v>0</v>
      </c>
      <c r="N266" s="17" t="str">
        <f>'12 - Device_Configuration'!BK267</f>
        <v/>
      </c>
      <c r="O266" s="31" t="str">
        <f>'12 - Device_Configuration'!BL267</f>
        <v/>
      </c>
      <c r="P266" s="2">
        <f>'12 - Device_Configuration'!BA267</f>
        <v>0</v>
      </c>
      <c r="Q266" s="31" t="str">
        <f t="shared" si="16"/>
        <v/>
      </c>
      <c r="R266" s="17" t="str">
        <f t="shared" si="17"/>
        <v>SW NOT INSTALLED</v>
      </c>
      <c r="S266" s="17" t="str">
        <f t="shared" si="18"/>
        <v/>
      </c>
      <c r="T266" s="17" t="str">
        <f t="shared" si="19"/>
        <v>SW NOT INSTALLED</v>
      </c>
    </row>
    <row r="267" spans="1:20">
      <c r="A267" s="31">
        <f>'12 - Device_Configuration'!H268</f>
        <v>0</v>
      </c>
      <c r="B267" s="31">
        <f>'12 - Device_Configuration'!S268</f>
        <v>0</v>
      </c>
      <c r="C267" s="31">
        <f>'12 - Device_Configuration'!T268</f>
        <v>0</v>
      </c>
      <c r="D267" s="17">
        <f>'12 - Device_Configuration'!AJ268</f>
        <v>0</v>
      </c>
      <c r="E267" s="17">
        <f>'12 - Device_Configuration'!J268</f>
        <v>0</v>
      </c>
      <c r="F267" s="31">
        <f>'12 - Device_Configuration'!K268</f>
        <v>0</v>
      </c>
      <c r="G267" s="17">
        <f>'12 - Device_Configuration'!L268</f>
        <v>0</v>
      </c>
      <c r="H267" s="17">
        <f>'13 - Config_Intake_View'!M267</f>
        <v>0</v>
      </c>
      <c r="I267" s="31">
        <f>IF('13 - Config_Intake_View'!Q267&lt;&gt;"",'13 - Config_Intake_View'!Q267,'12 - Device_Configuration'!BH268)</f>
        <v>0</v>
      </c>
      <c r="J267" s="17" t="str">
        <f>IF('13 - Config_Intake_View'!Q267&lt;&gt;"","PM Approved",IF('12 - Device_Configuration'!BH268&lt;&gt;"","Assumed",""))</f>
        <v/>
      </c>
      <c r="K267" s="31">
        <f>'12 - Device_Configuration'!BG268</f>
        <v>0</v>
      </c>
      <c r="L267" s="17">
        <f>'12 - Device_Configuration'!P268</f>
        <v>0</v>
      </c>
      <c r="M267" s="17">
        <f>'12 - Device_Configuration'!Q268</f>
        <v>0</v>
      </c>
      <c r="N267" s="17" t="str">
        <f>'12 - Device_Configuration'!BK268</f>
        <v/>
      </c>
      <c r="O267" s="31" t="str">
        <f>'12 - Device_Configuration'!BL268</f>
        <v/>
      </c>
      <c r="P267" s="2">
        <f>'12 - Device_Configuration'!BA268</f>
        <v>0</v>
      </c>
      <c r="Q267" s="31" t="str">
        <f t="shared" si="16"/>
        <v/>
      </c>
      <c r="R267" s="17" t="str">
        <f t="shared" si="17"/>
        <v>SW NOT INSTALLED</v>
      </c>
      <c r="S267" s="17" t="str">
        <f t="shared" si="18"/>
        <v/>
      </c>
      <c r="T267" s="17" t="str">
        <f t="shared" si="19"/>
        <v>SW NOT INSTALLED</v>
      </c>
    </row>
    <row r="268" spans="1:20">
      <c r="A268" s="31">
        <f>'12 - Device_Configuration'!H269</f>
        <v>0</v>
      </c>
      <c r="B268" s="31">
        <f>'12 - Device_Configuration'!S269</f>
        <v>0</v>
      </c>
      <c r="C268" s="31">
        <f>'12 - Device_Configuration'!T269</f>
        <v>0</v>
      </c>
      <c r="D268" s="17">
        <f>'12 - Device_Configuration'!AJ269</f>
        <v>0</v>
      </c>
      <c r="E268" s="17">
        <f>'12 - Device_Configuration'!J269</f>
        <v>0</v>
      </c>
      <c r="F268" s="31">
        <f>'12 - Device_Configuration'!K269</f>
        <v>0</v>
      </c>
      <c r="G268" s="17">
        <f>'12 - Device_Configuration'!L269</f>
        <v>0</v>
      </c>
      <c r="H268" s="17">
        <f>'13 - Config_Intake_View'!M268</f>
        <v>0</v>
      </c>
      <c r="I268" s="31">
        <f>IF('13 - Config_Intake_View'!Q268&lt;&gt;"",'13 - Config_Intake_View'!Q268,'12 - Device_Configuration'!BH269)</f>
        <v>0</v>
      </c>
      <c r="J268" s="17" t="str">
        <f>IF('13 - Config_Intake_View'!Q268&lt;&gt;"","PM Approved",IF('12 - Device_Configuration'!BH269&lt;&gt;"","Assumed",""))</f>
        <v/>
      </c>
      <c r="K268" s="31">
        <f>'12 - Device_Configuration'!BG269</f>
        <v>0</v>
      </c>
      <c r="L268" s="17">
        <f>'12 - Device_Configuration'!P269</f>
        <v>0</v>
      </c>
      <c r="M268" s="17">
        <f>'12 - Device_Configuration'!Q269</f>
        <v>0</v>
      </c>
      <c r="N268" s="17" t="str">
        <f>'12 - Device_Configuration'!BK269</f>
        <v/>
      </c>
      <c r="O268" s="31" t="str">
        <f>'12 - Device_Configuration'!BL269</f>
        <v/>
      </c>
      <c r="P268" s="2">
        <f>'12 - Device_Configuration'!BA269</f>
        <v>0</v>
      </c>
      <c r="Q268" s="31" t="str">
        <f t="shared" si="16"/>
        <v/>
      </c>
      <c r="R268" s="17" t="str">
        <f t="shared" si="17"/>
        <v>SW NOT INSTALLED</v>
      </c>
      <c r="S268" s="17" t="str">
        <f t="shared" si="18"/>
        <v/>
      </c>
      <c r="T268" s="17" t="str">
        <f t="shared" si="19"/>
        <v>SW NOT INSTALLED</v>
      </c>
    </row>
    <row r="269" spans="1:20">
      <c r="A269" s="31">
        <f>'12 - Device_Configuration'!H270</f>
        <v>0</v>
      </c>
      <c r="B269" s="31">
        <f>'12 - Device_Configuration'!S270</f>
        <v>0</v>
      </c>
      <c r="C269" s="31">
        <f>'12 - Device_Configuration'!T270</f>
        <v>0</v>
      </c>
      <c r="D269" s="17">
        <f>'12 - Device_Configuration'!AJ270</f>
        <v>0</v>
      </c>
      <c r="E269" s="17">
        <f>'12 - Device_Configuration'!J270</f>
        <v>0</v>
      </c>
      <c r="F269" s="31">
        <f>'12 - Device_Configuration'!K270</f>
        <v>0</v>
      </c>
      <c r="G269" s="17">
        <f>'12 - Device_Configuration'!L270</f>
        <v>0</v>
      </c>
      <c r="H269" s="17">
        <f>'13 - Config_Intake_View'!M269</f>
        <v>0</v>
      </c>
      <c r="I269" s="31">
        <f>IF('13 - Config_Intake_View'!Q269&lt;&gt;"",'13 - Config_Intake_View'!Q269,'12 - Device_Configuration'!BH270)</f>
        <v>0</v>
      </c>
      <c r="J269" s="17" t="str">
        <f>IF('13 - Config_Intake_View'!Q269&lt;&gt;"","PM Approved",IF('12 - Device_Configuration'!BH270&lt;&gt;"","Assumed",""))</f>
        <v/>
      </c>
      <c r="K269" s="31">
        <f>'12 - Device_Configuration'!BG270</f>
        <v>0</v>
      </c>
      <c r="L269" s="17">
        <f>'12 - Device_Configuration'!P270</f>
        <v>0</v>
      </c>
      <c r="M269" s="17">
        <f>'12 - Device_Configuration'!Q270</f>
        <v>0</v>
      </c>
      <c r="N269" s="17" t="str">
        <f>'12 - Device_Configuration'!BK270</f>
        <v/>
      </c>
      <c r="O269" s="31" t="str">
        <f>'12 - Device_Configuration'!BL270</f>
        <v/>
      </c>
      <c r="P269" s="2">
        <f>'12 - Device_Configuration'!BA270</f>
        <v>0</v>
      </c>
      <c r="Q269" s="31" t="str">
        <f t="shared" si="16"/>
        <v/>
      </c>
      <c r="R269" s="17" t="str">
        <f t="shared" si="17"/>
        <v>SW NOT INSTALLED</v>
      </c>
      <c r="S269" s="17" t="str">
        <f t="shared" si="18"/>
        <v/>
      </c>
      <c r="T269" s="17" t="str">
        <f t="shared" si="19"/>
        <v>SW NOT INSTALLED</v>
      </c>
    </row>
    <row r="270" spans="1:20">
      <c r="A270" s="31">
        <f>'12 - Device_Configuration'!H271</f>
        <v>0</v>
      </c>
      <c r="B270" s="31">
        <f>'12 - Device_Configuration'!S271</f>
        <v>0</v>
      </c>
      <c r="C270" s="31">
        <f>'12 - Device_Configuration'!T271</f>
        <v>0</v>
      </c>
      <c r="D270" s="17">
        <f>'12 - Device_Configuration'!AJ271</f>
        <v>0</v>
      </c>
      <c r="E270" s="17">
        <f>'12 - Device_Configuration'!J271</f>
        <v>0</v>
      </c>
      <c r="F270" s="31">
        <f>'12 - Device_Configuration'!K271</f>
        <v>0</v>
      </c>
      <c r="G270" s="17">
        <f>'12 - Device_Configuration'!L271</f>
        <v>0</v>
      </c>
      <c r="H270" s="17">
        <f>'13 - Config_Intake_View'!M270</f>
        <v>0</v>
      </c>
      <c r="I270" s="31">
        <f>IF('13 - Config_Intake_View'!Q270&lt;&gt;"",'13 - Config_Intake_View'!Q270,'12 - Device_Configuration'!BH271)</f>
        <v>0</v>
      </c>
      <c r="J270" s="17" t="str">
        <f>IF('13 - Config_Intake_View'!Q270&lt;&gt;"","PM Approved",IF('12 - Device_Configuration'!BH271&lt;&gt;"","Assumed",""))</f>
        <v/>
      </c>
      <c r="K270" s="31">
        <f>'12 - Device_Configuration'!BG271</f>
        <v>0</v>
      </c>
      <c r="L270" s="17">
        <f>'12 - Device_Configuration'!P271</f>
        <v>0</v>
      </c>
      <c r="M270" s="17">
        <f>'12 - Device_Configuration'!Q271</f>
        <v>0</v>
      </c>
      <c r="N270" s="17" t="str">
        <f>'12 - Device_Configuration'!BK271</f>
        <v/>
      </c>
      <c r="O270" s="31" t="str">
        <f>'12 - Device_Configuration'!BL271</f>
        <v/>
      </c>
      <c r="P270" s="2">
        <f>'12 - Device_Configuration'!BA271</f>
        <v>0</v>
      </c>
      <c r="Q270" s="31" t="str">
        <f t="shared" si="16"/>
        <v/>
      </c>
      <c r="R270" s="17" t="str">
        <f t="shared" si="17"/>
        <v>SW NOT INSTALLED</v>
      </c>
      <c r="S270" s="17" t="str">
        <f t="shared" si="18"/>
        <v/>
      </c>
      <c r="T270" s="17" t="str">
        <f t="shared" si="19"/>
        <v>SW NOT INSTALLED</v>
      </c>
    </row>
    <row r="271" spans="1:20">
      <c r="A271" s="31">
        <f>'12 - Device_Configuration'!H272</f>
        <v>0</v>
      </c>
      <c r="B271" s="31">
        <f>'12 - Device_Configuration'!S272</f>
        <v>0</v>
      </c>
      <c r="C271" s="31">
        <f>'12 - Device_Configuration'!T272</f>
        <v>0</v>
      </c>
      <c r="D271" s="17">
        <f>'12 - Device_Configuration'!AJ272</f>
        <v>0</v>
      </c>
      <c r="E271" s="17">
        <f>'12 - Device_Configuration'!J272</f>
        <v>0</v>
      </c>
      <c r="F271" s="31">
        <f>'12 - Device_Configuration'!K272</f>
        <v>0</v>
      </c>
      <c r="G271" s="17">
        <f>'12 - Device_Configuration'!L272</f>
        <v>0</v>
      </c>
      <c r="H271" s="17">
        <f>'13 - Config_Intake_View'!M271</f>
        <v>0</v>
      </c>
      <c r="I271" s="31">
        <f>IF('13 - Config_Intake_View'!Q271&lt;&gt;"",'13 - Config_Intake_View'!Q271,'12 - Device_Configuration'!BH272)</f>
        <v>0</v>
      </c>
      <c r="J271" s="17" t="str">
        <f>IF('13 - Config_Intake_View'!Q271&lt;&gt;"","PM Approved",IF('12 - Device_Configuration'!BH272&lt;&gt;"","Assumed",""))</f>
        <v/>
      </c>
      <c r="K271" s="31">
        <f>'12 - Device_Configuration'!BG272</f>
        <v>0</v>
      </c>
      <c r="L271" s="17">
        <f>'12 - Device_Configuration'!P272</f>
        <v>0</v>
      </c>
      <c r="M271" s="17">
        <f>'12 - Device_Configuration'!Q272</f>
        <v>0</v>
      </c>
      <c r="N271" s="17" t="str">
        <f>'12 - Device_Configuration'!BK272</f>
        <v/>
      </c>
      <c r="O271" s="31" t="str">
        <f>'12 - Device_Configuration'!BL272</f>
        <v/>
      </c>
      <c r="P271" s="2">
        <f>'12 - Device_Configuration'!BA272</f>
        <v>0</v>
      </c>
      <c r="Q271" s="31" t="str">
        <f t="shared" si="16"/>
        <v/>
      </c>
      <c r="R271" s="17" t="str">
        <f t="shared" si="17"/>
        <v>SW NOT INSTALLED</v>
      </c>
      <c r="S271" s="17" t="str">
        <f t="shared" si="18"/>
        <v/>
      </c>
      <c r="T271" s="17" t="str">
        <f t="shared" si="19"/>
        <v>SW NOT INSTALLED</v>
      </c>
    </row>
    <row r="272" spans="1:20">
      <c r="A272" s="31">
        <f>'12 - Device_Configuration'!H273</f>
        <v>0</v>
      </c>
      <c r="B272" s="31">
        <f>'12 - Device_Configuration'!S273</f>
        <v>0</v>
      </c>
      <c r="C272" s="31">
        <f>'12 - Device_Configuration'!T273</f>
        <v>0</v>
      </c>
      <c r="D272" s="17">
        <f>'12 - Device_Configuration'!AJ273</f>
        <v>0</v>
      </c>
      <c r="E272" s="17">
        <f>'12 - Device_Configuration'!J273</f>
        <v>0</v>
      </c>
      <c r="F272" s="31">
        <f>'12 - Device_Configuration'!K273</f>
        <v>0</v>
      </c>
      <c r="G272" s="17">
        <f>'12 - Device_Configuration'!L273</f>
        <v>0</v>
      </c>
      <c r="H272" s="17">
        <f>'13 - Config_Intake_View'!M272</f>
        <v>0</v>
      </c>
      <c r="I272" s="31">
        <f>IF('13 - Config_Intake_View'!Q272&lt;&gt;"",'13 - Config_Intake_View'!Q272,'12 - Device_Configuration'!BH273)</f>
        <v>0</v>
      </c>
      <c r="J272" s="17" t="str">
        <f>IF('13 - Config_Intake_View'!Q272&lt;&gt;"","PM Approved",IF('12 - Device_Configuration'!BH273&lt;&gt;"","Assumed",""))</f>
        <v/>
      </c>
      <c r="K272" s="31">
        <f>'12 - Device_Configuration'!BG273</f>
        <v>0</v>
      </c>
      <c r="L272" s="17">
        <f>'12 - Device_Configuration'!P273</f>
        <v>0</v>
      </c>
      <c r="M272" s="17">
        <f>'12 - Device_Configuration'!Q273</f>
        <v>0</v>
      </c>
      <c r="N272" s="17" t="str">
        <f>'12 - Device_Configuration'!BK273</f>
        <v/>
      </c>
      <c r="O272" s="31" t="str">
        <f>'12 - Device_Configuration'!BL273</f>
        <v/>
      </c>
      <c r="P272" s="2">
        <f>'12 - Device_Configuration'!BA273</f>
        <v>0</v>
      </c>
      <c r="Q272" s="31" t="str">
        <f t="shared" si="16"/>
        <v/>
      </c>
      <c r="R272" s="17" t="str">
        <f t="shared" si="17"/>
        <v>SW NOT INSTALLED</v>
      </c>
      <c r="S272" s="17" t="str">
        <f t="shared" si="18"/>
        <v/>
      </c>
      <c r="T272" s="17" t="str">
        <f t="shared" si="19"/>
        <v>SW NOT INSTALLED</v>
      </c>
    </row>
    <row r="273" spans="1:20">
      <c r="A273" s="31">
        <f>'12 - Device_Configuration'!H274</f>
        <v>0</v>
      </c>
      <c r="B273" s="31">
        <f>'12 - Device_Configuration'!S274</f>
        <v>0</v>
      </c>
      <c r="C273" s="31">
        <f>'12 - Device_Configuration'!T274</f>
        <v>0</v>
      </c>
      <c r="D273" s="17">
        <f>'12 - Device_Configuration'!AJ274</f>
        <v>0</v>
      </c>
      <c r="E273" s="17">
        <f>'12 - Device_Configuration'!J274</f>
        <v>0</v>
      </c>
      <c r="F273" s="31">
        <f>'12 - Device_Configuration'!K274</f>
        <v>0</v>
      </c>
      <c r="G273" s="17">
        <f>'12 - Device_Configuration'!L274</f>
        <v>0</v>
      </c>
      <c r="H273" s="17">
        <f>'13 - Config_Intake_View'!M273</f>
        <v>0</v>
      </c>
      <c r="I273" s="31">
        <f>IF('13 - Config_Intake_View'!Q273&lt;&gt;"",'13 - Config_Intake_View'!Q273,'12 - Device_Configuration'!BH274)</f>
        <v>0</v>
      </c>
      <c r="J273" s="17" t="str">
        <f>IF('13 - Config_Intake_View'!Q273&lt;&gt;"","PM Approved",IF('12 - Device_Configuration'!BH274&lt;&gt;"","Assumed",""))</f>
        <v/>
      </c>
      <c r="K273" s="31">
        <f>'12 - Device_Configuration'!BG274</f>
        <v>0</v>
      </c>
      <c r="L273" s="17">
        <f>'12 - Device_Configuration'!P274</f>
        <v>0</v>
      </c>
      <c r="M273" s="17">
        <f>'12 - Device_Configuration'!Q274</f>
        <v>0</v>
      </c>
      <c r="N273" s="17" t="str">
        <f>'12 - Device_Configuration'!BK274</f>
        <v/>
      </c>
      <c r="O273" s="31" t="str">
        <f>'12 - Device_Configuration'!BL274</f>
        <v/>
      </c>
      <c r="P273" s="2">
        <f>'12 - Device_Configuration'!BA274</f>
        <v>0</v>
      </c>
      <c r="Q273" s="31" t="str">
        <f t="shared" si="16"/>
        <v/>
      </c>
      <c r="R273" s="17" t="str">
        <f t="shared" si="17"/>
        <v>SW NOT INSTALLED</v>
      </c>
      <c r="S273" s="17" t="str">
        <f t="shared" si="18"/>
        <v/>
      </c>
      <c r="T273" s="17" t="str">
        <f t="shared" si="19"/>
        <v>SW NOT INSTALLED</v>
      </c>
    </row>
    <row r="274" spans="1:20">
      <c r="A274" s="31">
        <f>'12 - Device_Configuration'!H275</f>
        <v>0</v>
      </c>
      <c r="B274" s="31">
        <f>'12 - Device_Configuration'!S275</f>
        <v>0</v>
      </c>
      <c r="C274" s="31">
        <f>'12 - Device_Configuration'!T275</f>
        <v>0</v>
      </c>
      <c r="D274" s="17">
        <f>'12 - Device_Configuration'!AJ275</f>
        <v>0</v>
      </c>
      <c r="E274" s="17">
        <f>'12 - Device_Configuration'!J275</f>
        <v>0</v>
      </c>
      <c r="F274" s="31">
        <f>'12 - Device_Configuration'!K275</f>
        <v>0</v>
      </c>
      <c r="G274" s="17">
        <f>'12 - Device_Configuration'!L275</f>
        <v>0</v>
      </c>
      <c r="H274" s="17">
        <f>'13 - Config_Intake_View'!M274</f>
        <v>0</v>
      </c>
      <c r="I274" s="31">
        <f>IF('13 - Config_Intake_View'!Q274&lt;&gt;"",'13 - Config_Intake_View'!Q274,'12 - Device_Configuration'!BH275)</f>
        <v>0</v>
      </c>
      <c r="J274" s="17" t="str">
        <f>IF('13 - Config_Intake_View'!Q274&lt;&gt;"","PM Approved",IF('12 - Device_Configuration'!BH275&lt;&gt;"","Assumed",""))</f>
        <v/>
      </c>
      <c r="K274" s="31">
        <f>'12 - Device_Configuration'!BG275</f>
        <v>0</v>
      </c>
      <c r="L274" s="17">
        <f>'12 - Device_Configuration'!P275</f>
        <v>0</v>
      </c>
      <c r="M274" s="17">
        <f>'12 - Device_Configuration'!Q275</f>
        <v>0</v>
      </c>
      <c r="N274" s="17" t="str">
        <f>'12 - Device_Configuration'!BK275</f>
        <v/>
      </c>
      <c r="O274" s="31" t="str">
        <f>'12 - Device_Configuration'!BL275</f>
        <v/>
      </c>
      <c r="P274" s="2">
        <f>'12 - Device_Configuration'!BA275</f>
        <v>0</v>
      </c>
      <c r="Q274" s="31" t="str">
        <f t="shared" si="16"/>
        <v/>
      </c>
      <c r="R274" s="17" t="str">
        <f t="shared" si="17"/>
        <v>SW NOT INSTALLED</v>
      </c>
      <c r="S274" s="17" t="str">
        <f t="shared" si="18"/>
        <v/>
      </c>
      <c r="T274" s="17" t="str">
        <f t="shared" si="19"/>
        <v>SW NOT INSTALLED</v>
      </c>
    </row>
    <row r="275" spans="1:20">
      <c r="A275" s="31">
        <f>'12 - Device_Configuration'!H276</f>
        <v>0</v>
      </c>
      <c r="B275" s="31">
        <f>'12 - Device_Configuration'!S276</f>
        <v>0</v>
      </c>
      <c r="C275" s="31">
        <f>'12 - Device_Configuration'!T276</f>
        <v>0</v>
      </c>
      <c r="D275" s="17">
        <f>'12 - Device_Configuration'!AJ276</f>
        <v>0</v>
      </c>
      <c r="E275" s="17">
        <f>'12 - Device_Configuration'!J276</f>
        <v>0</v>
      </c>
      <c r="F275" s="31">
        <f>'12 - Device_Configuration'!K276</f>
        <v>0</v>
      </c>
      <c r="G275" s="17">
        <f>'12 - Device_Configuration'!L276</f>
        <v>0</v>
      </c>
      <c r="H275" s="17">
        <f>'13 - Config_Intake_View'!M275</f>
        <v>0</v>
      </c>
      <c r="I275" s="31">
        <f>IF('13 - Config_Intake_View'!Q275&lt;&gt;"",'13 - Config_Intake_View'!Q275,'12 - Device_Configuration'!BH276)</f>
        <v>0</v>
      </c>
      <c r="J275" s="17" t="str">
        <f>IF('13 - Config_Intake_View'!Q275&lt;&gt;"","PM Approved",IF('12 - Device_Configuration'!BH276&lt;&gt;"","Assumed",""))</f>
        <v/>
      </c>
      <c r="K275" s="31">
        <f>'12 - Device_Configuration'!BG276</f>
        <v>0</v>
      </c>
      <c r="L275" s="17">
        <f>'12 - Device_Configuration'!P276</f>
        <v>0</v>
      </c>
      <c r="M275" s="17">
        <f>'12 - Device_Configuration'!Q276</f>
        <v>0</v>
      </c>
      <c r="N275" s="17" t="str">
        <f>'12 - Device_Configuration'!BK276</f>
        <v/>
      </c>
      <c r="O275" s="31" t="str">
        <f>'12 - Device_Configuration'!BL276</f>
        <v/>
      </c>
      <c r="P275" s="2">
        <f>'12 - Device_Configuration'!BA276</f>
        <v>0</v>
      </c>
      <c r="Q275" s="31" t="str">
        <f t="shared" si="16"/>
        <v/>
      </c>
      <c r="R275" s="17" t="str">
        <f t="shared" si="17"/>
        <v>SW NOT INSTALLED</v>
      </c>
      <c r="S275" s="17" t="str">
        <f t="shared" si="18"/>
        <v/>
      </c>
      <c r="T275" s="17" t="str">
        <f t="shared" si="19"/>
        <v>SW NOT INSTALLED</v>
      </c>
    </row>
    <row r="276" spans="1:20">
      <c r="A276" s="31">
        <f>'12 - Device_Configuration'!H277</f>
        <v>0</v>
      </c>
      <c r="B276" s="31">
        <f>'12 - Device_Configuration'!S277</f>
        <v>0</v>
      </c>
      <c r="C276" s="31">
        <f>'12 - Device_Configuration'!T277</f>
        <v>0</v>
      </c>
      <c r="D276" s="17">
        <f>'12 - Device_Configuration'!AJ277</f>
        <v>0</v>
      </c>
      <c r="E276" s="17">
        <f>'12 - Device_Configuration'!J277</f>
        <v>0</v>
      </c>
      <c r="F276" s="31">
        <f>'12 - Device_Configuration'!K277</f>
        <v>0</v>
      </c>
      <c r="G276" s="17">
        <f>'12 - Device_Configuration'!L277</f>
        <v>0</v>
      </c>
      <c r="H276" s="17">
        <f>'13 - Config_Intake_View'!M276</f>
        <v>0</v>
      </c>
      <c r="I276" s="31">
        <f>IF('13 - Config_Intake_View'!Q276&lt;&gt;"",'13 - Config_Intake_View'!Q276,'12 - Device_Configuration'!BH277)</f>
        <v>0</v>
      </c>
      <c r="J276" s="17" t="str">
        <f>IF('13 - Config_Intake_View'!Q276&lt;&gt;"","PM Approved",IF('12 - Device_Configuration'!BH277&lt;&gt;"","Assumed",""))</f>
        <v/>
      </c>
      <c r="K276" s="31">
        <f>'12 - Device_Configuration'!BG277</f>
        <v>0</v>
      </c>
      <c r="L276" s="17">
        <f>'12 - Device_Configuration'!P277</f>
        <v>0</v>
      </c>
      <c r="M276" s="17">
        <f>'12 - Device_Configuration'!Q277</f>
        <v>0</v>
      </c>
      <c r="N276" s="17" t="str">
        <f>'12 - Device_Configuration'!BK277</f>
        <v/>
      </c>
      <c r="O276" s="31" t="str">
        <f>'12 - Device_Configuration'!BL277</f>
        <v/>
      </c>
      <c r="P276" s="2">
        <f>'12 - Device_Configuration'!BA277</f>
        <v>0</v>
      </c>
      <c r="Q276" s="31" t="str">
        <f t="shared" si="16"/>
        <v/>
      </c>
      <c r="R276" s="17" t="str">
        <f t="shared" si="17"/>
        <v>SW NOT INSTALLED</v>
      </c>
      <c r="S276" s="17" t="str">
        <f t="shared" si="18"/>
        <v/>
      </c>
      <c r="T276" s="17" t="str">
        <f t="shared" si="19"/>
        <v>SW NOT INSTALLED</v>
      </c>
    </row>
    <row r="277" spans="1:20">
      <c r="A277" s="31">
        <f>'12 - Device_Configuration'!H278</f>
        <v>0</v>
      </c>
      <c r="B277" s="31">
        <f>'12 - Device_Configuration'!S278</f>
        <v>0</v>
      </c>
      <c r="C277" s="31">
        <f>'12 - Device_Configuration'!T278</f>
        <v>0</v>
      </c>
      <c r="D277" s="17">
        <f>'12 - Device_Configuration'!AJ278</f>
        <v>0</v>
      </c>
      <c r="E277" s="17">
        <f>'12 - Device_Configuration'!J278</f>
        <v>0</v>
      </c>
      <c r="F277" s="31">
        <f>'12 - Device_Configuration'!K278</f>
        <v>0</v>
      </c>
      <c r="G277" s="17">
        <f>'12 - Device_Configuration'!L278</f>
        <v>0</v>
      </c>
      <c r="H277" s="17">
        <f>'13 - Config_Intake_View'!M277</f>
        <v>0</v>
      </c>
      <c r="I277" s="31">
        <f>IF('13 - Config_Intake_View'!Q277&lt;&gt;"",'13 - Config_Intake_View'!Q277,'12 - Device_Configuration'!BH278)</f>
        <v>0</v>
      </c>
      <c r="J277" s="17" t="str">
        <f>IF('13 - Config_Intake_View'!Q277&lt;&gt;"","PM Approved",IF('12 - Device_Configuration'!BH278&lt;&gt;"","Assumed",""))</f>
        <v/>
      </c>
      <c r="K277" s="31">
        <f>'12 - Device_Configuration'!BG278</f>
        <v>0</v>
      </c>
      <c r="L277" s="17">
        <f>'12 - Device_Configuration'!P278</f>
        <v>0</v>
      </c>
      <c r="M277" s="17">
        <f>'12 - Device_Configuration'!Q278</f>
        <v>0</v>
      </c>
      <c r="N277" s="17" t="str">
        <f>'12 - Device_Configuration'!BK278</f>
        <v/>
      </c>
      <c r="O277" s="31" t="str">
        <f>'12 - Device_Configuration'!BL278</f>
        <v/>
      </c>
      <c r="P277" s="2">
        <f>'12 - Device_Configuration'!BA278</f>
        <v>0</v>
      </c>
      <c r="Q277" s="31" t="str">
        <f t="shared" si="16"/>
        <v/>
      </c>
      <c r="R277" s="17" t="str">
        <f t="shared" si="17"/>
        <v>SW NOT INSTALLED</v>
      </c>
      <c r="S277" s="17" t="str">
        <f t="shared" si="18"/>
        <v/>
      </c>
      <c r="T277" s="17" t="str">
        <f t="shared" si="19"/>
        <v>SW NOT INSTALLED</v>
      </c>
    </row>
    <row r="278" spans="1:20">
      <c r="A278" s="31">
        <f>'12 - Device_Configuration'!H279</f>
        <v>0</v>
      </c>
      <c r="B278" s="31">
        <f>'12 - Device_Configuration'!S279</f>
        <v>0</v>
      </c>
      <c r="C278" s="31">
        <f>'12 - Device_Configuration'!T279</f>
        <v>0</v>
      </c>
      <c r="D278" s="17">
        <f>'12 - Device_Configuration'!AJ279</f>
        <v>0</v>
      </c>
      <c r="E278" s="17">
        <f>'12 - Device_Configuration'!J279</f>
        <v>0</v>
      </c>
      <c r="F278" s="31">
        <f>'12 - Device_Configuration'!K279</f>
        <v>0</v>
      </c>
      <c r="G278" s="17">
        <f>'12 - Device_Configuration'!L279</f>
        <v>0</v>
      </c>
      <c r="H278" s="17">
        <f>'13 - Config_Intake_View'!M278</f>
        <v>0</v>
      </c>
      <c r="I278" s="31">
        <f>IF('13 - Config_Intake_View'!Q278&lt;&gt;"",'13 - Config_Intake_View'!Q278,'12 - Device_Configuration'!BH279)</f>
        <v>0</v>
      </c>
      <c r="J278" s="17" t="str">
        <f>IF('13 - Config_Intake_View'!Q278&lt;&gt;"","PM Approved",IF('12 - Device_Configuration'!BH279&lt;&gt;"","Assumed",""))</f>
        <v/>
      </c>
      <c r="K278" s="31">
        <f>'12 - Device_Configuration'!BG279</f>
        <v>0</v>
      </c>
      <c r="L278" s="17">
        <f>'12 - Device_Configuration'!P279</f>
        <v>0</v>
      </c>
      <c r="M278" s="17">
        <f>'12 - Device_Configuration'!Q279</f>
        <v>0</v>
      </c>
      <c r="N278" s="17" t="str">
        <f>'12 - Device_Configuration'!BK279</f>
        <v/>
      </c>
      <c r="O278" s="31" t="str">
        <f>'12 - Device_Configuration'!BL279</f>
        <v/>
      </c>
      <c r="P278" s="2">
        <f>'12 - Device_Configuration'!BA279</f>
        <v>0</v>
      </c>
      <c r="Q278" s="31" t="str">
        <f t="shared" si="16"/>
        <v/>
      </c>
      <c r="R278" s="17" t="str">
        <f t="shared" si="17"/>
        <v>SW NOT INSTALLED</v>
      </c>
      <c r="S278" s="17" t="str">
        <f t="shared" si="18"/>
        <v/>
      </c>
      <c r="T278" s="17" t="str">
        <f t="shared" si="19"/>
        <v>SW NOT INSTALLED</v>
      </c>
    </row>
    <row r="279" spans="1:20">
      <c r="A279" s="31">
        <f>'12 - Device_Configuration'!H280</f>
        <v>0</v>
      </c>
      <c r="B279" s="31">
        <f>'12 - Device_Configuration'!S280</f>
        <v>0</v>
      </c>
      <c r="C279" s="31">
        <f>'12 - Device_Configuration'!T280</f>
        <v>0</v>
      </c>
      <c r="D279" s="17">
        <f>'12 - Device_Configuration'!AJ280</f>
        <v>0</v>
      </c>
      <c r="E279" s="17">
        <f>'12 - Device_Configuration'!J280</f>
        <v>0</v>
      </c>
      <c r="F279" s="31">
        <f>'12 - Device_Configuration'!K280</f>
        <v>0</v>
      </c>
      <c r="G279" s="17">
        <f>'12 - Device_Configuration'!L280</f>
        <v>0</v>
      </c>
      <c r="H279" s="17">
        <f>'13 - Config_Intake_View'!M279</f>
        <v>0</v>
      </c>
      <c r="I279" s="31">
        <f>IF('13 - Config_Intake_View'!Q279&lt;&gt;"",'13 - Config_Intake_View'!Q279,'12 - Device_Configuration'!BH280)</f>
        <v>0</v>
      </c>
      <c r="J279" s="17" t="str">
        <f>IF('13 - Config_Intake_View'!Q279&lt;&gt;"","PM Approved",IF('12 - Device_Configuration'!BH280&lt;&gt;"","Assumed",""))</f>
        <v/>
      </c>
      <c r="K279" s="31">
        <f>'12 - Device_Configuration'!BG280</f>
        <v>0</v>
      </c>
      <c r="L279" s="17">
        <f>'12 - Device_Configuration'!P280</f>
        <v>0</v>
      </c>
      <c r="M279" s="17">
        <f>'12 - Device_Configuration'!Q280</f>
        <v>0</v>
      </c>
      <c r="N279" s="17" t="str">
        <f>'12 - Device_Configuration'!BK280</f>
        <v/>
      </c>
      <c r="O279" s="31" t="str">
        <f>'12 - Device_Configuration'!BL280</f>
        <v/>
      </c>
      <c r="P279" s="2">
        <f>'12 - Device_Configuration'!BA280</f>
        <v>0</v>
      </c>
      <c r="Q279" s="31" t="str">
        <f t="shared" si="16"/>
        <v/>
      </c>
      <c r="R279" s="17" t="str">
        <f t="shared" si="17"/>
        <v>SW NOT INSTALLED</v>
      </c>
      <c r="S279" s="17" t="str">
        <f t="shared" si="18"/>
        <v/>
      </c>
      <c r="T279" s="17" t="str">
        <f t="shared" si="19"/>
        <v>SW NOT INSTALLED</v>
      </c>
    </row>
    <row r="280" spans="1:20">
      <c r="A280" s="31">
        <f>'12 - Device_Configuration'!H281</f>
        <v>0</v>
      </c>
      <c r="B280" s="31">
        <f>'12 - Device_Configuration'!S281</f>
        <v>0</v>
      </c>
      <c r="C280" s="31">
        <f>'12 - Device_Configuration'!T281</f>
        <v>0</v>
      </c>
      <c r="D280" s="17">
        <f>'12 - Device_Configuration'!AJ281</f>
        <v>0</v>
      </c>
      <c r="E280" s="17">
        <f>'12 - Device_Configuration'!J281</f>
        <v>0</v>
      </c>
      <c r="F280" s="31">
        <f>'12 - Device_Configuration'!K281</f>
        <v>0</v>
      </c>
      <c r="G280" s="17">
        <f>'12 - Device_Configuration'!L281</f>
        <v>0</v>
      </c>
      <c r="H280" s="17">
        <f>'13 - Config_Intake_View'!M280</f>
        <v>0</v>
      </c>
      <c r="I280" s="31">
        <f>IF('13 - Config_Intake_View'!Q280&lt;&gt;"",'13 - Config_Intake_View'!Q280,'12 - Device_Configuration'!BH281)</f>
        <v>0</v>
      </c>
      <c r="J280" s="17" t="str">
        <f>IF('13 - Config_Intake_View'!Q280&lt;&gt;"","PM Approved",IF('12 - Device_Configuration'!BH281&lt;&gt;"","Assumed",""))</f>
        <v/>
      </c>
      <c r="K280" s="31">
        <f>'12 - Device_Configuration'!BG281</f>
        <v>0</v>
      </c>
      <c r="L280" s="17">
        <f>'12 - Device_Configuration'!P281</f>
        <v>0</v>
      </c>
      <c r="M280" s="17">
        <f>'12 - Device_Configuration'!Q281</f>
        <v>0</v>
      </c>
      <c r="N280" s="17" t="str">
        <f>'12 - Device_Configuration'!BK281</f>
        <v/>
      </c>
      <c r="O280" s="31" t="str">
        <f>'12 - Device_Configuration'!BL281</f>
        <v/>
      </c>
      <c r="P280" s="2">
        <f>'12 - Device_Configuration'!BA281</f>
        <v>0</v>
      </c>
      <c r="Q280" s="31" t="str">
        <f t="shared" si="16"/>
        <v/>
      </c>
      <c r="R280" s="17" t="str">
        <f t="shared" si="17"/>
        <v>SW NOT INSTALLED</v>
      </c>
      <c r="S280" s="17" t="str">
        <f t="shared" si="18"/>
        <v/>
      </c>
      <c r="T280" s="17" t="str">
        <f t="shared" si="19"/>
        <v>SW NOT INSTALLED</v>
      </c>
    </row>
    <row r="281" spans="1:20">
      <c r="A281" s="31">
        <f>'12 - Device_Configuration'!H282</f>
        <v>0</v>
      </c>
      <c r="B281" s="31">
        <f>'12 - Device_Configuration'!S282</f>
        <v>0</v>
      </c>
      <c r="C281" s="31">
        <f>'12 - Device_Configuration'!T282</f>
        <v>0</v>
      </c>
      <c r="D281" s="17">
        <f>'12 - Device_Configuration'!AJ282</f>
        <v>0</v>
      </c>
      <c r="E281" s="17">
        <f>'12 - Device_Configuration'!J282</f>
        <v>0</v>
      </c>
      <c r="F281" s="31">
        <f>'12 - Device_Configuration'!K282</f>
        <v>0</v>
      </c>
      <c r="G281" s="17">
        <f>'12 - Device_Configuration'!L282</f>
        <v>0</v>
      </c>
      <c r="H281" s="17">
        <f>'13 - Config_Intake_View'!M281</f>
        <v>0</v>
      </c>
      <c r="I281" s="31">
        <f>IF('13 - Config_Intake_View'!Q281&lt;&gt;"",'13 - Config_Intake_View'!Q281,'12 - Device_Configuration'!BH282)</f>
        <v>0</v>
      </c>
      <c r="J281" s="17" t="str">
        <f>IF('13 - Config_Intake_View'!Q281&lt;&gt;"","PM Approved",IF('12 - Device_Configuration'!BH282&lt;&gt;"","Assumed",""))</f>
        <v/>
      </c>
      <c r="K281" s="31">
        <f>'12 - Device_Configuration'!BG282</f>
        <v>0</v>
      </c>
      <c r="L281" s="17">
        <f>'12 - Device_Configuration'!P282</f>
        <v>0</v>
      </c>
      <c r="M281" s="17">
        <f>'12 - Device_Configuration'!Q282</f>
        <v>0</v>
      </c>
      <c r="N281" s="17" t="str">
        <f>'12 - Device_Configuration'!BK282</f>
        <v/>
      </c>
      <c r="O281" s="31" t="str">
        <f>'12 - Device_Configuration'!BL282</f>
        <v/>
      </c>
      <c r="P281" s="2">
        <f>'12 - Device_Configuration'!BA282</f>
        <v>0</v>
      </c>
      <c r="Q281" s="31" t="str">
        <f t="shared" si="16"/>
        <v/>
      </c>
      <c r="R281" s="17" t="str">
        <f t="shared" si="17"/>
        <v>SW NOT INSTALLED</v>
      </c>
      <c r="S281" s="17" t="str">
        <f t="shared" si="18"/>
        <v/>
      </c>
      <c r="T281" s="17" t="str">
        <f t="shared" si="19"/>
        <v>SW NOT INSTALLED</v>
      </c>
    </row>
    <row r="282" spans="1:20">
      <c r="A282" s="31">
        <f>'12 - Device_Configuration'!H283</f>
        <v>0</v>
      </c>
      <c r="B282" s="31">
        <f>'12 - Device_Configuration'!S283</f>
        <v>0</v>
      </c>
      <c r="C282" s="31">
        <f>'12 - Device_Configuration'!T283</f>
        <v>0</v>
      </c>
      <c r="D282" s="17">
        <f>'12 - Device_Configuration'!AJ283</f>
        <v>0</v>
      </c>
      <c r="E282" s="17">
        <f>'12 - Device_Configuration'!J283</f>
        <v>0</v>
      </c>
      <c r="F282" s="31">
        <f>'12 - Device_Configuration'!K283</f>
        <v>0</v>
      </c>
      <c r="G282" s="17">
        <f>'12 - Device_Configuration'!L283</f>
        <v>0</v>
      </c>
      <c r="H282" s="17">
        <f>'13 - Config_Intake_View'!M282</f>
        <v>0</v>
      </c>
      <c r="I282" s="31">
        <f>IF('13 - Config_Intake_View'!Q282&lt;&gt;"",'13 - Config_Intake_View'!Q282,'12 - Device_Configuration'!BH283)</f>
        <v>0</v>
      </c>
      <c r="J282" s="17" t="str">
        <f>IF('13 - Config_Intake_View'!Q282&lt;&gt;"","PM Approved",IF('12 - Device_Configuration'!BH283&lt;&gt;"","Assumed",""))</f>
        <v/>
      </c>
      <c r="K282" s="31">
        <f>'12 - Device_Configuration'!BG283</f>
        <v>0</v>
      </c>
      <c r="L282" s="17">
        <f>'12 - Device_Configuration'!P283</f>
        <v>0</v>
      </c>
      <c r="M282" s="17">
        <f>'12 - Device_Configuration'!Q283</f>
        <v>0</v>
      </c>
      <c r="N282" s="17" t="str">
        <f>'12 - Device_Configuration'!BK283</f>
        <v/>
      </c>
      <c r="O282" s="31" t="str">
        <f>'12 - Device_Configuration'!BL283</f>
        <v/>
      </c>
      <c r="P282" s="2">
        <f>'12 - Device_Configuration'!BA283</f>
        <v>0</v>
      </c>
      <c r="Q282" s="31" t="str">
        <f t="shared" si="16"/>
        <v/>
      </c>
      <c r="R282" s="17" t="str">
        <f t="shared" si="17"/>
        <v>SW NOT INSTALLED</v>
      </c>
      <c r="S282" s="17" t="str">
        <f t="shared" si="18"/>
        <v/>
      </c>
      <c r="T282" s="17" t="str">
        <f t="shared" si="19"/>
        <v>SW NOT INSTALLED</v>
      </c>
    </row>
    <row r="283" spans="1:20">
      <c r="A283" s="31">
        <f>'12 - Device_Configuration'!H284</f>
        <v>0</v>
      </c>
      <c r="B283" s="31">
        <f>'12 - Device_Configuration'!S284</f>
        <v>0</v>
      </c>
      <c r="C283" s="31">
        <f>'12 - Device_Configuration'!T284</f>
        <v>0</v>
      </c>
      <c r="D283" s="17">
        <f>'12 - Device_Configuration'!AJ284</f>
        <v>0</v>
      </c>
      <c r="E283" s="17">
        <f>'12 - Device_Configuration'!J284</f>
        <v>0</v>
      </c>
      <c r="F283" s="31">
        <f>'12 - Device_Configuration'!K284</f>
        <v>0</v>
      </c>
      <c r="G283" s="17">
        <f>'12 - Device_Configuration'!L284</f>
        <v>0</v>
      </c>
      <c r="H283" s="17">
        <f>'13 - Config_Intake_View'!M283</f>
        <v>0</v>
      </c>
      <c r="I283" s="31">
        <f>IF('13 - Config_Intake_View'!Q283&lt;&gt;"",'13 - Config_Intake_View'!Q283,'12 - Device_Configuration'!BH284)</f>
        <v>0</v>
      </c>
      <c r="J283" s="17" t="str">
        <f>IF('13 - Config_Intake_View'!Q283&lt;&gt;"","PM Approved",IF('12 - Device_Configuration'!BH284&lt;&gt;"","Assumed",""))</f>
        <v/>
      </c>
      <c r="K283" s="31">
        <f>'12 - Device_Configuration'!BG284</f>
        <v>0</v>
      </c>
      <c r="L283" s="17">
        <f>'12 - Device_Configuration'!P284</f>
        <v>0</v>
      </c>
      <c r="M283" s="17">
        <f>'12 - Device_Configuration'!Q284</f>
        <v>0</v>
      </c>
      <c r="N283" s="17" t="str">
        <f>'12 - Device_Configuration'!BK284</f>
        <v/>
      </c>
      <c r="O283" s="31" t="str">
        <f>'12 - Device_Configuration'!BL284</f>
        <v/>
      </c>
      <c r="P283" s="2">
        <f>'12 - Device_Configuration'!BA284</f>
        <v>0</v>
      </c>
      <c r="Q283" s="31" t="str">
        <f t="shared" si="16"/>
        <v/>
      </c>
      <c r="R283" s="17" t="str">
        <f t="shared" si="17"/>
        <v>SW NOT INSTALLED</v>
      </c>
      <c r="S283" s="17" t="str">
        <f t="shared" si="18"/>
        <v/>
      </c>
      <c r="T283" s="17" t="str">
        <f t="shared" si="19"/>
        <v>SW NOT INSTALLED</v>
      </c>
    </row>
    <row r="284" spans="1:20">
      <c r="A284" s="31">
        <f>'12 - Device_Configuration'!H285</f>
        <v>0</v>
      </c>
      <c r="B284" s="31">
        <f>'12 - Device_Configuration'!S285</f>
        <v>0</v>
      </c>
      <c r="C284" s="31">
        <f>'12 - Device_Configuration'!T285</f>
        <v>0</v>
      </c>
      <c r="D284" s="17">
        <f>'12 - Device_Configuration'!AJ285</f>
        <v>0</v>
      </c>
      <c r="E284" s="17">
        <f>'12 - Device_Configuration'!J285</f>
        <v>0</v>
      </c>
      <c r="F284" s="31">
        <f>'12 - Device_Configuration'!K285</f>
        <v>0</v>
      </c>
      <c r="G284" s="17">
        <f>'12 - Device_Configuration'!L285</f>
        <v>0</v>
      </c>
      <c r="H284" s="17">
        <f>'13 - Config_Intake_View'!M284</f>
        <v>0</v>
      </c>
      <c r="I284" s="31">
        <f>IF('13 - Config_Intake_View'!Q284&lt;&gt;"",'13 - Config_Intake_View'!Q284,'12 - Device_Configuration'!BH285)</f>
        <v>0</v>
      </c>
      <c r="J284" s="17" t="str">
        <f>IF('13 - Config_Intake_View'!Q284&lt;&gt;"","PM Approved",IF('12 - Device_Configuration'!BH285&lt;&gt;"","Assumed",""))</f>
        <v/>
      </c>
      <c r="K284" s="31">
        <f>'12 - Device_Configuration'!BG285</f>
        <v>0</v>
      </c>
      <c r="L284" s="17">
        <f>'12 - Device_Configuration'!P285</f>
        <v>0</v>
      </c>
      <c r="M284" s="17">
        <f>'12 - Device_Configuration'!Q285</f>
        <v>0</v>
      </c>
      <c r="N284" s="17" t="str">
        <f>'12 - Device_Configuration'!BK285</f>
        <v/>
      </c>
      <c r="O284" s="31" t="str">
        <f>'12 - Device_Configuration'!BL285</f>
        <v/>
      </c>
      <c r="P284" s="2">
        <f>'12 - Device_Configuration'!BA285</f>
        <v>0</v>
      </c>
      <c r="Q284" s="31" t="str">
        <f t="shared" si="16"/>
        <v/>
      </c>
      <c r="R284" s="17" t="str">
        <f t="shared" si="17"/>
        <v>SW NOT INSTALLED</v>
      </c>
      <c r="S284" s="17" t="str">
        <f t="shared" si="18"/>
        <v/>
      </c>
      <c r="T284" s="17" t="str">
        <f t="shared" si="19"/>
        <v>SW NOT INSTALLED</v>
      </c>
    </row>
    <row r="285" spans="1:20">
      <c r="A285" s="31">
        <f>'12 - Device_Configuration'!H286</f>
        <v>0</v>
      </c>
      <c r="B285" s="31">
        <f>'12 - Device_Configuration'!S286</f>
        <v>0</v>
      </c>
      <c r="C285" s="31">
        <f>'12 - Device_Configuration'!T286</f>
        <v>0</v>
      </c>
      <c r="D285" s="17">
        <f>'12 - Device_Configuration'!AJ286</f>
        <v>0</v>
      </c>
      <c r="E285" s="17">
        <f>'12 - Device_Configuration'!J286</f>
        <v>0</v>
      </c>
      <c r="F285" s="31">
        <f>'12 - Device_Configuration'!K286</f>
        <v>0</v>
      </c>
      <c r="G285" s="17">
        <f>'12 - Device_Configuration'!L286</f>
        <v>0</v>
      </c>
      <c r="H285" s="17">
        <f>'13 - Config_Intake_View'!M285</f>
        <v>0</v>
      </c>
      <c r="I285" s="31">
        <f>IF('13 - Config_Intake_View'!Q285&lt;&gt;"",'13 - Config_Intake_View'!Q285,'12 - Device_Configuration'!BH286)</f>
        <v>0</v>
      </c>
      <c r="J285" s="17" t="str">
        <f>IF('13 - Config_Intake_View'!Q285&lt;&gt;"","PM Approved",IF('12 - Device_Configuration'!BH286&lt;&gt;"","Assumed",""))</f>
        <v/>
      </c>
      <c r="K285" s="31">
        <f>'12 - Device_Configuration'!BG286</f>
        <v>0</v>
      </c>
      <c r="L285" s="17">
        <f>'12 - Device_Configuration'!P286</f>
        <v>0</v>
      </c>
      <c r="M285" s="17">
        <f>'12 - Device_Configuration'!Q286</f>
        <v>0</v>
      </c>
      <c r="N285" s="17" t="str">
        <f>'12 - Device_Configuration'!BK286</f>
        <v/>
      </c>
      <c r="O285" s="31" t="str">
        <f>'12 - Device_Configuration'!BL286</f>
        <v/>
      </c>
      <c r="P285" s="2">
        <f>'12 - Device_Configuration'!BA286</f>
        <v>0</v>
      </c>
      <c r="Q285" s="31" t="str">
        <f t="shared" si="16"/>
        <v/>
      </c>
      <c r="R285" s="17" t="str">
        <f t="shared" si="17"/>
        <v>SW NOT INSTALLED</v>
      </c>
      <c r="S285" s="17" t="str">
        <f t="shared" si="18"/>
        <v/>
      </c>
      <c r="T285" s="17" t="str">
        <f t="shared" si="19"/>
        <v>SW NOT INSTALLED</v>
      </c>
    </row>
    <row r="286" spans="1:20">
      <c r="A286" s="31">
        <f>'12 - Device_Configuration'!H287</f>
        <v>0</v>
      </c>
      <c r="B286" s="31">
        <f>'12 - Device_Configuration'!S287</f>
        <v>0</v>
      </c>
      <c r="C286" s="31">
        <f>'12 - Device_Configuration'!T287</f>
        <v>0</v>
      </c>
      <c r="D286" s="17">
        <f>'12 - Device_Configuration'!AJ287</f>
        <v>0</v>
      </c>
      <c r="E286" s="17">
        <f>'12 - Device_Configuration'!J287</f>
        <v>0</v>
      </c>
      <c r="F286" s="31">
        <f>'12 - Device_Configuration'!K287</f>
        <v>0</v>
      </c>
      <c r="G286" s="17">
        <f>'12 - Device_Configuration'!L287</f>
        <v>0</v>
      </c>
      <c r="H286" s="17">
        <f>'13 - Config_Intake_View'!M286</f>
        <v>0</v>
      </c>
      <c r="I286" s="31">
        <f>IF('13 - Config_Intake_View'!Q286&lt;&gt;"",'13 - Config_Intake_View'!Q286,'12 - Device_Configuration'!BH287)</f>
        <v>0</v>
      </c>
      <c r="J286" s="17" t="str">
        <f>IF('13 - Config_Intake_View'!Q286&lt;&gt;"","PM Approved",IF('12 - Device_Configuration'!BH287&lt;&gt;"","Assumed",""))</f>
        <v/>
      </c>
      <c r="K286" s="31">
        <f>'12 - Device_Configuration'!BG287</f>
        <v>0</v>
      </c>
      <c r="L286" s="17">
        <f>'12 - Device_Configuration'!P287</f>
        <v>0</v>
      </c>
      <c r="M286" s="17">
        <f>'12 - Device_Configuration'!Q287</f>
        <v>0</v>
      </c>
      <c r="N286" s="17" t="str">
        <f>'12 - Device_Configuration'!BK287</f>
        <v/>
      </c>
      <c r="O286" s="31" t="str">
        <f>'12 - Device_Configuration'!BL287</f>
        <v/>
      </c>
      <c r="P286" s="2">
        <f>'12 - Device_Configuration'!BA287</f>
        <v>0</v>
      </c>
      <c r="Q286" s="31" t="str">
        <f t="shared" si="16"/>
        <v/>
      </c>
      <c r="R286" s="17" t="str">
        <f t="shared" si="17"/>
        <v>SW NOT INSTALLED</v>
      </c>
      <c r="S286" s="17" t="str">
        <f t="shared" si="18"/>
        <v/>
      </c>
      <c r="T286" s="17" t="str">
        <f t="shared" si="19"/>
        <v>SW NOT INSTALLED</v>
      </c>
    </row>
    <row r="287" spans="1:20">
      <c r="A287" s="31">
        <f>'12 - Device_Configuration'!H288</f>
        <v>0</v>
      </c>
      <c r="B287" s="31">
        <f>'12 - Device_Configuration'!S288</f>
        <v>0</v>
      </c>
      <c r="C287" s="31">
        <f>'12 - Device_Configuration'!T288</f>
        <v>0</v>
      </c>
      <c r="D287" s="17">
        <f>'12 - Device_Configuration'!AJ288</f>
        <v>0</v>
      </c>
      <c r="E287" s="17">
        <f>'12 - Device_Configuration'!J288</f>
        <v>0</v>
      </c>
      <c r="F287" s="31">
        <f>'12 - Device_Configuration'!K288</f>
        <v>0</v>
      </c>
      <c r="G287" s="17">
        <f>'12 - Device_Configuration'!L288</f>
        <v>0</v>
      </c>
      <c r="H287" s="17">
        <f>'13 - Config_Intake_View'!M287</f>
        <v>0</v>
      </c>
      <c r="I287" s="31">
        <f>IF('13 - Config_Intake_View'!Q287&lt;&gt;"",'13 - Config_Intake_View'!Q287,'12 - Device_Configuration'!BH288)</f>
        <v>0</v>
      </c>
      <c r="J287" s="17" t="str">
        <f>IF('13 - Config_Intake_View'!Q287&lt;&gt;"","PM Approved",IF('12 - Device_Configuration'!BH288&lt;&gt;"","Assumed",""))</f>
        <v/>
      </c>
      <c r="K287" s="31">
        <f>'12 - Device_Configuration'!BG288</f>
        <v>0</v>
      </c>
      <c r="L287" s="17">
        <f>'12 - Device_Configuration'!P288</f>
        <v>0</v>
      </c>
      <c r="M287" s="17">
        <f>'12 - Device_Configuration'!Q288</f>
        <v>0</v>
      </c>
      <c r="N287" s="17" t="str">
        <f>'12 - Device_Configuration'!BK288</f>
        <v/>
      </c>
      <c r="O287" s="31" t="str">
        <f>'12 - Device_Configuration'!BL288</f>
        <v/>
      </c>
      <c r="P287" s="2">
        <f>'12 - Device_Configuration'!BA288</f>
        <v>0</v>
      </c>
      <c r="Q287" s="31" t="str">
        <f t="shared" si="16"/>
        <v/>
      </c>
      <c r="R287" s="17" t="str">
        <f t="shared" si="17"/>
        <v>SW NOT INSTALLED</v>
      </c>
      <c r="S287" s="17" t="str">
        <f t="shared" si="18"/>
        <v/>
      </c>
      <c r="T287" s="17" t="str">
        <f t="shared" si="19"/>
        <v>SW NOT INSTALLED</v>
      </c>
    </row>
    <row r="288" spans="1:20">
      <c r="A288" s="31">
        <f>'12 - Device_Configuration'!H289</f>
        <v>0</v>
      </c>
      <c r="B288" s="31">
        <f>'12 - Device_Configuration'!S289</f>
        <v>0</v>
      </c>
      <c r="C288" s="31">
        <f>'12 - Device_Configuration'!T289</f>
        <v>0</v>
      </c>
      <c r="D288" s="17">
        <f>'12 - Device_Configuration'!AJ289</f>
        <v>0</v>
      </c>
      <c r="E288" s="17">
        <f>'12 - Device_Configuration'!J289</f>
        <v>0</v>
      </c>
      <c r="F288" s="31">
        <f>'12 - Device_Configuration'!K289</f>
        <v>0</v>
      </c>
      <c r="G288" s="17">
        <f>'12 - Device_Configuration'!L289</f>
        <v>0</v>
      </c>
      <c r="H288" s="17">
        <f>'13 - Config_Intake_View'!M288</f>
        <v>0</v>
      </c>
      <c r="I288" s="31">
        <f>IF('13 - Config_Intake_View'!Q288&lt;&gt;"",'13 - Config_Intake_View'!Q288,'12 - Device_Configuration'!BH289)</f>
        <v>0</v>
      </c>
      <c r="J288" s="17" t="str">
        <f>IF('13 - Config_Intake_View'!Q288&lt;&gt;"","PM Approved",IF('12 - Device_Configuration'!BH289&lt;&gt;"","Assumed",""))</f>
        <v/>
      </c>
      <c r="K288" s="31">
        <f>'12 - Device_Configuration'!BG289</f>
        <v>0</v>
      </c>
      <c r="L288" s="17">
        <f>'12 - Device_Configuration'!P289</f>
        <v>0</v>
      </c>
      <c r="M288" s="17">
        <f>'12 - Device_Configuration'!Q289</f>
        <v>0</v>
      </c>
      <c r="N288" s="17" t="str">
        <f>'12 - Device_Configuration'!BK289</f>
        <v/>
      </c>
      <c r="O288" s="31" t="str">
        <f>'12 - Device_Configuration'!BL289</f>
        <v/>
      </c>
      <c r="P288" s="2">
        <f>'12 - Device_Configuration'!BA289</f>
        <v>0</v>
      </c>
      <c r="Q288" s="31" t="str">
        <f t="shared" si="16"/>
        <v/>
      </c>
      <c r="R288" s="17" t="str">
        <f t="shared" si="17"/>
        <v>SW NOT INSTALLED</v>
      </c>
      <c r="S288" s="17" t="str">
        <f t="shared" si="18"/>
        <v/>
      </c>
      <c r="T288" s="17" t="str">
        <f t="shared" si="19"/>
        <v>SW NOT INSTALLED</v>
      </c>
    </row>
    <row r="289" spans="1:20">
      <c r="A289" s="31">
        <f>'12 - Device_Configuration'!H290</f>
        <v>0</v>
      </c>
      <c r="B289" s="31">
        <f>'12 - Device_Configuration'!S290</f>
        <v>0</v>
      </c>
      <c r="C289" s="31">
        <f>'12 - Device_Configuration'!T290</f>
        <v>0</v>
      </c>
      <c r="D289" s="17">
        <f>'12 - Device_Configuration'!AJ290</f>
        <v>0</v>
      </c>
      <c r="E289" s="17">
        <f>'12 - Device_Configuration'!J290</f>
        <v>0</v>
      </c>
      <c r="F289" s="31">
        <f>'12 - Device_Configuration'!K290</f>
        <v>0</v>
      </c>
      <c r="G289" s="17">
        <f>'12 - Device_Configuration'!L290</f>
        <v>0</v>
      </c>
      <c r="H289" s="17">
        <f>'13 - Config_Intake_View'!M289</f>
        <v>0</v>
      </c>
      <c r="I289" s="31">
        <f>IF('13 - Config_Intake_View'!Q289&lt;&gt;"",'13 - Config_Intake_View'!Q289,'12 - Device_Configuration'!BH290)</f>
        <v>0</v>
      </c>
      <c r="J289" s="17" t="str">
        <f>IF('13 - Config_Intake_View'!Q289&lt;&gt;"","PM Approved",IF('12 - Device_Configuration'!BH290&lt;&gt;"","Assumed",""))</f>
        <v/>
      </c>
      <c r="K289" s="31">
        <f>'12 - Device_Configuration'!BG290</f>
        <v>0</v>
      </c>
      <c r="L289" s="17">
        <f>'12 - Device_Configuration'!P290</f>
        <v>0</v>
      </c>
      <c r="M289" s="17">
        <f>'12 - Device_Configuration'!Q290</f>
        <v>0</v>
      </c>
      <c r="N289" s="17" t="str">
        <f>'12 - Device_Configuration'!BK290</f>
        <v/>
      </c>
      <c r="O289" s="31" t="str">
        <f>'12 - Device_Configuration'!BL290</f>
        <v/>
      </c>
      <c r="P289" s="2">
        <f>'12 - Device_Configuration'!BA290</f>
        <v>0</v>
      </c>
      <c r="Q289" s="31" t="str">
        <f t="shared" si="16"/>
        <v/>
      </c>
      <c r="R289" s="17" t="str">
        <f t="shared" si="17"/>
        <v>SW NOT INSTALLED</v>
      </c>
      <c r="S289" s="17" t="str">
        <f t="shared" si="18"/>
        <v/>
      </c>
      <c r="T289" s="17" t="str">
        <f t="shared" si="19"/>
        <v>SW NOT INSTALLED</v>
      </c>
    </row>
    <row r="290" spans="1:20">
      <c r="A290" s="31">
        <f>'12 - Device_Configuration'!H291</f>
        <v>0</v>
      </c>
      <c r="B290" s="31">
        <f>'12 - Device_Configuration'!S291</f>
        <v>0</v>
      </c>
      <c r="C290" s="31">
        <f>'12 - Device_Configuration'!T291</f>
        <v>0</v>
      </c>
      <c r="D290" s="17">
        <f>'12 - Device_Configuration'!AJ291</f>
        <v>0</v>
      </c>
      <c r="E290" s="17">
        <f>'12 - Device_Configuration'!J291</f>
        <v>0</v>
      </c>
      <c r="F290" s="31">
        <f>'12 - Device_Configuration'!K291</f>
        <v>0</v>
      </c>
      <c r="G290" s="17">
        <f>'12 - Device_Configuration'!L291</f>
        <v>0</v>
      </c>
      <c r="H290" s="17">
        <f>'13 - Config_Intake_View'!M290</f>
        <v>0</v>
      </c>
      <c r="I290" s="31">
        <f>IF('13 - Config_Intake_View'!Q290&lt;&gt;"",'13 - Config_Intake_View'!Q290,'12 - Device_Configuration'!BH291)</f>
        <v>0</v>
      </c>
      <c r="J290" s="17" t="str">
        <f>IF('13 - Config_Intake_View'!Q290&lt;&gt;"","PM Approved",IF('12 - Device_Configuration'!BH291&lt;&gt;"","Assumed",""))</f>
        <v/>
      </c>
      <c r="K290" s="31">
        <f>'12 - Device_Configuration'!BG291</f>
        <v>0</v>
      </c>
      <c r="L290" s="17">
        <f>'12 - Device_Configuration'!P291</f>
        <v>0</v>
      </c>
      <c r="M290" s="17">
        <f>'12 - Device_Configuration'!Q291</f>
        <v>0</v>
      </c>
      <c r="N290" s="17" t="str">
        <f>'12 - Device_Configuration'!BK291</f>
        <v/>
      </c>
      <c r="O290" s="31" t="str">
        <f>'12 - Device_Configuration'!BL291</f>
        <v/>
      </c>
      <c r="P290" s="2">
        <f>'12 - Device_Configuration'!BA291</f>
        <v>0</v>
      </c>
      <c r="Q290" s="31" t="str">
        <f t="shared" si="16"/>
        <v/>
      </c>
      <c r="R290" s="17" t="str">
        <f t="shared" si="17"/>
        <v>SW NOT INSTALLED</v>
      </c>
      <c r="S290" s="17" t="str">
        <f t="shared" si="18"/>
        <v/>
      </c>
      <c r="T290" s="17" t="str">
        <f t="shared" si="19"/>
        <v>SW NOT INSTALLED</v>
      </c>
    </row>
    <row r="291" spans="1:20">
      <c r="A291" s="31">
        <f>'12 - Device_Configuration'!H292</f>
        <v>0</v>
      </c>
      <c r="B291" s="31">
        <f>'12 - Device_Configuration'!S292</f>
        <v>0</v>
      </c>
      <c r="C291" s="31">
        <f>'12 - Device_Configuration'!T292</f>
        <v>0</v>
      </c>
      <c r="D291" s="17">
        <f>'12 - Device_Configuration'!AJ292</f>
        <v>0</v>
      </c>
      <c r="E291" s="17">
        <f>'12 - Device_Configuration'!J292</f>
        <v>0</v>
      </c>
      <c r="F291" s="31">
        <f>'12 - Device_Configuration'!K292</f>
        <v>0</v>
      </c>
      <c r="G291" s="17">
        <f>'12 - Device_Configuration'!L292</f>
        <v>0</v>
      </c>
      <c r="H291" s="17">
        <f>'13 - Config_Intake_View'!M291</f>
        <v>0</v>
      </c>
      <c r="I291" s="31">
        <f>IF('13 - Config_Intake_View'!Q291&lt;&gt;"",'13 - Config_Intake_View'!Q291,'12 - Device_Configuration'!BH292)</f>
        <v>0</v>
      </c>
      <c r="J291" s="17" t="str">
        <f>IF('13 - Config_Intake_View'!Q291&lt;&gt;"","PM Approved",IF('12 - Device_Configuration'!BH292&lt;&gt;"","Assumed",""))</f>
        <v/>
      </c>
      <c r="K291" s="31">
        <f>'12 - Device_Configuration'!BG292</f>
        <v>0</v>
      </c>
      <c r="L291" s="17">
        <f>'12 - Device_Configuration'!P292</f>
        <v>0</v>
      </c>
      <c r="M291" s="17">
        <f>'12 - Device_Configuration'!Q292</f>
        <v>0</v>
      </c>
      <c r="N291" s="17" t="str">
        <f>'12 - Device_Configuration'!BK292</f>
        <v/>
      </c>
      <c r="O291" s="31" t="str">
        <f>'12 - Device_Configuration'!BL292</f>
        <v/>
      </c>
      <c r="P291" s="2">
        <f>'12 - Device_Configuration'!BA292</f>
        <v>0</v>
      </c>
      <c r="Q291" s="31" t="str">
        <f t="shared" si="16"/>
        <v/>
      </c>
      <c r="R291" s="17" t="str">
        <f t="shared" si="17"/>
        <v>SW NOT INSTALLED</v>
      </c>
      <c r="S291" s="17" t="str">
        <f t="shared" si="18"/>
        <v/>
      </c>
      <c r="T291" s="17" t="str">
        <f t="shared" si="19"/>
        <v>SW NOT INSTALLED</v>
      </c>
    </row>
    <row r="292" spans="1:20">
      <c r="A292" s="31">
        <f>'12 - Device_Configuration'!H293</f>
        <v>0</v>
      </c>
      <c r="B292" s="31">
        <f>'12 - Device_Configuration'!S293</f>
        <v>0</v>
      </c>
      <c r="C292" s="31">
        <f>'12 - Device_Configuration'!T293</f>
        <v>0</v>
      </c>
      <c r="D292" s="17">
        <f>'12 - Device_Configuration'!AJ293</f>
        <v>0</v>
      </c>
      <c r="E292" s="17">
        <f>'12 - Device_Configuration'!J293</f>
        <v>0</v>
      </c>
      <c r="F292" s="31">
        <f>'12 - Device_Configuration'!K293</f>
        <v>0</v>
      </c>
      <c r="G292" s="17">
        <f>'12 - Device_Configuration'!L293</f>
        <v>0</v>
      </c>
      <c r="H292" s="17">
        <f>'13 - Config_Intake_View'!M292</f>
        <v>0</v>
      </c>
      <c r="I292" s="31">
        <f>IF('13 - Config_Intake_View'!Q292&lt;&gt;"",'13 - Config_Intake_View'!Q292,'12 - Device_Configuration'!BH293)</f>
        <v>0</v>
      </c>
      <c r="J292" s="17" t="str">
        <f>IF('13 - Config_Intake_View'!Q292&lt;&gt;"","PM Approved",IF('12 - Device_Configuration'!BH293&lt;&gt;"","Assumed",""))</f>
        <v/>
      </c>
      <c r="K292" s="31">
        <f>'12 - Device_Configuration'!BG293</f>
        <v>0</v>
      </c>
      <c r="L292" s="17">
        <f>'12 - Device_Configuration'!P293</f>
        <v>0</v>
      </c>
      <c r="M292" s="17">
        <f>'12 - Device_Configuration'!Q293</f>
        <v>0</v>
      </c>
      <c r="N292" s="17" t="str">
        <f>'12 - Device_Configuration'!BK293</f>
        <v/>
      </c>
      <c r="O292" s="31" t="str">
        <f>'12 - Device_Configuration'!BL293</f>
        <v/>
      </c>
      <c r="P292" s="2">
        <f>'12 - Device_Configuration'!BA293</f>
        <v>0</v>
      </c>
      <c r="Q292" s="31" t="str">
        <f t="shared" si="16"/>
        <v/>
      </c>
      <c r="R292" s="17" t="str">
        <f t="shared" si="17"/>
        <v>SW NOT INSTALLED</v>
      </c>
      <c r="S292" s="17" t="str">
        <f t="shared" si="18"/>
        <v/>
      </c>
      <c r="T292" s="17" t="str">
        <f t="shared" si="19"/>
        <v>SW NOT INSTALLED</v>
      </c>
    </row>
    <row r="293" spans="1:20">
      <c r="A293" s="31">
        <f>'12 - Device_Configuration'!H294</f>
        <v>0</v>
      </c>
      <c r="B293" s="31">
        <f>'12 - Device_Configuration'!S294</f>
        <v>0</v>
      </c>
      <c r="C293" s="31">
        <f>'12 - Device_Configuration'!T294</f>
        <v>0</v>
      </c>
      <c r="D293" s="17">
        <f>'12 - Device_Configuration'!AJ294</f>
        <v>0</v>
      </c>
      <c r="E293" s="17">
        <f>'12 - Device_Configuration'!J294</f>
        <v>0</v>
      </c>
      <c r="F293" s="31">
        <f>'12 - Device_Configuration'!K294</f>
        <v>0</v>
      </c>
      <c r="G293" s="17">
        <f>'12 - Device_Configuration'!L294</f>
        <v>0</v>
      </c>
      <c r="H293" s="17">
        <f>'13 - Config_Intake_View'!M293</f>
        <v>0</v>
      </c>
      <c r="I293" s="31">
        <f>IF('13 - Config_Intake_View'!Q293&lt;&gt;"",'13 - Config_Intake_View'!Q293,'12 - Device_Configuration'!BH294)</f>
        <v>0</v>
      </c>
      <c r="J293" s="17" t="str">
        <f>IF('13 - Config_Intake_View'!Q293&lt;&gt;"","PM Approved",IF('12 - Device_Configuration'!BH294&lt;&gt;"","Assumed",""))</f>
        <v/>
      </c>
      <c r="K293" s="31">
        <f>'12 - Device_Configuration'!BG294</f>
        <v>0</v>
      </c>
      <c r="L293" s="17">
        <f>'12 - Device_Configuration'!P294</f>
        <v>0</v>
      </c>
      <c r="M293" s="17">
        <f>'12 - Device_Configuration'!Q294</f>
        <v>0</v>
      </c>
      <c r="N293" s="17" t="str">
        <f>'12 - Device_Configuration'!BK294</f>
        <v/>
      </c>
      <c r="O293" s="31" t="str">
        <f>'12 - Device_Configuration'!BL294</f>
        <v/>
      </c>
      <c r="P293" s="2">
        <f>'12 - Device_Configuration'!BA294</f>
        <v>0</v>
      </c>
      <c r="Q293" s="31" t="str">
        <f t="shared" si="16"/>
        <v/>
      </c>
      <c r="R293" s="17" t="str">
        <f t="shared" si="17"/>
        <v>SW NOT INSTALLED</v>
      </c>
      <c r="S293" s="17" t="str">
        <f t="shared" si="18"/>
        <v/>
      </c>
      <c r="T293" s="17" t="str">
        <f t="shared" si="19"/>
        <v>SW NOT INSTALLED</v>
      </c>
    </row>
    <row r="294" spans="1:20">
      <c r="A294" s="31">
        <f>'12 - Device_Configuration'!H295</f>
        <v>0</v>
      </c>
      <c r="B294" s="31">
        <f>'12 - Device_Configuration'!S295</f>
        <v>0</v>
      </c>
      <c r="C294" s="31">
        <f>'12 - Device_Configuration'!T295</f>
        <v>0</v>
      </c>
      <c r="D294" s="17">
        <f>'12 - Device_Configuration'!AJ295</f>
        <v>0</v>
      </c>
      <c r="E294" s="17">
        <f>'12 - Device_Configuration'!J295</f>
        <v>0</v>
      </c>
      <c r="F294" s="31">
        <f>'12 - Device_Configuration'!K295</f>
        <v>0</v>
      </c>
      <c r="G294" s="17">
        <f>'12 - Device_Configuration'!L295</f>
        <v>0</v>
      </c>
      <c r="H294" s="17">
        <f>'13 - Config_Intake_View'!M294</f>
        <v>0</v>
      </c>
      <c r="I294" s="31">
        <f>IF('13 - Config_Intake_View'!Q294&lt;&gt;"",'13 - Config_Intake_View'!Q294,'12 - Device_Configuration'!BH295)</f>
        <v>0</v>
      </c>
      <c r="J294" s="17" t="str">
        <f>IF('13 - Config_Intake_View'!Q294&lt;&gt;"","PM Approved",IF('12 - Device_Configuration'!BH295&lt;&gt;"","Assumed",""))</f>
        <v/>
      </c>
      <c r="K294" s="31">
        <f>'12 - Device_Configuration'!BG295</f>
        <v>0</v>
      </c>
      <c r="L294" s="17">
        <f>'12 - Device_Configuration'!P295</f>
        <v>0</v>
      </c>
      <c r="M294" s="17">
        <f>'12 - Device_Configuration'!Q295</f>
        <v>0</v>
      </c>
      <c r="N294" s="17" t="str">
        <f>'12 - Device_Configuration'!BK295</f>
        <v/>
      </c>
      <c r="O294" s="31" t="str">
        <f>'12 - Device_Configuration'!BL295</f>
        <v/>
      </c>
      <c r="P294" s="2">
        <f>'12 - Device_Configuration'!BA295</f>
        <v>0</v>
      </c>
      <c r="Q294" s="31" t="str">
        <f t="shared" si="16"/>
        <v/>
      </c>
      <c r="R294" s="17" t="str">
        <f t="shared" si="17"/>
        <v>SW NOT INSTALLED</v>
      </c>
      <c r="S294" s="17" t="str">
        <f t="shared" si="18"/>
        <v/>
      </c>
      <c r="T294" s="17" t="str">
        <f t="shared" si="19"/>
        <v>SW NOT INSTALLED</v>
      </c>
    </row>
    <row r="295" spans="1:20">
      <c r="A295" s="31">
        <f>'12 - Device_Configuration'!H296</f>
        <v>0</v>
      </c>
      <c r="B295" s="31">
        <f>'12 - Device_Configuration'!S296</f>
        <v>0</v>
      </c>
      <c r="C295" s="31">
        <f>'12 - Device_Configuration'!T296</f>
        <v>0</v>
      </c>
      <c r="D295" s="17">
        <f>'12 - Device_Configuration'!AJ296</f>
        <v>0</v>
      </c>
      <c r="E295" s="17">
        <f>'12 - Device_Configuration'!J296</f>
        <v>0</v>
      </c>
      <c r="F295" s="31">
        <f>'12 - Device_Configuration'!K296</f>
        <v>0</v>
      </c>
      <c r="G295" s="17">
        <f>'12 - Device_Configuration'!L296</f>
        <v>0</v>
      </c>
      <c r="H295" s="17">
        <f>'13 - Config_Intake_View'!M295</f>
        <v>0</v>
      </c>
      <c r="I295" s="31">
        <f>IF('13 - Config_Intake_View'!Q295&lt;&gt;"",'13 - Config_Intake_View'!Q295,'12 - Device_Configuration'!BH296)</f>
        <v>0</v>
      </c>
      <c r="J295" s="17" t="str">
        <f>IF('13 - Config_Intake_View'!Q295&lt;&gt;"","PM Approved",IF('12 - Device_Configuration'!BH296&lt;&gt;"","Assumed",""))</f>
        <v/>
      </c>
      <c r="K295" s="31">
        <f>'12 - Device_Configuration'!BG296</f>
        <v>0</v>
      </c>
      <c r="L295" s="17">
        <f>'12 - Device_Configuration'!P296</f>
        <v>0</v>
      </c>
      <c r="M295" s="17">
        <f>'12 - Device_Configuration'!Q296</f>
        <v>0</v>
      </c>
      <c r="N295" s="17" t="str">
        <f>'12 - Device_Configuration'!BK296</f>
        <v/>
      </c>
      <c r="O295" s="31" t="str">
        <f>'12 - Device_Configuration'!BL296</f>
        <v/>
      </c>
      <c r="P295" s="2">
        <f>'12 - Device_Configuration'!BA296</f>
        <v>0</v>
      </c>
      <c r="Q295" s="31" t="str">
        <f t="shared" si="16"/>
        <v/>
      </c>
      <c r="R295" s="17" t="str">
        <f t="shared" si="17"/>
        <v>SW NOT INSTALLED</v>
      </c>
      <c r="S295" s="17" t="str">
        <f t="shared" si="18"/>
        <v/>
      </c>
      <c r="T295" s="17" t="str">
        <f t="shared" si="19"/>
        <v>SW NOT INSTALLED</v>
      </c>
    </row>
    <row r="296" spans="1:20">
      <c r="A296" s="31">
        <f>'12 - Device_Configuration'!H297</f>
        <v>0</v>
      </c>
      <c r="B296" s="31">
        <f>'12 - Device_Configuration'!S297</f>
        <v>0</v>
      </c>
      <c r="C296" s="31">
        <f>'12 - Device_Configuration'!T297</f>
        <v>0</v>
      </c>
      <c r="D296" s="17">
        <f>'12 - Device_Configuration'!AJ297</f>
        <v>0</v>
      </c>
      <c r="E296" s="17">
        <f>'12 - Device_Configuration'!J297</f>
        <v>0</v>
      </c>
      <c r="F296" s="31">
        <f>'12 - Device_Configuration'!K297</f>
        <v>0</v>
      </c>
      <c r="G296" s="17">
        <f>'12 - Device_Configuration'!L297</f>
        <v>0</v>
      </c>
      <c r="H296" s="17">
        <f>'13 - Config_Intake_View'!M296</f>
        <v>0</v>
      </c>
      <c r="I296" s="31">
        <f>IF('13 - Config_Intake_View'!Q296&lt;&gt;"",'13 - Config_Intake_View'!Q296,'12 - Device_Configuration'!BH297)</f>
        <v>0</v>
      </c>
      <c r="J296" s="17" t="str">
        <f>IF('13 - Config_Intake_View'!Q296&lt;&gt;"","PM Approved",IF('12 - Device_Configuration'!BH297&lt;&gt;"","Assumed",""))</f>
        <v/>
      </c>
      <c r="K296" s="31">
        <f>'12 - Device_Configuration'!BG297</f>
        <v>0</v>
      </c>
      <c r="L296" s="17">
        <f>'12 - Device_Configuration'!P297</f>
        <v>0</v>
      </c>
      <c r="M296" s="17">
        <f>'12 - Device_Configuration'!Q297</f>
        <v>0</v>
      </c>
      <c r="N296" s="17" t="str">
        <f>'12 - Device_Configuration'!BK297</f>
        <v/>
      </c>
      <c r="O296" s="31" t="str">
        <f>'12 - Device_Configuration'!BL297</f>
        <v/>
      </c>
      <c r="P296" s="2">
        <f>'12 - Device_Configuration'!BA297</f>
        <v>0</v>
      </c>
      <c r="Q296" s="31" t="str">
        <f t="shared" si="16"/>
        <v/>
      </c>
      <c r="R296" s="17" t="str">
        <f t="shared" si="17"/>
        <v>SW NOT INSTALLED</v>
      </c>
      <c r="S296" s="17" t="str">
        <f t="shared" si="18"/>
        <v/>
      </c>
      <c r="T296" s="17" t="str">
        <f t="shared" si="19"/>
        <v>SW NOT INSTALLED</v>
      </c>
    </row>
    <row r="297" spans="1:20">
      <c r="A297" s="31">
        <f>'12 - Device_Configuration'!H298</f>
        <v>0</v>
      </c>
      <c r="B297" s="31">
        <f>'12 - Device_Configuration'!S298</f>
        <v>0</v>
      </c>
      <c r="C297" s="31">
        <f>'12 - Device_Configuration'!T298</f>
        <v>0</v>
      </c>
      <c r="D297" s="17">
        <f>'12 - Device_Configuration'!AJ298</f>
        <v>0</v>
      </c>
      <c r="E297" s="17">
        <f>'12 - Device_Configuration'!J298</f>
        <v>0</v>
      </c>
      <c r="F297" s="31">
        <f>'12 - Device_Configuration'!K298</f>
        <v>0</v>
      </c>
      <c r="G297" s="17">
        <f>'12 - Device_Configuration'!L298</f>
        <v>0</v>
      </c>
      <c r="H297" s="17">
        <f>'13 - Config_Intake_View'!M297</f>
        <v>0</v>
      </c>
      <c r="I297" s="31">
        <f>IF('13 - Config_Intake_View'!Q297&lt;&gt;"",'13 - Config_Intake_View'!Q297,'12 - Device_Configuration'!BH298)</f>
        <v>0</v>
      </c>
      <c r="J297" s="17" t="str">
        <f>IF('13 - Config_Intake_View'!Q297&lt;&gt;"","PM Approved",IF('12 - Device_Configuration'!BH298&lt;&gt;"","Assumed",""))</f>
        <v/>
      </c>
      <c r="K297" s="31">
        <f>'12 - Device_Configuration'!BG298</f>
        <v>0</v>
      </c>
      <c r="L297" s="17">
        <f>'12 - Device_Configuration'!P298</f>
        <v>0</v>
      </c>
      <c r="M297" s="17">
        <f>'12 - Device_Configuration'!Q298</f>
        <v>0</v>
      </c>
      <c r="N297" s="17" t="str">
        <f>'12 - Device_Configuration'!BK298</f>
        <v/>
      </c>
      <c r="O297" s="31" t="str">
        <f>'12 - Device_Configuration'!BL298</f>
        <v/>
      </c>
      <c r="P297" s="2">
        <f>'12 - Device_Configuration'!BA298</f>
        <v>0</v>
      </c>
      <c r="Q297" s="31" t="str">
        <f t="shared" si="16"/>
        <v/>
      </c>
      <c r="R297" s="17" t="str">
        <f t="shared" si="17"/>
        <v>SW NOT INSTALLED</v>
      </c>
      <c r="S297" s="17" t="str">
        <f t="shared" si="18"/>
        <v/>
      </c>
      <c r="T297" s="17" t="str">
        <f t="shared" si="19"/>
        <v>SW NOT INSTALLED</v>
      </c>
    </row>
    <row r="298" spans="1:20">
      <c r="A298" s="31">
        <f>'12 - Device_Configuration'!H299</f>
        <v>0</v>
      </c>
      <c r="B298" s="31">
        <f>'12 - Device_Configuration'!S299</f>
        <v>0</v>
      </c>
      <c r="C298" s="31">
        <f>'12 - Device_Configuration'!T299</f>
        <v>0</v>
      </c>
      <c r="D298" s="17">
        <f>'12 - Device_Configuration'!AJ299</f>
        <v>0</v>
      </c>
      <c r="E298" s="17">
        <f>'12 - Device_Configuration'!J299</f>
        <v>0</v>
      </c>
      <c r="F298" s="31">
        <f>'12 - Device_Configuration'!K299</f>
        <v>0</v>
      </c>
      <c r="G298" s="17">
        <f>'12 - Device_Configuration'!L299</f>
        <v>0</v>
      </c>
      <c r="H298" s="17">
        <f>'13 - Config_Intake_View'!M298</f>
        <v>0</v>
      </c>
      <c r="I298" s="31">
        <f>IF('13 - Config_Intake_View'!Q298&lt;&gt;"",'13 - Config_Intake_View'!Q298,'12 - Device_Configuration'!BH299)</f>
        <v>0</v>
      </c>
      <c r="J298" s="17" t="str">
        <f>IF('13 - Config_Intake_View'!Q298&lt;&gt;"","PM Approved",IF('12 - Device_Configuration'!BH299&lt;&gt;"","Assumed",""))</f>
        <v/>
      </c>
      <c r="K298" s="31">
        <f>'12 - Device_Configuration'!BG299</f>
        <v>0</v>
      </c>
      <c r="L298" s="17">
        <f>'12 - Device_Configuration'!P299</f>
        <v>0</v>
      </c>
      <c r="M298" s="17">
        <f>'12 - Device_Configuration'!Q299</f>
        <v>0</v>
      </c>
      <c r="N298" s="17" t="str">
        <f>'12 - Device_Configuration'!BK299</f>
        <v/>
      </c>
      <c r="O298" s="31" t="str">
        <f>'12 - Device_Configuration'!BL299</f>
        <v/>
      </c>
      <c r="P298" s="2">
        <f>'12 - Device_Configuration'!BA299</f>
        <v>0</v>
      </c>
      <c r="Q298" s="31" t="str">
        <f t="shared" si="16"/>
        <v/>
      </c>
      <c r="R298" s="17" t="str">
        <f t="shared" si="17"/>
        <v>SW NOT INSTALLED</v>
      </c>
      <c r="S298" s="17" t="str">
        <f t="shared" si="18"/>
        <v/>
      </c>
      <c r="T298" s="17" t="str">
        <f t="shared" si="19"/>
        <v>SW NOT INSTALLED</v>
      </c>
    </row>
    <row r="299" spans="1:20">
      <c r="A299" s="31">
        <f>'12 - Device_Configuration'!H300</f>
        <v>0</v>
      </c>
      <c r="B299" s="31">
        <f>'12 - Device_Configuration'!S300</f>
        <v>0</v>
      </c>
      <c r="C299" s="31">
        <f>'12 - Device_Configuration'!T300</f>
        <v>0</v>
      </c>
      <c r="D299" s="17">
        <f>'12 - Device_Configuration'!AJ300</f>
        <v>0</v>
      </c>
      <c r="E299" s="17">
        <f>'12 - Device_Configuration'!J300</f>
        <v>0</v>
      </c>
      <c r="F299" s="31">
        <f>'12 - Device_Configuration'!K300</f>
        <v>0</v>
      </c>
      <c r="G299" s="17">
        <f>'12 - Device_Configuration'!L300</f>
        <v>0</v>
      </c>
      <c r="H299" s="17">
        <f>'13 - Config_Intake_View'!M299</f>
        <v>0</v>
      </c>
      <c r="I299" s="31">
        <f>IF('13 - Config_Intake_View'!Q299&lt;&gt;"",'13 - Config_Intake_View'!Q299,'12 - Device_Configuration'!BH300)</f>
        <v>0</v>
      </c>
      <c r="J299" s="17" t="str">
        <f>IF('13 - Config_Intake_View'!Q299&lt;&gt;"","PM Approved",IF('12 - Device_Configuration'!BH300&lt;&gt;"","Assumed",""))</f>
        <v/>
      </c>
      <c r="K299" s="31">
        <f>'12 - Device_Configuration'!BG300</f>
        <v>0</v>
      </c>
      <c r="L299" s="17">
        <f>'12 - Device_Configuration'!P300</f>
        <v>0</v>
      </c>
      <c r="M299" s="17">
        <f>'12 - Device_Configuration'!Q300</f>
        <v>0</v>
      </c>
      <c r="N299" s="17" t="str">
        <f>'12 - Device_Configuration'!BK300</f>
        <v/>
      </c>
      <c r="O299" s="31" t="str">
        <f>'12 - Device_Configuration'!BL300</f>
        <v/>
      </c>
      <c r="P299" s="2">
        <f>'12 - Device_Configuration'!BA300</f>
        <v>0</v>
      </c>
      <c r="Q299" s="31" t="str">
        <f t="shared" si="16"/>
        <v/>
      </c>
      <c r="R299" s="17" t="str">
        <f t="shared" si="17"/>
        <v>SW NOT INSTALLED</v>
      </c>
      <c r="S299" s="17" t="str">
        <f t="shared" si="18"/>
        <v/>
      </c>
      <c r="T299" s="17" t="str">
        <f t="shared" si="19"/>
        <v>SW NOT INSTALLED</v>
      </c>
    </row>
    <row r="300" spans="1:20">
      <c r="A300" s="31">
        <f>'12 - Device_Configuration'!H301</f>
        <v>0</v>
      </c>
      <c r="B300" s="31">
        <f>'12 - Device_Configuration'!S301</f>
        <v>0</v>
      </c>
      <c r="C300" s="31">
        <f>'12 - Device_Configuration'!T301</f>
        <v>0</v>
      </c>
      <c r="D300" s="17">
        <f>'12 - Device_Configuration'!AJ301</f>
        <v>0</v>
      </c>
      <c r="E300" s="17">
        <f>'12 - Device_Configuration'!J301</f>
        <v>0</v>
      </c>
      <c r="F300" s="31">
        <f>'12 - Device_Configuration'!K301</f>
        <v>0</v>
      </c>
      <c r="G300" s="17">
        <f>'12 - Device_Configuration'!L301</f>
        <v>0</v>
      </c>
      <c r="H300" s="17">
        <f>'13 - Config_Intake_View'!M300</f>
        <v>0</v>
      </c>
      <c r="I300" s="31">
        <f>IF('13 - Config_Intake_View'!Q300&lt;&gt;"",'13 - Config_Intake_View'!Q300,'12 - Device_Configuration'!BH301)</f>
        <v>0</v>
      </c>
      <c r="J300" s="17" t="str">
        <f>IF('13 - Config_Intake_View'!Q300&lt;&gt;"","PM Approved",IF('12 - Device_Configuration'!BH301&lt;&gt;"","Assumed",""))</f>
        <v/>
      </c>
      <c r="K300" s="31">
        <f>'12 - Device_Configuration'!BG301</f>
        <v>0</v>
      </c>
      <c r="L300" s="17">
        <f>'12 - Device_Configuration'!P301</f>
        <v>0</v>
      </c>
      <c r="M300" s="17">
        <f>'12 - Device_Configuration'!Q301</f>
        <v>0</v>
      </c>
      <c r="N300" s="17" t="str">
        <f>'12 - Device_Configuration'!BK301</f>
        <v/>
      </c>
      <c r="O300" s="31" t="str">
        <f>'12 - Device_Configuration'!BL301</f>
        <v/>
      </c>
      <c r="P300" s="2">
        <f>'12 - Device_Configuration'!BA301</f>
        <v>0</v>
      </c>
      <c r="Q300" s="31" t="str">
        <f t="shared" si="16"/>
        <v/>
      </c>
      <c r="R300" s="17" t="str">
        <f t="shared" si="17"/>
        <v>SW NOT INSTALLED</v>
      </c>
      <c r="S300" s="17" t="str">
        <f t="shared" si="18"/>
        <v/>
      </c>
      <c r="T300" s="17" t="str">
        <f t="shared" si="19"/>
        <v>SW NOT INSTALLED</v>
      </c>
    </row>
    <row r="301" spans="1:20">
      <c r="A301" s="31">
        <f>'12 - Device_Configuration'!H302</f>
        <v>0</v>
      </c>
      <c r="B301" s="31">
        <f>'12 - Device_Configuration'!S302</f>
        <v>0</v>
      </c>
      <c r="C301" s="31">
        <f>'12 - Device_Configuration'!T302</f>
        <v>0</v>
      </c>
      <c r="D301" s="17">
        <f>'12 - Device_Configuration'!AJ302</f>
        <v>0</v>
      </c>
      <c r="E301" s="17">
        <f>'12 - Device_Configuration'!J302</f>
        <v>0</v>
      </c>
      <c r="F301" s="31">
        <f>'12 - Device_Configuration'!K302</f>
        <v>0</v>
      </c>
      <c r="G301" s="17">
        <f>'12 - Device_Configuration'!L302</f>
        <v>0</v>
      </c>
      <c r="H301" s="17">
        <f>'13 - Config_Intake_View'!M301</f>
        <v>0</v>
      </c>
      <c r="I301" s="31">
        <f>IF('13 - Config_Intake_View'!Q301&lt;&gt;"",'13 - Config_Intake_View'!Q301,'12 - Device_Configuration'!BH302)</f>
        <v>0</v>
      </c>
      <c r="J301" s="17" t="str">
        <f>IF('13 - Config_Intake_View'!Q301&lt;&gt;"","PM Approved",IF('12 - Device_Configuration'!BH302&lt;&gt;"","Assumed",""))</f>
        <v/>
      </c>
      <c r="K301" s="31">
        <f>'12 - Device_Configuration'!BG302</f>
        <v>0</v>
      </c>
      <c r="L301" s="17">
        <f>'12 - Device_Configuration'!P302</f>
        <v>0</v>
      </c>
      <c r="M301" s="17">
        <f>'12 - Device_Configuration'!Q302</f>
        <v>0</v>
      </c>
      <c r="N301" s="17" t="str">
        <f>'12 - Device_Configuration'!BK302</f>
        <v/>
      </c>
      <c r="O301" s="31" t="str">
        <f>'12 - Device_Configuration'!BL302</f>
        <v/>
      </c>
      <c r="P301" s="2">
        <f>'12 - Device_Configuration'!BA302</f>
        <v>0</v>
      </c>
      <c r="Q301" s="31" t="str">
        <f t="shared" si="16"/>
        <v/>
      </c>
      <c r="R301" s="17" t="str">
        <f t="shared" si="17"/>
        <v>SW NOT INSTALLED</v>
      </c>
      <c r="S301" s="17" t="str">
        <f t="shared" si="18"/>
        <v/>
      </c>
      <c r="T301" s="17" t="str">
        <f t="shared" si="19"/>
        <v>SW NOT INSTALLED</v>
      </c>
    </row>
    <row r="302" spans="1:20">
      <c r="A302" s="31">
        <f>'12 - Device_Configuration'!H303</f>
        <v>0</v>
      </c>
      <c r="B302" s="31">
        <f>'12 - Device_Configuration'!S303</f>
        <v>0</v>
      </c>
      <c r="C302" s="31">
        <f>'12 - Device_Configuration'!T303</f>
        <v>0</v>
      </c>
      <c r="D302" s="17">
        <f>'12 - Device_Configuration'!AJ303</f>
        <v>0</v>
      </c>
      <c r="E302" s="17">
        <f>'12 - Device_Configuration'!J303</f>
        <v>0</v>
      </c>
      <c r="F302" s="31">
        <f>'12 - Device_Configuration'!K303</f>
        <v>0</v>
      </c>
      <c r="G302" s="17">
        <f>'12 - Device_Configuration'!L303</f>
        <v>0</v>
      </c>
      <c r="H302" s="17">
        <f>'13 - Config_Intake_View'!M302</f>
        <v>0</v>
      </c>
      <c r="I302" s="31">
        <f>IF('13 - Config_Intake_View'!Q302&lt;&gt;"",'13 - Config_Intake_View'!Q302,'12 - Device_Configuration'!BH303)</f>
        <v>0</v>
      </c>
      <c r="J302" s="17" t="str">
        <f>IF('13 - Config_Intake_View'!Q302&lt;&gt;"","PM Approved",IF('12 - Device_Configuration'!BH303&lt;&gt;"","Assumed",""))</f>
        <v/>
      </c>
      <c r="K302" s="31">
        <f>'12 - Device_Configuration'!BG303</f>
        <v>0</v>
      </c>
      <c r="L302" s="17">
        <f>'12 - Device_Configuration'!P303</f>
        <v>0</v>
      </c>
      <c r="M302" s="17">
        <f>'12 - Device_Configuration'!Q303</f>
        <v>0</v>
      </c>
      <c r="N302" s="17" t="str">
        <f>'12 - Device_Configuration'!BK303</f>
        <v/>
      </c>
      <c r="O302" s="31" t="str">
        <f>'12 - Device_Configuration'!BL303</f>
        <v/>
      </c>
      <c r="P302" s="2">
        <f>'12 - Device_Configuration'!BA303</f>
        <v>0</v>
      </c>
      <c r="Q302" s="31" t="str">
        <f t="shared" si="16"/>
        <v/>
      </c>
      <c r="R302" s="17" t="str">
        <f t="shared" si="17"/>
        <v>SW NOT INSTALLED</v>
      </c>
      <c r="S302" s="17" t="str">
        <f t="shared" si="18"/>
        <v/>
      </c>
      <c r="T302" s="17" t="str">
        <f t="shared" si="19"/>
        <v>SW NOT INSTALLED</v>
      </c>
    </row>
    <row r="303" spans="1:20">
      <c r="A303" s="31">
        <f>'12 - Device_Configuration'!H304</f>
        <v>0</v>
      </c>
      <c r="B303" s="31">
        <f>'12 - Device_Configuration'!S304</f>
        <v>0</v>
      </c>
      <c r="C303" s="31">
        <f>'12 - Device_Configuration'!T304</f>
        <v>0</v>
      </c>
      <c r="D303" s="17">
        <f>'12 - Device_Configuration'!AJ304</f>
        <v>0</v>
      </c>
      <c r="E303" s="17">
        <f>'12 - Device_Configuration'!J304</f>
        <v>0</v>
      </c>
      <c r="F303" s="31">
        <f>'12 - Device_Configuration'!K304</f>
        <v>0</v>
      </c>
      <c r="G303" s="17">
        <f>'12 - Device_Configuration'!L304</f>
        <v>0</v>
      </c>
      <c r="H303" s="17">
        <f>'13 - Config_Intake_View'!M303</f>
        <v>0</v>
      </c>
      <c r="I303" s="31">
        <f>IF('13 - Config_Intake_View'!Q303&lt;&gt;"",'13 - Config_Intake_View'!Q303,'12 - Device_Configuration'!BH304)</f>
        <v>0</v>
      </c>
      <c r="J303" s="17" t="str">
        <f>IF('13 - Config_Intake_View'!Q303&lt;&gt;"","PM Approved",IF('12 - Device_Configuration'!BH304&lt;&gt;"","Assumed",""))</f>
        <v/>
      </c>
      <c r="K303" s="31">
        <f>'12 - Device_Configuration'!BG304</f>
        <v>0</v>
      </c>
      <c r="L303" s="17">
        <f>'12 - Device_Configuration'!P304</f>
        <v>0</v>
      </c>
      <c r="M303" s="17">
        <f>'12 - Device_Configuration'!Q304</f>
        <v>0</v>
      </c>
      <c r="N303" s="17" t="str">
        <f>'12 - Device_Configuration'!BK304</f>
        <v/>
      </c>
      <c r="O303" s="31" t="str">
        <f>'12 - Device_Configuration'!BL304</f>
        <v/>
      </c>
      <c r="P303" s="2">
        <f>'12 - Device_Configuration'!BA304</f>
        <v>0</v>
      </c>
      <c r="Q303" s="31" t="str">
        <f t="shared" si="16"/>
        <v/>
      </c>
      <c r="R303" s="17" t="str">
        <f t="shared" si="17"/>
        <v>SW NOT INSTALLED</v>
      </c>
      <c r="S303" s="17" t="str">
        <f t="shared" si="18"/>
        <v/>
      </c>
      <c r="T303" s="17" t="str">
        <f t="shared" si="19"/>
        <v>SW NOT INSTALLED</v>
      </c>
    </row>
    <row r="304" spans="1:20">
      <c r="A304" s="31">
        <f>'12 - Device_Configuration'!H305</f>
        <v>0</v>
      </c>
      <c r="B304" s="31">
        <f>'12 - Device_Configuration'!S305</f>
        <v>0</v>
      </c>
      <c r="C304" s="31">
        <f>'12 - Device_Configuration'!T305</f>
        <v>0</v>
      </c>
      <c r="D304" s="17">
        <f>'12 - Device_Configuration'!AJ305</f>
        <v>0</v>
      </c>
      <c r="E304" s="17">
        <f>'12 - Device_Configuration'!J305</f>
        <v>0</v>
      </c>
      <c r="F304" s="31">
        <f>'12 - Device_Configuration'!K305</f>
        <v>0</v>
      </c>
      <c r="G304" s="17">
        <f>'12 - Device_Configuration'!L305</f>
        <v>0</v>
      </c>
      <c r="H304" s="17">
        <f>'13 - Config_Intake_View'!M304</f>
        <v>0</v>
      </c>
      <c r="I304" s="31">
        <f>IF('13 - Config_Intake_View'!Q304&lt;&gt;"",'13 - Config_Intake_View'!Q304,'12 - Device_Configuration'!BH305)</f>
        <v>0</v>
      </c>
      <c r="J304" s="17" t="str">
        <f>IF('13 - Config_Intake_View'!Q304&lt;&gt;"","PM Approved",IF('12 - Device_Configuration'!BH305&lt;&gt;"","Assumed",""))</f>
        <v/>
      </c>
      <c r="K304" s="31">
        <f>'12 - Device_Configuration'!BG305</f>
        <v>0</v>
      </c>
      <c r="L304" s="17">
        <f>'12 - Device_Configuration'!P305</f>
        <v>0</v>
      </c>
      <c r="M304" s="17">
        <f>'12 - Device_Configuration'!Q305</f>
        <v>0</v>
      </c>
      <c r="N304" s="17" t="str">
        <f>'12 - Device_Configuration'!BK305</f>
        <v/>
      </c>
      <c r="O304" s="31" t="str">
        <f>'12 - Device_Configuration'!BL305</f>
        <v/>
      </c>
      <c r="P304" s="2">
        <f>'12 - Device_Configuration'!BA305</f>
        <v>0</v>
      </c>
      <c r="Q304" s="31" t="str">
        <f t="shared" si="16"/>
        <v/>
      </c>
      <c r="R304" s="17" t="str">
        <f t="shared" si="17"/>
        <v>SW NOT INSTALLED</v>
      </c>
      <c r="S304" s="17" t="str">
        <f t="shared" si="18"/>
        <v/>
      </c>
      <c r="T304" s="17" t="str">
        <f t="shared" si="19"/>
        <v>SW NOT INSTALLED</v>
      </c>
    </row>
    <row r="305" spans="1:20">
      <c r="A305" s="31">
        <f>'12 - Device_Configuration'!H306</f>
        <v>0</v>
      </c>
      <c r="B305" s="31">
        <f>'12 - Device_Configuration'!S306</f>
        <v>0</v>
      </c>
      <c r="C305" s="31">
        <f>'12 - Device_Configuration'!T306</f>
        <v>0</v>
      </c>
      <c r="D305" s="17">
        <f>'12 - Device_Configuration'!AJ306</f>
        <v>0</v>
      </c>
      <c r="E305" s="17">
        <f>'12 - Device_Configuration'!J306</f>
        <v>0</v>
      </c>
      <c r="F305" s="31">
        <f>'12 - Device_Configuration'!K306</f>
        <v>0</v>
      </c>
      <c r="G305" s="17">
        <f>'12 - Device_Configuration'!L306</f>
        <v>0</v>
      </c>
      <c r="H305" s="17">
        <f>'13 - Config_Intake_View'!M305</f>
        <v>0</v>
      </c>
      <c r="I305" s="31">
        <f>IF('13 - Config_Intake_View'!Q305&lt;&gt;"",'13 - Config_Intake_View'!Q305,'12 - Device_Configuration'!BH306)</f>
        <v>0</v>
      </c>
      <c r="J305" s="17" t="str">
        <f>IF('13 - Config_Intake_View'!Q305&lt;&gt;"","PM Approved",IF('12 - Device_Configuration'!BH306&lt;&gt;"","Assumed",""))</f>
        <v/>
      </c>
      <c r="K305" s="31">
        <f>'12 - Device_Configuration'!BG306</f>
        <v>0</v>
      </c>
      <c r="L305" s="17">
        <f>'12 - Device_Configuration'!P306</f>
        <v>0</v>
      </c>
      <c r="M305" s="17">
        <f>'12 - Device_Configuration'!Q306</f>
        <v>0</v>
      </c>
      <c r="N305" s="17" t="str">
        <f>'12 - Device_Configuration'!BK306</f>
        <v/>
      </c>
      <c r="O305" s="31" t="str">
        <f>'12 - Device_Configuration'!BL306</f>
        <v/>
      </c>
      <c r="P305" s="2">
        <f>'12 - Device_Configuration'!BA306</f>
        <v>0</v>
      </c>
      <c r="Q305" s="31" t="str">
        <f t="shared" si="16"/>
        <v/>
      </c>
      <c r="R305" s="17" t="str">
        <f t="shared" si="17"/>
        <v>SW NOT INSTALLED</v>
      </c>
      <c r="S305" s="17" t="str">
        <f t="shared" si="18"/>
        <v/>
      </c>
      <c r="T305" s="17" t="str">
        <f t="shared" si="19"/>
        <v>SW NOT INSTALLED</v>
      </c>
    </row>
    <row r="306" spans="1:20">
      <c r="A306" s="31">
        <f>'12 - Device_Configuration'!H307</f>
        <v>0</v>
      </c>
      <c r="B306" s="31">
        <f>'12 - Device_Configuration'!S307</f>
        <v>0</v>
      </c>
      <c r="C306" s="31">
        <f>'12 - Device_Configuration'!T307</f>
        <v>0</v>
      </c>
      <c r="D306" s="17">
        <f>'12 - Device_Configuration'!AJ307</f>
        <v>0</v>
      </c>
      <c r="E306" s="17">
        <f>'12 - Device_Configuration'!J307</f>
        <v>0</v>
      </c>
      <c r="F306" s="31">
        <f>'12 - Device_Configuration'!K307</f>
        <v>0</v>
      </c>
      <c r="G306" s="17">
        <f>'12 - Device_Configuration'!L307</f>
        <v>0</v>
      </c>
      <c r="H306" s="17">
        <f>'13 - Config_Intake_View'!M306</f>
        <v>0</v>
      </c>
      <c r="I306" s="31">
        <f>IF('13 - Config_Intake_View'!Q306&lt;&gt;"",'13 - Config_Intake_View'!Q306,'12 - Device_Configuration'!BH307)</f>
        <v>0</v>
      </c>
      <c r="J306" s="17" t="str">
        <f>IF('13 - Config_Intake_View'!Q306&lt;&gt;"","PM Approved",IF('12 - Device_Configuration'!BH307&lt;&gt;"","Assumed",""))</f>
        <v/>
      </c>
      <c r="K306" s="31">
        <f>'12 - Device_Configuration'!BG307</f>
        <v>0</v>
      </c>
      <c r="L306" s="17">
        <f>'12 - Device_Configuration'!P307</f>
        <v>0</v>
      </c>
      <c r="M306" s="17">
        <f>'12 - Device_Configuration'!Q307</f>
        <v>0</v>
      </c>
      <c r="N306" s="17" t="str">
        <f>'12 - Device_Configuration'!BK307</f>
        <v/>
      </c>
      <c r="O306" s="31" t="str">
        <f>'12 - Device_Configuration'!BL307</f>
        <v/>
      </c>
      <c r="P306" s="2">
        <f>'12 - Device_Configuration'!BA307</f>
        <v>0</v>
      </c>
      <c r="Q306" s="31" t="str">
        <f t="shared" si="16"/>
        <v/>
      </c>
      <c r="R306" s="17" t="str">
        <f t="shared" si="17"/>
        <v>SW NOT INSTALLED</v>
      </c>
      <c r="S306" s="17" t="str">
        <f t="shared" si="18"/>
        <v/>
      </c>
      <c r="T306" s="17" t="str">
        <f t="shared" si="19"/>
        <v>SW NOT INSTALLED</v>
      </c>
    </row>
    <row r="307" spans="1:20">
      <c r="A307" s="31">
        <f>'12 - Device_Configuration'!H308</f>
        <v>0</v>
      </c>
      <c r="B307" s="31">
        <f>'12 - Device_Configuration'!S308</f>
        <v>0</v>
      </c>
      <c r="C307" s="31">
        <f>'12 - Device_Configuration'!T308</f>
        <v>0</v>
      </c>
      <c r="D307" s="17">
        <f>'12 - Device_Configuration'!AJ308</f>
        <v>0</v>
      </c>
      <c r="E307" s="17">
        <f>'12 - Device_Configuration'!J308</f>
        <v>0</v>
      </c>
      <c r="F307" s="31">
        <f>'12 - Device_Configuration'!K308</f>
        <v>0</v>
      </c>
      <c r="G307" s="17">
        <f>'12 - Device_Configuration'!L308</f>
        <v>0</v>
      </c>
      <c r="H307" s="17">
        <f>'13 - Config_Intake_View'!M307</f>
        <v>0</v>
      </c>
      <c r="I307" s="31">
        <f>IF('13 - Config_Intake_View'!Q307&lt;&gt;"",'13 - Config_Intake_View'!Q307,'12 - Device_Configuration'!BH308)</f>
        <v>0</v>
      </c>
      <c r="J307" s="17" t="str">
        <f>IF('13 - Config_Intake_View'!Q307&lt;&gt;"","PM Approved",IF('12 - Device_Configuration'!BH308&lt;&gt;"","Assumed",""))</f>
        <v/>
      </c>
      <c r="K307" s="31">
        <f>'12 - Device_Configuration'!BG308</f>
        <v>0</v>
      </c>
      <c r="L307" s="17">
        <f>'12 - Device_Configuration'!P308</f>
        <v>0</v>
      </c>
      <c r="M307" s="17">
        <f>'12 - Device_Configuration'!Q308</f>
        <v>0</v>
      </c>
      <c r="N307" s="17" t="str">
        <f>'12 - Device_Configuration'!BK308</f>
        <v/>
      </c>
      <c r="O307" s="31" t="str">
        <f>'12 - Device_Configuration'!BL308</f>
        <v/>
      </c>
      <c r="P307" s="2">
        <f>'12 - Device_Configuration'!BA308</f>
        <v>0</v>
      </c>
      <c r="Q307" s="31" t="str">
        <f t="shared" si="16"/>
        <v/>
      </c>
      <c r="R307" s="17" t="str">
        <f t="shared" si="17"/>
        <v>SW NOT INSTALLED</v>
      </c>
      <c r="S307" s="17" t="str">
        <f t="shared" si="18"/>
        <v/>
      </c>
      <c r="T307" s="17" t="str">
        <f t="shared" si="19"/>
        <v>SW NOT INSTALLED</v>
      </c>
    </row>
    <row r="308" spans="1:20">
      <c r="A308" s="31">
        <f>'12 - Device_Configuration'!H309</f>
        <v>0</v>
      </c>
      <c r="B308" s="31">
        <f>'12 - Device_Configuration'!S309</f>
        <v>0</v>
      </c>
      <c r="C308" s="31">
        <f>'12 - Device_Configuration'!T309</f>
        <v>0</v>
      </c>
      <c r="D308" s="17">
        <f>'12 - Device_Configuration'!AJ309</f>
        <v>0</v>
      </c>
      <c r="E308" s="17">
        <f>'12 - Device_Configuration'!J309</f>
        <v>0</v>
      </c>
      <c r="F308" s="31">
        <f>'12 - Device_Configuration'!K309</f>
        <v>0</v>
      </c>
      <c r="G308" s="17">
        <f>'12 - Device_Configuration'!L309</f>
        <v>0</v>
      </c>
      <c r="H308" s="17">
        <f>'13 - Config_Intake_View'!M308</f>
        <v>0</v>
      </c>
      <c r="I308" s="31">
        <f>IF('13 - Config_Intake_View'!Q308&lt;&gt;"",'13 - Config_Intake_View'!Q308,'12 - Device_Configuration'!BH309)</f>
        <v>0</v>
      </c>
      <c r="J308" s="17" t="str">
        <f>IF('13 - Config_Intake_View'!Q308&lt;&gt;"","PM Approved",IF('12 - Device_Configuration'!BH309&lt;&gt;"","Assumed",""))</f>
        <v/>
      </c>
      <c r="K308" s="31">
        <f>'12 - Device_Configuration'!BG309</f>
        <v>0</v>
      </c>
      <c r="L308" s="17">
        <f>'12 - Device_Configuration'!P309</f>
        <v>0</v>
      </c>
      <c r="M308" s="17">
        <f>'12 - Device_Configuration'!Q309</f>
        <v>0</v>
      </c>
      <c r="N308" s="17" t="str">
        <f>'12 - Device_Configuration'!BK309</f>
        <v/>
      </c>
      <c r="O308" s="31" t="str">
        <f>'12 - Device_Configuration'!BL309</f>
        <v/>
      </c>
      <c r="P308" s="2">
        <f>'12 - Device_Configuration'!BA309</f>
        <v>0</v>
      </c>
      <c r="Q308" s="31" t="str">
        <f t="shared" si="16"/>
        <v/>
      </c>
      <c r="R308" s="17" t="str">
        <f t="shared" si="17"/>
        <v>SW NOT INSTALLED</v>
      </c>
      <c r="S308" s="17" t="str">
        <f t="shared" si="18"/>
        <v/>
      </c>
      <c r="T308" s="17" t="str">
        <f t="shared" si="19"/>
        <v>SW NOT INSTALLED</v>
      </c>
    </row>
    <row r="309" spans="1:20">
      <c r="A309" s="31">
        <f>'12 - Device_Configuration'!H310</f>
        <v>0</v>
      </c>
      <c r="B309" s="31">
        <f>'12 - Device_Configuration'!S310</f>
        <v>0</v>
      </c>
      <c r="C309" s="31">
        <f>'12 - Device_Configuration'!T310</f>
        <v>0</v>
      </c>
      <c r="D309" s="17">
        <f>'12 - Device_Configuration'!AJ310</f>
        <v>0</v>
      </c>
      <c r="E309" s="17">
        <f>'12 - Device_Configuration'!J310</f>
        <v>0</v>
      </c>
      <c r="F309" s="31">
        <f>'12 - Device_Configuration'!K310</f>
        <v>0</v>
      </c>
      <c r="G309" s="17">
        <f>'12 - Device_Configuration'!L310</f>
        <v>0</v>
      </c>
      <c r="H309" s="17">
        <f>'13 - Config_Intake_View'!M309</f>
        <v>0</v>
      </c>
      <c r="I309" s="31">
        <f>IF('13 - Config_Intake_View'!Q309&lt;&gt;"",'13 - Config_Intake_View'!Q309,'12 - Device_Configuration'!BH310)</f>
        <v>0</v>
      </c>
      <c r="J309" s="17" t="str">
        <f>IF('13 - Config_Intake_View'!Q309&lt;&gt;"","PM Approved",IF('12 - Device_Configuration'!BH310&lt;&gt;"","Assumed",""))</f>
        <v/>
      </c>
      <c r="K309" s="31">
        <f>'12 - Device_Configuration'!BG310</f>
        <v>0</v>
      </c>
      <c r="L309" s="17">
        <f>'12 - Device_Configuration'!P310</f>
        <v>0</v>
      </c>
      <c r="M309" s="17">
        <f>'12 - Device_Configuration'!Q310</f>
        <v>0</v>
      </c>
      <c r="N309" s="17" t="str">
        <f>'12 - Device_Configuration'!BK310</f>
        <v/>
      </c>
      <c r="O309" s="31" t="str">
        <f>'12 - Device_Configuration'!BL310</f>
        <v/>
      </c>
      <c r="P309" s="2">
        <f>'12 - Device_Configuration'!BA310</f>
        <v>0</v>
      </c>
      <c r="Q309" s="31" t="str">
        <f t="shared" si="16"/>
        <v/>
      </c>
      <c r="R309" s="17" t="str">
        <f t="shared" si="17"/>
        <v>SW NOT INSTALLED</v>
      </c>
      <c r="S309" s="17" t="str">
        <f t="shared" si="18"/>
        <v/>
      </c>
      <c r="T309" s="17" t="str">
        <f t="shared" si="19"/>
        <v>SW NOT INSTALLED</v>
      </c>
    </row>
    <row r="310" spans="1:20">
      <c r="A310" s="31">
        <f>'12 - Device_Configuration'!H311</f>
        <v>0</v>
      </c>
      <c r="B310" s="31">
        <f>'12 - Device_Configuration'!S311</f>
        <v>0</v>
      </c>
      <c r="C310" s="31">
        <f>'12 - Device_Configuration'!T311</f>
        <v>0</v>
      </c>
      <c r="D310" s="17">
        <f>'12 - Device_Configuration'!AJ311</f>
        <v>0</v>
      </c>
      <c r="E310" s="17">
        <f>'12 - Device_Configuration'!J311</f>
        <v>0</v>
      </c>
      <c r="F310" s="31">
        <f>'12 - Device_Configuration'!K311</f>
        <v>0</v>
      </c>
      <c r="G310" s="17">
        <f>'12 - Device_Configuration'!L311</f>
        <v>0</v>
      </c>
      <c r="H310" s="17">
        <f>'13 - Config_Intake_View'!M310</f>
        <v>0</v>
      </c>
      <c r="I310" s="31">
        <f>IF('13 - Config_Intake_View'!Q310&lt;&gt;"",'13 - Config_Intake_View'!Q310,'12 - Device_Configuration'!BH311)</f>
        <v>0</v>
      </c>
      <c r="J310" s="17" t="str">
        <f>IF('13 - Config_Intake_View'!Q310&lt;&gt;"","PM Approved",IF('12 - Device_Configuration'!BH311&lt;&gt;"","Assumed",""))</f>
        <v/>
      </c>
      <c r="K310" s="31">
        <f>'12 - Device_Configuration'!BG311</f>
        <v>0</v>
      </c>
      <c r="L310" s="17">
        <f>'12 - Device_Configuration'!P311</f>
        <v>0</v>
      </c>
      <c r="M310" s="17">
        <f>'12 - Device_Configuration'!Q311</f>
        <v>0</v>
      </c>
      <c r="N310" s="17" t="str">
        <f>'12 - Device_Configuration'!BK311</f>
        <v/>
      </c>
      <c r="O310" s="31" t="str">
        <f>'12 - Device_Configuration'!BL311</f>
        <v/>
      </c>
      <c r="P310" s="2">
        <f>'12 - Device_Configuration'!BA311</f>
        <v>0</v>
      </c>
      <c r="Q310" s="31" t="str">
        <f t="shared" si="16"/>
        <v/>
      </c>
      <c r="R310" s="17" t="str">
        <f t="shared" si="17"/>
        <v>SW NOT INSTALLED</v>
      </c>
      <c r="S310" s="17" t="str">
        <f t="shared" si="18"/>
        <v/>
      </c>
      <c r="T310" s="17" t="str">
        <f t="shared" si="19"/>
        <v>SW NOT INSTALLED</v>
      </c>
    </row>
    <row r="311" spans="1:20">
      <c r="A311" s="31">
        <f>'12 - Device_Configuration'!H312</f>
        <v>0</v>
      </c>
      <c r="B311" s="31">
        <f>'12 - Device_Configuration'!S312</f>
        <v>0</v>
      </c>
      <c r="C311" s="31">
        <f>'12 - Device_Configuration'!T312</f>
        <v>0</v>
      </c>
      <c r="D311" s="17">
        <f>'12 - Device_Configuration'!AJ312</f>
        <v>0</v>
      </c>
      <c r="E311" s="17">
        <f>'12 - Device_Configuration'!J312</f>
        <v>0</v>
      </c>
      <c r="F311" s="31">
        <f>'12 - Device_Configuration'!K312</f>
        <v>0</v>
      </c>
      <c r="G311" s="17">
        <f>'12 - Device_Configuration'!L312</f>
        <v>0</v>
      </c>
      <c r="H311" s="17">
        <f>'13 - Config_Intake_View'!M311</f>
        <v>0</v>
      </c>
      <c r="I311" s="31">
        <f>IF('13 - Config_Intake_View'!Q311&lt;&gt;"",'13 - Config_Intake_View'!Q311,'12 - Device_Configuration'!BH312)</f>
        <v>0</v>
      </c>
      <c r="J311" s="17" t="str">
        <f>IF('13 - Config_Intake_View'!Q311&lt;&gt;"","PM Approved",IF('12 - Device_Configuration'!BH312&lt;&gt;"","Assumed",""))</f>
        <v/>
      </c>
      <c r="K311" s="31">
        <f>'12 - Device_Configuration'!BG312</f>
        <v>0</v>
      </c>
      <c r="L311" s="17">
        <f>'12 - Device_Configuration'!P312</f>
        <v>0</v>
      </c>
      <c r="M311" s="17">
        <f>'12 - Device_Configuration'!Q312</f>
        <v>0</v>
      </c>
      <c r="N311" s="17" t="str">
        <f>'12 - Device_Configuration'!BK312</f>
        <v/>
      </c>
      <c r="O311" s="31" t="str">
        <f>'12 - Device_Configuration'!BL312</f>
        <v/>
      </c>
      <c r="P311" s="2">
        <f>'12 - Device_Configuration'!BA312</f>
        <v>0</v>
      </c>
      <c r="Q311" s="31" t="str">
        <f t="shared" si="16"/>
        <v/>
      </c>
      <c r="R311" s="17" t="str">
        <f t="shared" si="17"/>
        <v>SW NOT INSTALLED</v>
      </c>
      <c r="S311" s="17" t="str">
        <f t="shared" si="18"/>
        <v/>
      </c>
      <c r="T311" s="17" t="str">
        <f t="shared" si="19"/>
        <v>SW NOT INSTALLED</v>
      </c>
    </row>
    <row r="312" spans="1:20">
      <c r="A312" s="31">
        <f>'12 - Device_Configuration'!H313</f>
        <v>0</v>
      </c>
      <c r="B312" s="31">
        <f>'12 - Device_Configuration'!S313</f>
        <v>0</v>
      </c>
      <c r="C312" s="31">
        <f>'12 - Device_Configuration'!T313</f>
        <v>0</v>
      </c>
      <c r="D312" s="17">
        <f>'12 - Device_Configuration'!AJ313</f>
        <v>0</v>
      </c>
      <c r="E312" s="17">
        <f>'12 - Device_Configuration'!J313</f>
        <v>0</v>
      </c>
      <c r="F312" s="31">
        <f>'12 - Device_Configuration'!K313</f>
        <v>0</v>
      </c>
      <c r="G312" s="17">
        <f>'12 - Device_Configuration'!L313</f>
        <v>0</v>
      </c>
      <c r="H312" s="17">
        <f>'13 - Config_Intake_View'!M312</f>
        <v>0</v>
      </c>
      <c r="I312" s="31">
        <f>IF('13 - Config_Intake_View'!Q312&lt;&gt;"",'13 - Config_Intake_View'!Q312,'12 - Device_Configuration'!BH313)</f>
        <v>0</v>
      </c>
      <c r="J312" s="17" t="str">
        <f>IF('13 - Config_Intake_View'!Q312&lt;&gt;"","PM Approved",IF('12 - Device_Configuration'!BH313&lt;&gt;"","Assumed",""))</f>
        <v/>
      </c>
      <c r="K312" s="31">
        <f>'12 - Device_Configuration'!BG313</f>
        <v>0</v>
      </c>
      <c r="L312" s="17">
        <f>'12 - Device_Configuration'!P313</f>
        <v>0</v>
      </c>
      <c r="M312" s="17">
        <f>'12 - Device_Configuration'!Q313</f>
        <v>0</v>
      </c>
      <c r="N312" s="17" t="str">
        <f>'12 - Device_Configuration'!BK313</f>
        <v/>
      </c>
      <c r="O312" s="31" t="str">
        <f>'12 - Device_Configuration'!BL313</f>
        <v/>
      </c>
      <c r="P312" s="2">
        <f>'12 - Device_Configuration'!BA313</f>
        <v>0</v>
      </c>
      <c r="Q312" s="31" t="str">
        <f t="shared" si="16"/>
        <v/>
      </c>
      <c r="R312" s="17" t="str">
        <f t="shared" si="17"/>
        <v>SW NOT INSTALLED</v>
      </c>
      <c r="S312" s="17" t="str">
        <f t="shared" si="18"/>
        <v/>
      </c>
      <c r="T312" s="17" t="str">
        <f t="shared" si="19"/>
        <v>SW NOT INSTALLED</v>
      </c>
    </row>
    <row r="313" spans="1:20">
      <c r="A313" s="31">
        <f>'12 - Device_Configuration'!H314</f>
        <v>0</v>
      </c>
      <c r="B313" s="31">
        <f>'12 - Device_Configuration'!S314</f>
        <v>0</v>
      </c>
      <c r="C313" s="31">
        <f>'12 - Device_Configuration'!T314</f>
        <v>0</v>
      </c>
      <c r="D313" s="17">
        <f>'12 - Device_Configuration'!AJ314</f>
        <v>0</v>
      </c>
      <c r="E313" s="17">
        <f>'12 - Device_Configuration'!J314</f>
        <v>0</v>
      </c>
      <c r="F313" s="31">
        <f>'12 - Device_Configuration'!K314</f>
        <v>0</v>
      </c>
      <c r="G313" s="17">
        <f>'12 - Device_Configuration'!L314</f>
        <v>0</v>
      </c>
      <c r="H313" s="17">
        <f>'13 - Config_Intake_View'!M313</f>
        <v>0</v>
      </c>
      <c r="I313" s="31">
        <f>IF('13 - Config_Intake_View'!Q313&lt;&gt;"",'13 - Config_Intake_View'!Q313,'12 - Device_Configuration'!BH314)</f>
        <v>0</v>
      </c>
      <c r="J313" s="17" t="str">
        <f>IF('13 - Config_Intake_View'!Q313&lt;&gt;"","PM Approved",IF('12 - Device_Configuration'!BH314&lt;&gt;"","Assumed",""))</f>
        <v/>
      </c>
      <c r="K313" s="31">
        <f>'12 - Device_Configuration'!BG314</f>
        <v>0</v>
      </c>
      <c r="L313" s="17">
        <f>'12 - Device_Configuration'!P314</f>
        <v>0</v>
      </c>
      <c r="M313" s="17">
        <f>'12 - Device_Configuration'!Q314</f>
        <v>0</v>
      </c>
      <c r="N313" s="17" t="str">
        <f>'12 - Device_Configuration'!BK314</f>
        <v/>
      </c>
      <c r="O313" s="31" t="str">
        <f>'12 - Device_Configuration'!BL314</f>
        <v/>
      </c>
      <c r="P313" s="2">
        <f>'12 - Device_Configuration'!BA314</f>
        <v>0</v>
      </c>
      <c r="Q313" s="31" t="str">
        <f t="shared" si="16"/>
        <v/>
      </c>
      <c r="R313" s="17" t="str">
        <f t="shared" si="17"/>
        <v>SW NOT INSTALLED</v>
      </c>
      <c r="S313" s="17" t="str">
        <f t="shared" si="18"/>
        <v/>
      </c>
      <c r="T313" s="17" t="str">
        <f t="shared" si="19"/>
        <v>SW NOT INSTALLED</v>
      </c>
    </row>
    <row r="314" spans="1:20">
      <c r="A314" s="31">
        <f>'12 - Device_Configuration'!H315</f>
        <v>0</v>
      </c>
      <c r="B314" s="31">
        <f>'12 - Device_Configuration'!S315</f>
        <v>0</v>
      </c>
      <c r="C314" s="31">
        <f>'12 - Device_Configuration'!T315</f>
        <v>0</v>
      </c>
      <c r="D314" s="17">
        <f>'12 - Device_Configuration'!AJ315</f>
        <v>0</v>
      </c>
      <c r="E314" s="17">
        <f>'12 - Device_Configuration'!J315</f>
        <v>0</v>
      </c>
      <c r="F314" s="31">
        <f>'12 - Device_Configuration'!K315</f>
        <v>0</v>
      </c>
      <c r="G314" s="17">
        <f>'12 - Device_Configuration'!L315</f>
        <v>0</v>
      </c>
      <c r="H314" s="17">
        <f>'13 - Config_Intake_View'!M314</f>
        <v>0</v>
      </c>
      <c r="I314" s="31">
        <f>IF('13 - Config_Intake_View'!Q314&lt;&gt;"",'13 - Config_Intake_View'!Q314,'12 - Device_Configuration'!BH315)</f>
        <v>0</v>
      </c>
      <c r="J314" s="17" t="str">
        <f>IF('13 - Config_Intake_View'!Q314&lt;&gt;"","PM Approved",IF('12 - Device_Configuration'!BH315&lt;&gt;"","Assumed",""))</f>
        <v/>
      </c>
      <c r="K314" s="31">
        <f>'12 - Device_Configuration'!BG315</f>
        <v>0</v>
      </c>
      <c r="L314" s="17">
        <f>'12 - Device_Configuration'!P315</f>
        <v>0</v>
      </c>
      <c r="M314" s="17">
        <f>'12 - Device_Configuration'!Q315</f>
        <v>0</v>
      </c>
      <c r="N314" s="17" t="str">
        <f>'12 - Device_Configuration'!BK315</f>
        <v/>
      </c>
      <c r="O314" s="31" t="str">
        <f>'12 - Device_Configuration'!BL315</f>
        <v/>
      </c>
      <c r="P314" s="2">
        <f>'12 - Device_Configuration'!BA315</f>
        <v>0</v>
      </c>
      <c r="Q314" s="31" t="str">
        <f t="shared" si="16"/>
        <v/>
      </c>
      <c r="R314" s="17" t="str">
        <f t="shared" si="17"/>
        <v>SW NOT INSTALLED</v>
      </c>
      <c r="S314" s="17" t="str">
        <f t="shared" si="18"/>
        <v/>
      </c>
      <c r="T314" s="17" t="str">
        <f t="shared" si="19"/>
        <v>SW NOT INSTALLED</v>
      </c>
    </row>
    <row r="315" spans="1:20">
      <c r="A315" s="31">
        <f>'12 - Device_Configuration'!H316</f>
        <v>0</v>
      </c>
      <c r="B315" s="31">
        <f>'12 - Device_Configuration'!S316</f>
        <v>0</v>
      </c>
      <c r="C315" s="31">
        <f>'12 - Device_Configuration'!T316</f>
        <v>0</v>
      </c>
      <c r="D315" s="17">
        <f>'12 - Device_Configuration'!AJ316</f>
        <v>0</v>
      </c>
      <c r="E315" s="17">
        <f>'12 - Device_Configuration'!J316</f>
        <v>0</v>
      </c>
      <c r="F315" s="31">
        <f>'12 - Device_Configuration'!K316</f>
        <v>0</v>
      </c>
      <c r="G315" s="17">
        <f>'12 - Device_Configuration'!L316</f>
        <v>0</v>
      </c>
      <c r="H315" s="17">
        <f>'13 - Config_Intake_View'!M315</f>
        <v>0</v>
      </c>
      <c r="I315" s="31">
        <f>IF('13 - Config_Intake_View'!Q315&lt;&gt;"",'13 - Config_Intake_View'!Q315,'12 - Device_Configuration'!BH316)</f>
        <v>0</v>
      </c>
      <c r="J315" s="17" t="str">
        <f>IF('13 - Config_Intake_View'!Q315&lt;&gt;"","PM Approved",IF('12 - Device_Configuration'!BH316&lt;&gt;"","Assumed",""))</f>
        <v/>
      </c>
      <c r="K315" s="31">
        <f>'12 - Device_Configuration'!BG316</f>
        <v>0</v>
      </c>
      <c r="L315" s="17">
        <f>'12 - Device_Configuration'!P316</f>
        <v>0</v>
      </c>
      <c r="M315" s="17">
        <f>'12 - Device_Configuration'!Q316</f>
        <v>0</v>
      </c>
      <c r="N315" s="17" t="str">
        <f>'12 - Device_Configuration'!BK316</f>
        <v/>
      </c>
      <c r="O315" s="31" t="str">
        <f>'12 - Device_Configuration'!BL316</f>
        <v/>
      </c>
      <c r="P315" s="2">
        <f>'12 - Device_Configuration'!BA316</f>
        <v>0</v>
      </c>
      <c r="Q315" s="31" t="str">
        <f t="shared" si="16"/>
        <v/>
      </c>
      <c r="R315" s="17" t="str">
        <f t="shared" si="17"/>
        <v>SW NOT INSTALLED</v>
      </c>
      <c r="S315" s="17" t="str">
        <f t="shared" si="18"/>
        <v/>
      </c>
      <c r="T315" s="17" t="str">
        <f t="shared" si="19"/>
        <v>SW NOT INSTALLED</v>
      </c>
    </row>
    <row r="316" spans="1:20">
      <c r="A316" s="31">
        <f>'12 - Device_Configuration'!H317</f>
        <v>0</v>
      </c>
      <c r="B316" s="31">
        <f>'12 - Device_Configuration'!S317</f>
        <v>0</v>
      </c>
      <c r="C316" s="31">
        <f>'12 - Device_Configuration'!T317</f>
        <v>0</v>
      </c>
      <c r="D316" s="17">
        <f>'12 - Device_Configuration'!AJ317</f>
        <v>0</v>
      </c>
      <c r="E316" s="17">
        <f>'12 - Device_Configuration'!J317</f>
        <v>0</v>
      </c>
      <c r="F316" s="31">
        <f>'12 - Device_Configuration'!K317</f>
        <v>0</v>
      </c>
      <c r="G316" s="17">
        <f>'12 - Device_Configuration'!L317</f>
        <v>0</v>
      </c>
      <c r="H316" s="17">
        <f>'13 - Config_Intake_View'!M316</f>
        <v>0</v>
      </c>
      <c r="I316" s="31">
        <f>IF('13 - Config_Intake_View'!Q316&lt;&gt;"",'13 - Config_Intake_View'!Q316,'12 - Device_Configuration'!BH317)</f>
        <v>0</v>
      </c>
      <c r="J316" s="17" t="str">
        <f>IF('13 - Config_Intake_View'!Q316&lt;&gt;"","PM Approved",IF('12 - Device_Configuration'!BH317&lt;&gt;"","Assumed",""))</f>
        <v/>
      </c>
      <c r="K316" s="31">
        <f>'12 - Device_Configuration'!BG317</f>
        <v>0</v>
      </c>
      <c r="L316" s="17">
        <f>'12 - Device_Configuration'!P317</f>
        <v>0</v>
      </c>
      <c r="M316" s="17">
        <f>'12 - Device_Configuration'!Q317</f>
        <v>0</v>
      </c>
      <c r="N316" s="17" t="str">
        <f>'12 - Device_Configuration'!BK317</f>
        <v/>
      </c>
      <c r="O316" s="31" t="str">
        <f>'12 - Device_Configuration'!BL317</f>
        <v/>
      </c>
      <c r="P316" s="2">
        <f>'12 - Device_Configuration'!BA317</f>
        <v>0</v>
      </c>
      <c r="Q316" s="31" t="str">
        <f t="shared" si="16"/>
        <v/>
      </c>
      <c r="R316" s="17" t="str">
        <f t="shared" si="17"/>
        <v>SW NOT INSTALLED</v>
      </c>
      <c r="S316" s="17" t="str">
        <f t="shared" si="18"/>
        <v/>
      </c>
      <c r="T316" s="17" t="str">
        <f t="shared" si="19"/>
        <v>SW NOT INSTALLED</v>
      </c>
    </row>
    <row r="317" spans="1:20">
      <c r="A317" s="31">
        <f>'12 - Device_Configuration'!H318</f>
        <v>0</v>
      </c>
      <c r="B317" s="31">
        <f>'12 - Device_Configuration'!S318</f>
        <v>0</v>
      </c>
      <c r="C317" s="31">
        <f>'12 - Device_Configuration'!T318</f>
        <v>0</v>
      </c>
      <c r="D317" s="17">
        <f>'12 - Device_Configuration'!AJ318</f>
        <v>0</v>
      </c>
      <c r="E317" s="17">
        <f>'12 - Device_Configuration'!J318</f>
        <v>0</v>
      </c>
      <c r="F317" s="31">
        <f>'12 - Device_Configuration'!K318</f>
        <v>0</v>
      </c>
      <c r="G317" s="17">
        <f>'12 - Device_Configuration'!L318</f>
        <v>0</v>
      </c>
      <c r="H317" s="17">
        <f>'13 - Config_Intake_View'!M317</f>
        <v>0</v>
      </c>
      <c r="I317" s="31">
        <f>IF('13 - Config_Intake_View'!Q317&lt;&gt;"",'13 - Config_Intake_View'!Q317,'12 - Device_Configuration'!BH318)</f>
        <v>0</v>
      </c>
      <c r="J317" s="17" t="str">
        <f>IF('13 - Config_Intake_View'!Q317&lt;&gt;"","PM Approved",IF('12 - Device_Configuration'!BH318&lt;&gt;"","Assumed",""))</f>
        <v/>
      </c>
      <c r="K317" s="31">
        <f>'12 - Device_Configuration'!BG318</f>
        <v>0</v>
      </c>
      <c r="L317" s="17">
        <f>'12 - Device_Configuration'!P318</f>
        <v>0</v>
      </c>
      <c r="M317" s="17">
        <f>'12 - Device_Configuration'!Q318</f>
        <v>0</v>
      </c>
      <c r="N317" s="17" t="str">
        <f>'12 - Device_Configuration'!BK318</f>
        <v/>
      </c>
      <c r="O317" s="31" t="str">
        <f>'12 - Device_Configuration'!BL318</f>
        <v/>
      </c>
      <c r="P317" s="2">
        <f>'12 - Device_Configuration'!BA318</f>
        <v>0</v>
      </c>
      <c r="Q317" s="31" t="str">
        <f t="shared" si="16"/>
        <v/>
      </c>
      <c r="R317" s="17" t="str">
        <f t="shared" si="17"/>
        <v>SW NOT INSTALLED</v>
      </c>
      <c r="S317" s="17" t="str">
        <f t="shared" si="18"/>
        <v/>
      </c>
      <c r="T317" s="17" t="str">
        <f t="shared" si="19"/>
        <v>SW NOT INSTALLED</v>
      </c>
    </row>
    <row r="318" spans="1:20">
      <c r="A318" s="31">
        <f>'12 - Device_Configuration'!H319</f>
        <v>0</v>
      </c>
      <c r="B318" s="31">
        <f>'12 - Device_Configuration'!S319</f>
        <v>0</v>
      </c>
      <c r="C318" s="31">
        <f>'12 - Device_Configuration'!T319</f>
        <v>0</v>
      </c>
      <c r="D318" s="17">
        <f>'12 - Device_Configuration'!AJ319</f>
        <v>0</v>
      </c>
      <c r="E318" s="17">
        <f>'12 - Device_Configuration'!J319</f>
        <v>0</v>
      </c>
      <c r="F318" s="31">
        <f>'12 - Device_Configuration'!K319</f>
        <v>0</v>
      </c>
      <c r="G318" s="17">
        <f>'12 - Device_Configuration'!L319</f>
        <v>0</v>
      </c>
      <c r="H318" s="17">
        <f>'13 - Config_Intake_View'!M318</f>
        <v>0</v>
      </c>
      <c r="I318" s="31">
        <f>IF('13 - Config_Intake_View'!Q318&lt;&gt;"",'13 - Config_Intake_View'!Q318,'12 - Device_Configuration'!BH319)</f>
        <v>0</v>
      </c>
      <c r="J318" s="17" t="str">
        <f>IF('13 - Config_Intake_View'!Q318&lt;&gt;"","PM Approved",IF('12 - Device_Configuration'!BH319&lt;&gt;"","Assumed",""))</f>
        <v/>
      </c>
      <c r="K318" s="31">
        <f>'12 - Device_Configuration'!BG319</f>
        <v>0</v>
      </c>
      <c r="L318" s="17">
        <f>'12 - Device_Configuration'!P319</f>
        <v>0</v>
      </c>
      <c r="M318" s="17">
        <f>'12 - Device_Configuration'!Q319</f>
        <v>0</v>
      </c>
      <c r="N318" s="17" t="str">
        <f>'12 - Device_Configuration'!BK319</f>
        <v/>
      </c>
      <c r="O318" s="31" t="str">
        <f>'12 - Device_Configuration'!BL319</f>
        <v/>
      </c>
      <c r="P318" s="2">
        <f>'12 - Device_Configuration'!BA319</f>
        <v>0</v>
      </c>
      <c r="Q318" s="31" t="str">
        <f t="shared" si="16"/>
        <v/>
      </c>
      <c r="R318" s="17" t="str">
        <f t="shared" si="17"/>
        <v>SW NOT INSTALLED</v>
      </c>
      <c r="S318" s="17" t="str">
        <f t="shared" si="18"/>
        <v/>
      </c>
      <c r="T318" s="17" t="str">
        <f t="shared" si="19"/>
        <v>SW NOT INSTALLED</v>
      </c>
    </row>
    <row r="319" spans="1:20">
      <c r="A319" s="31">
        <f>'12 - Device_Configuration'!H320</f>
        <v>0</v>
      </c>
      <c r="B319" s="31">
        <f>'12 - Device_Configuration'!S320</f>
        <v>0</v>
      </c>
      <c r="C319" s="31">
        <f>'12 - Device_Configuration'!T320</f>
        <v>0</v>
      </c>
      <c r="D319" s="17">
        <f>'12 - Device_Configuration'!AJ320</f>
        <v>0</v>
      </c>
      <c r="E319" s="17">
        <f>'12 - Device_Configuration'!J320</f>
        <v>0</v>
      </c>
      <c r="F319" s="31">
        <f>'12 - Device_Configuration'!K320</f>
        <v>0</v>
      </c>
      <c r="G319" s="17">
        <f>'12 - Device_Configuration'!L320</f>
        <v>0</v>
      </c>
      <c r="H319" s="17">
        <f>'13 - Config_Intake_View'!M319</f>
        <v>0</v>
      </c>
      <c r="I319" s="31">
        <f>IF('13 - Config_Intake_View'!Q319&lt;&gt;"",'13 - Config_Intake_View'!Q319,'12 - Device_Configuration'!BH320)</f>
        <v>0</v>
      </c>
      <c r="J319" s="17" t="str">
        <f>IF('13 - Config_Intake_View'!Q319&lt;&gt;"","PM Approved",IF('12 - Device_Configuration'!BH320&lt;&gt;"","Assumed",""))</f>
        <v/>
      </c>
      <c r="K319" s="31">
        <f>'12 - Device_Configuration'!BG320</f>
        <v>0</v>
      </c>
      <c r="L319" s="17">
        <f>'12 - Device_Configuration'!P320</f>
        <v>0</v>
      </c>
      <c r="M319" s="17">
        <f>'12 - Device_Configuration'!Q320</f>
        <v>0</v>
      </c>
      <c r="N319" s="17" t="str">
        <f>'12 - Device_Configuration'!BK320</f>
        <v/>
      </c>
      <c r="O319" s="31" t="str">
        <f>'12 - Device_Configuration'!BL320</f>
        <v/>
      </c>
      <c r="P319" s="2">
        <f>'12 - Device_Configuration'!BA320</f>
        <v>0</v>
      </c>
      <c r="Q319" s="31" t="str">
        <f t="shared" si="16"/>
        <v/>
      </c>
      <c r="R319" s="17" t="str">
        <f t="shared" si="17"/>
        <v>SW NOT INSTALLED</v>
      </c>
      <c r="S319" s="17" t="str">
        <f t="shared" si="18"/>
        <v/>
      </c>
      <c r="T319" s="17" t="str">
        <f t="shared" si="19"/>
        <v>SW NOT INSTALLED</v>
      </c>
    </row>
    <row r="320" spans="1:20">
      <c r="A320" s="31">
        <f>'12 - Device_Configuration'!H321</f>
        <v>0</v>
      </c>
      <c r="B320" s="31">
        <f>'12 - Device_Configuration'!S321</f>
        <v>0</v>
      </c>
      <c r="C320" s="31">
        <f>'12 - Device_Configuration'!T321</f>
        <v>0</v>
      </c>
      <c r="D320" s="17">
        <f>'12 - Device_Configuration'!AJ321</f>
        <v>0</v>
      </c>
      <c r="E320" s="17">
        <f>'12 - Device_Configuration'!J321</f>
        <v>0</v>
      </c>
      <c r="F320" s="31">
        <f>'12 - Device_Configuration'!K321</f>
        <v>0</v>
      </c>
      <c r="G320" s="17">
        <f>'12 - Device_Configuration'!L321</f>
        <v>0</v>
      </c>
      <c r="H320" s="17">
        <f>'13 - Config_Intake_View'!M320</f>
        <v>0</v>
      </c>
      <c r="I320" s="31">
        <f>IF('13 - Config_Intake_View'!Q320&lt;&gt;"",'13 - Config_Intake_View'!Q320,'12 - Device_Configuration'!BH321)</f>
        <v>0</v>
      </c>
      <c r="J320" s="17" t="str">
        <f>IF('13 - Config_Intake_View'!Q320&lt;&gt;"","PM Approved",IF('12 - Device_Configuration'!BH321&lt;&gt;"","Assumed",""))</f>
        <v/>
      </c>
      <c r="K320" s="31">
        <f>'12 - Device_Configuration'!BG321</f>
        <v>0</v>
      </c>
      <c r="L320" s="17">
        <f>'12 - Device_Configuration'!P321</f>
        <v>0</v>
      </c>
      <c r="M320" s="17">
        <f>'12 - Device_Configuration'!Q321</f>
        <v>0</v>
      </c>
      <c r="N320" s="17" t="str">
        <f>'12 - Device_Configuration'!BK321</f>
        <v/>
      </c>
      <c r="O320" s="31" t="str">
        <f>'12 - Device_Configuration'!BL321</f>
        <v/>
      </c>
      <c r="P320" s="2">
        <f>'12 - Device_Configuration'!BA321</f>
        <v>0</v>
      </c>
      <c r="Q320" s="31" t="str">
        <f t="shared" si="16"/>
        <v/>
      </c>
      <c r="R320" s="17" t="str">
        <f t="shared" si="17"/>
        <v>SW NOT INSTALLED</v>
      </c>
      <c r="S320" s="17" t="str">
        <f t="shared" si="18"/>
        <v/>
      </c>
      <c r="T320" s="17" t="str">
        <f t="shared" si="19"/>
        <v>SW NOT INSTALLED</v>
      </c>
    </row>
    <row r="321" spans="1:20">
      <c r="A321" s="31">
        <f>'12 - Device_Configuration'!H322</f>
        <v>0</v>
      </c>
      <c r="B321" s="31">
        <f>'12 - Device_Configuration'!S322</f>
        <v>0</v>
      </c>
      <c r="C321" s="31">
        <f>'12 - Device_Configuration'!T322</f>
        <v>0</v>
      </c>
      <c r="D321" s="17">
        <f>'12 - Device_Configuration'!AJ322</f>
        <v>0</v>
      </c>
      <c r="E321" s="17">
        <f>'12 - Device_Configuration'!J322</f>
        <v>0</v>
      </c>
      <c r="F321" s="31">
        <f>'12 - Device_Configuration'!K322</f>
        <v>0</v>
      </c>
      <c r="G321" s="17">
        <f>'12 - Device_Configuration'!L322</f>
        <v>0</v>
      </c>
      <c r="H321" s="17">
        <f>'13 - Config_Intake_View'!M321</f>
        <v>0</v>
      </c>
      <c r="I321" s="31">
        <f>IF('13 - Config_Intake_View'!Q321&lt;&gt;"",'13 - Config_Intake_View'!Q321,'12 - Device_Configuration'!BH322)</f>
        <v>0</v>
      </c>
      <c r="J321" s="17" t="str">
        <f>IF('13 - Config_Intake_View'!Q321&lt;&gt;"","PM Approved",IF('12 - Device_Configuration'!BH322&lt;&gt;"","Assumed",""))</f>
        <v/>
      </c>
      <c r="K321" s="31">
        <f>'12 - Device_Configuration'!BG322</f>
        <v>0</v>
      </c>
      <c r="L321" s="17">
        <f>'12 - Device_Configuration'!P322</f>
        <v>0</v>
      </c>
      <c r="M321" s="17">
        <f>'12 - Device_Configuration'!Q322</f>
        <v>0</v>
      </c>
      <c r="N321" s="17" t="str">
        <f>'12 - Device_Configuration'!BK322</f>
        <v/>
      </c>
      <c r="O321" s="31" t="str">
        <f>'12 - Device_Configuration'!BL322</f>
        <v/>
      </c>
      <c r="P321" s="2">
        <f>'12 - Device_Configuration'!BA322</f>
        <v>0</v>
      </c>
      <c r="Q321" s="31" t="str">
        <f t="shared" si="16"/>
        <v/>
      </c>
      <c r="R321" s="17" t="str">
        <f t="shared" si="17"/>
        <v>SW NOT INSTALLED</v>
      </c>
      <c r="S321" s="17" t="str">
        <f t="shared" si="18"/>
        <v/>
      </c>
      <c r="T321" s="17" t="str">
        <f t="shared" si="19"/>
        <v>SW NOT INSTALLED</v>
      </c>
    </row>
    <row r="322" spans="1:20">
      <c r="A322" s="31">
        <f>'12 - Device_Configuration'!H323</f>
        <v>0</v>
      </c>
      <c r="B322" s="31">
        <f>'12 - Device_Configuration'!S323</f>
        <v>0</v>
      </c>
      <c r="C322" s="31">
        <f>'12 - Device_Configuration'!T323</f>
        <v>0</v>
      </c>
      <c r="D322" s="17">
        <f>'12 - Device_Configuration'!AJ323</f>
        <v>0</v>
      </c>
      <c r="E322" s="17">
        <f>'12 - Device_Configuration'!J323</f>
        <v>0</v>
      </c>
      <c r="F322" s="31">
        <f>'12 - Device_Configuration'!K323</f>
        <v>0</v>
      </c>
      <c r="G322" s="17">
        <f>'12 - Device_Configuration'!L323</f>
        <v>0</v>
      </c>
      <c r="H322" s="17">
        <f>'13 - Config_Intake_View'!M322</f>
        <v>0</v>
      </c>
      <c r="I322" s="31">
        <f>IF('13 - Config_Intake_View'!Q322&lt;&gt;"",'13 - Config_Intake_View'!Q322,'12 - Device_Configuration'!BH323)</f>
        <v>0</v>
      </c>
      <c r="J322" s="17" t="str">
        <f>IF('13 - Config_Intake_View'!Q322&lt;&gt;"","PM Approved",IF('12 - Device_Configuration'!BH323&lt;&gt;"","Assumed",""))</f>
        <v/>
      </c>
      <c r="K322" s="31">
        <f>'12 - Device_Configuration'!BG323</f>
        <v>0</v>
      </c>
      <c r="L322" s="17">
        <f>'12 - Device_Configuration'!P323</f>
        <v>0</v>
      </c>
      <c r="M322" s="17">
        <f>'12 - Device_Configuration'!Q323</f>
        <v>0</v>
      </c>
      <c r="N322" s="17" t="str">
        <f>'12 - Device_Configuration'!BK323</f>
        <v/>
      </c>
      <c r="O322" s="31" t="str">
        <f>'12 - Device_Configuration'!BL323</f>
        <v/>
      </c>
      <c r="P322" s="2">
        <f>'12 - Device_Configuration'!BA323</f>
        <v>0</v>
      </c>
      <c r="Q322" s="31" t="str">
        <f t="shared" ref="Q322:Q385" si="20">IF(OR($A322="",$B322="",$D322=""),"MISSING CORE FIELDS","")</f>
        <v/>
      </c>
      <c r="R322" s="17" t="str">
        <f t="shared" ref="R322:R385" si="21">IF(AND($I322&lt;&gt;"",$K322&lt;&gt;"Yes"),"SW NOT INSTALLED","")</f>
        <v>SW NOT INSTALLED</v>
      </c>
      <c r="S322" s="17" t="str">
        <f t="shared" ref="S322:S385" si="22">IF(AND($H322&lt;&gt;"",ISNUMBER(SEARCH("auto",LOWER($H322))),$F322=""),"AUTOLOGON REQUIRED","")</f>
        <v/>
      </c>
      <c r="T322" s="17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31">
        <f>'12 - Device_Configuration'!H324</f>
        <v>0</v>
      </c>
      <c r="B323" s="31">
        <f>'12 - Device_Configuration'!S324</f>
        <v>0</v>
      </c>
      <c r="C323" s="31">
        <f>'12 - Device_Configuration'!T324</f>
        <v>0</v>
      </c>
      <c r="D323" s="17">
        <f>'12 - Device_Configuration'!AJ324</f>
        <v>0</v>
      </c>
      <c r="E323" s="17">
        <f>'12 - Device_Configuration'!J324</f>
        <v>0</v>
      </c>
      <c r="F323" s="31">
        <f>'12 - Device_Configuration'!K324</f>
        <v>0</v>
      </c>
      <c r="G323" s="17">
        <f>'12 - Device_Configuration'!L324</f>
        <v>0</v>
      </c>
      <c r="H323" s="17">
        <f>'13 - Config_Intake_View'!M323</f>
        <v>0</v>
      </c>
      <c r="I323" s="31">
        <f>IF('13 - Config_Intake_View'!Q323&lt;&gt;"",'13 - Config_Intake_View'!Q323,'12 - Device_Configuration'!BH324)</f>
        <v>0</v>
      </c>
      <c r="J323" s="17" t="str">
        <f>IF('13 - Config_Intake_View'!Q323&lt;&gt;"","PM Approved",IF('12 - Device_Configuration'!BH324&lt;&gt;"","Assumed",""))</f>
        <v/>
      </c>
      <c r="K323" s="31">
        <f>'12 - Device_Configuration'!BG324</f>
        <v>0</v>
      </c>
      <c r="L323" s="17">
        <f>'12 - Device_Configuration'!P324</f>
        <v>0</v>
      </c>
      <c r="M323" s="17">
        <f>'12 - Device_Configuration'!Q324</f>
        <v>0</v>
      </c>
      <c r="N323" s="17" t="str">
        <f>'12 - Device_Configuration'!BK324</f>
        <v/>
      </c>
      <c r="O323" s="31" t="str">
        <f>'12 - Device_Configuration'!BL324</f>
        <v/>
      </c>
      <c r="P323" s="2">
        <f>'12 - Device_Configuration'!BA324</f>
        <v>0</v>
      </c>
      <c r="Q323" s="31" t="str">
        <f t="shared" si="20"/>
        <v/>
      </c>
      <c r="R323" s="17" t="str">
        <f t="shared" si="21"/>
        <v>SW NOT INSTALLED</v>
      </c>
      <c r="S323" s="17" t="str">
        <f t="shared" si="22"/>
        <v/>
      </c>
      <c r="T323" s="17" t="str">
        <f t="shared" si="23"/>
        <v>SW NOT INSTALLED</v>
      </c>
    </row>
    <row r="324" spans="1:20">
      <c r="A324" s="31">
        <f>'12 - Device_Configuration'!H325</f>
        <v>0</v>
      </c>
      <c r="B324" s="31">
        <f>'12 - Device_Configuration'!S325</f>
        <v>0</v>
      </c>
      <c r="C324" s="31">
        <f>'12 - Device_Configuration'!T325</f>
        <v>0</v>
      </c>
      <c r="D324" s="17">
        <f>'12 - Device_Configuration'!AJ325</f>
        <v>0</v>
      </c>
      <c r="E324" s="17">
        <f>'12 - Device_Configuration'!J325</f>
        <v>0</v>
      </c>
      <c r="F324" s="31">
        <f>'12 - Device_Configuration'!K325</f>
        <v>0</v>
      </c>
      <c r="G324" s="17">
        <f>'12 - Device_Configuration'!L325</f>
        <v>0</v>
      </c>
      <c r="H324" s="17">
        <f>'13 - Config_Intake_View'!M324</f>
        <v>0</v>
      </c>
      <c r="I324" s="31">
        <f>IF('13 - Config_Intake_View'!Q324&lt;&gt;"",'13 - Config_Intake_View'!Q324,'12 - Device_Configuration'!BH325)</f>
        <v>0</v>
      </c>
      <c r="J324" s="17" t="str">
        <f>IF('13 - Config_Intake_View'!Q324&lt;&gt;"","PM Approved",IF('12 - Device_Configuration'!BH325&lt;&gt;"","Assumed",""))</f>
        <v/>
      </c>
      <c r="K324" s="31">
        <f>'12 - Device_Configuration'!BG325</f>
        <v>0</v>
      </c>
      <c r="L324" s="17">
        <f>'12 - Device_Configuration'!P325</f>
        <v>0</v>
      </c>
      <c r="M324" s="17">
        <f>'12 - Device_Configuration'!Q325</f>
        <v>0</v>
      </c>
      <c r="N324" s="17" t="str">
        <f>'12 - Device_Configuration'!BK325</f>
        <v/>
      </c>
      <c r="O324" s="31" t="str">
        <f>'12 - Device_Configuration'!BL325</f>
        <v/>
      </c>
      <c r="P324" s="2">
        <f>'12 - Device_Configuration'!BA325</f>
        <v>0</v>
      </c>
      <c r="Q324" s="31" t="str">
        <f t="shared" si="20"/>
        <v/>
      </c>
      <c r="R324" s="17" t="str">
        <f t="shared" si="21"/>
        <v>SW NOT INSTALLED</v>
      </c>
      <c r="S324" s="17" t="str">
        <f t="shared" si="22"/>
        <v/>
      </c>
      <c r="T324" s="17" t="str">
        <f t="shared" si="23"/>
        <v>SW NOT INSTALLED</v>
      </c>
    </row>
    <row r="325" spans="1:20">
      <c r="A325" s="31">
        <f>'12 - Device_Configuration'!H326</f>
        <v>0</v>
      </c>
      <c r="B325" s="31">
        <f>'12 - Device_Configuration'!S326</f>
        <v>0</v>
      </c>
      <c r="C325" s="31">
        <f>'12 - Device_Configuration'!T326</f>
        <v>0</v>
      </c>
      <c r="D325" s="17">
        <f>'12 - Device_Configuration'!AJ326</f>
        <v>0</v>
      </c>
      <c r="E325" s="17">
        <f>'12 - Device_Configuration'!J326</f>
        <v>0</v>
      </c>
      <c r="F325" s="31">
        <f>'12 - Device_Configuration'!K326</f>
        <v>0</v>
      </c>
      <c r="G325" s="17">
        <f>'12 - Device_Configuration'!L326</f>
        <v>0</v>
      </c>
      <c r="H325" s="17">
        <f>'13 - Config_Intake_View'!M325</f>
        <v>0</v>
      </c>
      <c r="I325" s="31">
        <f>IF('13 - Config_Intake_View'!Q325&lt;&gt;"",'13 - Config_Intake_View'!Q325,'12 - Device_Configuration'!BH326)</f>
        <v>0</v>
      </c>
      <c r="J325" s="17" t="str">
        <f>IF('13 - Config_Intake_View'!Q325&lt;&gt;"","PM Approved",IF('12 - Device_Configuration'!BH326&lt;&gt;"","Assumed",""))</f>
        <v/>
      </c>
      <c r="K325" s="31">
        <f>'12 - Device_Configuration'!BG326</f>
        <v>0</v>
      </c>
      <c r="L325" s="17">
        <f>'12 - Device_Configuration'!P326</f>
        <v>0</v>
      </c>
      <c r="M325" s="17">
        <f>'12 - Device_Configuration'!Q326</f>
        <v>0</v>
      </c>
      <c r="N325" s="17" t="str">
        <f>'12 - Device_Configuration'!BK326</f>
        <v/>
      </c>
      <c r="O325" s="31" t="str">
        <f>'12 - Device_Configuration'!BL326</f>
        <v/>
      </c>
      <c r="P325" s="2">
        <f>'12 - Device_Configuration'!BA326</f>
        <v>0</v>
      </c>
      <c r="Q325" s="31" t="str">
        <f t="shared" si="20"/>
        <v/>
      </c>
      <c r="R325" s="17" t="str">
        <f t="shared" si="21"/>
        <v>SW NOT INSTALLED</v>
      </c>
      <c r="S325" s="17" t="str">
        <f t="shared" si="22"/>
        <v/>
      </c>
      <c r="T325" s="17" t="str">
        <f t="shared" si="23"/>
        <v>SW NOT INSTALLED</v>
      </c>
    </row>
    <row r="326" spans="1:20">
      <c r="A326" s="31">
        <f>'12 - Device_Configuration'!H327</f>
        <v>0</v>
      </c>
      <c r="B326" s="31">
        <f>'12 - Device_Configuration'!S327</f>
        <v>0</v>
      </c>
      <c r="C326" s="31">
        <f>'12 - Device_Configuration'!T327</f>
        <v>0</v>
      </c>
      <c r="D326" s="17">
        <f>'12 - Device_Configuration'!AJ327</f>
        <v>0</v>
      </c>
      <c r="E326" s="17">
        <f>'12 - Device_Configuration'!J327</f>
        <v>0</v>
      </c>
      <c r="F326" s="31">
        <f>'12 - Device_Configuration'!K327</f>
        <v>0</v>
      </c>
      <c r="G326" s="17">
        <f>'12 - Device_Configuration'!L327</f>
        <v>0</v>
      </c>
      <c r="H326" s="17">
        <f>'13 - Config_Intake_View'!M326</f>
        <v>0</v>
      </c>
      <c r="I326" s="31">
        <f>IF('13 - Config_Intake_View'!Q326&lt;&gt;"",'13 - Config_Intake_View'!Q326,'12 - Device_Configuration'!BH327)</f>
        <v>0</v>
      </c>
      <c r="J326" s="17" t="str">
        <f>IF('13 - Config_Intake_View'!Q326&lt;&gt;"","PM Approved",IF('12 - Device_Configuration'!BH327&lt;&gt;"","Assumed",""))</f>
        <v/>
      </c>
      <c r="K326" s="31">
        <f>'12 - Device_Configuration'!BG327</f>
        <v>0</v>
      </c>
      <c r="L326" s="17">
        <f>'12 - Device_Configuration'!P327</f>
        <v>0</v>
      </c>
      <c r="M326" s="17">
        <f>'12 - Device_Configuration'!Q327</f>
        <v>0</v>
      </c>
      <c r="N326" s="17" t="str">
        <f>'12 - Device_Configuration'!BK327</f>
        <v/>
      </c>
      <c r="O326" s="31" t="str">
        <f>'12 - Device_Configuration'!BL327</f>
        <v/>
      </c>
      <c r="P326" s="2">
        <f>'12 - Device_Configuration'!BA327</f>
        <v>0</v>
      </c>
      <c r="Q326" s="31" t="str">
        <f t="shared" si="20"/>
        <v/>
      </c>
      <c r="R326" s="17" t="str">
        <f t="shared" si="21"/>
        <v>SW NOT INSTALLED</v>
      </c>
      <c r="S326" s="17" t="str">
        <f t="shared" si="22"/>
        <v/>
      </c>
      <c r="T326" s="17" t="str">
        <f t="shared" si="23"/>
        <v>SW NOT INSTALLED</v>
      </c>
    </row>
    <row r="327" spans="1:20">
      <c r="A327" s="31">
        <f>'12 - Device_Configuration'!H328</f>
        <v>0</v>
      </c>
      <c r="B327" s="31">
        <f>'12 - Device_Configuration'!S328</f>
        <v>0</v>
      </c>
      <c r="C327" s="31">
        <f>'12 - Device_Configuration'!T328</f>
        <v>0</v>
      </c>
      <c r="D327" s="17">
        <f>'12 - Device_Configuration'!AJ328</f>
        <v>0</v>
      </c>
      <c r="E327" s="17">
        <f>'12 - Device_Configuration'!J328</f>
        <v>0</v>
      </c>
      <c r="F327" s="31">
        <f>'12 - Device_Configuration'!K328</f>
        <v>0</v>
      </c>
      <c r="G327" s="17">
        <f>'12 - Device_Configuration'!L328</f>
        <v>0</v>
      </c>
      <c r="H327" s="17">
        <f>'13 - Config_Intake_View'!M327</f>
        <v>0</v>
      </c>
      <c r="I327" s="31">
        <f>IF('13 - Config_Intake_View'!Q327&lt;&gt;"",'13 - Config_Intake_View'!Q327,'12 - Device_Configuration'!BH328)</f>
        <v>0</v>
      </c>
      <c r="J327" s="17" t="str">
        <f>IF('13 - Config_Intake_View'!Q327&lt;&gt;"","PM Approved",IF('12 - Device_Configuration'!BH328&lt;&gt;"","Assumed",""))</f>
        <v/>
      </c>
      <c r="K327" s="31">
        <f>'12 - Device_Configuration'!BG328</f>
        <v>0</v>
      </c>
      <c r="L327" s="17">
        <f>'12 - Device_Configuration'!P328</f>
        <v>0</v>
      </c>
      <c r="M327" s="17">
        <f>'12 - Device_Configuration'!Q328</f>
        <v>0</v>
      </c>
      <c r="N327" s="17" t="str">
        <f>'12 - Device_Configuration'!BK328</f>
        <v/>
      </c>
      <c r="O327" s="31" t="str">
        <f>'12 - Device_Configuration'!BL328</f>
        <v/>
      </c>
      <c r="P327" s="2">
        <f>'12 - Device_Configuration'!BA328</f>
        <v>0</v>
      </c>
      <c r="Q327" s="31" t="str">
        <f t="shared" si="20"/>
        <v/>
      </c>
      <c r="R327" s="17" t="str">
        <f t="shared" si="21"/>
        <v>SW NOT INSTALLED</v>
      </c>
      <c r="S327" s="17" t="str">
        <f t="shared" si="22"/>
        <v/>
      </c>
      <c r="T327" s="17" t="str">
        <f t="shared" si="23"/>
        <v>SW NOT INSTALLED</v>
      </c>
    </row>
    <row r="328" spans="1:20">
      <c r="A328" s="31">
        <f>'12 - Device_Configuration'!H329</f>
        <v>0</v>
      </c>
      <c r="B328" s="31">
        <f>'12 - Device_Configuration'!S329</f>
        <v>0</v>
      </c>
      <c r="C328" s="31">
        <f>'12 - Device_Configuration'!T329</f>
        <v>0</v>
      </c>
      <c r="D328" s="17">
        <f>'12 - Device_Configuration'!AJ329</f>
        <v>0</v>
      </c>
      <c r="E328" s="17">
        <f>'12 - Device_Configuration'!J329</f>
        <v>0</v>
      </c>
      <c r="F328" s="31">
        <f>'12 - Device_Configuration'!K329</f>
        <v>0</v>
      </c>
      <c r="G328" s="17">
        <f>'12 - Device_Configuration'!L329</f>
        <v>0</v>
      </c>
      <c r="H328" s="17">
        <f>'13 - Config_Intake_View'!M328</f>
        <v>0</v>
      </c>
      <c r="I328" s="31">
        <f>IF('13 - Config_Intake_View'!Q328&lt;&gt;"",'13 - Config_Intake_View'!Q328,'12 - Device_Configuration'!BH329)</f>
        <v>0</v>
      </c>
      <c r="J328" s="17" t="str">
        <f>IF('13 - Config_Intake_View'!Q328&lt;&gt;"","PM Approved",IF('12 - Device_Configuration'!BH329&lt;&gt;"","Assumed",""))</f>
        <v/>
      </c>
      <c r="K328" s="31">
        <f>'12 - Device_Configuration'!BG329</f>
        <v>0</v>
      </c>
      <c r="L328" s="17">
        <f>'12 - Device_Configuration'!P329</f>
        <v>0</v>
      </c>
      <c r="M328" s="17">
        <f>'12 - Device_Configuration'!Q329</f>
        <v>0</v>
      </c>
      <c r="N328" s="17" t="str">
        <f>'12 - Device_Configuration'!BK329</f>
        <v/>
      </c>
      <c r="O328" s="31" t="str">
        <f>'12 - Device_Configuration'!BL329</f>
        <v/>
      </c>
      <c r="P328" s="2">
        <f>'12 - Device_Configuration'!BA329</f>
        <v>0</v>
      </c>
      <c r="Q328" s="31" t="str">
        <f t="shared" si="20"/>
        <v/>
      </c>
      <c r="R328" s="17" t="str">
        <f t="shared" si="21"/>
        <v>SW NOT INSTALLED</v>
      </c>
      <c r="S328" s="17" t="str">
        <f t="shared" si="22"/>
        <v/>
      </c>
      <c r="T328" s="17" t="str">
        <f t="shared" si="23"/>
        <v>SW NOT INSTALLED</v>
      </c>
    </row>
    <row r="329" spans="1:20">
      <c r="A329" s="31">
        <f>'12 - Device_Configuration'!H330</f>
        <v>0</v>
      </c>
      <c r="B329" s="31">
        <f>'12 - Device_Configuration'!S330</f>
        <v>0</v>
      </c>
      <c r="C329" s="31">
        <f>'12 - Device_Configuration'!T330</f>
        <v>0</v>
      </c>
      <c r="D329" s="17">
        <f>'12 - Device_Configuration'!AJ330</f>
        <v>0</v>
      </c>
      <c r="E329" s="17">
        <f>'12 - Device_Configuration'!J330</f>
        <v>0</v>
      </c>
      <c r="F329" s="31">
        <f>'12 - Device_Configuration'!K330</f>
        <v>0</v>
      </c>
      <c r="G329" s="17">
        <f>'12 - Device_Configuration'!L330</f>
        <v>0</v>
      </c>
      <c r="H329" s="17">
        <f>'13 - Config_Intake_View'!M329</f>
        <v>0</v>
      </c>
      <c r="I329" s="31">
        <f>IF('13 - Config_Intake_View'!Q329&lt;&gt;"",'13 - Config_Intake_View'!Q329,'12 - Device_Configuration'!BH330)</f>
        <v>0</v>
      </c>
      <c r="J329" s="17" t="str">
        <f>IF('13 - Config_Intake_View'!Q329&lt;&gt;"","PM Approved",IF('12 - Device_Configuration'!BH330&lt;&gt;"","Assumed",""))</f>
        <v/>
      </c>
      <c r="K329" s="31">
        <f>'12 - Device_Configuration'!BG330</f>
        <v>0</v>
      </c>
      <c r="L329" s="17">
        <f>'12 - Device_Configuration'!P330</f>
        <v>0</v>
      </c>
      <c r="M329" s="17">
        <f>'12 - Device_Configuration'!Q330</f>
        <v>0</v>
      </c>
      <c r="N329" s="17" t="str">
        <f>'12 - Device_Configuration'!BK330</f>
        <v/>
      </c>
      <c r="O329" s="31" t="str">
        <f>'12 - Device_Configuration'!BL330</f>
        <v/>
      </c>
      <c r="P329" s="2">
        <f>'12 - Device_Configuration'!BA330</f>
        <v>0</v>
      </c>
      <c r="Q329" s="31" t="str">
        <f t="shared" si="20"/>
        <v/>
      </c>
      <c r="R329" s="17" t="str">
        <f t="shared" si="21"/>
        <v>SW NOT INSTALLED</v>
      </c>
      <c r="S329" s="17" t="str">
        <f t="shared" si="22"/>
        <v/>
      </c>
      <c r="T329" s="17" t="str">
        <f t="shared" si="23"/>
        <v>SW NOT INSTALLED</v>
      </c>
    </row>
    <row r="330" spans="1:20">
      <c r="A330" s="31">
        <f>'12 - Device_Configuration'!H331</f>
        <v>0</v>
      </c>
      <c r="B330" s="31">
        <f>'12 - Device_Configuration'!S331</f>
        <v>0</v>
      </c>
      <c r="C330" s="31">
        <f>'12 - Device_Configuration'!T331</f>
        <v>0</v>
      </c>
      <c r="D330" s="17">
        <f>'12 - Device_Configuration'!AJ331</f>
        <v>0</v>
      </c>
      <c r="E330" s="17">
        <f>'12 - Device_Configuration'!J331</f>
        <v>0</v>
      </c>
      <c r="F330" s="31">
        <f>'12 - Device_Configuration'!K331</f>
        <v>0</v>
      </c>
      <c r="G330" s="17">
        <f>'12 - Device_Configuration'!L331</f>
        <v>0</v>
      </c>
      <c r="H330" s="17">
        <f>'13 - Config_Intake_View'!M330</f>
        <v>0</v>
      </c>
      <c r="I330" s="31">
        <f>IF('13 - Config_Intake_View'!Q330&lt;&gt;"",'13 - Config_Intake_View'!Q330,'12 - Device_Configuration'!BH331)</f>
        <v>0</v>
      </c>
      <c r="J330" s="17" t="str">
        <f>IF('13 - Config_Intake_View'!Q330&lt;&gt;"","PM Approved",IF('12 - Device_Configuration'!BH331&lt;&gt;"","Assumed",""))</f>
        <v/>
      </c>
      <c r="K330" s="31">
        <f>'12 - Device_Configuration'!BG331</f>
        <v>0</v>
      </c>
      <c r="L330" s="17">
        <f>'12 - Device_Configuration'!P331</f>
        <v>0</v>
      </c>
      <c r="M330" s="17">
        <f>'12 - Device_Configuration'!Q331</f>
        <v>0</v>
      </c>
      <c r="N330" s="17" t="str">
        <f>'12 - Device_Configuration'!BK331</f>
        <v/>
      </c>
      <c r="O330" s="31" t="str">
        <f>'12 - Device_Configuration'!BL331</f>
        <v/>
      </c>
      <c r="P330" s="2">
        <f>'12 - Device_Configuration'!BA331</f>
        <v>0</v>
      </c>
      <c r="Q330" s="31" t="str">
        <f t="shared" si="20"/>
        <v/>
      </c>
      <c r="R330" s="17" t="str">
        <f t="shared" si="21"/>
        <v>SW NOT INSTALLED</v>
      </c>
      <c r="S330" s="17" t="str">
        <f t="shared" si="22"/>
        <v/>
      </c>
      <c r="T330" s="17" t="str">
        <f t="shared" si="23"/>
        <v>SW NOT INSTALLED</v>
      </c>
    </row>
    <row r="331" spans="1:20">
      <c r="A331" s="31">
        <f>'12 - Device_Configuration'!H332</f>
        <v>0</v>
      </c>
      <c r="B331" s="31">
        <f>'12 - Device_Configuration'!S332</f>
        <v>0</v>
      </c>
      <c r="C331" s="31">
        <f>'12 - Device_Configuration'!T332</f>
        <v>0</v>
      </c>
      <c r="D331" s="17">
        <f>'12 - Device_Configuration'!AJ332</f>
        <v>0</v>
      </c>
      <c r="E331" s="17">
        <f>'12 - Device_Configuration'!J332</f>
        <v>0</v>
      </c>
      <c r="F331" s="31">
        <f>'12 - Device_Configuration'!K332</f>
        <v>0</v>
      </c>
      <c r="G331" s="17">
        <f>'12 - Device_Configuration'!L332</f>
        <v>0</v>
      </c>
      <c r="H331" s="17">
        <f>'13 - Config_Intake_View'!M331</f>
        <v>0</v>
      </c>
      <c r="I331" s="31">
        <f>IF('13 - Config_Intake_View'!Q331&lt;&gt;"",'13 - Config_Intake_View'!Q331,'12 - Device_Configuration'!BH332)</f>
        <v>0</v>
      </c>
      <c r="J331" s="17" t="str">
        <f>IF('13 - Config_Intake_View'!Q331&lt;&gt;"","PM Approved",IF('12 - Device_Configuration'!BH332&lt;&gt;"","Assumed",""))</f>
        <v/>
      </c>
      <c r="K331" s="31">
        <f>'12 - Device_Configuration'!BG332</f>
        <v>0</v>
      </c>
      <c r="L331" s="17">
        <f>'12 - Device_Configuration'!P332</f>
        <v>0</v>
      </c>
      <c r="M331" s="17">
        <f>'12 - Device_Configuration'!Q332</f>
        <v>0</v>
      </c>
      <c r="N331" s="17" t="str">
        <f>'12 - Device_Configuration'!BK332</f>
        <v/>
      </c>
      <c r="O331" s="31" t="str">
        <f>'12 - Device_Configuration'!BL332</f>
        <v/>
      </c>
      <c r="P331" s="2">
        <f>'12 - Device_Configuration'!BA332</f>
        <v>0</v>
      </c>
      <c r="Q331" s="31" t="str">
        <f t="shared" si="20"/>
        <v/>
      </c>
      <c r="R331" s="17" t="str">
        <f t="shared" si="21"/>
        <v>SW NOT INSTALLED</v>
      </c>
      <c r="S331" s="17" t="str">
        <f t="shared" si="22"/>
        <v/>
      </c>
      <c r="T331" s="17" t="str">
        <f t="shared" si="23"/>
        <v>SW NOT INSTALLED</v>
      </c>
    </row>
    <row r="332" spans="1:20">
      <c r="A332" s="31">
        <f>'12 - Device_Configuration'!H333</f>
        <v>0</v>
      </c>
      <c r="B332" s="31">
        <f>'12 - Device_Configuration'!S333</f>
        <v>0</v>
      </c>
      <c r="C332" s="31">
        <f>'12 - Device_Configuration'!T333</f>
        <v>0</v>
      </c>
      <c r="D332" s="17">
        <f>'12 - Device_Configuration'!AJ333</f>
        <v>0</v>
      </c>
      <c r="E332" s="17">
        <f>'12 - Device_Configuration'!J333</f>
        <v>0</v>
      </c>
      <c r="F332" s="31">
        <f>'12 - Device_Configuration'!K333</f>
        <v>0</v>
      </c>
      <c r="G332" s="17">
        <f>'12 - Device_Configuration'!L333</f>
        <v>0</v>
      </c>
      <c r="H332" s="17">
        <f>'13 - Config_Intake_View'!M332</f>
        <v>0</v>
      </c>
      <c r="I332" s="31">
        <f>IF('13 - Config_Intake_View'!Q332&lt;&gt;"",'13 - Config_Intake_View'!Q332,'12 - Device_Configuration'!BH333)</f>
        <v>0</v>
      </c>
      <c r="J332" s="17" t="str">
        <f>IF('13 - Config_Intake_View'!Q332&lt;&gt;"","PM Approved",IF('12 - Device_Configuration'!BH333&lt;&gt;"","Assumed",""))</f>
        <v/>
      </c>
      <c r="K332" s="31">
        <f>'12 - Device_Configuration'!BG333</f>
        <v>0</v>
      </c>
      <c r="L332" s="17">
        <f>'12 - Device_Configuration'!P333</f>
        <v>0</v>
      </c>
      <c r="M332" s="17">
        <f>'12 - Device_Configuration'!Q333</f>
        <v>0</v>
      </c>
      <c r="N332" s="17" t="str">
        <f>'12 - Device_Configuration'!BK333</f>
        <v/>
      </c>
      <c r="O332" s="31" t="str">
        <f>'12 - Device_Configuration'!BL333</f>
        <v/>
      </c>
      <c r="P332" s="2">
        <f>'12 - Device_Configuration'!BA333</f>
        <v>0</v>
      </c>
      <c r="Q332" s="31" t="str">
        <f t="shared" si="20"/>
        <v/>
      </c>
      <c r="R332" s="17" t="str">
        <f t="shared" si="21"/>
        <v>SW NOT INSTALLED</v>
      </c>
      <c r="S332" s="17" t="str">
        <f t="shared" si="22"/>
        <v/>
      </c>
      <c r="T332" s="17" t="str">
        <f t="shared" si="23"/>
        <v>SW NOT INSTALLED</v>
      </c>
    </row>
    <row r="333" spans="1:20">
      <c r="A333" s="31">
        <f>'12 - Device_Configuration'!H334</f>
        <v>0</v>
      </c>
      <c r="B333" s="31">
        <f>'12 - Device_Configuration'!S334</f>
        <v>0</v>
      </c>
      <c r="C333" s="31">
        <f>'12 - Device_Configuration'!T334</f>
        <v>0</v>
      </c>
      <c r="D333" s="17">
        <f>'12 - Device_Configuration'!AJ334</f>
        <v>0</v>
      </c>
      <c r="E333" s="17">
        <f>'12 - Device_Configuration'!J334</f>
        <v>0</v>
      </c>
      <c r="F333" s="31">
        <f>'12 - Device_Configuration'!K334</f>
        <v>0</v>
      </c>
      <c r="G333" s="17">
        <f>'12 - Device_Configuration'!L334</f>
        <v>0</v>
      </c>
      <c r="H333" s="17">
        <f>'13 - Config_Intake_View'!M333</f>
        <v>0</v>
      </c>
      <c r="I333" s="31">
        <f>IF('13 - Config_Intake_View'!Q333&lt;&gt;"",'13 - Config_Intake_View'!Q333,'12 - Device_Configuration'!BH334)</f>
        <v>0</v>
      </c>
      <c r="J333" s="17" t="str">
        <f>IF('13 - Config_Intake_View'!Q333&lt;&gt;"","PM Approved",IF('12 - Device_Configuration'!BH334&lt;&gt;"","Assumed",""))</f>
        <v/>
      </c>
      <c r="K333" s="31">
        <f>'12 - Device_Configuration'!BG334</f>
        <v>0</v>
      </c>
      <c r="L333" s="17">
        <f>'12 - Device_Configuration'!P334</f>
        <v>0</v>
      </c>
      <c r="M333" s="17">
        <f>'12 - Device_Configuration'!Q334</f>
        <v>0</v>
      </c>
      <c r="N333" s="17" t="str">
        <f>'12 - Device_Configuration'!BK334</f>
        <v/>
      </c>
      <c r="O333" s="31" t="str">
        <f>'12 - Device_Configuration'!BL334</f>
        <v/>
      </c>
      <c r="P333" s="2">
        <f>'12 - Device_Configuration'!BA334</f>
        <v>0</v>
      </c>
      <c r="Q333" s="31" t="str">
        <f t="shared" si="20"/>
        <v/>
      </c>
      <c r="R333" s="17" t="str">
        <f t="shared" si="21"/>
        <v>SW NOT INSTALLED</v>
      </c>
      <c r="S333" s="17" t="str">
        <f t="shared" si="22"/>
        <v/>
      </c>
      <c r="T333" s="17" t="str">
        <f t="shared" si="23"/>
        <v>SW NOT INSTALLED</v>
      </c>
    </row>
    <row r="334" spans="1:20">
      <c r="A334" s="31">
        <f>'12 - Device_Configuration'!H335</f>
        <v>0</v>
      </c>
      <c r="B334" s="31">
        <f>'12 - Device_Configuration'!S335</f>
        <v>0</v>
      </c>
      <c r="C334" s="31">
        <f>'12 - Device_Configuration'!T335</f>
        <v>0</v>
      </c>
      <c r="D334" s="17">
        <f>'12 - Device_Configuration'!AJ335</f>
        <v>0</v>
      </c>
      <c r="E334" s="17">
        <f>'12 - Device_Configuration'!J335</f>
        <v>0</v>
      </c>
      <c r="F334" s="31">
        <f>'12 - Device_Configuration'!K335</f>
        <v>0</v>
      </c>
      <c r="G334" s="17">
        <f>'12 - Device_Configuration'!L335</f>
        <v>0</v>
      </c>
      <c r="H334" s="17">
        <f>'13 - Config_Intake_View'!M334</f>
        <v>0</v>
      </c>
      <c r="I334" s="31">
        <f>IF('13 - Config_Intake_View'!Q334&lt;&gt;"",'13 - Config_Intake_View'!Q334,'12 - Device_Configuration'!BH335)</f>
        <v>0</v>
      </c>
      <c r="J334" s="17" t="str">
        <f>IF('13 - Config_Intake_View'!Q334&lt;&gt;"","PM Approved",IF('12 - Device_Configuration'!BH335&lt;&gt;"","Assumed",""))</f>
        <v/>
      </c>
      <c r="K334" s="31">
        <f>'12 - Device_Configuration'!BG335</f>
        <v>0</v>
      </c>
      <c r="L334" s="17">
        <f>'12 - Device_Configuration'!P335</f>
        <v>0</v>
      </c>
      <c r="M334" s="17">
        <f>'12 - Device_Configuration'!Q335</f>
        <v>0</v>
      </c>
      <c r="N334" s="17" t="str">
        <f>'12 - Device_Configuration'!BK335</f>
        <v/>
      </c>
      <c r="O334" s="31" t="str">
        <f>'12 - Device_Configuration'!BL335</f>
        <v/>
      </c>
      <c r="P334" s="2">
        <f>'12 - Device_Configuration'!BA335</f>
        <v>0</v>
      </c>
      <c r="Q334" s="31" t="str">
        <f t="shared" si="20"/>
        <v/>
      </c>
      <c r="R334" s="17" t="str">
        <f t="shared" si="21"/>
        <v>SW NOT INSTALLED</v>
      </c>
      <c r="S334" s="17" t="str">
        <f t="shared" si="22"/>
        <v/>
      </c>
      <c r="T334" s="17" t="str">
        <f t="shared" si="23"/>
        <v>SW NOT INSTALLED</v>
      </c>
    </row>
    <row r="335" spans="1:20">
      <c r="A335" s="31">
        <f>'12 - Device_Configuration'!H336</f>
        <v>0</v>
      </c>
      <c r="B335" s="31">
        <f>'12 - Device_Configuration'!S336</f>
        <v>0</v>
      </c>
      <c r="C335" s="31">
        <f>'12 - Device_Configuration'!T336</f>
        <v>0</v>
      </c>
      <c r="D335" s="17">
        <f>'12 - Device_Configuration'!AJ336</f>
        <v>0</v>
      </c>
      <c r="E335" s="17">
        <f>'12 - Device_Configuration'!J336</f>
        <v>0</v>
      </c>
      <c r="F335" s="31">
        <f>'12 - Device_Configuration'!K336</f>
        <v>0</v>
      </c>
      <c r="G335" s="17">
        <f>'12 - Device_Configuration'!L336</f>
        <v>0</v>
      </c>
      <c r="H335" s="17">
        <f>'13 - Config_Intake_View'!M335</f>
        <v>0</v>
      </c>
      <c r="I335" s="31">
        <f>IF('13 - Config_Intake_View'!Q335&lt;&gt;"",'13 - Config_Intake_View'!Q335,'12 - Device_Configuration'!BH336)</f>
        <v>0</v>
      </c>
      <c r="J335" s="17" t="str">
        <f>IF('13 - Config_Intake_View'!Q335&lt;&gt;"","PM Approved",IF('12 - Device_Configuration'!BH336&lt;&gt;"","Assumed",""))</f>
        <v/>
      </c>
      <c r="K335" s="31">
        <f>'12 - Device_Configuration'!BG336</f>
        <v>0</v>
      </c>
      <c r="L335" s="17">
        <f>'12 - Device_Configuration'!P336</f>
        <v>0</v>
      </c>
      <c r="M335" s="17">
        <f>'12 - Device_Configuration'!Q336</f>
        <v>0</v>
      </c>
      <c r="N335" s="17" t="str">
        <f>'12 - Device_Configuration'!BK336</f>
        <v/>
      </c>
      <c r="O335" s="31" t="str">
        <f>'12 - Device_Configuration'!BL336</f>
        <v/>
      </c>
      <c r="P335" s="2">
        <f>'12 - Device_Configuration'!BA336</f>
        <v>0</v>
      </c>
      <c r="Q335" s="31" t="str">
        <f t="shared" si="20"/>
        <v/>
      </c>
      <c r="R335" s="17" t="str">
        <f t="shared" si="21"/>
        <v>SW NOT INSTALLED</v>
      </c>
      <c r="S335" s="17" t="str">
        <f t="shared" si="22"/>
        <v/>
      </c>
      <c r="T335" s="17" t="str">
        <f t="shared" si="23"/>
        <v>SW NOT INSTALLED</v>
      </c>
    </row>
    <row r="336" spans="1:20">
      <c r="A336" s="31">
        <f>'12 - Device_Configuration'!H337</f>
        <v>0</v>
      </c>
      <c r="B336" s="31">
        <f>'12 - Device_Configuration'!S337</f>
        <v>0</v>
      </c>
      <c r="C336" s="31">
        <f>'12 - Device_Configuration'!T337</f>
        <v>0</v>
      </c>
      <c r="D336" s="17">
        <f>'12 - Device_Configuration'!AJ337</f>
        <v>0</v>
      </c>
      <c r="E336" s="17">
        <f>'12 - Device_Configuration'!J337</f>
        <v>0</v>
      </c>
      <c r="F336" s="31">
        <f>'12 - Device_Configuration'!K337</f>
        <v>0</v>
      </c>
      <c r="G336" s="17">
        <f>'12 - Device_Configuration'!L337</f>
        <v>0</v>
      </c>
      <c r="H336" s="17">
        <f>'13 - Config_Intake_View'!M336</f>
        <v>0</v>
      </c>
      <c r="I336" s="31">
        <f>IF('13 - Config_Intake_View'!Q336&lt;&gt;"",'13 - Config_Intake_View'!Q336,'12 - Device_Configuration'!BH337)</f>
        <v>0</v>
      </c>
      <c r="J336" s="17" t="str">
        <f>IF('13 - Config_Intake_View'!Q336&lt;&gt;"","PM Approved",IF('12 - Device_Configuration'!BH337&lt;&gt;"","Assumed",""))</f>
        <v/>
      </c>
      <c r="K336" s="31">
        <f>'12 - Device_Configuration'!BG337</f>
        <v>0</v>
      </c>
      <c r="L336" s="17">
        <f>'12 - Device_Configuration'!P337</f>
        <v>0</v>
      </c>
      <c r="M336" s="17">
        <f>'12 - Device_Configuration'!Q337</f>
        <v>0</v>
      </c>
      <c r="N336" s="17" t="str">
        <f>'12 - Device_Configuration'!BK337</f>
        <v/>
      </c>
      <c r="O336" s="31" t="str">
        <f>'12 - Device_Configuration'!BL337</f>
        <v/>
      </c>
      <c r="P336" s="2">
        <f>'12 - Device_Configuration'!BA337</f>
        <v>0</v>
      </c>
      <c r="Q336" s="31" t="str">
        <f t="shared" si="20"/>
        <v/>
      </c>
      <c r="R336" s="17" t="str">
        <f t="shared" si="21"/>
        <v>SW NOT INSTALLED</v>
      </c>
      <c r="S336" s="17" t="str">
        <f t="shared" si="22"/>
        <v/>
      </c>
      <c r="T336" s="17" t="str">
        <f t="shared" si="23"/>
        <v>SW NOT INSTALLED</v>
      </c>
    </row>
    <row r="337" spans="1:20">
      <c r="A337" s="31">
        <f>'12 - Device_Configuration'!H338</f>
        <v>0</v>
      </c>
      <c r="B337" s="31">
        <f>'12 - Device_Configuration'!S338</f>
        <v>0</v>
      </c>
      <c r="C337" s="31">
        <f>'12 - Device_Configuration'!T338</f>
        <v>0</v>
      </c>
      <c r="D337" s="17">
        <f>'12 - Device_Configuration'!AJ338</f>
        <v>0</v>
      </c>
      <c r="E337" s="17">
        <f>'12 - Device_Configuration'!J338</f>
        <v>0</v>
      </c>
      <c r="F337" s="31">
        <f>'12 - Device_Configuration'!K338</f>
        <v>0</v>
      </c>
      <c r="G337" s="17">
        <f>'12 - Device_Configuration'!L338</f>
        <v>0</v>
      </c>
      <c r="H337" s="17">
        <f>'13 - Config_Intake_View'!M337</f>
        <v>0</v>
      </c>
      <c r="I337" s="31">
        <f>IF('13 - Config_Intake_View'!Q337&lt;&gt;"",'13 - Config_Intake_View'!Q337,'12 - Device_Configuration'!BH338)</f>
        <v>0</v>
      </c>
      <c r="J337" s="17" t="str">
        <f>IF('13 - Config_Intake_View'!Q337&lt;&gt;"","PM Approved",IF('12 - Device_Configuration'!BH338&lt;&gt;"","Assumed",""))</f>
        <v/>
      </c>
      <c r="K337" s="31">
        <f>'12 - Device_Configuration'!BG338</f>
        <v>0</v>
      </c>
      <c r="L337" s="17">
        <f>'12 - Device_Configuration'!P338</f>
        <v>0</v>
      </c>
      <c r="M337" s="17">
        <f>'12 - Device_Configuration'!Q338</f>
        <v>0</v>
      </c>
      <c r="N337" s="17" t="str">
        <f>'12 - Device_Configuration'!BK338</f>
        <v/>
      </c>
      <c r="O337" s="31" t="str">
        <f>'12 - Device_Configuration'!BL338</f>
        <v/>
      </c>
      <c r="P337" s="2">
        <f>'12 - Device_Configuration'!BA338</f>
        <v>0</v>
      </c>
      <c r="Q337" s="31" t="str">
        <f t="shared" si="20"/>
        <v/>
      </c>
      <c r="R337" s="17" t="str">
        <f t="shared" si="21"/>
        <v>SW NOT INSTALLED</v>
      </c>
      <c r="S337" s="17" t="str">
        <f t="shared" si="22"/>
        <v/>
      </c>
      <c r="T337" s="17" t="str">
        <f t="shared" si="23"/>
        <v>SW NOT INSTALLED</v>
      </c>
    </row>
    <row r="338" spans="1:20">
      <c r="A338" s="31">
        <f>'12 - Device_Configuration'!H339</f>
        <v>0</v>
      </c>
      <c r="B338" s="31">
        <f>'12 - Device_Configuration'!S339</f>
        <v>0</v>
      </c>
      <c r="C338" s="31">
        <f>'12 - Device_Configuration'!T339</f>
        <v>0</v>
      </c>
      <c r="D338" s="17">
        <f>'12 - Device_Configuration'!AJ339</f>
        <v>0</v>
      </c>
      <c r="E338" s="17">
        <f>'12 - Device_Configuration'!J339</f>
        <v>0</v>
      </c>
      <c r="F338" s="31">
        <f>'12 - Device_Configuration'!K339</f>
        <v>0</v>
      </c>
      <c r="G338" s="17">
        <f>'12 - Device_Configuration'!L339</f>
        <v>0</v>
      </c>
      <c r="H338" s="17">
        <f>'13 - Config_Intake_View'!M338</f>
        <v>0</v>
      </c>
      <c r="I338" s="31">
        <f>IF('13 - Config_Intake_View'!Q338&lt;&gt;"",'13 - Config_Intake_View'!Q338,'12 - Device_Configuration'!BH339)</f>
        <v>0</v>
      </c>
      <c r="J338" s="17" t="str">
        <f>IF('13 - Config_Intake_View'!Q338&lt;&gt;"","PM Approved",IF('12 - Device_Configuration'!BH339&lt;&gt;"","Assumed",""))</f>
        <v/>
      </c>
      <c r="K338" s="31">
        <f>'12 - Device_Configuration'!BG339</f>
        <v>0</v>
      </c>
      <c r="L338" s="17">
        <f>'12 - Device_Configuration'!P339</f>
        <v>0</v>
      </c>
      <c r="M338" s="17">
        <f>'12 - Device_Configuration'!Q339</f>
        <v>0</v>
      </c>
      <c r="N338" s="17" t="str">
        <f>'12 - Device_Configuration'!BK339</f>
        <v/>
      </c>
      <c r="O338" s="31" t="str">
        <f>'12 - Device_Configuration'!BL339</f>
        <v/>
      </c>
      <c r="P338" s="2">
        <f>'12 - Device_Configuration'!BA339</f>
        <v>0</v>
      </c>
      <c r="Q338" s="31" t="str">
        <f t="shared" si="20"/>
        <v/>
      </c>
      <c r="R338" s="17" t="str">
        <f t="shared" si="21"/>
        <v>SW NOT INSTALLED</v>
      </c>
      <c r="S338" s="17" t="str">
        <f t="shared" si="22"/>
        <v/>
      </c>
      <c r="T338" s="17" t="str">
        <f t="shared" si="23"/>
        <v>SW NOT INSTALLED</v>
      </c>
    </row>
    <row r="339" spans="1:20">
      <c r="A339" s="31">
        <f>'12 - Device_Configuration'!H340</f>
        <v>0</v>
      </c>
      <c r="B339" s="31">
        <f>'12 - Device_Configuration'!S340</f>
        <v>0</v>
      </c>
      <c r="C339" s="31">
        <f>'12 - Device_Configuration'!T340</f>
        <v>0</v>
      </c>
      <c r="D339" s="17">
        <f>'12 - Device_Configuration'!AJ340</f>
        <v>0</v>
      </c>
      <c r="E339" s="17">
        <f>'12 - Device_Configuration'!J340</f>
        <v>0</v>
      </c>
      <c r="F339" s="31">
        <f>'12 - Device_Configuration'!K340</f>
        <v>0</v>
      </c>
      <c r="G339" s="17">
        <f>'12 - Device_Configuration'!L340</f>
        <v>0</v>
      </c>
      <c r="H339" s="17">
        <f>'13 - Config_Intake_View'!M339</f>
        <v>0</v>
      </c>
      <c r="I339" s="31">
        <f>IF('13 - Config_Intake_View'!Q339&lt;&gt;"",'13 - Config_Intake_View'!Q339,'12 - Device_Configuration'!BH340)</f>
        <v>0</v>
      </c>
      <c r="J339" s="17" t="str">
        <f>IF('13 - Config_Intake_View'!Q339&lt;&gt;"","PM Approved",IF('12 - Device_Configuration'!BH340&lt;&gt;"","Assumed",""))</f>
        <v/>
      </c>
      <c r="K339" s="31">
        <f>'12 - Device_Configuration'!BG340</f>
        <v>0</v>
      </c>
      <c r="L339" s="17">
        <f>'12 - Device_Configuration'!P340</f>
        <v>0</v>
      </c>
      <c r="M339" s="17">
        <f>'12 - Device_Configuration'!Q340</f>
        <v>0</v>
      </c>
      <c r="N339" s="17" t="str">
        <f>'12 - Device_Configuration'!BK340</f>
        <v/>
      </c>
      <c r="O339" s="31" t="str">
        <f>'12 - Device_Configuration'!BL340</f>
        <v/>
      </c>
      <c r="P339" s="2">
        <f>'12 - Device_Configuration'!BA340</f>
        <v>0</v>
      </c>
      <c r="Q339" s="31" t="str">
        <f t="shared" si="20"/>
        <v/>
      </c>
      <c r="R339" s="17" t="str">
        <f t="shared" si="21"/>
        <v>SW NOT INSTALLED</v>
      </c>
      <c r="S339" s="17" t="str">
        <f t="shared" si="22"/>
        <v/>
      </c>
      <c r="T339" s="17" t="str">
        <f t="shared" si="23"/>
        <v>SW NOT INSTALLED</v>
      </c>
    </row>
    <row r="340" spans="1:20">
      <c r="A340" s="31">
        <f>'12 - Device_Configuration'!H341</f>
        <v>0</v>
      </c>
      <c r="B340" s="31">
        <f>'12 - Device_Configuration'!S341</f>
        <v>0</v>
      </c>
      <c r="C340" s="31">
        <f>'12 - Device_Configuration'!T341</f>
        <v>0</v>
      </c>
      <c r="D340" s="17">
        <f>'12 - Device_Configuration'!AJ341</f>
        <v>0</v>
      </c>
      <c r="E340" s="17">
        <f>'12 - Device_Configuration'!J341</f>
        <v>0</v>
      </c>
      <c r="F340" s="31">
        <f>'12 - Device_Configuration'!K341</f>
        <v>0</v>
      </c>
      <c r="G340" s="17">
        <f>'12 - Device_Configuration'!L341</f>
        <v>0</v>
      </c>
      <c r="H340" s="17">
        <f>'13 - Config_Intake_View'!M340</f>
        <v>0</v>
      </c>
      <c r="I340" s="31">
        <f>IF('13 - Config_Intake_View'!Q340&lt;&gt;"",'13 - Config_Intake_View'!Q340,'12 - Device_Configuration'!BH341)</f>
        <v>0</v>
      </c>
      <c r="J340" s="17" t="str">
        <f>IF('13 - Config_Intake_View'!Q340&lt;&gt;"","PM Approved",IF('12 - Device_Configuration'!BH341&lt;&gt;"","Assumed",""))</f>
        <v/>
      </c>
      <c r="K340" s="31">
        <f>'12 - Device_Configuration'!BG341</f>
        <v>0</v>
      </c>
      <c r="L340" s="17">
        <f>'12 - Device_Configuration'!P341</f>
        <v>0</v>
      </c>
      <c r="M340" s="17">
        <f>'12 - Device_Configuration'!Q341</f>
        <v>0</v>
      </c>
      <c r="N340" s="17" t="str">
        <f>'12 - Device_Configuration'!BK341</f>
        <v/>
      </c>
      <c r="O340" s="31" t="str">
        <f>'12 - Device_Configuration'!BL341</f>
        <v/>
      </c>
      <c r="P340" s="2">
        <f>'12 - Device_Configuration'!BA341</f>
        <v>0</v>
      </c>
      <c r="Q340" s="31" t="str">
        <f t="shared" si="20"/>
        <v/>
      </c>
      <c r="R340" s="17" t="str">
        <f t="shared" si="21"/>
        <v>SW NOT INSTALLED</v>
      </c>
      <c r="S340" s="17" t="str">
        <f t="shared" si="22"/>
        <v/>
      </c>
      <c r="T340" s="17" t="str">
        <f t="shared" si="23"/>
        <v>SW NOT INSTALLED</v>
      </c>
    </row>
    <row r="341" spans="1:20">
      <c r="A341" s="31">
        <f>'12 - Device_Configuration'!H342</f>
        <v>0</v>
      </c>
      <c r="B341" s="31">
        <f>'12 - Device_Configuration'!S342</f>
        <v>0</v>
      </c>
      <c r="C341" s="31">
        <f>'12 - Device_Configuration'!T342</f>
        <v>0</v>
      </c>
      <c r="D341" s="17">
        <f>'12 - Device_Configuration'!AJ342</f>
        <v>0</v>
      </c>
      <c r="E341" s="17">
        <f>'12 - Device_Configuration'!J342</f>
        <v>0</v>
      </c>
      <c r="F341" s="31">
        <f>'12 - Device_Configuration'!K342</f>
        <v>0</v>
      </c>
      <c r="G341" s="17">
        <f>'12 - Device_Configuration'!L342</f>
        <v>0</v>
      </c>
      <c r="H341" s="17">
        <f>'13 - Config_Intake_View'!M341</f>
        <v>0</v>
      </c>
      <c r="I341" s="31">
        <f>IF('13 - Config_Intake_View'!Q341&lt;&gt;"",'13 - Config_Intake_View'!Q341,'12 - Device_Configuration'!BH342)</f>
        <v>0</v>
      </c>
      <c r="J341" s="17" t="str">
        <f>IF('13 - Config_Intake_View'!Q341&lt;&gt;"","PM Approved",IF('12 - Device_Configuration'!BH342&lt;&gt;"","Assumed",""))</f>
        <v/>
      </c>
      <c r="K341" s="31">
        <f>'12 - Device_Configuration'!BG342</f>
        <v>0</v>
      </c>
      <c r="L341" s="17">
        <f>'12 - Device_Configuration'!P342</f>
        <v>0</v>
      </c>
      <c r="M341" s="17">
        <f>'12 - Device_Configuration'!Q342</f>
        <v>0</v>
      </c>
      <c r="N341" s="17" t="str">
        <f>'12 - Device_Configuration'!BK342</f>
        <v/>
      </c>
      <c r="O341" s="31" t="str">
        <f>'12 - Device_Configuration'!BL342</f>
        <v/>
      </c>
      <c r="P341" s="2">
        <f>'12 - Device_Configuration'!BA342</f>
        <v>0</v>
      </c>
      <c r="Q341" s="31" t="str">
        <f t="shared" si="20"/>
        <v/>
      </c>
      <c r="R341" s="17" t="str">
        <f t="shared" si="21"/>
        <v>SW NOT INSTALLED</v>
      </c>
      <c r="S341" s="17" t="str">
        <f t="shared" si="22"/>
        <v/>
      </c>
      <c r="T341" s="17" t="str">
        <f t="shared" si="23"/>
        <v>SW NOT INSTALLED</v>
      </c>
    </row>
    <row r="342" spans="1:20">
      <c r="A342" s="31">
        <f>'12 - Device_Configuration'!H343</f>
        <v>0</v>
      </c>
      <c r="B342" s="31">
        <f>'12 - Device_Configuration'!S343</f>
        <v>0</v>
      </c>
      <c r="C342" s="31">
        <f>'12 - Device_Configuration'!T343</f>
        <v>0</v>
      </c>
      <c r="D342" s="17">
        <f>'12 - Device_Configuration'!AJ343</f>
        <v>0</v>
      </c>
      <c r="E342" s="17">
        <f>'12 - Device_Configuration'!J343</f>
        <v>0</v>
      </c>
      <c r="F342" s="31">
        <f>'12 - Device_Configuration'!K343</f>
        <v>0</v>
      </c>
      <c r="G342" s="17">
        <f>'12 - Device_Configuration'!L343</f>
        <v>0</v>
      </c>
      <c r="H342" s="17">
        <f>'13 - Config_Intake_View'!M342</f>
        <v>0</v>
      </c>
      <c r="I342" s="31">
        <f>IF('13 - Config_Intake_View'!Q342&lt;&gt;"",'13 - Config_Intake_View'!Q342,'12 - Device_Configuration'!BH343)</f>
        <v>0</v>
      </c>
      <c r="J342" s="17" t="str">
        <f>IF('13 - Config_Intake_View'!Q342&lt;&gt;"","PM Approved",IF('12 - Device_Configuration'!BH343&lt;&gt;"","Assumed",""))</f>
        <v/>
      </c>
      <c r="K342" s="31">
        <f>'12 - Device_Configuration'!BG343</f>
        <v>0</v>
      </c>
      <c r="L342" s="17">
        <f>'12 - Device_Configuration'!P343</f>
        <v>0</v>
      </c>
      <c r="M342" s="17">
        <f>'12 - Device_Configuration'!Q343</f>
        <v>0</v>
      </c>
      <c r="N342" s="17" t="str">
        <f>'12 - Device_Configuration'!BK343</f>
        <v/>
      </c>
      <c r="O342" s="31" t="str">
        <f>'12 - Device_Configuration'!BL343</f>
        <v/>
      </c>
      <c r="P342" s="2">
        <f>'12 - Device_Configuration'!BA343</f>
        <v>0</v>
      </c>
      <c r="Q342" s="31" t="str">
        <f t="shared" si="20"/>
        <v/>
      </c>
      <c r="R342" s="17" t="str">
        <f t="shared" si="21"/>
        <v>SW NOT INSTALLED</v>
      </c>
      <c r="S342" s="17" t="str">
        <f t="shared" si="22"/>
        <v/>
      </c>
      <c r="T342" s="17" t="str">
        <f t="shared" si="23"/>
        <v>SW NOT INSTALLED</v>
      </c>
    </row>
    <row r="343" spans="1:20">
      <c r="A343" s="31">
        <f>'12 - Device_Configuration'!H344</f>
        <v>0</v>
      </c>
      <c r="B343" s="31">
        <f>'12 - Device_Configuration'!S344</f>
        <v>0</v>
      </c>
      <c r="C343" s="31">
        <f>'12 - Device_Configuration'!T344</f>
        <v>0</v>
      </c>
      <c r="D343" s="17">
        <f>'12 - Device_Configuration'!AJ344</f>
        <v>0</v>
      </c>
      <c r="E343" s="17">
        <f>'12 - Device_Configuration'!J344</f>
        <v>0</v>
      </c>
      <c r="F343" s="31">
        <f>'12 - Device_Configuration'!K344</f>
        <v>0</v>
      </c>
      <c r="G343" s="17">
        <f>'12 - Device_Configuration'!L344</f>
        <v>0</v>
      </c>
      <c r="H343" s="17">
        <f>'13 - Config_Intake_View'!M343</f>
        <v>0</v>
      </c>
      <c r="I343" s="31">
        <f>IF('13 - Config_Intake_View'!Q343&lt;&gt;"",'13 - Config_Intake_View'!Q343,'12 - Device_Configuration'!BH344)</f>
        <v>0</v>
      </c>
      <c r="J343" s="17" t="str">
        <f>IF('13 - Config_Intake_View'!Q343&lt;&gt;"","PM Approved",IF('12 - Device_Configuration'!BH344&lt;&gt;"","Assumed",""))</f>
        <v/>
      </c>
      <c r="K343" s="31">
        <f>'12 - Device_Configuration'!BG344</f>
        <v>0</v>
      </c>
      <c r="L343" s="17">
        <f>'12 - Device_Configuration'!P344</f>
        <v>0</v>
      </c>
      <c r="M343" s="17">
        <f>'12 - Device_Configuration'!Q344</f>
        <v>0</v>
      </c>
      <c r="N343" s="17" t="str">
        <f>'12 - Device_Configuration'!BK344</f>
        <v/>
      </c>
      <c r="O343" s="31" t="str">
        <f>'12 - Device_Configuration'!BL344</f>
        <v/>
      </c>
      <c r="P343" s="2">
        <f>'12 - Device_Configuration'!BA344</f>
        <v>0</v>
      </c>
      <c r="Q343" s="31" t="str">
        <f t="shared" si="20"/>
        <v/>
      </c>
      <c r="R343" s="17" t="str">
        <f t="shared" si="21"/>
        <v>SW NOT INSTALLED</v>
      </c>
      <c r="S343" s="17" t="str">
        <f t="shared" si="22"/>
        <v/>
      </c>
      <c r="T343" s="17" t="str">
        <f t="shared" si="23"/>
        <v>SW NOT INSTALLED</v>
      </c>
    </row>
    <row r="344" spans="1:20">
      <c r="A344" s="31">
        <f>'12 - Device_Configuration'!H345</f>
        <v>0</v>
      </c>
      <c r="B344" s="31">
        <f>'12 - Device_Configuration'!S345</f>
        <v>0</v>
      </c>
      <c r="C344" s="31">
        <f>'12 - Device_Configuration'!T345</f>
        <v>0</v>
      </c>
      <c r="D344" s="17">
        <f>'12 - Device_Configuration'!AJ345</f>
        <v>0</v>
      </c>
      <c r="E344" s="17">
        <f>'12 - Device_Configuration'!J345</f>
        <v>0</v>
      </c>
      <c r="F344" s="31">
        <f>'12 - Device_Configuration'!K345</f>
        <v>0</v>
      </c>
      <c r="G344" s="17">
        <f>'12 - Device_Configuration'!L345</f>
        <v>0</v>
      </c>
      <c r="H344" s="17">
        <f>'13 - Config_Intake_View'!M344</f>
        <v>0</v>
      </c>
      <c r="I344" s="31">
        <f>IF('13 - Config_Intake_View'!Q344&lt;&gt;"",'13 - Config_Intake_View'!Q344,'12 - Device_Configuration'!BH345)</f>
        <v>0</v>
      </c>
      <c r="J344" s="17" t="str">
        <f>IF('13 - Config_Intake_View'!Q344&lt;&gt;"","PM Approved",IF('12 - Device_Configuration'!BH345&lt;&gt;"","Assumed",""))</f>
        <v/>
      </c>
      <c r="K344" s="31">
        <f>'12 - Device_Configuration'!BG345</f>
        <v>0</v>
      </c>
      <c r="L344" s="17">
        <f>'12 - Device_Configuration'!P345</f>
        <v>0</v>
      </c>
      <c r="M344" s="17">
        <f>'12 - Device_Configuration'!Q345</f>
        <v>0</v>
      </c>
      <c r="N344" s="17" t="str">
        <f>'12 - Device_Configuration'!BK345</f>
        <v/>
      </c>
      <c r="O344" s="31" t="str">
        <f>'12 - Device_Configuration'!BL345</f>
        <v/>
      </c>
      <c r="P344" s="2">
        <f>'12 - Device_Configuration'!BA345</f>
        <v>0</v>
      </c>
      <c r="Q344" s="31" t="str">
        <f t="shared" si="20"/>
        <v/>
      </c>
      <c r="R344" s="17" t="str">
        <f t="shared" si="21"/>
        <v>SW NOT INSTALLED</v>
      </c>
      <c r="S344" s="17" t="str">
        <f t="shared" si="22"/>
        <v/>
      </c>
      <c r="T344" s="17" t="str">
        <f t="shared" si="23"/>
        <v>SW NOT INSTALLED</v>
      </c>
    </row>
    <row r="345" spans="1:20">
      <c r="A345" s="31">
        <f>'12 - Device_Configuration'!H346</f>
        <v>0</v>
      </c>
      <c r="B345" s="31">
        <f>'12 - Device_Configuration'!S346</f>
        <v>0</v>
      </c>
      <c r="C345" s="31">
        <f>'12 - Device_Configuration'!T346</f>
        <v>0</v>
      </c>
      <c r="D345" s="17">
        <f>'12 - Device_Configuration'!AJ346</f>
        <v>0</v>
      </c>
      <c r="E345" s="17">
        <f>'12 - Device_Configuration'!J346</f>
        <v>0</v>
      </c>
      <c r="F345" s="31">
        <f>'12 - Device_Configuration'!K346</f>
        <v>0</v>
      </c>
      <c r="G345" s="17">
        <f>'12 - Device_Configuration'!L346</f>
        <v>0</v>
      </c>
      <c r="H345" s="17">
        <f>'13 - Config_Intake_View'!M345</f>
        <v>0</v>
      </c>
      <c r="I345" s="31">
        <f>IF('13 - Config_Intake_View'!Q345&lt;&gt;"",'13 - Config_Intake_View'!Q345,'12 - Device_Configuration'!BH346)</f>
        <v>0</v>
      </c>
      <c r="J345" s="17" t="str">
        <f>IF('13 - Config_Intake_View'!Q345&lt;&gt;"","PM Approved",IF('12 - Device_Configuration'!BH346&lt;&gt;"","Assumed",""))</f>
        <v/>
      </c>
      <c r="K345" s="31">
        <f>'12 - Device_Configuration'!BG346</f>
        <v>0</v>
      </c>
      <c r="L345" s="17">
        <f>'12 - Device_Configuration'!P346</f>
        <v>0</v>
      </c>
      <c r="M345" s="17">
        <f>'12 - Device_Configuration'!Q346</f>
        <v>0</v>
      </c>
      <c r="N345" s="17" t="str">
        <f>'12 - Device_Configuration'!BK346</f>
        <v/>
      </c>
      <c r="O345" s="31" t="str">
        <f>'12 - Device_Configuration'!BL346</f>
        <v/>
      </c>
      <c r="P345" s="2">
        <f>'12 - Device_Configuration'!BA346</f>
        <v>0</v>
      </c>
      <c r="Q345" s="31" t="str">
        <f t="shared" si="20"/>
        <v/>
      </c>
      <c r="R345" s="17" t="str">
        <f t="shared" si="21"/>
        <v>SW NOT INSTALLED</v>
      </c>
      <c r="S345" s="17" t="str">
        <f t="shared" si="22"/>
        <v/>
      </c>
      <c r="T345" s="17" t="str">
        <f t="shared" si="23"/>
        <v>SW NOT INSTALLED</v>
      </c>
    </row>
    <row r="346" spans="1:20">
      <c r="A346" s="31">
        <f>'12 - Device_Configuration'!H347</f>
        <v>0</v>
      </c>
      <c r="B346" s="31">
        <f>'12 - Device_Configuration'!S347</f>
        <v>0</v>
      </c>
      <c r="C346" s="31">
        <f>'12 - Device_Configuration'!T347</f>
        <v>0</v>
      </c>
      <c r="D346" s="17">
        <f>'12 - Device_Configuration'!AJ347</f>
        <v>0</v>
      </c>
      <c r="E346" s="17">
        <f>'12 - Device_Configuration'!J347</f>
        <v>0</v>
      </c>
      <c r="F346" s="31">
        <f>'12 - Device_Configuration'!K347</f>
        <v>0</v>
      </c>
      <c r="G346" s="17">
        <f>'12 - Device_Configuration'!L347</f>
        <v>0</v>
      </c>
      <c r="H346" s="17">
        <f>'13 - Config_Intake_View'!M346</f>
        <v>0</v>
      </c>
      <c r="I346" s="31">
        <f>IF('13 - Config_Intake_View'!Q346&lt;&gt;"",'13 - Config_Intake_View'!Q346,'12 - Device_Configuration'!BH347)</f>
        <v>0</v>
      </c>
      <c r="J346" s="17" t="str">
        <f>IF('13 - Config_Intake_View'!Q346&lt;&gt;"","PM Approved",IF('12 - Device_Configuration'!BH347&lt;&gt;"","Assumed",""))</f>
        <v/>
      </c>
      <c r="K346" s="31">
        <f>'12 - Device_Configuration'!BG347</f>
        <v>0</v>
      </c>
      <c r="L346" s="17">
        <f>'12 - Device_Configuration'!P347</f>
        <v>0</v>
      </c>
      <c r="M346" s="17">
        <f>'12 - Device_Configuration'!Q347</f>
        <v>0</v>
      </c>
      <c r="N346" s="17" t="str">
        <f>'12 - Device_Configuration'!BK347</f>
        <v/>
      </c>
      <c r="O346" s="31" t="str">
        <f>'12 - Device_Configuration'!BL347</f>
        <v/>
      </c>
      <c r="P346" s="2">
        <f>'12 - Device_Configuration'!BA347</f>
        <v>0</v>
      </c>
      <c r="Q346" s="31" t="str">
        <f t="shared" si="20"/>
        <v/>
      </c>
      <c r="R346" s="17" t="str">
        <f t="shared" si="21"/>
        <v>SW NOT INSTALLED</v>
      </c>
      <c r="S346" s="17" t="str">
        <f t="shared" si="22"/>
        <v/>
      </c>
      <c r="T346" s="17" t="str">
        <f t="shared" si="23"/>
        <v>SW NOT INSTALLED</v>
      </c>
    </row>
    <row r="347" spans="1:20">
      <c r="A347" s="31">
        <f>'12 - Device_Configuration'!H348</f>
        <v>0</v>
      </c>
      <c r="B347" s="31">
        <f>'12 - Device_Configuration'!S348</f>
        <v>0</v>
      </c>
      <c r="C347" s="31">
        <f>'12 - Device_Configuration'!T348</f>
        <v>0</v>
      </c>
      <c r="D347" s="17">
        <f>'12 - Device_Configuration'!AJ348</f>
        <v>0</v>
      </c>
      <c r="E347" s="17">
        <f>'12 - Device_Configuration'!J348</f>
        <v>0</v>
      </c>
      <c r="F347" s="31">
        <f>'12 - Device_Configuration'!K348</f>
        <v>0</v>
      </c>
      <c r="G347" s="17">
        <f>'12 - Device_Configuration'!L348</f>
        <v>0</v>
      </c>
      <c r="H347" s="17">
        <f>'13 - Config_Intake_View'!M347</f>
        <v>0</v>
      </c>
      <c r="I347" s="31">
        <f>IF('13 - Config_Intake_View'!Q347&lt;&gt;"",'13 - Config_Intake_View'!Q347,'12 - Device_Configuration'!BH348)</f>
        <v>0</v>
      </c>
      <c r="J347" s="17" t="str">
        <f>IF('13 - Config_Intake_View'!Q347&lt;&gt;"","PM Approved",IF('12 - Device_Configuration'!BH348&lt;&gt;"","Assumed",""))</f>
        <v/>
      </c>
      <c r="K347" s="31">
        <f>'12 - Device_Configuration'!BG348</f>
        <v>0</v>
      </c>
      <c r="L347" s="17">
        <f>'12 - Device_Configuration'!P348</f>
        <v>0</v>
      </c>
      <c r="M347" s="17">
        <f>'12 - Device_Configuration'!Q348</f>
        <v>0</v>
      </c>
      <c r="N347" s="17" t="str">
        <f>'12 - Device_Configuration'!BK348</f>
        <v/>
      </c>
      <c r="O347" s="31" t="str">
        <f>'12 - Device_Configuration'!BL348</f>
        <v/>
      </c>
      <c r="P347" s="2">
        <f>'12 - Device_Configuration'!BA348</f>
        <v>0</v>
      </c>
      <c r="Q347" s="31" t="str">
        <f t="shared" si="20"/>
        <v/>
      </c>
      <c r="R347" s="17" t="str">
        <f t="shared" si="21"/>
        <v>SW NOT INSTALLED</v>
      </c>
      <c r="S347" s="17" t="str">
        <f t="shared" si="22"/>
        <v/>
      </c>
      <c r="T347" s="17" t="str">
        <f t="shared" si="23"/>
        <v>SW NOT INSTALLED</v>
      </c>
    </row>
    <row r="348" spans="1:20">
      <c r="A348" s="31">
        <f>'12 - Device_Configuration'!H349</f>
        <v>0</v>
      </c>
      <c r="B348" s="31">
        <f>'12 - Device_Configuration'!S349</f>
        <v>0</v>
      </c>
      <c r="C348" s="31">
        <f>'12 - Device_Configuration'!T349</f>
        <v>0</v>
      </c>
      <c r="D348" s="17">
        <f>'12 - Device_Configuration'!AJ349</f>
        <v>0</v>
      </c>
      <c r="E348" s="17">
        <f>'12 - Device_Configuration'!J349</f>
        <v>0</v>
      </c>
      <c r="F348" s="31">
        <f>'12 - Device_Configuration'!K349</f>
        <v>0</v>
      </c>
      <c r="G348" s="17">
        <f>'12 - Device_Configuration'!L349</f>
        <v>0</v>
      </c>
      <c r="H348" s="17">
        <f>'13 - Config_Intake_View'!M348</f>
        <v>0</v>
      </c>
      <c r="I348" s="31">
        <f>IF('13 - Config_Intake_View'!Q348&lt;&gt;"",'13 - Config_Intake_View'!Q348,'12 - Device_Configuration'!BH349)</f>
        <v>0</v>
      </c>
      <c r="J348" s="17" t="str">
        <f>IF('13 - Config_Intake_View'!Q348&lt;&gt;"","PM Approved",IF('12 - Device_Configuration'!BH349&lt;&gt;"","Assumed",""))</f>
        <v/>
      </c>
      <c r="K348" s="31">
        <f>'12 - Device_Configuration'!BG349</f>
        <v>0</v>
      </c>
      <c r="L348" s="17">
        <f>'12 - Device_Configuration'!P349</f>
        <v>0</v>
      </c>
      <c r="M348" s="17">
        <f>'12 - Device_Configuration'!Q349</f>
        <v>0</v>
      </c>
      <c r="N348" s="17" t="str">
        <f>'12 - Device_Configuration'!BK349</f>
        <v/>
      </c>
      <c r="O348" s="31" t="str">
        <f>'12 - Device_Configuration'!BL349</f>
        <v/>
      </c>
      <c r="P348" s="2">
        <f>'12 - Device_Configuration'!BA349</f>
        <v>0</v>
      </c>
      <c r="Q348" s="31" t="str">
        <f t="shared" si="20"/>
        <v/>
      </c>
      <c r="R348" s="17" t="str">
        <f t="shared" si="21"/>
        <v>SW NOT INSTALLED</v>
      </c>
      <c r="S348" s="17" t="str">
        <f t="shared" si="22"/>
        <v/>
      </c>
      <c r="T348" s="17" t="str">
        <f t="shared" si="23"/>
        <v>SW NOT INSTALLED</v>
      </c>
    </row>
    <row r="349" spans="1:20">
      <c r="A349" s="31">
        <f>'12 - Device_Configuration'!H350</f>
        <v>0</v>
      </c>
      <c r="B349" s="31">
        <f>'12 - Device_Configuration'!S350</f>
        <v>0</v>
      </c>
      <c r="C349" s="31">
        <f>'12 - Device_Configuration'!T350</f>
        <v>0</v>
      </c>
      <c r="D349" s="17">
        <f>'12 - Device_Configuration'!AJ350</f>
        <v>0</v>
      </c>
      <c r="E349" s="17">
        <f>'12 - Device_Configuration'!J350</f>
        <v>0</v>
      </c>
      <c r="F349" s="31">
        <f>'12 - Device_Configuration'!K350</f>
        <v>0</v>
      </c>
      <c r="G349" s="17">
        <f>'12 - Device_Configuration'!L350</f>
        <v>0</v>
      </c>
      <c r="H349" s="17">
        <f>'13 - Config_Intake_View'!M349</f>
        <v>0</v>
      </c>
      <c r="I349" s="31">
        <f>IF('13 - Config_Intake_View'!Q349&lt;&gt;"",'13 - Config_Intake_View'!Q349,'12 - Device_Configuration'!BH350)</f>
        <v>0</v>
      </c>
      <c r="J349" s="17" t="str">
        <f>IF('13 - Config_Intake_View'!Q349&lt;&gt;"","PM Approved",IF('12 - Device_Configuration'!BH350&lt;&gt;"","Assumed",""))</f>
        <v/>
      </c>
      <c r="K349" s="31">
        <f>'12 - Device_Configuration'!BG350</f>
        <v>0</v>
      </c>
      <c r="L349" s="17">
        <f>'12 - Device_Configuration'!P350</f>
        <v>0</v>
      </c>
      <c r="M349" s="17">
        <f>'12 - Device_Configuration'!Q350</f>
        <v>0</v>
      </c>
      <c r="N349" s="17" t="str">
        <f>'12 - Device_Configuration'!BK350</f>
        <v/>
      </c>
      <c r="O349" s="31" t="str">
        <f>'12 - Device_Configuration'!BL350</f>
        <v/>
      </c>
      <c r="P349" s="2">
        <f>'12 - Device_Configuration'!BA350</f>
        <v>0</v>
      </c>
      <c r="Q349" s="31" t="str">
        <f t="shared" si="20"/>
        <v/>
      </c>
      <c r="R349" s="17" t="str">
        <f t="shared" si="21"/>
        <v>SW NOT INSTALLED</v>
      </c>
      <c r="S349" s="17" t="str">
        <f t="shared" si="22"/>
        <v/>
      </c>
      <c r="T349" s="17" t="str">
        <f t="shared" si="23"/>
        <v>SW NOT INSTALLED</v>
      </c>
    </row>
    <row r="350" spans="1:20">
      <c r="A350" s="31">
        <f>'12 - Device_Configuration'!H351</f>
        <v>0</v>
      </c>
      <c r="B350" s="31">
        <f>'12 - Device_Configuration'!S351</f>
        <v>0</v>
      </c>
      <c r="C350" s="31">
        <f>'12 - Device_Configuration'!T351</f>
        <v>0</v>
      </c>
      <c r="D350" s="17">
        <f>'12 - Device_Configuration'!AJ351</f>
        <v>0</v>
      </c>
      <c r="E350" s="17">
        <f>'12 - Device_Configuration'!J351</f>
        <v>0</v>
      </c>
      <c r="F350" s="31">
        <f>'12 - Device_Configuration'!K351</f>
        <v>0</v>
      </c>
      <c r="G350" s="17">
        <f>'12 - Device_Configuration'!L351</f>
        <v>0</v>
      </c>
      <c r="H350" s="17">
        <f>'13 - Config_Intake_View'!M350</f>
        <v>0</v>
      </c>
      <c r="I350" s="31">
        <f>IF('13 - Config_Intake_View'!Q350&lt;&gt;"",'13 - Config_Intake_View'!Q350,'12 - Device_Configuration'!BH351)</f>
        <v>0</v>
      </c>
      <c r="J350" s="17" t="str">
        <f>IF('13 - Config_Intake_View'!Q350&lt;&gt;"","PM Approved",IF('12 - Device_Configuration'!BH351&lt;&gt;"","Assumed",""))</f>
        <v/>
      </c>
      <c r="K350" s="31">
        <f>'12 - Device_Configuration'!BG351</f>
        <v>0</v>
      </c>
      <c r="L350" s="17">
        <f>'12 - Device_Configuration'!P351</f>
        <v>0</v>
      </c>
      <c r="M350" s="17">
        <f>'12 - Device_Configuration'!Q351</f>
        <v>0</v>
      </c>
      <c r="N350" s="17" t="str">
        <f>'12 - Device_Configuration'!BK351</f>
        <v/>
      </c>
      <c r="O350" s="31" t="str">
        <f>'12 - Device_Configuration'!BL351</f>
        <v/>
      </c>
      <c r="P350" s="2">
        <f>'12 - Device_Configuration'!BA351</f>
        <v>0</v>
      </c>
      <c r="Q350" s="31" t="str">
        <f t="shared" si="20"/>
        <v/>
      </c>
      <c r="R350" s="17" t="str">
        <f t="shared" si="21"/>
        <v>SW NOT INSTALLED</v>
      </c>
      <c r="S350" s="17" t="str">
        <f t="shared" si="22"/>
        <v/>
      </c>
      <c r="T350" s="17" t="str">
        <f t="shared" si="23"/>
        <v>SW NOT INSTALLED</v>
      </c>
    </row>
    <row r="351" spans="1:20">
      <c r="A351" s="31">
        <f>'12 - Device_Configuration'!H352</f>
        <v>0</v>
      </c>
      <c r="B351" s="31">
        <f>'12 - Device_Configuration'!S352</f>
        <v>0</v>
      </c>
      <c r="C351" s="31">
        <f>'12 - Device_Configuration'!T352</f>
        <v>0</v>
      </c>
      <c r="D351" s="17">
        <f>'12 - Device_Configuration'!AJ352</f>
        <v>0</v>
      </c>
      <c r="E351" s="17">
        <f>'12 - Device_Configuration'!J352</f>
        <v>0</v>
      </c>
      <c r="F351" s="31">
        <f>'12 - Device_Configuration'!K352</f>
        <v>0</v>
      </c>
      <c r="G351" s="17">
        <f>'12 - Device_Configuration'!L352</f>
        <v>0</v>
      </c>
      <c r="H351" s="17">
        <f>'13 - Config_Intake_View'!M351</f>
        <v>0</v>
      </c>
      <c r="I351" s="31">
        <f>IF('13 - Config_Intake_View'!Q351&lt;&gt;"",'13 - Config_Intake_View'!Q351,'12 - Device_Configuration'!BH352)</f>
        <v>0</v>
      </c>
      <c r="J351" s="17" t="str">
        <f>IF('13 - Config_Intake_View'!Q351&lt;&gt;"","PM Approved",IF('12 - Device_Configuration'!BH352&lt;&gt;"","Assumed",""))</f>
        <v/>
      </c>
      <c r="K351" s="31">
        <f>'12 - Device_Configuration'!BG352</f>
        <v>0</v>
      </c>
      <c r="L351" s="17">
        <f>'12 - Device_Configuration'!P352</f>
        <v>0</v>
      </c>
      <c r="M351" s="17">
        <f>'12 - Device_Configuration'!Q352</f>
        <v>0</v>
      </c>
      <c r="N351" s="17" t="str">
        <f>'12 - Device_Configuration'!BK352</f>
        <v/>
      </c>
      <c r="O351" s="31" t="str">
        <f>'12 - Device_Configuration'!BL352</f>
        <v/>
      </c>
      <c r="P351" s="2">
        <f>'12 - Device_Configuration'!BA352</f>
        <v>0</v>
      </c>
      <c r="Q351" s="31" t="str">
        <f t="shared" si="20"/>
        <v/>
      </c>
      <c r="R351" s="17" t="str">
        <f t="shared" si="21"/>
        <v>SW NOT INSTALLED</v>
      </c>
      <c r="S351" s="17" t="str">
        <f t="shared" si="22"/>
        <v/>
      </c>
      <c r="T351" s="17" t="str">
        <f t="shared" si="23"/>
        <v>SW NOT INSTALLED</v>
      </c>
    </row>
    <row r="352" spans="1:20">
      <c r="A352" s="31">
        <f>'12 - Device_Configuration'!H353</f>
        <v>0</v>
      </c>
      <c r="B352" s="31">
        <f>'12 - Device_Configuration'!S353</f>
        <v>0</v>
      </c>
      <c r="C352" s="31">
        <f>'12 - Device_Configuration'!T353</f>
        <v>0</v>
      </c>
      <c r="D352" s="17">
        <f>'12 - Device_Configuration'!AJ353</f>
        <v>0</v>
      </c>
      <c r="E352" s="17">
        <f>'12 - Device_Configuration'!J353</f>
        <v>0</v>
      </c>
      <c r="F352" s="31">
        <f>'12 - Device_Configuration'!K353</f>
        <v>0</v>
      </c>
      <c r="G352" s="17">
        <f>'12 - Device_Configuration'!L353</f>
        <v>0</v>
      </c>
      <c r="H352" s="17">
        <f>'13 - Config_Intake_View'!M352</f>
        <v>0</v>
      </c>
      <c r="I352" s="31">
        <f>IF('13 - Config_Intake_View'!Q352&lt;&gt;"",'13 - Config_Intake_View'!Q352,'12 - Device_Configuration'!BH353)</f>
        <v>0</v>
      </c>
      <c r="J352" s="17" t="str">
        <f>IF('13 - Config_Intake_View'!Q352&lt;&gt;"","PM Approved",IF('12 - Device_Configuration'!BH353&lt;&gt;"","Assumed",""))</f>
        <v/>
      </c>
      <c r="K352" s="31">
        <f>'12 - Device_Configuration'!BG353</f>
        <v>0</v>
      </c>
      <c r="L352" s="17">
        <f>'12 - Device_Configuration'!P353</f>
        <v>0</v>
      </c>
      <c r="M352" s="17">
        <f>'12 - Device_Configuration'!Q353</f>
        <v>0</v>
      </c>
      <c r="N352" s="17" t="str">
        <f>'12 - Device_Configuration'!BK353</f>
        <v/>
      </c>
      <c r="O352" s="31" t="str">
        <f>'12 - Device_Configuration'!BL353</f>
        <v/>
      </c>
      <c r="P352" s="2">
        <f>'12 - Device_Configuration'!BA353</f>
        <v>0</v>
      </c>
      <c r="Q352" s="31" t="str">
        <f t="shared" si="20"/>
        <v/>
      </c>
      <c r="R352" s="17" t="str">
        <f t="shared" si="21"/>
        <v>SW NOT INSTALLED</v>
      </c>
      <c r="S352" s="17" t="str">
        <f t="shared" si="22"/>
        <v/>
      </c>
      <c r="T352" s="17" t="str">
        <f t="shared" si="23"/>
        <v>SW NOT INSTALLED</v>
      </c>
    </row>
    <row r="353" spans="1:20">
      <c r="A353" s="31">
        <f>'12 - Device_Configuration'!H354</f>
        <v>0</v>
      </c>
      <c r="B353" s="31">
        <f>'12 - Device_Configuration'!S354</f>
        <v>0</v>
      </c>
      <c r="C353" s="31">
        <f>'12 - Device_Configuration'!T354</f>
        <v>0</v>
      </c>
      <c r="D353" s="17">
        <f>'12 - Device_Configuration'!AJ354</f>
        <v>0</v>
      </c>
      <c r="E353" s="17">
        <f>'12 - Device_Configuration'!J354</f>
        <v>0</v>
      </c>
      <c r="F353" s="31">
        <f>'12 - Device_Configuration'!K354</f>
        <v>0</v>
      </c>
      <c r="G353" s="17">
        <f>'12 - Device_Configuration'!L354</f>
        <v>0</v>
      </c>
      <c r="H353" s="17">
        <f>'13 - Config_Intake_View'!M353</f>
        <v>0</v>
      </c>
      <c r="I353" s="31">
        <f>IF('13 - Config_Intake_View'!Q353&lt;&gt;"",'13 - Config_Intake_View'!Q353,'12 - Device_Configuration'!BH354)</f>
        <v>0</v>
      </c>
      <c r="J353" s="17" t="str">
        <f>IF('13 - Config_Intake_View'!Q353&lt;&gt;"","PM Approved",IF('12 - Device_Configuration'!BH354&lt;&gt;"","Assumed",""))</f>
        <v/>
      </c>
      <c r="K353" s="31">
        <f>'12 - Device_Configuration'!BG354</f>
        <v>0</v>
      </c>
      <c r="L353" s="17">
        <f>'12 - Device_Configuration'!P354</f>
        <v>0</v>
      </c>
      <c r="M353" s="17">
        <f>'12 - Device_Configuration'!Q354</f>
        <v>0</v>
      </c>
      <c r="N353" s="17" t="str">
        <f>'12 - Device_Configuration'!BK354</f>
        <v/>
      </c>
      <c r="O353" s="31" t="str">
        <f>'12 - Device_Configuration'!BL354</f>
        <v/>
      </c>
      <c r="P353" s="2">
        <f>'12 - Device_Configuration'!BA354</f>
        <v>0</v>
      </c>
      <c r="Q353" s="31" t="str">
        <f t="shared" si="20"/>
        <v/>
      </c>
      <c r="R353" s="17" t="str">
        <f t="shared" si="21"/>
        <v>SW NOT INSTALLED</v>
      </c>
      <c r="S353" s="17" t="str">
        <f t="shared" si="22"/>
        <v/>
      </c>
      <c r="T353" s="17" t="str">
        <f t="shared" si="23"/>
        <v>SW NOT INSTALLED</v>
      </c>
    </row>
    <row r="354" spans="1:20">
      <c r="A354" s="31">
        <f>'12 - Device_Configuration'!H355</f>
        <v>0</v>
      </c>
      <c r="B354" s="31">
        <f>'12 - Device_Configuration'!S355</f>
        <v>0</v>
      </c>
      <c r="C354" s="31">
        <f>'12 - Device_Configuration'!T355</f>
        <v>0</v>
      </c>
      <c r="D354" s="17">
        <f>'12 - Device_Configuration'!AJ355</f>
        <v>0</v>
      </c>
      <c r="E354" s="17">
        <f>'12 - Device_Configuration'!J355</f>
        <v>0</v>
      </c>
      <c r="F354" s="31">
        <f>'12 - Device_Configuration'!K355</f>
        <v>0</v>
      </c>
      <c r="G354" s="17">
        <f>'12 - Device_Configuration'!L355</f>
        <v>0</v>
      </c>
      <c r="H354" s="17">
        <f>'13 - Config_Intake_View'!M354</f>
        <v>0</v>
      </c>
      <c r="I354" s="31">
        <f>IF('13 - Config_Intake_View'!Q354&lt;&gt;"",'13 - Config_Intake_View'!Q354,'12 - Device_Configuration'!BH355)</f>
        <v>0</v>
      </c>
      <c r="J354" s="17" t="str">
        <f>IF('13 - Config_Intake_View'!Q354&lt;&gt;"","PM Approved",IF('12 - Device_Configuration'!BH355&lt;&gt;"","Assumed",""))</f>
        <v/>
      </c>
      <c r="K354" s="31">
        <f>'12 - Device_Configuration'!BG355</f>
        <v>0</v>
      </c>
      <c r="L354" s="17">
        <f>'12 - Device_Configuration'!P355</f>
        <v>0</v>
      </c>
      <c r="M354" s="17">
        <f>'12 - Device_Configuration'!Q355</f>
        <v>0</v>
      </c>
      <c r="N354" s="17" t="str">
        <f>'12 - Device_Configuration'!BK355</f>
        <v/>
      </c>
      <c r="O354" s="31" t="str">
        <f>'12 - Device_Configuration'!BL355</f>
        <v/>
      </c>
      <c r="P354" s="2">
        <f>'12 - Device_Configuration'!BA355</f>
        <v>0</v>
      </c>
      <c r="Q354" s="31" t="str">
        <f t="shared" si="20"/>
        <v/>
      </c>
      <c r="R354" s="17" t="str">
        <f t="shared" si="21"/>
        <v>SW NOT INSTALLED</v>
      </c>
      <c r="S354" s="17" t="str">
        <f t="shared" si="22"/>
        <v/>
      </c>
      <c r="T354" s="17" t="str">
        <f t="shared" si="23"/>
        <v>SW NOT INSTALLED</v>
      </c>
    </row>
    <row r="355" spans="1:20">
      <c r="A355" s="31">
        <f>'12 - Device_Configuration'!H356</f>
        <v>0</v>
      </c>
      <c r="B355" s="31">
        <f>'12 - Device_Configuration'!S356</f>
        <v>0</v>
      </c>
      <c r="C355" s="31">
        <f>'12 - Device_Configuration'!T356</f>
        <v>0</v>
      </c>
      <c r="D355" s="17">
        <f>'12 - Device_Configuration'!AJ356</f>
        <v>0</v>
      </c>
      <c r="E355" s="17">
        <f>'12 - Device_Configuration'!J356</f>
        <v>0</v>
      </c>
      <c r="F355" s="31">
        <f>'12 - Device_Configuration'!K356</f>
        <v>0</v>
      </c>
      <c r="G355" s="17">
        <f>'12 - Device_Configuration'!L356</f>
        <v>0</v>
      </c>
      <c r="H355" s="17">
        <f>'13 - Config_Intake_View'!M355</f>
        <v>0</v>
      </c>
      <c r="I355" s="31">
        <f>IF('13 - Config_Intake_View'!Q355&lt;&gt;"",'13 - Config_Intake_View'!Q355,'12 - Device_Configuration'!BH356)</f>
        <v>0</v>
      </c>
      <c r="J355" s="17" t="str">
        <f>IF('13 - Config_Intake_View'!Q355&lt;&gt;"","PM Approved",IF('12 - Device_Configuration'!BH356&lt;&gt;"","Assumed",""))</f>
        <v/>
      </c>
      <c r="K355" s="31">
        <f>'12 - Device_Configuration'!BG356</f>
        <v>0</v>
      </c>
      <c r="L355" s="17">
        <f>'12 - Device_Configuration'!P356</f>
        <v>0</v>
      </c>
      <c r="M355" s="17">
        <f>'12 - Device_Configuration'!Q356</f>
        <v>0</v>
      </c>
      <c r="N355" s="17" t="str">
        <f>'12 - Device_Configuration'!BK356</f>
        <v/>
      </c>
      <c r="O355" s="31" t="str">
        <f>'12 - Device_Configuration'!BL356</f>
        <v/>
      </c>
      <c r="P355" s="2">
        <f>'12 - Device_Configuration'!BA356</f>
        <v>0</v>
      </c>
      <c r="Q355" s="31" t="str">
        <f t="shared" si="20"/>
        <v/>
      </c>
      <c r="R355" s="17" t="str">
        <f t="shared" si="21"/>
        <v>SW NOT INSTALLED</v>
      </c>
      <c r="S355" s="17" t="str">
        <f t="shared" si="22"/>
        <v/>
      </c>
      <c r="T355" s="17" t="str">
        <f t="shared" si="23"/>
        <v>SW NOT INSTALLED</v>
      </c>
    </row>
    <row r="356" spans="1:20">
      <c r="A356" s="31">
        <f>'12 - Device_Configuration'!H357</f>
        <v>0</v>
      </c>
      <c r="B356" s="31">
        <f>'12 - Device_Configuration'!S357</f>
        <v>0</v>
      </c>
      <c r="C356" s="31">
        <f>'12 - Device_Configuration'!T357</f>
        <v>0</v>
      </c>
      <c r="D356" s="17">
        <f>'12 - Device_Configuration'!AJ357</f>
        <v>0</v>
      </c>
      <c r="E356" s="17">
        <f>'12 - Device_Configuration'!J357</f>
        <v>0</v>
      </c>
      <c r="F356" s="31">
        <f>'12 - Device_Configuration'!K357</f>
        <v>0</v>
      </c>
      <c r="G356" s="17">
        <f>'12 - Device_Configuration'!L357</f>
        <v>0</v>
      </c>
      <c r="H356" s="17">
        <f>'13 - Config_Intake_View'!M356</f>
        <v>0</v>
      </c>
      <c r="I356" s="31">
        <f>IF('13 - Config_Intake_View'!Q356&lt;&gt;"",'13 - Config_Intake_View'!Q356,'12 - Device_Configuration'!BH357)</f>
        <v>0</v>
      </c>
      <c r="J356" s="17" t="str">
        <f>IF('13 - Config_Intake_View'!Q356&lt;&gt;"","PM Approved",IF('12 - Device_Configuration'!BH357&lt;&gt;"","Assumed",""))</f>
        <v/>
      </c>
      <c r="K356" s="31">
        <f>'12 - Device_Configuration'!BG357</f>
        <v>0</v>
      </c>
      <c r="L356" s="17">
        <f>'12 - Device_Configuration'!P357</f>
        <v>0</v>
      </c>
      <c r="M356" s="17">
        <f>'12 - Device_Configuration'!Q357</f>
        <v>0</v>
      </c>
      <c r="N356" s="17" t="str">
        <f>'12 - Device_Configuration'!BK357</f>
        <v/>
      </c>
      <c r="O356" s="31" t="str">
        <f>'12 - Device_Configuration'!BL357</f>
        <v/>
      </c>
      <c r="P356" s="2">
        <f>'12 - Device_Configuration'!BA357</f>
        <v>0</v>
      </c>
      <c r="Q356" s="31" t="str">
        <f t="shared" si="20"/>
        <v/>
      </c>
      <c r="R356" s="17" t="str">
        <f t="shared" si="21"/>
        <v>SW NOT INSTALLED</v>
      </c>
      <c r="S356" s="17" t="str">
        <f t="shared" si="22"/>
        <v/>
      </c>
      <c r="T356" s="17" t="str">
        <f t="shared" si="23"/>
        <v>SW NOT INSTALLED</v>
      </c>
    </row>
    <row r="357" spans="1:20">
      <c r="A357" s="31">
        <f>'12 - Device_Configuration'!H358</f>
        <v>0</v>
      </c>
      <c r="B357" s="31">
        <f>'12 - Device_Configuration'!S358</f>
        <v>0</v>
      </c>
      <c r="C357" s="31">
        <f>'12 - Device_Configuration'!T358</f>
        <v>0</v>
      </c>
      <c r="D357" s="17">
        <f>'12 - Device_Configuration'!AJ358</f>
        <v>0</v>
      </c>
      <c r="E357" s="17">
        <f>'12 - Device_Configuration'!J358</f>
        <v>0</v>
      </c>
      <c r="F357" s="31">
        <f>'12 - Device_Configuration'!K358</f>
        <v>0</v>
      </c>
      <c r="G357" s="17">
        <f>'12 - Device_Configuration'!L358</f>
        <v>0</v>
      </c>
      <c r="H357" s="17">
        <f>'13 - Config_Intake_View'!M357</f>
        <v>0</v>
      </c>
      <c r="I357" s="31">
        <f>IF('13 - Config_Intake_View'!Q357&lt;&gt;"",'13 - Config_Intake_View'!Q357,'12 - Device_Configuration'!BH358)</f>
        <v>0</v>
      </c>
      <c r="J357" s="17" t="str">
        <f>IF('13 - Config_Intake_View'!Q357&lt;&gt;"","PM Approved",IF('12 - Device_Configuration'!BH358&lt;&gt;"","Assumed",""))</f>
        <v/>
      </c>
      <c r="K357" s="31">
        <f>'12 - Device_Configuration'!BG358</f>
        <v>0</v>
      </c>
      <c r="L357" s="17">
        <f>'12 - Device_Configuration'!P358</f>
        <v>0</v>
      </c>
      <c r="M357" s="17">
        <f>'12 - Device_Configuration'!Q358</f>
        <v>0</v>
      </c>
      <c r="N357" s="17" t="str">
        <f>'12 - Device_Configuration'!BK358</f>
        <v/>
      </c>
      <c r="O357" s="31" t="str">
        <f>'12 - Device_Configuration'!BL358</f>
        <v/>
      </c>
      <c r="P357" s="2">
        <f>'12 - Device_Configuration'!BA358</f>
        <v>0</v>
      </c>
      <c r="Q357" s="31" t="str">
        <f t="shared" si="20"/>
        <v/>
      </c>
      <c r="R357" s="17" t="str">
        <f t="shared" si="21"/>
        <v>SW NOT INSTALLED</v>
      </c>
      <c r="S357" s="17" t="str">
        <f t="shared" si="22"/>
        <v/>
      </c>
      <c r="T357" s="17" t="str">
        <f t="shared" si="23"/>
        <v>SW NOT INSTALLED</v>
      </c>
    </row>
    <row r="358" spans="1:20">
      <c r="A358" s="31">
        <f>'12 - Device_Configuration'!H359</f>
        <v>0</v>
      </c>
      <c r="B358" s="31">
        <f>'12 - Device_Configuration'!S359</f>
        <v>0</v>
      </c>
      <c r="C358" s="31">
        <f>'12 - Device_Configuration'!T359</f>
        <v>0</v>
      </c>
      <c r="D358" s="17">
        <f>'12 - Device_Configuration'!AJ359</f>
        <v>0</v>
      </c>
      <c r="E358" s="17">
        <f>'12 - Device_Configuration'!J359</f>
        <v>0</v>
      </c>
      <c r="F358" s="31">
        <f>'12 - Device_Configuration'!K359</f>
        <v>0</v>
      </c>
      <c r="G358" s="17">
        <f>'12 - Device_Configuration'!L359</f>
        <v>0</v>
      </c>
      <c r="H358" s="17">
        <f>'13 - Config_Intake_View'!M358</f>
        <v>0</v>
      </c>
      <c r="I358" s="31">
        <f>IF('13 - Config_Intake_View'!Q358&lt;&gt;"",'13 - Config_Intake_View'!Q358,'12 - Device_Configuration'!BH359)</f>
        <v>0</v>
      </c>
      <c r="J358" s="17" t="str">
        <f>IF('13 - Config_Intake_View'!Q358&lt;&gt;"","PM Approved",IF('12 - Device_Configuration'!BH359&lt;&gt;"","Assumed",""))</f>
        <v/>
      </c>
      <c r="K358" s="31">
        <f>'12 - Device_Configuration'!BG359</f>
        <v>0</v>
      </c>
      <c r="L358" s="17">
        <f>'12 - Device_Configuration'!P359</f>
        <v>0</v>
      </c>
      <c r="M358" s="17">
        <f>'12 - Device_Configuration'!Q359</f>
        <v>0</v>
      </c>
      <c r="N358" s="17" t="str">
        <f>'12 - Device_Configuration'!BK359</f>
        <v/>
      </c>
      <c r="O358" s="31" t="str">
        <f>'12 - Device_Configuration'!BL359</f>
        <v/>
      </c>
      <c r="P358" s="2">
        <f>'12 - Device_Configuration'!BA359</f>
        <v>0</v>
      </c>
      <c r="Q358" s="31" t="str">
        <f t="shared" si="20"/>
        <v/>
      </c>
      <c r="R358" s="17" t="str">
        <f t="shared" si="21"/>
        <v>SW NOT INSTALLED</v>
      </c>
      <c r="S358" s="17" t="str">
        <f t="shared" si="22"/>
        <v/>
      </c>
      <c r="T358" s="17" t="str">
        <f t="shared" si="23"/>
        <v>SW NOT INSTALLED</v>
      </c>
    </row>
    <row r="359" spans="1:20">
      <c r="A359" s="31">
        <f>'12 - Device_Configuration'!H360</f>
        <v>0</v>
      </c>
      <c r="B359" s="31">
        <f>'12 - Device_Configuration'!S360</f>
        <v>0</v>
      </c>
      <c r="C359" s="31">
        <f>'12 - Device_Configuration'!T360</f>
        <v>0</v>
      </c>
      <c r="D359" s="17">
        <f>'12 - Device_Configuration'!AJ360</f>
        <v>0</v>
      </c>
      <c r="E359" s="17">
        <f>'12 - Device_Configuration'!J360</f>
        <v>0</v>
      </c>
      <c r="F359" s="31">
        <f>'12 - Device_Configuration'!K360</f>
        <v>0</v>
      </c>
      <c r="G359" s="17">
        <f>'12 - Device_Configuration'!L360</f>
        <v>0</v>
      </c>
      <c r="H359" s="17">
        <f>'13 - Config_Intake_View'!M359</f>
        <v>0</v>
      </c>
      <c r="I359" s="31">
        <f>IF('13 - Config_Intake_View'!Q359&lt;&gt;"",'13 - Config_Intake_View'!Q359,'12 - Device_Configuration'!BH360)</f>
        <v>0</v>
      </c>
      <c r="J359" s="17" t="str">
        <f>IF('13 - Config_Intake_View'!Q359&lt;&gt;"","PM Approved",IF('12 - Device_Configuration'!BH360&lt;&gt;"","Assumed",""))</f>
        <v/>
      </c>
      <c r="K359" s="31">
        <f>'12 - Device_Configuration'!BG360</f>
        <v>0</v>
      </c>
      <c r="L359" s="17">
        <f>'12 - Device_Configuration'!P360</f>
        <v>0</v>
      </c>
      <c r="M359" s="17">
        <f>'12 - Device_Configuration'!Q360</f>
        <v>0</v>
      </c>
      <c r="N359" s="17" t="str">
        <f>'12 - Device_Configuration'!BK360</f>
        <v/>
      </c>
      <c r="O359" s="31" t="str">
        <f>'12 - Device_Configuration'!BL360</f>
        <v/>
      </c>
      <c r="P359" s="2">
        <f>'12 - Device_Configuration'!BA360</f>
        <v>0</v>
      </c>
      <c r="Q359" s="31" t="str">
        <f t="shared" si="20"/>
        <v/>
      </c>
      <c r="R359" s="17" t="str">
        <f t="shared" si="21"/>
        <v>SW NOT INSTALLED</v>
      </c>
      <c r="S359" s="17" t="str">
        <f t="shared" si="22"/>
        <v/>
      </c>
      <c r="T359" s="17" t="str">
        <f t="shared" si="23"/>
        <v>SW NOT INSTALLED</v>
      </c>
    </row>
    <row r="360" spans="1:20">
      <c r="A360" s="31">
        <f>'12 - Device_Configuration'!H361</f>
        <v>0</v>
      </c>
      <c r="B360" s="31">
        <f>'12 - Device_Configuration'!S361</f>
        <v>0</v>
      </c>
      <c r="C360" s="31">
        <f>'12 - Device_Configuration'!T361</f>
        <v>0</v>
      </c>
      <c r="D360" s="17">
        <f>'12 - Device_Configuration'!AJ361</f>
        <v>0</v>
      </c>
      <c r="E360" s="17">
        <f>'12 - Device_Configuration'!J361</f>
        <v>0</v>
      </c>
      <c r="F360" s="31">
        <f>'12 - Device_Configuration'!K361</f>
        <v>0</v>
      </c>
      <c r="G360" s="17">
        <f>'12 - Device_Configuration'!L361</f>
        <v>0</v>
      </c>
      <c r="H360" s="17">
        <f>'13 - Config_Intake_View'!M360</f>
        <v>0</v>
      </c>
      <c r="I360" s="31">
        <f>IF('13 - Config_Intake_View'!Q360&lt;&gt;"",'13 - Config_Intake_View'!Q360,'12 - Device_Configuration'!BH361)</f>
        <v>0</v>
      </c>
      <c r="J360" s="17" t="str">
        <f>IF('13 - Config_Intake_View'!Q360&lt;&gt;"","PM Approved",IF('12 - Device_Configuration'!BH361&lt;&gt;"","Assumed",""))</f>
        <v/>
      </c>
      <c r="K360" s="31">
        <f>'12 - Device_Configuration'!BG361</f>
        <v>0</v>
      </c>
      <c r="L360" s="17">
        <f>'12 - Device_Configuration'!P361</f>
        <v>0</v>
      </c>
      <c r="M360" s="17">
        <f>'12 - Device_Configuration'!Q361</f>
        <v>0</v>
      </c>
      <c r="N360" s="17" t="str">
        <f>'12 - Device_Configuration'!BK361</f>
        <v/>
      </c>
      <c r="O360" s="31" t="str">
        <f>'12 - Device_Configuration'!BL361</f>
        <v/>
      </c>
      <c r="P360" s="2">
        <f>'12 - Device_Configuration'!BA361</f>
        <v>0</v>
      </c>
      <c r="Q360" s="31" t="str">
        <f t="shared" si="20"/>
        <v/>
      </c>
      <c r="R360" s="17" t="str">
        <f t="shared" si="21"/>
        <v>SW NOT INSTALLED</v>
      </c>
      <c r="S360" s="17" t="str">
        <f t="shared" si="22"/>
        <v/>
      </c>
      <c r="T360" s="17" t="str">
        <f t="shared" si="23"/>
        <v>SW NOT INSTALLED</v>
      </c>
    </row>
    <row r="361" spans="1:20">
      <c r="A361" s="31">
        <f>'12 - Device_Configuration'!H362</f>
        <v>0</v>
      </c>
      <c r="B361" s="31">
        <f>'12 - Device_Configuration'!S362</f>
        <v>0</v>
      </c>
      <c r="C361" s="31">
        <f>'12 - Device_Configuration'!T362</f>
        <v>0</v>
      </c>
      <c r="D361" s="17">
        <f>'12 - Device_Configuration'!AJ362</f>
        <v>0</v>
      </c>
      <c r="E361" s="17">
        <f>'12 - Device_Configuration'!J362</f>
        <v>0</v>
      </c>
      <c r="F361" s="31">
        <f>'12 - Device_Configuration'!K362</f>
        <v>0</v>
      </c>
      <c r="G361" s="17">
        <f>'12 - Device_Configuration'!L362</f>
        <v>0</v>
      </c>
      <c r="H361" s="17">
        <f>'13 - Config_Intake_View'!M361</f>
        <v>0</v>
      </c>
      <c r="I361" s="31">
        <f>IF('13 - Config_Intake_View'!Q361&lt;&gt;"",'13 - Config_Intake_View'!Q361,'12 - Device_Configuration'!BH362)</f>
        <v>0</v>
      </c>
      <c r="J361" s="17" t="str">
        <f>IF('13 - Config_Intake_View'!Q361&lt;&gt;"","PM Approved",IF('12 - Device_Configuration'!BH362&lt;&gt;"","Assumed",""))</f>
        <v/>
      </c>
      <c r="K361" s="31">
        <f>'12 - Device_Configuration'!BG362</f>
        <v>0</v>
      </c>
      <c r="L361" s="17">
        <f>'12 - Device_Configuration'!P362</f>
        <v>0</v>
      </c>
      <c r="M361" s="17">
        <f>'12 - Device_Configuration'!Q362</f>
        <v>0</v>
      </c>
      <c r="N361" s="17" t="str">
        <f>'12 - Device_Configuration'!BK362</f>
        <v/>
      </c>
      <c r="O361" s="31" t="str">
        <f>'12 - Device_Configuration'!BL362</f>
        <v/>
      </c>
      <c r="P361" s="2">
        <f>'12 - Device_Configuration'!BA362</f>
        <v>0</v>
      </c>
      <c r="Q361" s="31" t="str">
        <f t="shared" si="20"/>
        <v/>
      </c>
      <c r="R361" s="17" t="str">
        <f t="shared" si="21"/>
        <v>SW NOT INSTALLED</v>
      </c>
      <c r="S361" s="17" t="str">
        <f t="shared" si="22"/>
        <v/>
      </c>
      <c r="T361" s="17" t="str">
        <f t="shared" si="23"/>
        <v>SW NOT INSTALLED</v>
      </c>
    </row>
    <row r="362" spans="1:20">
      <c r="A362" s="31">
        <f>'12 - Device_Configuration'!H363</f>
        <v>0</v>
      </c>
      <c r="B362" s="31">
        <f>'12 - Device_Configuration'!S363</f>
        <v>0</v>
      </c>
      <c r="C362" s="31">
        <f>'12 - Device_Configuration'!T363</f>
        <v>0</v>
      </c>
      <c r="D362" s="17">
        <f>'12 - Device_Configuration'!AJ363</f>
        <v>0</v>
      </c>
      <c r="E362" s="17">
        <f>'12 - Device_Configuration'!J363</f>
        <v>0</v>
      </c>
      <c r="F362" s="31">
        <f>'12 - Device_Configuration'!K363</f>
        <v>0</v>
      </c>
      <c r="G362" s="17">
        <f>'12 - Device_Configuration'!L363</f>
        <v>0</v>
      </c>
      <c r="H362" s="17">
        <f>'13 - Config_Intake_View'!M362</f>
        <v>0</v>
      </c>
      <c r="I362" s="31">
        <f>IF('13 - Config_Intake_View'!Q362&lt;&gt;"",'13 - Config_Intake_View'!Q362,'12 - Device_Configuration'!BH363)</f>
        <v>0</v>
      </c>
      <c r="J362" s="17" t="str">
        <f>IF('13 - Config_Intake_View'!Q362&lt;&gt;"","PM Approved",IF('12 - Device_Configuration'!BH363&lt;&gt;"","Assumed",""))</f>
        <v/>
      </c>
      <c r="K362" s="31">
        <f>'12 - Device_Configuration'!BG363</f>
        <v>0</v>
      </c>
      <c r="L362" s="17">
        <f>'12 - Device_Configuration'!P363</f>
        <v>0</v>
      </c>
      <c r="M362" s="17">
        <f>'12 - Device_Configuration'!Q363</f>
        <v>0</v>
      </c>
      <c r="N362" s="17" t="str">
        <f>'12 - Device_Configuration'!BK363</f>
        <v/>
      </c>
      <c r="O362" s="31" t="str">
        <f>'12 - Device_Configuration'!BL363</f>
        <v/>
      </c>
      <c r="P362" s="2">
        <f>'12 - Device_Configuration'!BA363</f>
        <v>0</v>
      </c>
      <c r="Q362" s="31" t="str">
        <f t="shared" si="20"/>
        <v/>
      </c>
      <c r="R362" s="17" t="str">
        <f t="shared" si="21"/>
        <v>SW NOT INSTALLED</v>
      </c>
      <c r="S362" s="17" t="str">
        <f t="shared" si="22"/>
        <v/>
      </c>
      <c r="T362" s="17" t="str">
        <f t="shared" si="23"/>
        <v>SW NOT INSTALLED</v>
      </c>
    </row>
    <row r="363" spans="1:20">
      <c r="A363" s="31">
        <f>'12 - Device_Configuration'!H364</f>
        <v>0</v>
      </c>
      <c r="B363" s="31">
        <f>'12 - Device_Configuration'!S364</f>
        <v>0</v>
      </c>
      <c r="C363" s="31">
        <f>'12 - Device_Configuration'!T364</f>
        <v>0</v>
      </c>
      <c r="D363" s="17">
        <f>'12 - Device_Configuration'!AJ364</f>
        <v>0</v>
      </c>
      <c r="E363" s="17">
        <f>'12 - Device_Configuration'!J364</f>
        <v>0</v>
      </c>
      <c r="F363" s="31">
        <f>'12 - Device_Configuration'!K364</f>
        <v>0</v>
      </c>
      <c r="G363" s="17">
        <f>'12 - Device_Configuration'!L364</f>
        <v>0</v>
      </c>
      <c r="H363" s="17">
        <f>'13 - Config_Intake_View'!M363</f>
        <v>0</v>
      </c>
      <c r="I363" s="31">
        <f>IF('13 - Config_Intake_View'!Q363&lt;&gt;"",'13 - Config_Intake_View'!Q363,'12 - Device_Configuration'!BH364)</f>
        <v>0</v>
      </c>
      <c r="J363" s="17" t="str">
        <f>IF('13 - Config_Intake_View'!Q363&lt;&gt;"","PM Approved",IF('12 - Device_Configuration'!BH364&lt;&gt;"","Assumed",""))</f>
        <v/>
      </c>
      <c r="K363" s="31">
        <f>'12 - Device_Configuration'!BG364</f>
        <v>0</v>
      </c>
      <c r="L363" s="17">
        <f>'12 - Device_Configuration'!P364</f>
        <v>0</v>
      </c>
      <c r="M363" s="17">
        <f>'12 - Device_Configuration'!Q364</f>
        <v>0</v>
      </c>
      <c r="N363" s="17" t="str">
        <f>'12 - Device_Configuration'!BK364</f>
        <v/>
      </c>
      <c r="O363" s="31" t="str">
        <f>'12 - Device_Configuration'!BL364</f>
        <v/>
      </c>
      <c r="P363" s="2">
        <f>'12 - Device_Configuration'!BA364</f>
        <v>0</v>
      </c>
      <c r="Q363" s="31" t="str">
        <f t="shared" si="20"/>
        <v/>
      </c>
      <c r="R363" s="17" t="str">
        <f t="shared" si="21"/>
        <v>SW NOT INSTALLED</v>
      </c>
      <c r="S363" s="17" t="str">
        <f t="shared" si="22"/>
        <v/>
      </c>
      <c r="T363" s="17" t="str">
        <f t="shared" si="23"/>
        <v>SW NOT INSTALLED</v>
      </c>
    </row>
    <row r="364" spans="1:20">
      <c r="A364" s="31">
        <f>'12 - Device_Configuration'!H365</f>
        <v>0</v>
      </c>
      <c r="B364" s="31">
        <f>'12 - Device_Configuration'!S365</f>
        <v>0</v>
      </c>
      <c r="C364" s="31">
        <f>'12 - Device_Configuration'!T365</f>
        <v>0</v>
      </c>
      <c r="D364" s="17">
        <f>'12 - Device_Configuration'!AJ365</f>
        <v>0</v>
      </c>
      <c r="E364" s="17">
        <f>'12 - Device_Configuration'!J365</f>
        <v>0</v>
      </c>
      <c r="F364" s="31">
        <f>'12 - Device_Configuration'!K365</f>
        <v>0</v>
      </c>
      <c r="G364" s="17">
        <f>'12 - Device_Configuration'!L365</f>
        <v>0</v>
      </c>
      <c r="H364" s="17">
        <f>'13 - Config_Intake_View'!M364</f>
        <v>0</v>
      </c>
      <c r="I364" s="31">
        <f>IF('13 - Config_Intake_View'!Q364&lt;&gt;"",'13 - Config_Intake_View'!Q364,'12 - Device_Configuration'!BH365)</f>
        <v>0</v>
      </c>
      <c r="J364" s="17" t="str">
        <f>IF('13 - Config_Intake_View'!Q364&lt;&gt;"","PM Approved",IF('12 - Device_Configuration'!BH365&lt;&gt;"","Assumed",""))</f>
        <v/>
      </c>
      <c r="K364" s="31">
        <f>'12 - Device_Configuration'!BG365</f>
        <v>0</v>
      </c>
      <c r="L364" s="17">
        <f>'12 - Device_Configuration'!P365</f>
        <v>0</v>
      </c>
      <c r="M364" s="17">
        <f>'12 - Device_Configuration'!Q365</f>
        <v>0</v>
      </c>
      <c r="N364" s="17" t="str">
        <f>'12 - Device_Configuration'!BK365</f>
        <v/>
      </c>
      <c r="O364" s="31" t="str">
        <f>'12 - Device_Configuration'!BL365</f>
        <v/>
      </c>
      <c r="P364" s="2">
        <f>'12 - Device_Configuration'!BA365</f>
        <v>0</v>
      </c>
      <c r="Q364" s="31" t="str">
        <f t="shared" si="20"/>
        <v/>
      </c>
      <c r="R364" s="17" t="str">
        <f t="shared" si="21"/>
        <v>SW NOT INSTALLED</v>
      </c>
      <c r="S364" s="17" t="str">
        <f t="shared" si="22"/>
        <v/>
      </c>
      <c r="T364" s="17" t="str">
        <f t="shared" si="23"/>
        <v>SW NOT INSTALLED</v>
      </c>
    </row>
    <row r="365" spans="1:20">
      <c r="A365" s="31">
        <f>'12 - Device_Configuration'!H366</f>
        <v>0</v>
      </c>
      <c r="B365" s="31">
        <f>'12 - Device_Configuration'!S366</f>
        <v>0</v>
      </c>
      <c r="C365" s="31">
        <f>'12 - Device_Configuration'!T366</f>
        <v>0</v>
      </c>
      <c r="D365" s="17">
        <f>'12 - Device_Configuration'!AJ366</f>
        <v>0</v>
      </c>
      <c r="E365" s="17">
        <f>'12 - Device_Configuration'!J366</f>
        <v>0</v>
      </c>
      <c r="F365" s="31">
        <f>'12 - Device_Configuration'!K366</f>
        <v>0</v>
      </c>
      <c r="G365" s="17">
        <f>'12 - Device_Configuration'!L366</f>
        <v>0</v>
      </c>
      <c r="H365" s="17">
        <f>'13 - Config_Intake_View'!M365</f>
        <v>0</v>
      </c>
      <c r="I365" s="31">
        <f>IF('13 - Config_Intake_View'!Q365&lt;&gt;"",'13 - Config_Intake_View'!Q365,'12 - Device_Configuration'!BH366)</f>
        <v>0</v>
      </c>
      <c r="J365" s="17" t="str">
        <f>IF('13 - Config_Intake_View'!Q365&lt;&gt;"","PM Approved",IF('12 - Device_Configuration'!BH366&lt;&gt;"","Assumed",""))</f>
        <v/>
      </c>
      <c r="K365" s="31">
        <f>'12 - Device_Configuration'!BG366</f>
        <v>0</v>
      </c>
      <c r="L365" s="17">
        <f>'12 - Device_Configuration'!P366</f>
        <v>0</v>
      </c>
      <c r="M365" s="17">
        <f>'12 - Device_Configuration'!Q366</f>
        <v>0</v>
      </c>
      <c r="N365" s="17" t="str">
        <f>'12 - Device_Configuration'!BK366</f>
        <v/>
      </c>
      <c r="O365" s="31" t="str">
        <f>'12 - Device_Configuration'!BL366</f>
        <v/>
      </c>
      <c r="P365" s="2">
        <f>'12 - Device_Configuration'!BA366</f>
        <v>0</v>
      </c>
      <c r="Q365" s="31" t="str">
        <f t="shared" si="20"/>
        <v/>
      </c>
      <c r="R365" s="17" t="str">
        <f t="shared" si="21"/>
        <v>SW NOT INSTALLED</v>
      </c>
      <c r="S365" s="17" t="str">
        <f t="shared" si="22"/>
        <v/>
      </c>
      <c r="T365" s="17" t="str">
        <f t="shared" si="23"/>
        <v>SW NOT INSTALLED</v>
      </c>
    </row>
    <row r="366" spans="1:20">
      <c r="A366" s="31">
        <f>'12 - Device_Configuration'!H367</f>
        <v>0</v>
      </c>
      <c r="B366" s="31">
        <f>'12 - Device_Configuration'!S367</f>
        <v>0</v>
      </c>
      <c r="C366" s="31">
        <f>'12 - Device_Configuration'!T367</f>
        <v>0</v>
      </c>
      <c r="D366" s="17">
        <f>'12 - Device_Configuration'!AJ367</f>
        <v>0</v>
      </c>
      <c r="E366" s="17">
        <f>'12 - Device_Configuration'!J367</f>
        <v>0</v>
      </c>
      <c r="F366" s="31">
        <f>'12 - Device_Configuration'!K367</f>
        <v>0</v>
      </c>
      <c r="G366" s="17">
        <f>'12 - Device_Configuration'!L367</f>
        <v>0</v>
      </c>
      <c r="H366" s="17">
        <f>'13 - Config_Intake_View'!M366</f>
        <v>0</v>
      </c>
      <c r="I366" s="31">
        <f>IF('13 - Config_Intake_View'!Q366&lt;&gt;"",'13 - Config_Intake_View'!Q366,'12 - Device_Configuration'!BH367)</f>
        <v>0</v>
      </c>
      <c r="J366" s="17" t="str">
        <f>IF('13 - Config_Intake_View'!Q366&lt;&gt;"","PM Approved",IF('12 - Device_Configuration'!BH367&lt;&gt;"","Assumed",""))</f>
        <v/>
      </c>
      <c r="K366" s="31">
        <f>'12 - Device_Configuration'!BG367</f>
        <v>0</v>
      </c>
      <c r="L366" s="17">
        <f>'12 - Device_Configuration'!P367</f>
        <v>0</v>
      </c>
      <c r="M366" s="17">
        <f>'12 - Device_Configuration'!Q367</f>
        <v>0</v>
      </c>
      <c r="N366" s="17" t="str">
        <f>'12 - Device_Configuration'!BK367</f>
        <v/>
      </c>
      <c r="O366" s="31" t="str">
        <f>'12 - Device_Configuration'!BL367</f>
        <v/>
      </c>
      <c r="P366" s="2">
        <f>'12 - Device_Configuration'!BA367</f>
        <v>0</v>
      </c>
      <c r="Q366" s="31" t="str">
        <f t="shared" si="20"/>
        <v/>
      </c>
      <c r="R366" s="17" t="str">
        <f t="shared" si="21"/>
        <v>SW NOT INSTALLED</v>
      </c>
      <c r="S366" s="17" t="str">
        <f t="shared" si="22"/>
        <v/>
      </c>
      <c r="T366" s="17" t="str">
        <f t="shared" si="23"/>
        <v>SW NOT INSTALLED</v>
      </c>
    </row>
    <row r="367" spans="1:20">
      <c r="A367" s="31">
        <f>'12 - Device_Configuration'!H368</f>
        <v>0</v>
      </c>
      <c r="B367" s="31">
        <f>'12 - Device_Configuration'!S368</f>
        <v>0</v>
      </c>
      <c r="C367" s="31">
        <f>'12 - Device_Configuration'!T368</f>
        <v>0</v>
      </c>
      <c r="D367" s="17">
        <f>'12 - Device_Configuration'!AJ368</f>
        <v>0</v>
      </c>
      <c r="E367" s="17">
        <f>'12 - Device_Configuration'!J368</f>
        <v>0</v>
      </c>
      <c r="F367" s="31">
        <f>'12 - Device_Configuration'!K368</f>
        <v>0</v>
      </c>
      <c r="G367" s="17">
        <f>'12 - Device_Configuration'!L368</f>
        <v>0</v>
      </c>
      <c r="H367" s="17">
        <f>'13 - Config_Intake_View'!M367</f>
        <v>0</v>
      </c>
      <c r="I367" s="31">
        <f>IF('13 - Config_Intake_View'!Q367&lt;&gt;"",'13 - Config_Intake_View'!Q367,'12 - Device_Configuration'!BH368)</f>
        <v>0</v>
      </c>
      <c r="J367" s="17" t="str">
        <f>IF('13 - Config_Intake_View'!Q367&lt;&gt;"","PM Approved",IF('12 - Device_Configuration'!BH368&lt;&gt;"","Assumed",""))</f>
        <v/>
      </c>
      <c r="K367" s="31">
        <f>'12 - Device_Configuration'!BG368</f>
        <v>0</v>
      </c>
      <c r="L367" s="17">
        <f>'12 - Device_Configuration'!P368</f>
        <v>0</v>
      </c>
      <c r="M367" s="17">
        <f>'12 - Device_Configuration'!Q368</f>
        <v>0</v>
      </c>
      <c r="N367" s="17" t="str">
        <f>'12 - Device_Configuration'!BK368</f>
        <v/>
      </c>
      <c r="O367" s="31" t="str">
        <f>'12 - Device_Configuration'!BL368</f>
        <v/>
      </c>
      <c r="P367" s="2">
        <f>'12 - Device_Configuration'!BA368</f>
        <v>0</v>
      </c>
      <c r="Q367" s="31" t="str">
        <f t="shared" si="20"/>
        <v/>
      </c>
      <c r="R367" s="17" t="str">
        <f t="shared" si="21"/>
        <v>SW NOT INSTALLED</v>
      </c>
      <c r="S367" s="17" t="str">
        <f t="shared" si="22"/>
        <v/>
      </c>
      <c r="T367" s="17" t="str">
        <f t="shared" si="23"/>
        <v>SW NOT INSTALLED</v>
      </c>
    </row>
    <row r="368" spans="1:20">
      <c r="A368" s="31">
        <f>'12 - Device_Configuration'!H369</f>
        <v>0</v>
      </c>
      <c r="B368" s="31">
        <f>'12 - Device_Configuration'!S369</f>
        <v>0</v>
      </c>
      <c r="C368" s="31">
        <f>'12 - Device_Configuration'!T369</f>
        <v>0</v>
      </c>
      <c r="D368" s="17">
        <f>'12 - Device_Configuration'!AJ369</f>
        <v>0</v>
      </c>
      <c r="E368" s="17">
        <f>'12 - Device_Configuration'!J369</f>
        <v>0</v>
      </c>
      <c r="F368" s="31">
        <f>'12 - Device_Configuration'!K369</f>
        <v>0</v>
      </c>
      <c r="G368" s="17">
        <f>'12 - Device_Configuration'!L369</f>
        <v>0</v>
      </c>
      <c r="H368" s="17">
        <f>'13 - Config_Intake_View'!M368</f>
        <v>0</v>
      </c>
      <c r="I368" s="31">
        <f>IF('13 - Config_Intake_View'!Q368&lt;&gt;"",'13 - Config_Intake_View'!Q368,'12 - Device_Configuration'!BH369)</f>
        <v>0</v>
      </c>
      <c r="J368" s="17" t="str">
        <f>IF('13 - Config_Intake_View'!Q368&lt;&gt;"","PM Approved",IF('12 - Device_Configuration'!BH369&lt;&gt;"","Assumed",""))</f>
        <v/>
      </c>
      <c r="K368" s="31">
        <f>'12 - Device_Configuration'!BG369</f>
        <v>0</v>
      </c>
      <c r="L368" s="17">
        <f>'12 - Device_Configuration'!P369</f>
        <v>0</v>
      </c>
      <c r="M368" s="17">
        <f>'12 - Device_Configuration'!Q369</f>
        <v>0</v>
      </c>
      <c r="N368" s="17" t="str">
        <f>'12 - Device_Configuration'!BK369</f>
        <v/>
      </c>
      <c r="O368" s="31" t="str">
        <f>'12 - Device_Configuration'!BL369</f>
        <v/>
      </c>
      <c r="P368" s="2">
        <f>'12 - Device_Configuration'!BA369</f>
        <v>0</v>
      </c>
      <c r="Q368" s="31" t="str">
        <f t="shared" si="20"/>
        <v/>
      </c>
      <c r="R368" s="17" t="str">
        <f t="shared" si="21"/>
        <v>SW NOT INSTALLED</v>
      </c>
      <c r="S368" s="17" t="str">
        <f t="shared" si="22"/>
        <v/>
      </c>
      <c r="T368" s="17" t="str">
        <f t="shared" si="23"/>
        <v>SW NOT INSTALLED</v>
      </c>
    </row>
    <row r="369" spans="1:20">
      <c r="A369" s="31">
        <f>'12 - Device_Configuration'!H370</f>
        <v>0</v>
      </c>
      <c r="B369" s="31">
        <f>'12 - Device_Configuration'!S370</f>
        <v>0</v>
      </c>
      <c r="C369" s="31">
        <f>'12 - Device_Configuration'!T370</f>
        <v>0</v>
      </c>
      <c r="D369" s="17">
        <f>'12 - Device_Configuration'!AJ370</f>
        <v>0</v>
      </c>
      <c r="E369" s="17">
        <f>'12 - Device_Configuration'!J370</f>
        <v>0</v>
      </c>
      <c r="F369" s="31">
        <f>'12 - Device_Configuration'!K370</f>
        <v>0</v>
      </c>
      <c r="G369" s="17">
        <f>'12 - Device_Configuration'!L370</f>
        <v>0</v>
      </c>
      <c r="H369" s="17">
        <f>'13 - Config_Intake_View'!M369</f>
        <v>0</v>
      </c>
      <c r="I369" s="31">
        <f>IF('13 - Config_Intake_View'!Q369&lt;&gt;"",'13 - Config_Intake_View'!Q369,'12 - Device_Configuration'!BH370)</f>
        <v>0</v>
      </c>
      <c r="J369" s="17" t="str">
        <f>IF('13 - Config_Intake_View'!Q369&lt;&gt;"","PM Approved",IF('12 - Device_Configuration'!BH370&lt;&gt;"","Assumed",""))</f>
        <v/>
      </c>
      <c r="K369" s="31">
        <f>'12 - Device_Configuration'!BG370</f>
        <v>0</v>
      </c>
      <c r="L369" s="17">
        <f>'12 - Device_Configuration'!P370</f>
        <v>0</v>
      </c>
      <c r="M369" s="17">
        <f>'12 - Device_Configuration'!Q370</f>
        <v>0</v>
      </c>
      <c r="N369" s="17" t="str">
        <f>'12 - Device_Configuration'!BK370</f>
        <v/>
      </c>
      <c r="O369" s="31" t="str">
        <f>'12 - Device_Configuration'!BL370</f>
        <v/>
      </c>
      <c r="P369" s="2">
        <f>'12 - Device_Configuration'!BA370</f>
        <v>0</v>
      </c>
      <c r="Q369" s="31" t="str">
        <f t="shared" si="20"/>
        <v/>
      </c>
      <c r="R369" s="17" t="str">
        <f t="shared" si="21"/>
        <v>SW NOT INSTALLED</v>
      </c>
      <c r="S369" s="17" t="str">
        <f t="shared" si="22"/>
        <v/>
      </c>
      <c r="T369" s="17" t="str">
        <f t="shared" si="23"/>
        <v>SW NOT INSTALLED</v>
      </c>
    </row>
    <row r="370" spans="1:20">
      <c r="A370" s="31">
        <f>'12 - Device_Configuration'!H371</f>
        <v>0</v>
      </c>
      <c r="B370" s="31">
        <f>'12 - Device_Configuration'!S371</f>
        <v>0</v>
      </c>
      <c r="C370" s="31">
        <f>'12 - Device_Configuration'!T371</f>
        <v>0</v>
      </c>
      <c r="D370" s="17">
        <f>'12 - Device_Configuration'!AJ371</f>
        <v>0</v>
      </c>
      <c r="E370" s="17">
        <f>'12 - Device_Configuration'!J371</f>
        <v>0</v>
      </c>
      <c r="F370" s="31">
        <f>'12 - Device_Configuration'!K371</f>
        <v>0</v>
      </c>
      <c r="G370" s="17">
        <f>'12 - Device_Configuration'!L371</f>
        <v>0</v>
      </c>
      <c r="H370" s="17">
        <f>'13 - Config_Intake_View'!M370</f>
        <v>0</v>
      </c>
      <c r="I370" s="31">
        <f>IF('13 - Config_Intake_View'!Q370&lt;&gt;"",'13 - Config_Intake_View'!Q370,'12 - Device_Configuration'!BH371)</f>
        <v>0</v>
      </c>
      <c r="J370" s="17" t="str">
        <f>IF('13 - Config_Intake_View'!Q370&lt;&gt;"","PM Approved",IF('12 - Device_Configuration'!BH371&lt;&gt;"","Assumed",""))</f>
        <v/>
      </c>
      <c r="K370" s="31">
        <f>'12 - Device_Configuration'!BG371</f>
        <v>0</v>
      </c>
      <c r="L370" s="17">
        <f>'12 - Device_Configuration'!P371</f>
        <v>0</v>
      </c>
      <c r="M370" s="17">
        <f>'12 - Device_Configuration'!Q371</f>
        <v>0</v>
      </c>
      <c r="N370" s="17" t="str">
        <f>'12 - Device_Configuration'!BK371</f>
        <v/>
      </c>
      <c r="O370" s="31" t="str">
        <f>'12 - Device_Configuration'!BL371</f>
        <v/>
      </c>
      <c r="P370" s="2">
        <f>'12 - Device_Configuration'!BA371</f>
        <v>0</v>
      </c>
      <c r="Q370" s="31" t="str">
        <f t="shared" si="20"/>
        <v/>
      </c>
      <c r="R370" s="17" t="str">
        <f t="shared" si="21"/>
        <v>SW NOT INSTALLED</v>
      </c>
      <c r="S370" s="17" t="str">
        <f t="shared" si="22"/>
        <v/>
      </c>
      <c r="T370" s="17" t="str">
        <f t="shared" si="23"/>
        <v>SW NOT INSTALLED</v>
      </c>
    </row>
    <row r="371" spans="1:20">
      <c r="A371" s="31">
        <f>'12 - Device_Configuration'!H372</f>
        <v>0</v>
      </c>
      <c r="B371" s="31">
        <f>'12 - Device_Configuration'!S372</f>
        <v>0</v>
      </c>
      <c r="C371" s="31">
        <f>'12 - Device_Configuration'!T372</f>
        <v>0</v>
      </c>
      <c r="D371" s="17">
        <f>'12 - Device_Configuration'!AJ372</f>
        <v>0</v>
      </c>
      <c r="E371" s="17">
        <f>'12 - Device_Configuration'!J372</f>
        <v>0</v>
      </c>
      <c r="F371" s="31">
        <f>'12 - Device_Configuration'!K372</f>
        <v>0</v>
      </c>
      <c r="G371" s="17">
        <f>'12 - Device_Configuration'!L372</f>
        <v>0</v>
      </c>
      <c r="H371" s="17">
        <f>'13 - Config_Intake_View'!M371</f>
        <v>0</v>
      </c>
      <c r="I371" s="31">
        <f>IF('13 - Config_Intake_View'!Q371&lt;&gt;"",'13 - Config_Intake_View'!Q371,'12 - Device_Configuration'!BH372)</f>
        <v>0</v>
      </c>
      <c r="J371" s="17" t="str">
        <f>IF('13 - Config_Intake_View'!Q371&lt;&gt;"","PM Approved",IF('12 - Device_Configuration'!BH372&lt;&gt;"","Assumed",""))</f>
        <v/>
      </c>
      <c r="K371" s="31">
        <f>'12 - Device_Configuration'!BG372</f>
        <v>0</v>
      </c>
      <c r="L371" s="17">
        <f>'12 - Device_Configuration'!P372</f>
        <v>0</v>
      </c>
      <c r="M371" s="17">
        <f>'12 - Device_Configuration'!Q372</f>
        <v>0</v>
      </c>
      <c r="N371" s="17" t="str">
        <f>'12 - Device_Configuration'!BK372</f>
        <v/>
      </c>
      <c r="O371" s="31" t="str">
        <f>'12 - Device_Configuration'!BL372</f>
        <v/>
      </c>
      <c r="P371" s="2">
        <f>'12 - Device_Configuration'!BA372</f>
        <v>0</v>
      </c>
      <c r="Q371" s="31" t="str">
        <f t="shared" si="20"/>
        <v/>
      </c>
      <c r="R371" s="17" t="str">
        <f t="shared" si="21"/>
        <v>SW NOT INSTALLED</v>
      </c>
      <c r="S371" s="17" t="str">
        <f t="shared" si="22"/>
        <v/>
      </c>
      <c r="T371" s="17" t="str">
        <f t="shared" si="23"/>
        <v>SW NOT INSTALLED</v>
      </c>
    </row>
    <row r="372" spans="1:20">
      <c r="A372" s="31">
        <f>'12 - Device_Configuration'!H373</f>
        <v>0</v>
      </c>
      <c r="B372" s="31">
        <f>'12 - Device_Configuration'!S373</f>
        <v>0</v>
      </c>
      <c r="C372" s="31">
        <f>'12 - Device_Configuration'!T373</f>
        <v>0</v>
      </c>
      <c r="D372" s="17">
        <f>'12 - Device_Configuration'!AJ373</f>
        <v>0</v>
      </c>
      <c r="E372" s="17">
        <f>'12 - Device_Configuration'!J373</f>
        <v>0</v>
      </c>
      <c r="F372" s="31">
        <f>'12 - Device_Configuration'!K373</f>
        <v>0</v>
      </c>
      <c r="G372" s="17">
        <f>'12 - Device_Configuration'!L373</f>
        <v>0</v>
      </c>
      <c r="H372" s="17">
        <f>'13 - Config_Intake_View'!M372</f>
        <v>0</v>
      </c>
      <c r="I372" s="31">
        <f>IF('13 - Config_Intake_View'!Q372&lt;&gt;"",'13 - Config_Intake_View'!Q372,'12 - Device_Configuration'!BH373)</f>
        <v>0</v>
      </c>
      <c r="J372" s="17" t="str">
        <f>IF('13 - Config_Intake_View'!Q372&lt;&gt;"","PM Approved",IF('12 - Device_Configuration'!BH373&lt;&gt;"","Assumed",""))</f>
        <v/>
      </c>
      <c r="K372" s="31">
        <f>'12 - Device_Configuration'!BG373</f>
        <v>0</v>
      </c>
      <c r="L372" s="17">
        <f>'12 - Device_Configuration'!P373</f>
        <v>0</v>
      </c>
      <c r="M372" s="17">
        <f>'12 - Device_Configuration'!Q373</f>
        <v>0</v>
      </c>
      <c r="N372" s="17" t="str">
        <f>'12 - Device_Configuration'!BK373</f>
        <v/>
      </c>
      <c r="O372" s="31" t="str">
        <f>'12 - Device_Configuration'!BL373</f>
        <v/>
      </c>
      <c r="P372" s="2">
        <f>'12 - Device_Configuration'!BA373</f>
        <v>0</v>
      </c>
      <c r="Q372" s="31" t="str">
        <f t="shared" si="20"/>
        <v/>
      </c>
      <c r="R372" s="17" t="str">
        <f t="shared" si="21"/>
        <v>SW NOT INSTALLED</v>
      </c>
      <c r="S372" s="17" t="str">
        <f t="shared" si="22"/>
        <v/>
      </c>
      <c r="T372" s="17" t="str">
        <f t="shared" si="23"/>
        <v>SW NOT INSTALLED</v>
      </c>
    </row>
    <row r="373" spans="1:20">
      <c r="A373" s="31">
        <f>'12 - Device_Configuration'!H374</f>
        <v>0</v>
      </c>
      <c r="B373" s="31">
        <f>'12 - Device_Configuration'!S374</f>
        <v>0</v>
      </c>
      <c r="C373" s="31">
        <f>'12 - Device_Configuration'!T374</f>
        <v>0</v>
      </c>
      <c r="D373" s="17">
        <f>'12 - Device_Configuration'!AJ374</f>
        <v>0</v>
      </c>
      <c r="E373" s="17">
        <f>'12 - Device_Configuration'!J374</f>
        <v>0</v>
      </c>
      <c r="F373" s="31">
        <f>'12 - Device_Configuration'!K374</f>
        <v>0</v>
      </c>
      <c r="G373" s="17">
        <f>'12 - Device_Configuration'!L374</f>
        <v>0</v>
      </c>
      <c r="H373" s="17">
        <f>'13 - Config_Intake_View'!M373</f>
        <v>0</v>
      </c>
      <c r="I373" s="31">
        <f>IF('13 - Config_Intake_View'!Q373&lt;&gt;"",'13 - Config_Intake_View'!Q373,'12 - Device_Configuration'!BH374)</f>
        <v>0</v>
      </c>
      <c r="J373" s="17" t="str">
        <f>IF('13 - Config_Intake_View'!Q373&lt;&gt;"","PM Approved",IF('12 - Device_Configuration'!BH374&lt;&gt;"","Assumed",""))</f>
        <v/>
      </c>
      <c r="K373" s="31">
        <f>'12 - Device_Configuration'!BG374</f>
        <v>0</v>
      </c>
      <c r="L373" s="17">
        <f>'12 - Device_Configuration'!P374</f>
        <v>0</v>
      </c>
      <c r="M373" s="17">
        <f>'12 - Device_Configuration'!Q374</f>
        <v>0</v>
      </c>
      <c r="N373" s="17" t="str">
        <f>'12 - Device_Configuration'!BK374</f>
        <v/>
      </c>
      <c r="O373" s="31" t="str">
        <f>'12 - Device_Configuration'!BL374</f>
        <v/>
      </c>
      <c r="P373" s="2">
        <f>'12 - Device_Configuration'!BA374</f>
        <v>0</v>
      </c>
      <c r="Q373" s="31" t="str">
        <f t="shared" si="20"/>
        <v/>
      </c>
      <c r="R373" s="17" t="str">
        <f t="shared" si="21"/>
        <v>SW NOT INSTALLED</v>
      </c>
      <c r="S373" s="17" t="str">
        <f t="shared" si="22"/>
        <v/>
      </c>
      <c r="T373" s="17" t="str">
        <f t="shared" si="23"/>
        <v>SW NOT INSTALLED</v>
      </c>
    </row>
    <row r="374" spans="1:20">
      <c r="A374" s="31">
        <f>'12 - Device_Configuration'!H375</f>
        <v>0</v>
      </c>
      <c r="B374" s="31">
        <f>'12 - Device_Configuration'!S375</f>
        <v>0</v>
      </c>
      <c r="C374" s="31">
        <f>'12 - Device_Configuration'!T375</f>
        <v>0</v>
      </c>
      <c r="D374" s="17">
        <f>'12 - Device_Configuration'!AJ375</f>
        <v>0</v>
      </c>
      <c r="E374" s="17">
        <f>'12 - Device_Configuration'!J375</f>
        <v>0</v>
      </c>
      <c r="F374" s="31">
        <f>'12 - Device_Configuration'!K375</f>
        <v>0</v>
      </c>
      <c r="G374" s="17">
        <f>'12 - Device_Configuration'!L375</f>
        <v>0</v>
      </c>
      <c r="H374" s="17">
        <f>'13 - Config_Intake_View'!M374</f>
        <v>0</v>
      </c>
      <c r="I374" s="31">
        <f>IF('13 - Config_Intake_View'!Q374&lt;&gt;"",'13 - Config_Intake_View'!Q374,'12 - Device_Configuration'!BH375)</f>
        <v>0</v>
      </c>
      <c r="J374" s="17" t="str">
        <f>IF('13 - Config_Intake_View'!Q374&lt;&gt;"","PM Approved",IF('12 - Device_Configuration'!BH375&lt;&gt;"","Assumed",""))</f>
        <v/>
      </c>
      <c r="K374" s="31">
        <f>'12 - Device_Configuration'!BG375</f>
        <v>0</v>
      </c>
      <c r="L374" s="17">
        <f>'12 - Device_Configuration'!P375</f>
        <v>0</v>
      </c>
      <c r="M374" s="17">
        <f>'12 - Device_Configuration'!Q375</f>
        <v>0</v>
      </c>
      <c r="N374" s="17" t="str">
        <f>'12 - Device_Configuration'!BK375</f>
        <v/>
      </c>
      <c r="O374" s="31" t="str">
        <f>'12 - Device_Configuration'!BL375</f>
        <v/>
      </c>
      <c r="P374" s="2">
        <f>'12 - Device_Configuration'!BA375</f>
        <v>0</v>
      </c>
      <c r="Q374" s="31" t="str">
        <f t="shared" si="20"/>
        <v/>
      </c>
      <c r="R374" s="17" t="str">
        <f t="shared" si="21"/>
        <v>SW NOT INSTALLED</v>
      </c>
      <c r="S374" s="17" t="str">
        <f t="shared" si="22"/>
        <v/>
      </c>
      <c r="T374" s="17" t="str">
        <f t="shared" si="23"/>
        <v>SW NOT INSTALLED</v>
      </c>
    </row>
    <row r="375" spans="1:20">
      <c r="A375" s="31">
        <f>'12 - Device_Configuration'!H376</f>
        <v>0</v>
      </c>
      <c r="B375" s="31">
        <f>'12 - Device_Configuration'!S376</f>
        <v>0</v>
      </c>
      <c r="C375" s="31">
        <f>'12 - Device_Configuration'!T376</f>
        <v>0</v>
      </c>
      <c r="D375" s="17">
        <f>'12 - Device_Configuration'!AJ376</f>
        <v>0</v>
      </c>
      <c r="E375" s="17">
        <f>'12 - Device_Configuration'!J376</f>
        <v>0</v>
      </c>
      <c r="F375" s="31">
        <f>'12 - Device_Configuration'!K376</f>
        <v>0</v>
      </c>
      <c r="G375" s="17">
        <f>'12 - Device_Configuration'!L376</f>
        <v>0</v>
      </c>
      <c r="H375" s="17">
        <f>'13 - Config_Intake_View'!M375</f>
        <v>0</v>
      </c>
      <c r="I375" s="31">
        <f>IF('13 - Config_Intake_View'!Q375&lt;&gt;"",'13 - Config_Intake_View'!Q375,'12 - Device_Configuration'!BH376)</f>
        <v>0</v>
      </c>
      <c r="J375" s="17" t="str">
        <f>IF('13 - Config_Intake_View'!Q375&lt;&gt;"","PM Approved",IF('12 - Device_Configuration'!BH376&lt;&gt;"","Assumed",""))</f>
        <v/>
      </c>
      <c r="K375" s="31">
        <f>'12 - Device_Configuration'!BG376</f>
        <v>0</v>
      </c>
      <c r="L375" s="17">
        <f>'12 - Device_Configuration'!P376</f>
        <v>0</v>
      </c>
      <c r="M375" s="17">
        <f>'12 - Device_Configuration'!Q376</f>
        <v>0</v>
      </c>
      <c r="N375" s="17" t="str">
        <f>'12 - Device_Configuration'!BK376</f>
        <v/>
      </c>
      <c r="O375" s="31" t="str">
        <f>'12 - Device_Configuration'!BL376</f>
        <v/>
      </c>
      <c r="P375" s="2">
        <f>'12 - Device_Configuration'!BA376</f>
        <v>0</v>
      </c>
      <c r="Q375" s="31" t="str">
        <f t="shared" si="20"/>
        <v/>
      </c>
      <c r="R375" s="17" t="str">
        <f t="shared" si="21"/>
        <v>SW NOT INSTALLED</v>
      </c>
      <c r="S375" s="17" t="str">
        <f t="shared" si="22"/>
        <v/>
      </c>
      <c r="T375" s="17" t="str">
        <f t="shared" si="23"/>
        <v>SW NOT INSTALLED</v>
      </c>
    </row>
    <row r="376" spans="1:20">
      <c r="A376" s="31">
        <f>'12 - Device_Configuration'!H377</f>
        <v>0</v>
      </c>
      <c r="B376" s="31">
        <f>'12 - Device_Configuration'!S377</f>
        <v>0</v>
      </c>
      <c r="C376" s="31">
        <f>'12 - Device_Configuration'!T377</f>
        <v>0</v>
      </c>
      <c r="D376" s="17">
        <f>'12 - Device_Configuration'!AJ377</f>
        <v>0</v>
      </c>
      <c r="E376" s="17">
        <f>'12 - Device_Configuration'!J377</f>
        <v>0</v>
      </c>
      <c r="F376" s="31">
        <f>'12 - Device_Configuration'!K377</f>
        <v>0</v>
      </c>
      <c r="G376" s="17">
        <f>'12 - Device_Configuration'!L377</f>
        <v>0</v>
      </c>
      <c r="H376" s="17">
        <f>'13 - Config_Intake_View'!M376</f>
        <v>0</v>
      </c>
      <c r="I376" s="31">
        <f>IF('13 - Config_Intake_View'!Q376&lt;&gt;"",'13 - Config_Intake_View'!Q376,'12 - Device_Configuration'!BH377)</f>
        <v>0</v>
      </c>
      <c r="J376" s="17" t="str">
        <f>IF('13 - Config_Intake_View'!Q376&lt;&gt;"","PM Approved",IF('12 - Device_Configuration'!BH377&lt;&gt;"","Assumed",""))</f>
        <v/>
      </c>
      <c r="K376" s="31">
        <f>'12 - Device_Configuration'!BG377</f>
        <v>0</v>
      </c>
      <c r="L376" s="17">
        <f>'12 - Device_Configuration'!P377</f>
        <v>0</v>
      </c>
      <c r="M376" s="17">
        <f>'12 - Device_Configuration'!Q377</f>
        <v>0</v>
      </c>
      <c r="N376" s="17" t="str">
        <f>'12 - Device_Configuration'!BK377</f>
        <v/>
      </c>
      <c r="O376" s="31" t="str">
        <f>'12 - Device_Configuration'!BL377</f>
        <v/>
      </c>
      <c r="P376" s="2">
        <f>'12 - Device_Configuration'!BA377</f>
        <v>0</v>
      </c>
      <c r="Q376" s="31" t="str">
        <f t="shared" si="20"/>
        <v/>
      </c>
      <c r="R376" s="17" t="str">
        <f t="shared" si="21"/>
        <v>SW NOT INSTALLED</v>
      </c>
      <c r="S376" s="17" t="str">
        <f t="shared" si="22"/>
        <v/>
      </c>
      <c r="T376" s="17" t="str">
        <f t="shared" si="23"/>
        <v>SW NOT INSTALLED</v>
      </c>
    </row>
    <row r="377" spans="1:20">
      <c r="A377" s="31">
        <f>'12 - Device_Configuration'!H378</f>
        <v>0</v>
      </c>
      <c r="B377" s="31">
        <f>'12 - Device_Configuration'!S378</f>
        <v>0</v>
      </c>
      <c r="C377" s="31">
        <f>'12 - Device_Configuration'!T378</f>
        <v>0</v>
      </c>
      <c r="D377" s="17">
        <f>'12 - Device_Configuration'!AJ378</f>
        <v>0</v>
      </c>
      <c r="E377" s="17">
        <f>'12 - Device_Configuration'!J378</f>
        <v>0</v>
      </c>
      <c r="F377" s="31">
        <f>'12 - Device_Configuration'!K378</f>
        <v>0</v>
      </c>
      <c r="G377" s="17">
        <f>'12 - Device_Configuration'!L378</f>
        <v>0</v>
      </c>
      <c r="H377" s="17">
        <f>'13 - Config_Intake_View'!M377</f>
        <v>0</v>
      </c>
      <c r="I377" s="31">
        <f>IF('13 - Config_Intake_View'!Q377&lt;&gt;"",'13 - Config_Intake_View'!Q377,'12 - Device_Configuration'!BH378)</f>
        <v>0</v>
      </c>
      <c r="J377" s="17" t="str">
        <f>IF('13 - Config_Intake_View'!Q377&lt;&gt;"","PM Approved",IF('12 - Device_Configuration'!BH378&lt;&gt;"","Assumed",""))</f>
        <v/>
      </c>
      <c r="K377" s="31">
        <f>'12 - Device_Configuration'!BG378</f>
        <v>0</v>
      </c>
      <c r="L377" s="17">
        <f>'12 - Device_Configuration'!P378</f>
        <v>0</v>
      </c>
      <c r="M377" s="17">
        <f>'12 - Device_Configuration'!Q378</f>
        <v>0</v>
      </c>
      <c r="N377" s="17" t="str">
        <f>'12 - Device_Configuration'!BK378</f>
        <v/>
      </c>
      <c r="O377" s="31" t="str">
        <f>'12 - Device_Configuration'!BL378</f>
        <v/>
      </c>
      <c r="P377" s="2">
        <f>'12 - Device_Configuration'!BA378</f>
        <v>0</v>
      </c>
      <c r="Q377" s="31" t="str">
        <f t="shared" si="20"/>
        <v/>
      </c>
      <c r="R377" s="17" t="str">
        <f t="shared" si="21"/>
        <v>SW NOT INSTALLED</v>
      </c>
      <c r="S377" s="17" t="str">
        <f t="shared" si="22"/>
        <v/>
      </c>
      <c r="T377" s="17" t="str">
        <f t="shared" si="23"/>
        <v>SW NOT INSTALLED</v>
      </c>
    </row>
    <row r="378" spans="1:20">
      <c r="A378" s="31">
        <f>'12 - Device_Configuration'!H379</f>
        <v>0</v>
      </c>
      <c r="B378" s="31">
        <f>'12 - Device_Configuration'!S379</f>
        <v>0</v>
      </c>
      <c r="C378" s="31">
        <f>'12 - Device_Configuration'!T379</f>
        <v>0</v>
      </c>
      <c r="D378" s="17">
        <f>'12 - Device_Configuration'!AJ379</f>
        <v>0</v>
      </c>
      <c r="E378" s="17">
        <f>'12 - Device_Configuration'!J379</f>
        <v>0</v>
      </c>
      <c r="F378" s="31">
        <f>'12 - Device_Configuration'!K379</f>
        <v>0</v>
      </c>
      <c r="G378" s="17">
        <f>'12 - Device_Configuration'!L379</f>
        <v>0</v>
      </c>
      <c r="H378" s="17">
        <f>'13 - Config_Intake_View'!M378</f>
        <v>0</v>
      </c>
      <c r="I378" s="31">
        <f>IF('13 - Config_Intake_View'!Q378&lt;&gt;"",'13 - Config_Intake_View'!Q378,'12 - Device_Configuration'!BH379)</f>
        <v>0</v>
      </c>
      <c r="J378" s="17" t="str">
        <f>IF('13 - Config_Intake_View'!Q378&lt;&gt;"","PM Approved",IF('12 - Device_Configuration'!BH379&lt;&gt;"","Assumed",""))</f>
        <v/>
      </c>
      <c r="K378" s="31">
        <f>'12 - Device_Configuration'!BG379</f>
        <v>0</v>
      </c>
      <c r="L378" s="17">
        <f>'12 - Device_Configuration'!P379</f>
        <v>0</v>
      </c>
      <c r="M378" s="17">
        <f>'12 - Device_Configuration'!Q379</f>
        <v>0</v>
      </c>
      <c r="N378" s="17" t="str">
        <f>'12 - Device_Configuration'!BK379</f>
        <v/>
      </c>
      <c r="O378" s="31" t="str">
        <f>'12 - Device_Configuration'!BL379</f>
        <v/>
      </c>
      <c r="P378" s="2">
        <f>'12 - Device_Configuration'!BA379</f>
        <v>0</v>
      </c>
      <c r="Q378" s="31" t="str">
        <f t="shared" si="20"/>
        <v/>
      </c>
      <c r="R378" s="17" t="str">
        <f t="shared" si="21"/>
        <v>SW NOT INSTALLED</v>
      </c>
      <c r="S378" s="17" t="str">
        <f t="shared" si="22"/>
        <v/>
      </c>
      <c r="T378" s="17" t="str">
        <f t="shared" si="23"/>
        <v>SW NOT INSTALLED</v>
      </c>
    </row>
    <row r="379" spans="1:20">
      <c r="A379" s="31">
        <f>'12 - Device_Configuration'!H380</f>
        <v>0</v>
      </c>
      <c r="B379" s="31">
        <f>'12 - Device_Configuration'!S380</f>
        <v>0</v>
      </c>
      <c r="C379" s="31">
        <f>'12 - Device_Configuration'!T380</f>
        <v>0</v>
      </c>
      <c r="D379" s="17">
        <f>'12 - Device_Configuration'!AJ380</f>
        <v>0</v>
      </c>
      <c r="E379" s="17">
        <f>'12 - Device_Configuration'!J380</f>
        <v>0</v>
      </c>
      <c r="F379" s="31">
        <f>'12 - Device_Configuration'!K380</f>
        <v>0</v>
      </c>
      <c r="G379" s="17">
        <f>'12 - Device_Configuration'!L380</f>
        <v>0</v>
      </c>
      <c r="H379" s="17">
        <f>'13 - Config_Intake_View'!M379</f>
        <v>0</v>
      </c>
      <c r="I379" s="31">
        <f>IF('13 - Config_Intake_View'!Q379&lt;&gt;"",'13 - Config_Intake_View'!Q379,'12 - Device_Configuration'!BH380)</f>
        <v>0</v>
      </c>
      <c r="J379" s="17" t="str">
        <f>IF('13 - Config_Intake_View'!Q379&lt;&gt;"","PM Approved",IF('12 - Device_Configuration'!BH380&lt;&gt;"","Assumed",""))</f>
        <v/>
      </c>
      <c r="K379" s="31">
        <f>'12 - Device_Configuration'!BG380</f>
        <v>0</v>
      </c>
      <c r="L379" s="17">
        <f>'12 - Device_Configuration'!P380</f>
        <v>0</v>
      </c>
      <c r="M379" s="17">
        <f>'12 - Device_Configuration'!Q380</f>
        <v>0</v>
      </c>
      <c r="N379" s="17" t="str">
        <f>'12 - Device_Configuration'!BK380</f>
        <v/>
      </c>
      <c r="O379" s="31" t="str">
        <f>'12 - Device_Configuration'!BL380</f>
        <v/>
      </c>
      <c r="P379" s="2">
        <f>'12 - Device_Configuration'!BA380</f>
        <v>0</v>
      </c>
      <c r="Q379" s="31" t="str">
        <f t="shared" si="20"/>
        <v/>
      </c>
      <c r="R379" s="17" t="str">
        <f t="shared" si="21"/>
        <v>SW NOT INSTALLED</v>
      </c>
      <c r="S379" s="17" t="str">
        <f t="shared" si="22"/>
        <v/>
      </c>
      <c r="T379" s="17" t="str">
        <f t="shared" si="23"/>
        <v>SW NOT INSTALLED</v>
      </c>
    </row>
    <row r="380" spans="1:20">
      <c r="A380" s="31">
        <f>'12 - Device_Configuration'!H381</f>
        <v>0</v>
      </c>
      <c r="B380" s="31">
        <f>'12 - Device_Configuration'!S381</f>
        <v>0</v>
      </c>
      <c r="C380" s="31">
        <f>'12 - Device_Configuration'!T381</f>
        <v>0</v>
      </c>
      <c r="D380" s="17">
        <f>'12 - Device_Configuration'!AJ381</f>
        <v>0</v>
      </c>
      <c r="E380" s="17">
        <f>'12 - Device_Configuration'!J381</f>
        <v>0</v>
      </c>
      <c r="F380" s="31">
        <f>'12 - Device_Configuration'!K381</f>
        <v>0</v>
      </c>
      <c r="G380" s="17">
        <f>'12 - Device_Configuration'!L381</f>
        <v>0</v>
      </c>
      <c r="H380" s="17">
        <f>'13 - Config_Intake_View'!M380</f>
        <v>0</v>
      </c>
      <c r="I380" s="31">
        <f>IF('13 - Config_Intake_View'!Q380&lt;&gt;"",'13 - Config_Intake_View'!Q380,'12 - Device_Configuration'!BH381)</f>
        <v>0</v>
      </c>
      <c r="J380" s="17" t="str">
        <f>IF('13 - Config_Intake_View'!Q380&lt;&gt;"","PM Approved",IF('12 - Device_Configuration'!BH381&lt;&gt;"","Assumed",""))</f>
        <v/>
      </c>
      <c r="K380" s="31">
        <f>'12 - Device_Configuration'!BG381</f>
        <v>0</v>
      </c>
      <c r="L380" s="17">
        <f>'12 - Device_Configuration'!P381</f>
        <v>0</v>
      </c>
      <c r="M380" s="17">
        <f>'12 - Device_Configuration'!Q381</f>
        <v>0</v>
      </c>
      <c r="N380" s="17" t="str">
        <f>'12 - Device_Configuration'!BK381</f>
        <v/>
      </c>
      <c r="O380" s="31" t="str">
        <f>'12 - Device_Configuration'!BL381</f>
        <v/>
      </c>
      <c r="P380" s="2">
        <f>'12 - Device_Configuration'!BA381</f>
        <v>0</v>
      </c>
      <c r="Q380" s="31" t="str">
        <f t="shared" si="20"/>
        <v/>
      </c>
      <c r="R380" s="17" t="str">
        <f t="shared" si="21"/>
        <v>SW NOT INSTALLED</v>
      </c>
      <c r="S380" s="17" t="str">
        <f t="shared" si="22"/>
        <v/>
      </c>
      <c r="T380" s="17" t="str">
        <f t="shared" si="23"/>
        <v>SW NOT INSTALLED</v>
      </c>
    </row>
    <row r="381" spans="1:20">
      <c r="A381" s="31">
        <f>'12 - Device_Configuration'!H382</f>
        <v>0</v>
      </c>
      <c r="B381" s="31">
        <f>'12 - Device_Configuration'!S382</f>
        <v>0</v>
      </c>
      <c r="C381" s="31">
        <f>'12 - Device_Configuration'!T382</f>
        <v>0</v>
      </c>
      <c r="D381" s="17">
        <f>'12 - Device_Configuration'!AJ382</f>
        <v>0</v>
      </c>
      <c r="E381" s="17">
        <f>'12 - Device_Configuration'!J382</f>
        <v>0</v>
      </c>
      <c r="F381" s="31">
        <f>'12 - Device_Configuration'!K382</f>
        <v>0</v>
      </c>
      <c r="G381" s="17">
        <f>'12 - Device_Configuration'!L382</f>
        <v>0</v>
      </c>
      <c r="H381" s="17">
        <f>'13 - Config_Intake_View'!M381</f>
        <v>0</v>
      </c>
      <c r="I381" s="31">
        <f>IF('13 - Config_Intake_View'!Q381&lt;&gt;"",'13 - Config_Intake_View'!Q381,'12 - Device_Configuration'!BH382)</f>
        <v>0</v>
      </c>
      <c r="J381" s="17" t="str">
        <f>IF('13 - Config_Intake_View'!Q381&lt;&gt;"","PM Approved",IF('12 - Device_Configuration'!BH382&lt;&gt;"","Assumed",""))</f>
        <v/>
      </c>
      <c r="K381" s="31">
        <f>'12 - Device_Configuration'!BG382</f>
        <v>0</v>
      </c>
      <c r="L381" s="17">
        <f>'12 - Device_Configuration'!P382</f>
        <v>0</v>
      </c>
      <c r="M381" s="17">
        <f>'12 - Device_Configuration'!Q382</f>
        <v>0</v>
      </c>
      <c r="N381" s="17" t="str">
        <f>'12 - Device_Configuration'!BK382</f>
        <v/>
      </c>
      <c r="O381" s="31" t="str">
        <f>'12 - Device_Configuration'!BL382</f>
        <v/>
      </c>
      <c r="P381" s="2">
        <f>'12 - Device_Configuration'!BA382</f>
        <v>0</v>
      </c>
      <c r="Q381" s="31" t="str">
        <f t="shared" si="20"/>
        <v/>
      </c>
      <c r="R381" s="17" t="str">
        <f t="shared" si="21"/>
        <v>SW NOT INSTALLED</v>
      </c>
      <c r="S381" s="17" t="str">
        <f t="shared" si="22"/>
        <v/>
      </c>
      <c r="T381" s="17" t="str">
        <f t="shared" si="23"/>
        <v>SW NOT INSTALLED</v>
      </c>
    </row>
    <row r="382" spans="1:20">
      <c r="A382" s="31">
        <f>'12 - Device_Configuration'!H383</f>
        <v>0</v>
      </c>
      <c r="B382" s="31">
        <f>'12 - Device_Configuration'!S383</f>
        <v>0</v>
      </c>
      <c r="C382" s="31">
        <f>'12 - Device_Configuration'!T383</f>
        <v>0</v>
      </c>
      <c r="D382" s="17">
        <f>'12 - Device_Configuration'!AJ383</f>
        <v>0</v>
      </c>
      <c r="E382" s="17">
        <f>'12 - Device_Configuration'!J383</f>
        <v>0</v>
      </c>
      <c r="F382" s="31">
        <f>'12 - Device_Configuration'!K383</f>
        <v>0</v>
      </c>
      <c r="G382" s="17">
        <f>'12 - Device_Configuration'!L383</f>
        <v>0</v>
      </c>
      <c r="H382" s="17">
        <f>'13 - Config_Intake_View'!M382</f>
        <v>0</v>
      </c>
      <c r="I382" s="31">
        <f>IF('13 - Config_Intake_View'!Q382&lt;&gt;"",'13 - Config_Intake_View'!Q382,'12 - Device_Configuration'!BH383)</f>
        <v>0</v>
      </c>
      <c r="J382" s="17" t="str">
        <f>IF('13 - Config_Intake_View'!Q382&lt;&gt;"","PM Approved",IF('12 - Device_Configuration'!BH383&lt;&gt;"","Assumed",""))</f>
        <v/>
      </c>
      <c r="K382" s="31">
        <f>'12 - Device_Configuration'!BG383</f>
        <v>0</v>
      </c>
      <c r="L382" s="17">
        <f>'12 - Device_Configuration'!P383</f>
        <v>0</v>
      </c>
      <c r="M382" s="17">
        <f>'12 - Device_Configuration'!Q383</f>
        <v>0</v>
      </c>
      <c r="N382" s="17" t="str">
        <f>'12 - Device_Configuration'!BK383</f>
        <v/>
      </c>
      <c r="O382" s="31" t="str">
        <f>'12 - Device_Configuration'!BL383</f>
        <v/>
      </c>
      <c r="P382" s="2">
        <f>'12 - Device_Configuration'!BA383</f>
        <v>0</v>
      </c>
      <c r="Q382" s="31" t="str">
        <f t="shared" si="20"/>
        <v/>
      </c>
      <c r="R382" s="17" t="str">
        <f t="shared" si="21"/>
        <v>SW NOT INSTALLED</v>
      </c>
      <c r="S382" s="17" t="str">
        <f t="shared" si="22"/>
        <v/>
      </c>
      <c r="T382" s="17" t="str">
        <f t="shared" si="23"/>
        <v>SW NOT INSTALLED</v>
      </c>
    </row>
    <row r="383" spans="1:20">
      <c r="A383" s="31">
        <f>'12 - Device_Configuration'!H384</f>
        <v>0</v>
      </c>
      <c r="B383" s="31">
        <f>'12 - Device_Configuration'!S384</f>
        <v>0</v>
      </c>
      <c r="C383" s="31">
        <f>'12 - Device_Configuration'!T384</f>
        <v>0</v>
      </c>
      <c r="D383" s="17">
        <f>'12 - Device_Configuration'!AJ384</f>
        <v>0</v>
      </c>
      <c r="E383" s="17">
        <f>'12 - Device_Configuration'!J384</f>
        <v>0</v>
      </c>
      <c r="F383" s="31">
        <f>'12 - Device_Configuration'!K384</f>
        <v>0</v>
      </c>
      <c r="G383" s="17">
        <f>'12 - Device_Configuration'!L384</f>
        <v>0</v>
      </c>
      <c r="H383" s="17">
        <f>'13 - Config_Intake_View'!M383</f>
        <v>0</v>
      </c>
      <c r="I383" s="31">
        <f>IF('13 - Config_Intake_View'!Q383&lt;&gt;"",'13 - Config_Intake_View'!Q383,'12 - Device_Configuration'!BH384)</f>
        <v>0</v>
      </c>
      <c r="J383" s="17" t="str">
        <f>IF('13 - Config_Intake_View'!Q383&lt;&gt;"","PM Approved",IF('12 - Device_Configuration'!BH384&lt;&gt;"","Assumed",""))</f>
        <v/>
      </c>
      <c r="K383" s="31">
        <f>'12 - Device_Configuration'!BG384</f>
        <v>0</v>
      </c>
      <c r="L383" s="17">
        <f>'12 - Device_Configuration'!P384</f>
        <v>0</v>
      </c>
      <c r="M383" s="17">
        <f>'12 - Device_Configuration'!Q384</f>
        <v>0</v>
      </c>
      <c r="N383" s="17" t="str">
        <f>'12 - Device_Configuration'!BK384</f>
        <v/>
      </c>
      <c r="O383" s="31" t="str">
        <f>'12 - Device_Configuration'!BL384</f>
        <v/>
      </c>
      <c r="P383" s="2">
        <f>'12 - Device_Configuration'!BA384</f>
        <v>0</v>
      </c>
      <c r="Q383" s="31" t="str">
        <f t="shared" si="20"/>
        <v/>
      </c>
      <c r="R383" s="17" t="str">
        <f t="shared" si="21"/>
        <v>SW NOT INSTALLED</v>
      </c>
      <c r="S383" s="17" t="str">
        <f t="shared" si="22"/>
        <v/>
      </c>
      <c r="T383" s="17" t="str">
        <f t="shared" si="23"/>
        <v>SW NOT INSTALLED</v>
      </c>
    </row>
    <row r="384" spans="1:20">
      <c r="A384" s="31">
        <f>'12 - Device_Configuration'!H385</f>
        <v>0</v>
      </c>
      <c r="B384" s="31">
        <f>'12 - Device_Configuration'!S385</f>
        <v>0</v>
      </c>
      <c r="C384" s="31">
        <f>'12 - Device_Configuration'!T385</f>
        <v>0</v>
      </c>
      <c r="D384" s="17">
        <f>'12 - Device_Configuration'!AJ385</f>
        <v>0</v>
      </c>
      <c r="E384" s="17">
        <f>'12 - Device_Configuration'!J385</f>
        <v>0</v>
      </c>
      <c r="F384" s="31">
        <f>'12 - Device_Configuration'!K385</f>
        <v>0</v>
      </c>
      <c r="G384" s="17">
        <f>'12 - Device_Configuration'!L385</f>
        <v>0</v>
      </c>
      <c r="H384" s="17">
        <f>'13 - Config_Intake_View'!M384</f>
        <v>0</v>
      </c>
      <c r="I384" s="31">
        <f>IF('13 - Config_Intake_View'!Q384&lt;&gt;"",'13 - Config_Intake_View'!Q384,'12 - Device_Configuration'!BH385)</f>
        <v>0</v>
      </c>
      <c r="J384" s="17" t="str">
        <f>IF('13 - Config_Intake_View'!Q384&lt;&gt;"","PM Approved",IF('12 - Device_Configuration'!BH385&lt;&gt;"","Assumed",""))</f>
        <v/>
      </c>
      <c r="K384" s="31">
        <f>'12 - Device_Configuration'!BG385</f>
        <v>0</v>
      </c>
      <c r="L384" s="17">
        <f>'12 - Device_Configuration'!P385</f>
        <v>0</v>
      </c>
      <c r="M384" s="17">
        <f>'12 - Device_Configuration'!Q385</f>
        <v>0</v>
      </c>
      <c r="N384" s="17" t="str">
        <f>'12 - Device_Configuration'!BK385</f>
        <v/>
      </c>
      <c r="O384" s="31" t="str">
        <f>'12 - Device_Configuration'!BL385</f>
        <v/>
      </c>
      <c r="P384" s="2">
        <f>'12 - Device_Configuration'!BA385</f>
        <v>0</v>
      </c>
      <c r="Q384" s="31" t="str">
        <f t="shared" si="20"/>
        <v/>
      </c>
      <c r="R384" s="17" t="str">
        <f t="shared" si="21"/>
        <v>SW NOT INSTALLED</v>
      </c>
      <c r="S384" s="17" t="str">
        <f t="shared" si="22"/>
        <v/>
      </c>
      <c r="T384" s="17" t="str">
        <f t="shared" si="23"/>
        <v>SW NOT INSTALLED</v>
      </c>
    </row>
    <row r="385" spans="1:20">
      <c r="A385" s="31">
        <f>'12 - Device_Configuration'!H386</f>
        <v>0</v>
      </c>
      <c r="B385" s="31">
        <f>'12 - Device_Configuration'!S386</f>
        <v>0</v>
      </c>
      <c r="C385" s="31">
        <f>'12 - Device_Configuration'!T386</f>
        <v>0</v>
      </c>
      <c r="D385" s="17">
        <f>'12 - Device_Configuration'!AJ386</f>
        <v>0</v>
      </c>
      <c r="E385" s="17">
        <f>'12 - Device_Configuration'!J386</f>
        <v>0</v>
      </c>
      <c r="F385" s="31">
        <f>'12 - Device_Configuration'!K386</f>
        <v>0</v>
      </c>
      <c r="G385" s="17">
        <f>'12 - Device_Configuration'!L386</f>
        <v>0</v>
      </c>
      <c r="H385" s="17">
        <f>'13 - Config_Intake_View'!M385</f>
        <v>0</v>
      </c>
      <c r="I385" s="31">
        <f>IF('13 - Config_Intake_View'!Q385&lt;&gt;"",'13 - Config_Intake_View'!Q385,'12 - Device_Configuration'!BH386)</f>
        <v>0</v>
      </c>
      <c r="J385" s="17" t="str">
        <f>IF('13 - Config_Intake_View'!Q385&lt;&gt;"","PM Approved",IF('12 - Device_Configuration'!BH386&lt;&gt;"","Assumed",""))</f>
        <v/>
      </c>
      <c r="K385" s="31">
        <f>'12 - Device_Configuration'!BG386</f>
        <v>0</v>
      </c>
      <c r="L385" s="17">
        <f>'12 - Device_Configuration'!P386</f>
        <v>0</v>
      </c>
      <c r="M385" s="17">
        <f>'12 - Device_Configuration'!Q386</f>
        <v>0</v>
      </c>
      <c r="N385" s="17" t="str">
        <f>'12 - Device_Configuration'!BK386</f>
        <v/>
      </c>
      <c r="O385" s="31" t="str">
        <f>'12 - Device_Configuration'!BL386</f>
        <v/>
      </c>
      <c r="P385" s="2">
        <f>'12 - Device_Configuration'!BA386</f>
        <v>0</v>
      </c>
      <c r="Q385" s="31" t="str">
        <f t="shared" si="20"/>
        <v/>
      </c>
      <c r="R385" s="17" t="str">
        <f t="shared" si="21"/>
        <v>SW NOT INSTALLED</v>
      </c>
      <c r="S385" s="17" t="str">
        <f t="shared" si="22"/>
        <v/>
      </c>
      <c r="T385" s="17" t="str">
        <f t="shared" si="23"/>
        <v>SW NOT INSTALLED</v>
      </c>
    </row>
    <row r="386" spans="1:20">
      <c r="A386" s="31">
        <f>'12 - Device_Configuration'!H387</f>
        <v>0</v>
      </c>
      <c r="B386" s="31">
        <f>'12 - Device_Configuration'!S387</f>
        <v>0</v>
      </c>
      <c r="C386" s="31">
        <f>'12 - Device_Configuration'!T387</f>
        <v>0</v>
      </c>
      <c r="D386" s="17">
        <f>'12 - Device_Configuration'!AJ387</f>
        <v>0</v>
      </c>
      <c r="E386" s="17">
        <f>'12 - Device_Configuration'!J387</f>
        <v>0</v>
      </c>
      <c r="F386" s="31">
        <f>'12 - Device_Configuration'!K387</f>
        <v>0</v>
      </c>
      <c r="G386" s="17">
        <f>'12 - Device_Configuration'!L387</f>
        <v>0</v>
      </c>
      <c r="H386" s="17">
        <f>'13 - Config_Intake_View'!M386</f>
        <v>0</v>
      </c>
      <c r="I386" s="31">
        <f>IF('13 - Config_Intake_View'!Q386&lt;&gt;"",'13 - Config_Intake_View'!Q386,'12 - Device_Configuration'!BH387)</f>
        <v>0</v>
      </c>
      <c r="J386" s="17" t="str">
        <f>IF('13 - Config_Intake_View'!Q386&lt;&gt;"","PM Approved",IF('12 - Device_Configuration'!BH387&lt;&gt;"","Assumed",""))</f>
        <v/>
      </c>
      <c r="K386" s="31">
        <f>'12 - Device_Configuration'!BG387</f>
        <v>0</v>
      </c>
      <c r="L386" s="17">
        <f>'12 - Device_Configuration'!P387</f>
        <v>0</v>
      </c>
      <c r="M386" s="17">
        <f>'12 - Device_Configuration'!Q387</f>
        <v>0</v>
      </c>
      <c r="N386" s="17" t="str">
        <f>'12 - Device_Configuration'!BK387</f>
        <v/>
      </c>
      <c r="O386" s="31" t="str">
        <f>'12 - Device_Configuration'!BL387</f>
        <v/>
      </c>
      <c r="P386" s="2">
        <f>'12 - Device_Configuration'!BA387</f>
        <v>0</v>
      </c>
      <c r="Q386" s="31" t="str">
        <f t="shared" ref="Q386:Q449" si="24">IF(OR($A386="",$B386="",$D386=""),"MISSING CORE FIELDS","")</f>
        <v/>
      </c>
      <c r="R386" s="17" t="str">
        <f t="shared" ref="R386:R449" si="25">IF(AND($I386&lt;&gt;"",$K386&lt;&gt;"Yes"),"SW NOT INSTALLED","")</f>
        <v>SW NOT INSTALLED</v>
      </c>
      <c r="S386" s="17" t="str">
        <f t="shared" ref="S386:S449" si="26">IF(AND($H386&lt;&gt;"",ISNUMBER(SEARCH("auto",LOWER($H386))),$F386=""),"AUTOLOGON REQUIRED","")</f>
        <v/>
      </c>
      <c r="T386" s="17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31">
        <f>'12 - Device_Configuration'!H388</f>
        <v>0</v>
      </c>
      <c r="B387" s="31">
        <f>'12 - Device_Configuration'!S388</f>
        <v>0</v>
      </c>
      <c r="C387" s="31">
        <f>'12 - Device_Configuration'!T388</f>
        <v>0</v>
      </c>
      <c r="D387" s="17">
        <f>'12 - Device_Configuration'!AJ388</f>
        <v>0</v>
      </c>
      <c r="E387" s="17">
        <f>'12 - Device_Configuration'!J388</f>
        <v>0</v>
      </c>
      <c r="F387" s="31">
        <f>'12 - Device_Configuration'!K388</f>
        <v>0</v>
      </c>
      <c r="G387" s="17">
        <f>'12 - Device_Configuration'!L388</f>
        <v>0</v>
      </c>
      <c r="H387" s="17">
        <f>'13 - Config_Intake_View'!M387</f>
        <v>0</v>
      </c>
      <c r="I387" s="31">
        <f>IF('13 - Config_Intake_View'!Q387&lt;&gt;"",'13 - Config_Intake_View'!Q387,'12 - Device_Configuration'!BH388)</f>
        <v>0</v>
      </c>
      <c r="J387" s="17" t="str">
        <f>IF('13 - Config_Intake_View'!Q387&lt;&gt;"","PM Approved",IF('12 - Device_Configuration'!BH388&lt;&gt;"","Assumed",""))</f>
        <v/>
      </c>
      <c r="K387" s="31">
        <f>'12 - Device_Configuration'!BG388</f>
        <v>0</v>
      </c>
      <c r="L387" s="17">
        <f>'12 - Device_Configuration'!P388</f>
        <v>0</v>
      </c>
      <c r="M387" s="17">
        <f>'12 - Device_Configuration'!Q388</f>
        <v>0</v>
      </c>
      <c r="N387" s="17" t="str">
        <f>'12 - Device_Configuration'!BK388</f>
        <v/>
      </c>
      <c r="O387" s="31" t="str">
        <f>'12 - Device_Configuration'!BL388</f>
        <v/>
      </c>
      <c r="P387" s="2">
        <f>'12 - Device_Configuration'!BA388</f>
        <v>0</v>
      </c>
      <c r="Q387" s="31" t="str">
        <f t="shared" si="24"/>
        <v/>
      </c>
      <c r="R387" s="17" t="str">
        <f t="shared" si="25"/>
        <v>SW NOT INSTALLED</v>
      </c>
      <c r="S387" s="17" t="str">
        <f t="shared" si="26"/>
        <v/>
      </c>
      <c r="T387" s="17" t="str">
        <f t="shared" si="27"/>
        <v>SW NOT INSTALLED</v>
      </c>
    </row>
    <row r="388" spans="1:20">
      <c r="A388" s="31">
        <f>'12 - Device_Configuration'!H389</f>
        <v>0</v>
      </c>
      <c r="B388" s="31">
        <f>'12 - Device_Configuration'!S389</f>
        <v>0</v>
      </c>
      <c r="C388" s="31">
        <f>'12 - Device_Configuration'!T389</f>
        <v>0</v>
      </c>
      <c r="D388" s="17">
        <f>'12 - Device_Configuration'!AJ389</f>
        <v>0</v>
      </c>
      <c r="E388" s="17">
        <f>'12 - Device_Configuration'!J389</f>
        <v>0</v>
      </c>
      <c r="F388" s="31">
        <f>'12 - Device_Configuration'!K389</f>
        <v>0</v>
      </c>
      <c r="G388" s="17">
        <f>'12 - Device_Configuration'!L389</f>
        <v>0</v>
      </c>
      <c r="H388" s="17">
        <f>'13 - Config_Intake_View'!M388</f>
        <v>0</v>
      </c>
      <c r="I388" s="31">
        <f>IF('13 - Config_Intake_View'!Q388&lt;&gt;"",'13 - Config_Intake_View'!Q388,'12 - Device_Configuration'!BH389)</f>
        <v>0</v>
      </c>
      <c r="J388" s="17" t="str">
        <f>IF('13 - Config_Intake_View'!Q388&lt;&gt;"","PM Approved",IF('12 - Device_Configuration'!BH389&lt;&gt;"","Assumed",""))</f>
        <v/>
      </c>
      <c r="K388" s="31">
        <f>'12 - Device_Configuration'!BG389</f>
        <v>0</v>
      </c>
      <c r="L388" s="17">
        <f>'12 - Device_Configuration'!P389</f>
        <v>0</v>
      </c>
      <c r="M388" s="17">
        <f>'12 - Device_Configuration'!Q389</f>
        <v>0</v>
      </c>
      <c r="N388" s="17" t="str">
        <f>'12 - Device_Configuration'!BK389</f>
        <v/>
      </c>
      <c r="O388" s="31" t="str">
        <f>'12 - Device_Configuration'!BL389</f>
        <v/>
      </c>
      <c r="P388" s="2">
        <f>'12 - Device_Configuration'!BA389</f>
        <v>0</v>
      </c>
      <c r="Q388" s="31" t="str">
        <f t="shared" si="24"/>
        <v/>
      </c>
      <c r="R388" s="17" t="str">
        <f t="shared" si="25"/>
        <v>SW NOT INSTALLED</v>
      </c>
      <c r="S388" s="17" t="str">
        <f t="shared" si="26"/>
        <v/>
      </c>
      <c r="T388" s="17" t="str">
        <f t="shared" si="27"/>
        <v>SW NOT INSTALLED</v>
      </c>
    </row>
    <row r="389" spans="1:20">
      <c r="A389" s="31">
        <f>'12 - Device_Configuration'!H390</f>
        <v>0</v>
      </c>
      <c r="B389" s="31">
        <f>'12 - Device_Configuration'!S390</f>
        <v>0</v>
      </c>
      <c r="C389" s="31">
        <f>'12 - Device_Configuration'!T390</f>
        <v>0</v>
      </c>
      <c r="D389" s="17">
        <f>'12 - Device_Configuration'!AJ390</f>
        <v>0</v>
      </c>
      <c r="E389" s="17">
        <f>'12 - Device_Configuration'!J390</f>
        <v>0</v>
      </c>
      <c r="F389" s="31">
        <f>'12 - Device_Configuration'!K390</f>
        <v>0</v>
      </c>
      <c r="G389" s="17">
        <f>'12 - Device_Configuration'!L390</f>
        <v>0</v>
      </c>
      <c r="H389" s="17">
        <f>'13 - Config_Intake_View'!M389</f>
        <v>0</v>
      </c>
      <c r="I389" s="31">
        <f>IF('13 - Config_Intake_View'!Q389&lt;&gt;"",'13 - Config_Intake_View'!Q389,'12 - Device_Configuration'!BH390)</f>
        <v>0</v>
      </c>
      <c r="J389" s="17" t="str">
        <f>IF('13 - Config_Intake_View'!Q389&lt;&gt;"","PM Approved",IF('12 - Device_Configuration'!BH390&lt;&gt;"","Assumed",""))</f>
        <v/>
      </c>
      <c r="K389" s="31">
        <f>'12 - Device_Configuration'!BG390</f>
        <v>0</v>
      </c>
      <c r="L389" s="17">
        <f>'12 - Device_Configuration'!P390</f>
        <v>0</v>
      </c>
      <c r="M389" s="17">
        <f>'12 - Device_Configuration'!Q390</f>
        <v>0</v>
      </c>
      <c r="N389" s="17" t="str">
        <f>'12 - Device_Configuration'!BK390</f>
        <v/>
      </c>
      <c r="O389" s="31" t="str">
        <f>'12 - Device_Configuration'!BL390</f>
        <v/>
      </c>
      <c r="P389" s="2">
        <f>'12 - Device_Configuration'!BA390</f>
        <v>0</v>
      </c>
      <c r="Q389" s="31" t="str">
        <f t="shared" si="24"/>
        <v/>
      </c>
      <c r="R389" s="17" t="str">
        <f t="shared" si="25"/>
        <v>SW NOT INSTALLED</v>
      </c>
      <c r="S389" s="17" t="str">
        <f t="shared" si="26"/>
        <v/>
      </c>
      <c r="T389" s="17" t="str">
        <f t="shared" si="27"/>
        <v>SW NOT INSTALLED</v>
      </c>
    </row>
    <row r="390" spans="1:20">
      <c r="A390" s="31">
        <f>'12 - Device_Configuration'!H391</f>
        <v>0</v>
      </c>
      <c r="B390" s="31">
        <f>'12 - Device_Configuration'!S391</f>
        <v>0</v>
      </c>
      <c r="C390" s="31">
        <f>'12 - Device_Configuration'!T391</f>
        <v>0</v>
      </c>
      <c r="D390" s="17">
        <f>'12 - Device_Configuration'!AJ391</f>
        <v>0</v>
      </c>
      <c r="E390" s="17">
        <f>'12 - Device_Configuration'!J391</f>
        <v>0</v>
      </c>
      <c r="F390" s="31">
        <f>'12 - Device_Configuration'!K391</f>
        <v>0</v>
      </c>
      <c r="G390" s="17">
        <f>'12 - Device_Configuration'!L391</f>
        <v>0</v>
      </c>
      <c r="H390" s="17">
        <f>'13 - Config_Intake_View'!M390</f>
        <v>0</v>
      </c>
      <c r="I390" s="31">
        <f>IF('13 - Config_Intake_View'!Q390&lt;&gt;"",'13 - Config_Intake_View'!Q390,'12 - Device_Configuration'!BH391)</f>
        <v>0</v>
      </c>
      <c r="J390" s="17" t="str">
        <f>IF('13 - Config_Intake_View'!Q390&lt;&gt;"","PM Approved",IF('12 - Device_Configuration'!BH391&lt;&gt;"","Assumed",""))</f>
        <v/>
      </c>
      <c r="K390" s="31">
        <f>'12 - Device_Configuration'!BG391</f>
        <v>0</v>
      </c>
      <c r="L390" s="17">
        <f>'12 - Device_Configuration'!P391</f>
        <v>0</v>
      </c>
      <c r="M390" s="17">
        <f>'12 - Device_Configuration'!Q391</f>
        <v>0</v>
      </c>
      <c r="N390" s="17" t="str">
        <f>'12 - Device_Configuration'!BK391</f>
        <v/>
      </c>
      <c r="O390" s="31" t="str">
        <f>'12 - Device_Configuration'!BL391</f>
        <v/>
      </c>
      <c r="P390" s="2">
        <f>'12 - Device_Configuration'!BA391</f>
        <v>0</v>
      </c>
      <c r="Q390" s="31" t="str">
        <f t="shared" si="24"/>
        <v/>
      </c>
      <c r="R390" s="17" t="str">
        <f t="shared" si="25"/>
        <v>SW NOT INSTALLED</v>
      </c>
      <c r="S390" s="17" t="str">
        <f t="shared" si="26"/>
        <v/>
      </c>
      <c r="T390" s="17" t="str">
        <f t="shared" si="27"/>
        <v>SW NOT INSTALLED</v>
      </c>
    </row>
    <row r="391" spans="1:20">
      <c r="A391" s="31">
        <f>'12 - Device_Configuration'!H392</f>
        <v>0</v>
      </c>
      <c r="B391" s="31">
        <f>'12 - Device_Configuration'!S392</f>
        <v>0</v>
      </c>
      <c r="C391" s="31">
        <f>'12 - Device_Configuration'!T392</f>
        <v>0</v>
      </c>
      <c r="D391" s="17">
        <f>'12 - Device_Configuration'!AJ392</f>
        <v>0</v>
      </c>
      <c r="E391" s="17">
        <f>'12 - Device_Configuration'!J392</f>
        <v>0</v>
      </c>
      <c r="F391" s="31">
        <f>'12 - Device_Configuration'!K392</f>
        <v>0</v>
      </c>
      <c r="G391" s="17">
        <f>'12 - Device_Configuration'!L392</f>
        <v>0</v>
      </c>
      <c r="H391" s="17">
        <f>'13 - Config_Intake_View'!M391</f>
        <v>0</v>
      </c>
      <c r="I391" s="31">
        <f>IF('13 - Config_Intake_View'!Q391&lt;&gt;"",'13 - Config_Intake_View'!Q391,'12 - Device_Configuration'!BH392)</f>
        <v>0</v>
      </c>
      <c r="J391" s="17" t="str">
        <f>IF('13 - Config_Intake_View'!Q391&lt;&gt;"","PM Approved",IF('12 - Device_Configuration'!BH392&lt;&gt;"","Assumed",""))</f>
        <v/>
      </c>
      <c r="K391" s="31">
        <f>'12 - Device_Configuration'!BG392</f>
        <v>0</v>
      </c>
      <c r="L391" s="17">
        <f>'12 - Device_Configuration'!P392</f>
        <v>0</v>
      </c>
      <c r="M391" s="17">
        <f>'12 - Device_Configuration'!Q392</f>
        <v>0</v>
      </c>
      <c r="N391" s="17" t="str">
        <f>'12 - Device_Configuration'!BK392</f>
        <v/>
      </c>
      <c r="O391" s="31" t="str">
        <f>'12 - Device_Configuration'!BL392</f>
        <v/>
      </c>
      <c r="P391" s="2">
        <f>'12 - Device_Configuration'!BA392</f>
        <v>0</v>
      </c>
      <c r="Q391" s="31" t="str">
        <f t="shared" si="24"/>
        <v/>
      </c>
      <c r="R391" s="17" t="str">
        <f t="shared" si="25"/>
        <v>SW NOT INSTALLED</v>
      </c>
      <c r="S391" s="17" t="str">
        <f t="shared" si="26"/>
        <v/>
      </c>
      <c r="T391" s="17" t="str">
        <f t="shared" si="27"/>
        <v>SW NOT INSTALLED</v>
      </c>
    </row>
    <row r="392" spans="1:20">
      <c r="A392" s="31">
        <f>'12 - Device_Configuration'!H393</f>
        <v>0</v>
      </c>
      <c r="B392" s="31">
        <f>'12 - Device_Configuration'!S393</f>
        <v>0</v>
      </c>
      <c r="C392" s="31">
        <f>'12 - Device_Configuration'!T393</f>
        <v>0</v>
      </c>
      <c r="D392" s="17">
        <f>'12 - Device_Configuration'!AJ393</f>
        <v>0</v>
      </c>
      <c r="E392" s="17">
        <f>'12 - Device_Configuration'!J393</f>
        <v>0</v>
      </c>
      <c r="F392" s="31">
        <f>'12 - Device_Configuration'!K393</f>
        <v>0</v>
      </c>
      <c r="G392" s="17">
        <f>'12 - Device_Configuration'!L393</f>
        <v>0</v>
      </c>
      <c r="H392" s="17">
        <f>'13 - Config_Intake_View'!M392</f>
        <v>0</v>
      </c>
      <c r="I392" s="31">
        <f>IF('13 - Config_Intake_View'!Q392&lt;&gt;"",'13 - Config_Intake_View'!Q392,'12 - Device_Configuration'!BH393)</f>
        <v>0</v>
      </c>
      <c r="J392" s="17" t="str">
        <f>IF('13 - Config_Intake_View'!Q392&lt;&gt;"","PM Approved",IF('12 - Device_Configuration'!BH393&lt;&gt;"","Assumed",""))</f>
        <v/>
      </c>
      <c r="K392" s="31">
        <f>'12 - Device_Configuration'!BG393</f>
        <v>0</v>
      </c>
      <c r="L392" s="17">
        <f>'12 - Device_Configuration'!P393</f>
        <v>0</v>
      </c>
      <c r="M392" s="17">
        <f>'12 - Device_Configuration'!Q393</f>
        <v>0</v>
      </c>
      <c r="N392" s="17" t="str">
        <f>'12 - Device_Configuration'!BK393</f>
        <v/>
      </c>
      <c r="O392" s="31" t="str">
        <f>'12 - Device_Configuration'!BL393</f>
        <v/>
      </c>
      <c r="P392" s="2">
        <f>'12 - Device_Configuration'!BA393</f>
        <v>0</v>
      </c>
      <c r="Q392" s="31" t="str">
        <f t="shared" si="24"/>
        <v/>
      </c>
      <c r="R392" s="17" t="str">
        <f t="shared" si="25"/>
        <v>SW NOT INSTALLED</v>
      </c>
      <c r="S392" s="17" t="str">
        <f t="shared" si="26"/>
        <v/>
      </c>
      <c r="T392" s="17" t="str">
        <f t="shared" si="27"/>
        <v>SW NOT INSTALLED</v>
      </c>
    </row>
    <row r="393" spans="1:20">
      <c r="A393" s="31">
        <f>'12 - Device_Configuration'!H394</f>
        <v>0</v>
      </c>
      <c r="B393" s="31">
        <f>'12 - Device_Configuration'!S394</f>
        <v>0</v>
      </c>
      <c r="C393" s="31">
        <f>'12 - Device_Configuration'!T394</f>
        <v>0</v>
      </c>
      <c r="D393" s="17">
        <f>'12 - Device_Configuration'!AJ394</f>
        <v>0</v>
      </c>
      <c r="E393" s="17">
        <f>'12 - Device_Configuration'!J394</f>
        <v>0</v>
      </c>
      <c r="F393" s="31">
        <f>'12 - Device_Configuration'!K394</f>
        <v>0</v>
      </c>
      <c r="G393" s="17">
        <f>'12 - Device_Configuration'!L394</f>
        <v>0</v>
      </c>
      <c r="H393" s="17">
        <f>'13 - Config_Intake_View'!M393</f>
        <v>0</v>
      </c>
      <c r="I393" s="31">
        <f>IF('13 - Config_Intake_View'!Q393&lt;&gt;"",'13 - Config_Intake_View'!Q393,'12 - Device_Configuration'!BH394)</f>
        <v>0</v>
      </c>
      <c r="J393" s="17" t="str">
        <f>IF('13 - Config_Intake_View'!Q393&lt;&gt;"","PM Approved",IF('12 - Device_Configuration'!BH394&lt;&gt;"","Assumed",""))</f>
        <v/>
      </c>
      <c r="K393" s="31">
        <f>'12 - Device_Configuration'!BG394</f>
        <v>0</v>
      </c>
      <c r="L393" s="17">
        <f>'12 - Device_Configuration'!P394</f>
        <v>0</v>
      </c>
      <c r="M393" s="17">
        <f>'12 - Device_Configuration'!Q394</f>
        <v>0</v>
      </c>
      <c r="N393" s="17" t="str">
        <f>'12 - Device_Configuration'!BK394</f>
        <v/>
      </c>
      <c r="O393" s="31" t="str">
        <f>'12 - Device_Configuration'!BL394</f>
        <v/>
      </c>
      <c r="P393" s="2">
        <f>'12 - Device_Configuration'!BA394</f>
        <v>0</v>
      </c>
      <c r="Q393" s="31" t="str">
        <f t="shared" si="24"/>
        <v/>
      </c>
      <c r="R393" s="17" t="str">
        <f t="shared" si="25"/>
        <v>SW NOT INSTALLED</v>
      </c>
      <c r="S393" s="17" t="str">
        <f t="shared" si="26"/>
        <v/>
      </c>
      <c r="T393" s="17" t="str">
        <f t="shared" si="27"/>
        <v>SW NOT INSTALLED</v>
      </c>
    </row>
    <row r="394" spans="1:20">
      <c r="A394" s="31">
        <f>'12 - Device_Configuration'!H395</f>
        <v>0</v>
      </c>
      <c r="B394" s="31">
        <f>'12 - Device_Configuration'!S395</f>
        <v>0</v>
      </c>
      <c r="C394" s="31">
        <f>'12 - Device_Configuration'!T395</f>
        <v>0</v>
      </c>
      <c r="D394" s="17">
        <f>'12 - Device_Configuration'!AJ395</f>
        <v>0</v>
      </c>
      <c r="E394" s="17">
        <f>'12 - Device_Configuration'!J395</f>
        <v>0</v>
      </c>
      <c r="F394" s="31">
        <f>'12 - Device_Configuration'!K395</f>
        <v>0</v>
      </c>
      <c r="G394" s="17">
        <f>'12 - Device_Configuration'!L395</f>
        <v>0</v>
      </c>
      <c r="H394" s="17">
        <f>'13 - Config_Intake_View'!M394</f>
        <v>0</v>
      </c>
      <c r="I394" s="31">
        <f>IF('13 - Config_Intake_View'!Q394&lt;&gt;"",'13 - Config_Intake_View'!Q394,'12 - Device_Configuration'!BH395)</f>
        <v>0</v>
      </c>
      <c r="J394" s="17" t="str">
        <f>IF('13 - Config_Intake_View'!Q394&lt;&gt;"","PM Approved",IF('12 - Device_Configuration'!BH395&lt;&gt;"","Assumed",""))</f>
        <v/>
      </c>
      <c r="K394" s="31">
        <f>'12 - Device_Configuration'!BG395</f>
        <v>0</v>
      </c>
      <c r="L394" s="17">
        <f>'12 - Device_Configuration'!P395</f>
        <v>0</v>
      </c>
      <c r="M394" s="17">
        <f>'12 - Device_Configuration'!Q395</f>
        <v>0</v>
      </c>
      <c r="N394" s="17" t="str">
        <f>'12 - Device_Configuration'!BK395</f>
        <v/>
      </c>
      <c r="O394" s="31" t="str">
        <f>'12 - Device_Configuration'!BL395</f>
        <v/>
      </c>
      <c r="P394" s="2">
        <f>'12 - Device_Configuration'!BA395</f>
        <v>0</v>
      </c>
      <c r="Q394" s="31" t="str">
        <f t="shared" si="24"/>
        <v/>
      </c>
      <c r="R394" s="17" t="str">
        <f t="shared" si="25"/>
        <v>SW NOT INSTALLED</v>
      </c>
      <c r="S394" s="17" t="str">
        <f t="shared" si="26"/>
        <v/>
      </c>
      <c r="T394" s="17" t="str">
        <f t="shared" si="27"/>
        <v>SW NOT INSTALLED</v>
      </c>
    </row>
    <row r="395" spans="1:20">
      <c r="A395" s="31">
        <f>'12 - Device_Configuration'!H396</f>
        <v>0</v>
      </c>
      <c r="B395" s="31">
        <f>'12 - Device_Configuration'!S396</f>
        <v>0</v>
      </c>
      <c r="C395" s="31">
        <f>'12 - Device_Configuration'!T396</f>
        <v>0</v>
      </c>
      <c r="D395" s="17">
        <f>'12 - Device_Configuration'!AJ396</f>
        <v>0</v>
      </c>
      <c r="E395" s="17">
        <f>'12 - Device_Configuration'!J396</f>
        <v>0</v>
      </c>
      <c r="F395" s="31">
        <f>'12 - Device_Configuration'!K396</f>
        <v>0</v>
      </c>
      <c r="G395" s="17">
        <f>'12 - Device_Configuration'!L396</f>
        <v>0</v>
      </c>
      <c r="H395" s="17">
        <f>'13 - Config_Intake_View'!M395</f>
        <v>0</v>
      </c>
      <c r="I395" s="31">
        <f>IF('13 - Config_Intake_View'!Q395&lt;&gt;"",'13 - Config_Intake_View'!Q395,'12 - Device_Configuration'!BH396)</f>
        <v>0</v>
      </c>
      <c r="J395" s="17" t="str">
        <f>IF('13 - Config_Intake_View'!Q395&lt;&gt;"","PM Approved",IF('12 - Device_Configuration'!BH396&lt;&gt;"","Assumed",""))</f>
        <v/>
      </c>
      <c r="K395" s="31">
        <f>'12 - Device_Configuration'!BG396</f>
        <v>0</v>
      </c>
      <c r="L395" s="17">
        <f>'12 - Device_Configuration'!P396</f>
        <v>0</v>
      </c>
      <c r="M395" s="17">
        <f>'12 - Device_Configuration'!Q396</f>
        <v>0</v>
      </c>
      <c r="N395" s="17" t="str">
        <f>'12 - Device_Configuration'!BK396</f>
        <v/>
      </c>
      <c r="O395" s="31" t="str">
        <f>'12 - Device_Configuration'!BL396</f>
        <v/>
      </c>
      <c r="P395" s="2">
        <f>'12 - Device_Configuration'!BA396</f>
        <v>0</v>
      </c>
      <c r="Q395" s="31" t="str">
        <f t="shared" si="24"/>
        <v/>
      </c>
      <c r="R395" s="17" t="str">
        <f t="shared" si="25"/>
        <v>SW NOT INSTALLED</v>
      </c>
      <c r="S395" s="17" t="str">
        <f t="shared" si="26"/>
        <v/>
      </c>
      <c r="T395" s="17" t="str">
        <f t="shared" si="27"/>
        <v>SW NOT INSTALLED</v>
      </c>
    </row>
    <row r="396" spans="1:20">
      <c r="A396" s="31">
        <f>'12 - Device_Configuration'!H397</f>
        <v>0</v>
      </c>
      <c r="B396" s="31">
        <f>'12 - Device_Configuration'!S397</f>
        <v>0</v>
      </c>
      <c r="C396" s="31">
        <f>'12 - Device_Configuration'!T397</f>
        <v>0</v>
      </c>
      <c r="D396" s="17">
        <f>'12 - Device_Configuration'!AJ397</f>
        <v>0</v>
      </c>
      <c r="E396" s="17">
        <f>'12 - Device_Configuration'!J397</f>
        <v>0</v>
      </c>
      <c r="F396" s="31">
        <f>'12 - Device_Configuration'!K397</f>
        <v>0</v>
      </c>
      <c r="G396" s="17">
        <f>'12 - Device_Configuration'!L397</f>
        <v>0</v>
      </c>
      <c r="H396" s="17">
        <f>'13 - Config_Intake_View'!M396</f>
        <v>0</v>
      </c>
      <c r="I396" s="31">
        <f>IF('13 - Config_Intake_View'!Q396&lt;&gt;"",'13 - Config_Intake_View'!Q396,'12 - Device_Configuration'!BH397)</f>
        <v>0</v>
      </c>
      <c r="J396" s="17" t="str">
        <f>IF('13 - Config_Intake_View'!Q396&lt;&gt;"","PM Approved",IF('12 - Device_Configuration'!BH397&lt;&gt;"","Assumed",""))</f>
        <v/>
      </c>
      <c r="K396" s="31">
        <f>'12 - Device_Configuration'!BG397</f>
        <v>0</v>
      </c>
      <c r="L396" s="17">
        <f>'12 - Device_Configuration'!P397</f>
        <v>0</v>
      </c>
      <c r="M396" s="17">
        <f>'12 - Device_Configuration'!Q397</f>
        <v>0</v>
      </c>
      <c r="N396" s="17" t="str">
        <f>'12 - Device_Configuration'!BK397</f>
        <v/>
      </c>
      <c r="O396" s="31" t="str">
        <f>'12 - Device_Configuration'!BL397</f>
        <v/>
      </c>
      <c r="P396" s="2">
        <f>'12 - Device_Configuration'!BA397</f>
        <v>0</v>
      </c>
      <c r="Q396" s="31" t="str">
        <f t="shared" si="24"/>
        <v/>
      </c>
      <c r="R396" s="17" t="str">
        <f t="shared" si="25"/>
        <v>SW NOT INSTALLED</v>
      </c>
      <c r="S396" s="17" t="str">
        <f t="shared" si="26"/>
        <v/>
      </c>
      <c r="T396" s="17" t="str">
        <f t="shared" si="27"/>
        <v>SW NOT INSTALLED</v>
      </c>
    </row>
    <row r="397" spans="1:20">
      <c r="A397" s="31">
        <f>'12 - Device_Configuration'!H398</f>
        <v>0</v>
      </c>
      <c r="B397" s="31">
        <f>'12 - Device_Configuration'!S398</f>
        <v>0</v>
      </c>
      <c r="C397" s="31">
        <f>'12 - Device_Configuration'!T398</f>
        <v>0</v>
      </c>
      <c r="D397" s="17">
        <f>'12 - Device_Configuration'!AJ398</f>
        <v>0</v>
      </c>
      <c r="E397" s="17">
        <f>'12 - Device_Configuration'!J398</f>
        <v>0</v>
      </c>
      <c r="F397" s="31">
        <f>'12 - Device_Configuration'!K398</f>
        <v>0</v>
      </c>
      <c r="G397" s="17">
        <f>'12 - Device_Configuration'!L398</f>
        <v>0</v>
      </c>
      <c r="H397" s="17">
        <f>'13 - Config_Intake_View'!M397</f>
        <v>0</v>
      </c>
      <c r="I397" s="31">
        <f>IF('13 - Config_Intake_View'!Q397&lt;&gt;"",'13 - Config_Intake_View'!Q397,'12 - Device_Configuration'!BH398)</f>
        <v>0</v>
      </c>
      <c r="J397" s="17" t="str">
        <f>IF('13 - Config_Intake_View'!Q397&lt;&gt;"","PM Approved",IF('12 - Device_Configuration'!BH398&lt;&gt;"","Assumed",""))</f>
        <v/>
      </c>
      <c r="K397" s="31">
        <f>'12 - Device_Configuration'!BG398</f>
        <v>0</v>
      </c>
      <c r="L397" s="17">
        <f>'12 - Device_Configuration'!P398</f>
        <v>0</v>
      </c>
      <c r="M397" s="17">
        <f>'12 - Device_Configuration'!Q398</f>
        <v>0</v>
      </c>
      <c r="N397" s="17" t="str">
        <f>'12 - Device_Configuration'!BK398</f>
        <v/>
      </c>
      <c r="O397" s="31" t="str">
        <f>'12 - Device_Configuration'!BL398</f>
        <v/>
      </c>
      <c r="P397" s="2">
        <f>'12 - Device_Configuration'!BA398</f>
        <v>0</v>
      </c>
      <c r="Q397" s="31" t="str">
        <f t="shared" si="24"/>
        <v/>
      </c>
      <c r="R397" s="17" t="str">
        <f t="shared" si="25"/>
        <v>SW NOT INSTALLED</v>
      </c>
      <c r="S397" s="17" t="str">
        <f t="shared" si="26"/>
        <v/>
      </c>
      <c r="T397" s="17" t="str">
        <f t="shared" si="27"/>
        <v>SW NOT INSTALLED</v>
      </c>
    </row>
    <row r="398" spans="1:20">
      <c r="A398" s="31">
        <f>'12 - Device_Configuration'!H399</f>
        <v>0</v>
      </c>
      <c r="B398" s="31">
        <f>'12 - Device_Configuration'!S399</f>
        <v>0</v>
      </c>
      <c r="C398" s="31">
        <f>'12 - Device_Configuration'!T399</f>
        <v>0</v>
      </c>
      <c r="D398" s="17">
        <f>'12 - Device_Configuration'!AJ399</f>
        <v>0</v>
      </c>
      <c r="E398" s="17">
        <f>'12 - Device_Configuration'!J399</f>
        <v>0</v>
      </c>
      <c r="F398" s="31">
        <f>'12 - Device_Configuration'!K399</f>
        <v>0</v>
      </c>
      <c r="G398" s="17">
        <f>'12 - Device_Configuration'!L399</f>
        <v>0</v>
      </c>
      <c r="H398" s="17">
        <f>'13 - Config_Intake_View'!M398</f>
        <v>0</v>
      </c>
      <c r="I398" s="31">
        <f>IF('13 - Config_Intake_View'!Q398&lt;&gt;"",'13 - Config_Intake_View'!Q398,'12 - Device_Configuration'!BH399)</f>
        <v>0</v>
      </c>
      <c r="J398" s="17" t="str">
        <f>IF('13 - Config_Intake_View'!Q398&lt;&gt;"","PM Approved",IF('12 - Device_Configuration'!BH399&lt;&gt;"","Assumed",""))</f>
        <v/>
      </c>
      <c r="K398" s="31">
        <f>'12 - Device_Configuration'!BG399</f>
        <v>0</v>
      </c>
      <c r="L398" s="17">
        <f>'12 - Device_Configuration'!P399</f>
        <v>0</v>
      </c>
      <c r="M398" s="17">
        <f>'12 - Device_Configuration'!Q399</f>
        <v>0</v>
      </c>
      <c r="N398" s="17" t="str">
        <f>'12 - Device_Configuration'!BK399</f>
        <v/>
      </c>
      <c r="O398" s="31" t="str">
        <f>'12 - Device_Configuration'!BL399</f>
        <v/>
      </c>
      <c r="P398" s="2">
        <f>'12 - Device_Configuration'!BA399</f>
        <v>0</v>
      </c>
      <c r="Q398" s="31" t="str">
        <f t="shared" si="24"/>
        <v/>
      </c>
      <c r="R398" s="17" t="str">
        <f t="shared" si="25"/>
        <v>SW NOT INSTALLED</v>
      </c>
      <c r="S398" s="17" t="str">
        <f t="shared" si="26"/>
        <v/>
      </c>
      <c r="T398" s="17" t="str">
        <f t="shared" si="27"/>
        <v>SW NOT INSTALLED</v>
      </c>
    </row>
    <row r="399" spans="1:20">
      <c r="A399" s="31">
        <f>'12 - Device_Configuration'!H400</f>
        <v>0</v>
      </c>
      <c r="B399" s="31">
        <f>'12 - Device_Configuration'!S400</f>
        <v>0</v>
      </c>
      <c r="C399" s="31">
        <f>'12 - Device_Configuration'!T400</f>
        <v>0</v>
      </c>
      <c r="D399" s="17">
        <f>'12 - Device_Configuration'!AJ400</f>
        <v>0</v>
      </c>
      <c r="E399" s="17">
        <f>'12 - Device_Configuration'!J400</f>
        <v>0</v>
      </c>
      <c r="F399" s="31">
        <f>'12 - Device_Configuration'!K400</f>
        <v>0</v>
      </c>
      <c r="G399" s="17">
        <f>'12 - Device_Configuration'!L400</f>
        <v>0</v>
      </c>
      <c r="H399" s="17">
        <f>'13 - Config_Intake_View'!M399</f>
        <v>0</v>
      </c>
      <c r="I399" s="31">
        <f>IF('13 - Config_Intake_View'!Q399&lt;&gt;"",'13 - Config_Intake_View'!Q399,'12 - Device_Configuration'!BH400)</f>
        <v>0</v>
      </c>
      <c r="J399" s="17" t="str">
        <f>IF('13 - Config_Intake_View'!Q399&lt;&gt;"","PM Approved",IF('12 - Device_Configuration'!BH400&lt;&gt;"","Assumed",""))</f>
        <v/>
      </c>
      <c r="K399" s="31">
        <f>'12 - Device_Configuration'!BG400</f>
        <v>0</v>
      </c>
      <c r="L399" s="17">
        <f>'12 - Device_Configuration'!P400</f>
        <v>0</v>
      </c>
      <c r="M399" s="17">
        <f>'12 - Device_Configuration'!Q400</f>
        <v>0</v>
      </c>
      <c r="N399" s="17" t="str">
        <f>'12 - Device_Configuration'!BK400</f>
        <v/>
      </c>
      <c r="O399" s="31" t="str">
        <f>'12 - Device_Configuration'!BL400</f>
        <v/>
      </c>
      <c r="P399" s="2">
        <f>'12 - Device_Configuration'!BA400</f>
        <v>0</v>
      </c>
      <c r="Q399" s="31" t="str">
        <f t="shared" si="24"/>
        <v/>
      </c>
      <c r="R399" s="17" t="str">
        <f t="shared" si="25"/>
        <v>SW NOT INSTALLED</v>
      </c>
      <c r="S399" s="17" t="str">
        <f t="shared" si="26"/>
        <v/>
      </c>
      <c r="T399" s="17" t="str">
        <f t="shared" si="27"/>
        <v>SW NOT INSTALLED</v>
      </c>
    </row>
    <row r="400" spans="1:20">
      <c r="A400" s="31">
        <f>'12 - Device_Configuration'!H401</f>
        <v>0</v>
      </c>
      <c r="B400" s="31">
        <f>'12 - Device_Configuration'!S401</f>
        <v>0</v>
      </c>
      <c r="C400" s="31">
        <f>'12 - Device_Configuration'!T401</f>
        <v>0</v>
      </c>
      <c r="D400" s="17">
        <f>'12 - Device_Configuration'!AJ401</f>
        <v>0</v>
      </c>
      <c r="E400" s="17">
        <f>'12 - Device_Configuration'!J401</f>
        <v>0</v>
      </c>
      <c r="F400" s="31">
        <f>'12 - Device_Configuration'!K401</f>
        <v>0</v>
      </c>
      <c r="G400" s="17">
        <f>'12 - Device_Configuration'!L401</f>
        <v>0</v>
      </c>
      <c r="H400" s="17">
        <f>'13 - Config_Intake_View'!M400</f>
        <v>0</v>
      </c>
      <c r="I400" s="31">
        <f>IF('13 - Config_Intake_View'!Q400&lt;&gt;"",'13 - Config_Intake_View'!Q400,'12 - Device_Configuration'!BH401)</f>
        <v>0</v>
      </c>
      <c r="J400" s="17" t="str">
        <f>IF('13 - Config_Intake_View'!Q400&lt;&gt;"","PM Approved",IF('12 - Device_Configuration'!BH401&lt;&gt;"","Assumed",""))</f>
        <v/>
      </c>
      <c r="K400" s="31">
        <f>'12 - Device_Configuration'!BG401</f>
        <v>0</v>
      </c>
      <c r="L400" s="17">
        <f>'12 - Device_Configuration'!P401</f>
        <v>0</v>
      </c>
      <c r="M400" s="17">
        <f>'12 - Device_Configuration'!Q401</f>
        <v>0</v>
      </c>
      <c r="N400" s="17" t="str">
        <f>'12 - Device_Configuration'!BK401</f>
        <v/>
      </c>
      <c r="O400" s="31" t="str">
        <f>'12 - Device_Configuration'!BL401</f>
        <v/>
      </c>
      <c r="P400" s="2">
        <f>'12 - Device_Configuration'!BA401</f>
        <v>0</v>
      </c>
      <c r="Q400" s="31" t="str">
        <f t="shared" si="24"/>
        <v/>
      </c>
      <c r="R400" s="17" t="str">
        <f t="shared" si="25"/>
        <v>SW NOT INSTALLED</v>
      </c>
      <c r="S400" s="17" t="str">
        <f t="shared" si="26"/>
        <v/>
      </c>
      <c r="T400" s="17" t="str">
        <f t="shared" si="27"/>
        <v>SW NOT INSTALLED</v>
      </c>
    </row>
    <row r="401" spans="1:20">
      <c r="A401" s="31">
        <f>'12 - Device_Configuration'!H402</f>
        <v>0</v>
      </c>
      <c r="B401" s="31">
        <f>'12 - Device_Configuration'!S402</f>
        <v>0</v>
      </c>
      <c r="C401" s="31">
        <f>'12 - Device_Configuration'!T402</f>
        <v>0</v>
      </c>
      <c r="D401" s="17">
        <f>'12 - Device_Configuration'!AJ402</f>
        <v>0</v>
      </c>
      <c r="E401" s="17">
        <f>'12 - Device_Configuration'!J402</f>
        <v>0</v>
      </c>
      <c r="F401" s="31">
        <f>'12 - Device_Configuration'!K402</f>
        <v>0</v>
      </c>
      <c r="G401" s="17">
        <f>'12 - Device_Configuration'!L402</f>
        <v>0</v>
      </c>
      <c r="H401" s="17">
        <f>'13 - Config_Intake_View'!M401</f>
        <v>0</v>
      </c>
      <c r="I401" s="31">
        <f>IF('13 - Config_Intake_View'!Q401&lt;&gt;"",'13 - Config_Intake_View'!Q401,'12 - Device_Configuration'!BH402)</f>
        <v>0</v>
      </c>
      <c r="J401" s="17" t="str">
        <f>IF('13 - Config_Intake_View'!Q401&lt;&gt;"","PM Approved",IF('12 - Device_Configuration'!BH402&lt;&gt;"","Assumed",""))</f>
        <v/>
      </c>
      <c r="K401" s="31">
        <f>'12 - Device_Configuration'!BG402</f>
        <v>0</v>
      </c>
      <c r="L401" s="17">
        <f>'12 - Device_Configuration'!P402</f>
        <v>0</v>
      </c>
      <c r="M401" s="17">
        <f>'12 - Device_Configuration'!Q402</f>
        <v>0</v>
      </c>
      <c r="N401" s="17" t="str">
        <f>'12 - Device_Configuration'!BK402</f>
        <v/>
      </c>
      <c r="O401" s="31" t="str">
        <f>'12 - Device_Configuration'!BL402</f>
        <v/>
      </c>
      <c r="P401" s="2">
        <f>'12 - Device_Configuration'!BA402</f>
        <v>0</v>
      </c>
      <c r="Q401" s="31" t="str">
        <f t="shared" si="24"/>
        <v/>
      </c>
      <c r="R401" s="17" t="str">
        <f t="shared" si="25"/>
        <v>SW NOT INSTALLED</v>
      </c>
      <c r="S401" s="17" t="str">
        <f t="shared" si="26"/>
        <v/>
      </c>
      <c r="T401" s="17" t="str">
        <f t="shared" si="27"/>
        <v>SW NOT INSTALLED</v>
      </c>
    </row>
    <row r="402" spans="1:20">
      <c r="A402" s="31">
        <f>'12 - Device_Configuration'!H403</f>
        <v>0</v>
      </c>
      <c r="B402" s="31">
        <f>'12 - Device_Configuration'!S403</f>
        <v>0</v>
      </c>
      <c r="C402" s="31">
        <f>'12 - Device_Configuration'!T403</f>
        <v>0</v>
      </c>
      <c r="D402" s="17">
        <f>'12 - Device_Configuration'!AJ403</f>
        <v>0</v>
      </c>
      <c r="E402" s="17">
        <f>'12 - Device_Configuration'!J403</f>
        <v>0</v>
      </c>
      <c r="F402" s="31">
        <f>'12 - Device_Configuration'!K403</f>
        <v>0</v>
      </c>
      <c r="G402" s="17">
        <f>'12 - Device_Configuration'!L403</f>
        <v>0</v>
      </c>
      <c r="H402" s="17">
        <f>'13 - Config_Intake_View'!M402</f>
        <v>0</v>
      </c>
      <c r="I402" s="31">
        <f>IF('13 - Config_Intake_View'!Q402&lt;&gt;"",'13 - Config_Intake_View'!Q402,'12 - Device_Configuration'!BH403)</f>
        <v>0</v>
      </c>
      <c r="J402" s="17" t="str">
        <f>IF('13 - Config_Intake_View'!Q402&lt;&gt;"","PM Approved",IF('12 - Device_Configuration'!BH403&lt;&gt;"","Assumed",""))</f>
        <v/>
      </c>
      <c r="K402" s="31">
        <f>'12 - Device_Configuration'!BG403</f>
        <v>0</v>
      </c>
      <c r="L402" s="17">
        <f>'12 - Device_Configuration'!P403</f>
        <v>0</v>
      </c>
      <c r="M402" s="17">
        <f>'12 - Device_Configuration'!Q403</f>
        <v>0</v>
      </c>
      <c r="N402" s="17" t="str">
        <f>'12 - Device_Configuration'!BK403</f>
        <v/>
      </c>
      <c r="O402" s="31" t="str">
        <f>'12 - Device_Configuration'!BL403</f>
        <v/>
      </c>
      <c r="P402" s="2">
        <f>'12 - Device_Configuration'!BA403</f>
        <v>0</v>
      </c>
      <c r="Q402" s="31" t="str">
        <f t="shared" si="24"/>
        <v/>
      </c>
      <c r="R402" s="17" t="str">
        <f t="shared" si="25"/>
        <v>SW NOT INSTALLED</v>
      </c>
      <c r="S402" s="17" t="str">
        <f t="shared" si="26"/>
        <v/>
      </c>
      <c r="T402" s="17" t="str">
        <f t="shared" si="27"/>
        <v>SW NOT INSTALLED</v>
      </c>
    </row>
    <row r="403" spans="1:20">
      <c r="A403" s="31">
        <f>'12 - Device_Configuration'!H404</f>
        <v>0</v>
      </c>
      <c r="B403" s="31">
        <f>'12 - Device_Configuration'!S404</f>
        <v>0</v>
      </c>
      <c r="C403" s="31">
        <f>'12 - Device_Configuration'!T404</f>
        <v>0</v>
      </c>
      <c r="D403" s="17">
        <f>'12 - Device_Configuration'!AJ404</f>
        <v>0</v>
      </c>
      <c r="E403" s="17">
        <f>'12 - Device_Configuration'!J404</f>
        <v>0</v>
      </c>
      <c r="F403" s="31">
        <f>'12 - Device_Configuration'!K404</f>
        <v>0</v>
      </c>
      <c r="G403" s="17">
        <f>'12 - Device_Configuration'!L404</f>
        <v>0</v>
      </c>
      <c r="H403" s="17">
        <f>'13 - Config_Intake_View'!M403</f>
        <v>0</v>
      </c>
      <c r="I403" s="31">
        <f>IF('13 - Config_Intake_View'!Q403&lt;&gt;"",'13 - Config_Intake_View'!Q403,'12 - Device_Configuration'!BH404)</f>
        <v>0</v>
      </c>
      <c r="J403" s="17" t="str">
        <f>IF('13 - Config_Intake_View'!Q403&lt;&gt;"","PM Approved",IF('12 - Device_Configuration'!BH404&lt;&gt;"","Assumed",""))</f>
        <v/>
      </c>
      <c r="K403" s="31">
        <f>'12 - Device_Configuration'!BG404</f>
        <v>0</v>
      </c>
      <c r="L403" s="17">
        <f>'12 - Device_Configuration'!P404</f>
        <v>0</v>
      </c>
      <c r="M403" s="17">
        <f>'12 - Device_Configuration'!Q404</f>
        <v>0</v>
      </c>
      <c r="N403" s="17" t="str">
        <f>'12 - Device_Configuration'!BK404</f>
        <v/>
      </c>
      <c r="O403" s="31" t="str">
        <f>'12 - Device_Configuration'!BL404</f>
        <v/>
      </c>
      <c r="P403" s="2">
        <f>'12 - Device_Configuration'!BA404</f>
        <v>0</v>
      </c>
      <c r="Q403" s="31" t="str">
        <f t="shared" si="24"/>
        <v/>
      </c>
      <c r="R403" s="17" t="str">
        <f t="shared" si="25"/>
        <v>SW NOT INSTALLED</v>
      </c>
      <c r="S403" s="17" t="str">
        <f t="shared" si="26"/>
        <v/>
      </c>
      <c r="T403" s="17" t="str">
        <f t="shared" si="27"/>
        <v>SW NOT INSTALLED</v>
      </c>
    </row>
    <row r="404" spans="1:20">
      <c r="A404" s="31">
        <f>'12 - Device_Configuration'!H405</f>
        <v>0</v>
      </c>
      <c r="B404" s="31">
        <f>'12 - Device_Configuration'!S405</f>
        <v>0</v>
      </c>
      <c r="C404" s="31">
        <f>'12 - Device_Configuration'!T405</f>
        <v>0</v>
      </c>
      <c r="D404" s="17">
        <f>'12 - Device_Configuration'!AJ405</f>
        <v>0</v>
      </c>
      <c r="E404" s="17">
        <f>'12 - Device_Configuration'!J405</f>
        <v>0</v>
      </c>
      <c r="F404" s="31">
        <f>'12 - Device_Configuration'!K405</f>
        <v>0</v>
      </c>
      <c r="G404" s="17">
        <f>'12 - Device_Configuration'!L405</f>
        <v>0</v>
      </c>
      <c r="H404" s="17">
        <f>'13 - Config_Intake_View'!M404</f>
        <v>0</v>
      </c>
      <c r="I404" s="31">
        <f>IF('13 - Config_Intake_View'!Q404&lt;&gt;"",'13 - Config_Intake_View'!Q404,'12 - Device_Configuration'!BH405)</f>
        <v>0</v>
      </c>
      <c r="J404" s="17" t="str">
        <f>IF('13 - Config_Intake_View'!Q404&lt;&gt;"","PM Approved",IF('12 - Device_Configuration'!BH405&lt;&gt;"","Assumed",""))</f>
        <v/>
      </c>
      <c r="K404" s="31">
        <f>'12 - Device_Configuration'!BG405</f>
        <v>0</v>
      </c>
      <c r="L404" s="17">
        <f>'12 - Device_Configuration'!P405</f>
        <v>0</v>
      </c>
      <c r="M404" s="17">
        <f>'12 - Device_Configuration'!Q405</f>
        <v>0</v>
      </c>
      <c r="N404" s="17" t="str">
        <f>'12 - Device_Configuration'!BK405</f>
        <v/>
      </c>
      <c r="O404" s="31" t="str">
        <f>'12 - Device_Configuration'!BL405</f>
        <v/>
      </c>
      <c r="P404" s="2">
        <f>'12 - Device_Configuration'!BA405</f>
        <v>0</v>
      </c>
      <c r="Q404" s="31" t="str">
        <f t="shared" si="24"/>
        <v/>
      </c>
      <c r="R404" s="17" t="str">
        <f t="shared" si="25"/>
        <v>SW NOT INSTALLED</v>
      </c>
      <c r="S404" s="17" t="str">
        <f t="shared" si="26"/>
        <v/>
      </c>
      <c r="T404" s="17" t="str">
        <f t="shared" si="27"/>
        <v>SW NOT INSTALLED</v>
      </c>
    </row>
    <row r="405" spans="1:20">
      <c r="A405" s="31">
        <f>'12 - Device_Configuration'!H406</f>
        <v>0</v>
      </c>
      <c r="B405" s="31">
        <f>'12 - Device_Configuration'!S406</f>
        <v>0</v>
      </c>
      <c r="C405" s="31">
        <f>'12 - Device_Configuration'!T406</f>
        <v>0</v>
      </c>
      <c r="D405" s="17">
        <f>'12 - Device_Configuration'!AJ406</f>
        <v>0</v>
      </c>
      <c r="E405" s="17">
        <f>'12 - Device_Configuration'!J406</f>
        <v>0</v>
      </c>
      <c r="F405" s="31">
        <f>'12 - Device_Configuration'!K406</f>
        <v>0</v>
      </c>
      <c r="G405" s="17">
        <f>'12 - Device_Configuration'!L406</f>
        <v>0</v>
      </c>
      <c r="H405" s="17">
        <f>'13 - Config_Intake_View'!M405</f>
        <v>0</v>
      </c>
      <c r="I405" s="31">
        <f>IF('13 - Config_Intake_View'!Q405&lt;&gt;"",'13 - Config_Intake_View'!Q405,'12 - Device_Configuration'!BH406)</f>
        <v>0</v>
      </c>
      <c r="J405" s="17" t="str">
        <f>IF('13 - Config_Intake_View'!Q405&lt;&gt;"","PM Approved",IF('12 - Device_Configuration'!BH406&lt;&gt;"","Assumed",""))</f>
        <v/>
      </c>
      <c r="K405" s="31">
        <f>'12 - Device_Configuration'!BG406</f>
        <v>0</v>
      </c>
      <c r="L405" s="17">
        <f>'12 - Device_Configuration'!P406</f>
        <v>0</v>
      </c>
      <c r="M405" s="17">
        <f>'12 - Device_Configuration'!Q406</f>
        <v>0</v>
      </c>
      <c r="N405" s="17" t="str">
        <f>'12 - Device_Configuration'!BK406</f>
        <v/>
      </c>
      <c r="O405" s="31" t="str">
        <f>'12 - Device_Configuration'!BL406</f>
        <v/>
      </c>
      <c r="P405" s="2">
        <f>'12 - Device_Configuration'!BA406</f>
        <v>0</v>
      </c>
      <c r="Q405" s="31" t="str">
        <f t="shared" si="24"/>
        <v/>
      </c>
      <c r="R405" s="17" t="str">
        <f t="shared" si="25"/>
        <v>SW NOT INSTALLED</v>
      </c>
      <c r="S405" s="17" t="str">
        <f t="shared" si="26"/>
        <v/>
      </c>
      <c r="T405" s="17" t="str">
        <f t="shared" si="27"/>
        <v>SW NOT INSTALLED</v>
      </c>
    </row>
    <row r="406" spans="1:20">
      <c r="A406" s="31">
        <f>'12 - Device_Configuration'!H407</f>
        <v>0</v>
      </c>
      <c r="B406" s="31">
        <f>'12 - Device_Configuration'!S407</f>
        <v>0</v>
      </c>
      <c r="C406" s="31">
        <f>'12 - Device_Configuration'!T407</f>
        <v>0</v>
      </c>
      <c r="D406" s="17">
        <f>'12 - Device_Configuration'!AJ407</f>
        <v>0</v>
      </c>
      <c r="E406" s="17">
        <f>'12 - Device_Configuration'!J407</f>
        <v>0</v>
      </c>
      <c r="F406" s="31">
        <f>'12 - Device_Configuration'!K407</f>
        <v>0</v>
      </c>
      <c r="G406" s="17">
        <f>'12 - Device_Configuration'!L407</f>
        <v>0</v>
      </c>
      <c r="H406" s="17">
        <f>'13 - Config_Intake_View'!M406</f>
        <v>0</v>
      </c>
      <c r="I406" s="31">
        <f>IF('13 - Config_Intake_View'!Q406&lt;&gt;"",'13 - Config_Intake_View'!Q406,'12 - Device_Configuration'!BH407)</f>
        <v>0</v>
      </c>
      <c r="J406" s="17" t="str">
        <f>IF('13 - Config_Intake_View'!Q406&lt;&gt;"","PM Approved",IF('12 - Device_Configuration'!BH407&lt;&gt;"","Assumed",""))</f>
        <v/>
      </c>
      <c r="K406" s="31">
        <f>'12 - Device_Configuration'!BG407</f>
        <v>0</v>
      </c>
      <c r="L406" s="17">
        <f>'12 - Device_Configuration'!P407</f>
        <v>0</v>
      </c>
      <c r="M406" s="17">
        <f>'12 - Device_Configuration'!Q407</f>
        <v>0</v>
      </c>
      <c r="N406" s="17" t="str">
        <f>'12 - Device_Configuration'!BK407</f>
        <v/>
      </c>
      <c r="O406" s="31" t="str">
        <f>'12 - Device_Configuration'!BL407</f>
        <v/>
      </c>
      <c r="P406" s="2">
        <f>'12 - Device_Configuration'!BA407</f>
        <v>0</v>
      </c>
      <c r="Q406" s="31" t="str">
        <f t="shared" si="24"/>
        <v/>
      </c>
      <c r="R406" s="17" t="str">
        <f t="shared" si="25"/>
        <v>SW NOT INSTALLED</v>
      </c>
      <c r="S406" s="17" t="str">
        <f t="shared" si="26"/>
        <v/>
      </c>
      <c r="T406" s="17" t="str">
        <f t="shared" si="27"/>
        <v>SW NOT INSTALLED</v>
      </c>
    </row>
    <row r="407" spans="1:20">
      <c r="A407" s="31">
        <f>'12 - Device_Configuration'!H408</f>
        <v>0</v>
      </c>
      <c r="B407" s="31">
        <f>'12 - Device_Configuration'!S408</f>
        <v>0</v>
      </c>
      <c r="C407" s="31">
        <f>'12 - Device_Configuration'!T408</f>
        <v>0</v>
      </c>
      <c r="D407" s="17">
        <f>'12 - Device_Configuration'!AJ408</f>
        <v>0</v>
      </c>
      <c r="E407" s="17">
        <f>'12 - Device_Configuration'!J408</f>
        <v>0</v>
      </c>
      <c r="F407" s="31">
        <f>'12 - Device_Configuration'!K408</f>
        <v>0</v>
      </c>
      <c r="G407" s="17">
        <f>'12 - Device_Configuration'!L408</f>
        <v>0</v>
      </c>
      <c r="H407" s="17">
        <f>'13 - Config_Intake_View'!M407</f>
        <v>0</v>
      </c>
      <c r="I407" s="31">
        <f>IF('13 - Config_Intake_View'!Q407&lt;&gt;"",'13 - Config_Intake_View'!Q407,'12 - Device_Configuration'!BH408)</f>
        <v>0</v>
      </c>
      <c r="J407" s="17" t="str">
        <f>IF('13 - Config_Intake_View'!Q407&lt;&gt;"","PM Approved",IF('12 - Device_Configuration'!BH408&lt;&gt;"","Assumed",""))</f>
        <v/>
      </c>
      <c r="K407" s="31">
        <f>'12 - Device_Configuration'!BG408</f>
        <v>0</v>
      </c>
      <c r="L407" s="17">
        <f>'12 - Device_Configuration'!P408</f>
        <v>0</v>
      </c>
      <c r="M407" s="17">
        <f>'12 - Device_Configuration'!Q408</f>
        <v>0</v>
      </c>
      <c r="N407" s="17" t="str">
        <f>'12 - Device_Configuration'!BK408</f>
        <v/>
      </c>
      <c r="O407" s="31" t="str">
        <f>'12 - Device_Configuration'!BL408</f>
        <v/>
      </c>
      <c r="P407" s="2">
        <f>'12 - Device_Configuration'!BA408</f>
        <v>0</v>
      </c>
      <c r="Q407" s="31" t="str">
        <f t="shared" si="24"/>
        <v/>
      </c>
      <c r="R407" s="17" t="str">
        <f t="shared" si="25"/>
        <v>SW NOT INSTALLED</v>
      </c>
      <c r="S407" s="17" t="str">
        <f t="shared" si="26"/>
        <v/>
      </c>
      <c r="T407" s="17" t="str">
        <f t="shared" si="27"/>
        <v>SW NOT INSTALLED</v>
      </c>
    </row>
    <row r="408" spans="1:20">
      <c r="A408" s="31">
        <f>'12 - Device_Configuration'!H409</f>
        <v>0</v>
      </c>
      <c r="B408" s="31">
        <f>'12 - Device_Configuration'!S409</f>
        <v>0</v>
      </c>
      <c r="C408" s="31">
        <f>'12 - Device_Configuration'!T409</f>
        <v>0</v>
      </c>
      <c r="D408" s="17">
        <f>'12 - Device_Configuration'!AJ409</f>
        <v>0</v>
      </c>
      <c r="E408" s="17">
        <f>'12 - Device_Configuration'!J409</f>
        <v>0</v>
      </c>
      <c r="F408" s="31">
        <f>'12 - Device_Configuration'!K409</f>
        <v>0</v>
      </c>
      <c r="G408" s="17">
        <f>'12 - Device_Configuration'!L409</f>
        <v>0</v>
      </c>
      <c r="H408" s="17">
        <f>'13 - Config_Intake_View'!M408</f>
        <v>0</v>
      </c>
      <c r="I408" s="31">
        <f>IF('13 - Config_Intake_View'!Q408&lt;&gt;"",'13 - Config_Intake_View'!Q408,'12 - Device_Configuration'!BH409)</f>
        <v>0</v>
      </c>
      <c r="J408" s="17" t="str">
        <f>IF('13 - Config_Intake_View'!Q408&lt;&gt;"","PM Approved",IF('12 - Device_Configuration'!BH409&lt;&gt;"","Assumed",""))</f>
        <v/>
      </c>
      <c r="K408" s="31">
        <f>'12 - Device_Configuration'!BG409</f>
        <v>0</v>
      </c>
      <c r="L408" s="17">
        <f>'12 - Device_Configuration'!P409</f>
        <v>0</v>
      </c>
      <c r="M408" s="17">
        <f>'12 - Device_Configuration'!Q409</f>
        <v>0</v>
      </c>
      <c r="N408" s="17" t="str">
        <f>'12 - Device_Configuration'!BK409</f>
        <v/>
      </c>
      <c r="O408" s="31" t="str">
        <f>'12 - Device_Configuration'!BL409</f>
        <v/>
      </c>
      <c r="P408" s="2">
        <f>'12 - Device_Configuration'!BA409</f>
        <v>0</v>
      </c>
      <c r="Q408" s="31" t="str">
        <f t="shared" si="24"/>
        <v/>
      </c>
      <c r="R408" s="17" t="str">
        <f t="shared" si="25"/>
        <v>SW NOT INSTALLED</v>
      </c>
      <c r="S408" s="17" t="str">
        <f t="shared" si="26"/>
        <v/>
      </c>
      <c r="T408" s="17" t="str">
        <f t="shared" si="27"/>
        <v>SW NOT INSTALLED</v>
      </c>
    </row>
    <row r="409" spans="1:20">
      <c r="A409" s="31">
        <f>'12 - Device_Configuration'!H410</f>
        <v>0</v>
      </c>
      <c r="B409" s="31">
        <f>'12 - Device_Configuration'!S410</f>
        <v>0</v>
      </c>
      <c r="C409" s="31">
        <f>'12 - Device_Configuration'!T410</f>
        <v>0</v>
      </c>
      <c r="D409" s="17">
        <f>'12 - Device_Configuration'!AJ410</f>
        <v>0</v>
      </c>
      <c r="E409" s="17">
        <f>'12 - Device_Configuration'!J410</f>
        <v>0</v>
      </c>
      <c r="F409" s="31">
        <f>'12 - Device_Configuration'!K410</f>
        <v>0</v>
      </c>
      <c r="G409" s="17">
        <f>'12 - Device_Configuration'!L410</f>
        <v>0</v>
      </c>
      <c r="H409" s="17">
        <f>'13 - Config_Intake_View'!M409</f>
        <v>0</v>
      </c>
      <c r="I409" s="31">
        <f>IF('13 - Config_Intake_View'!Q409&lt;&gt;"",'13 - Config_Intake_View'!Q409,'12 - Device_Configuration'!BH410)</f>
        <v>0</v>
      </c>
      <c r="J409" s="17" t="str">
        <f>IF('13 - Config_Intake_View'!Q409&lt;&gt;"","PM Approved",IF('12 - Device_Configuration'!BH410&lt;&gt;"","Assumed",""))</f>
        <v/>
      </c>
      <c r="K409" s="31">
        <f>'12 - Device_Configuration'!BG410</f>
        <v>0</v>
      </c>
      <c r="L409" s="17">
        <f>'12 - Device_Configuration'!P410</f>
        <v>0</v>
      </c>
      <c r="M409" s="17">
        <f>'12 - Device_Configuration'!Q410</f>
        <v>0</v>
      </c>
      <c r="N409" s="17" t="str">
        <f>'12 - Device_Configuration'!BK410</f>
        <v/>
      </c>
      <c r="O409" s="31" t="str">
        <f>'12 - Device_Configuration'!BL410</f>
        <v/>
      </c>
      <c r="P409" s="2">
        <f>'12 - Device_Configuration'!BA410</f>
        <v>0</v>
      </c>
      <c r="Q409" s="31" t="str">
        <f t="shared" si="24"/>
        <v/>
      </c>
      <c r="R409" s="17" t="str">
        <f t="shared" si="25"/>
        <v>SW NOT INSTALLED</v>
      </c>
      <c r="S409" s="17" t="str">
        <f t="shared" si="26"/>
        <v/>
      </c>
      <c r="T409" s="17" t="str">
        <f t="shared" si="27"/>
        <v>SW NOT INSTALLED</v>
      </c>
    </row>
    <row r="410" spans="1:20">
      <c r="A410" s="31">
        <f>'12 - Device_Configuration'!H411</f>
        <v>0</v>
      </c>
      <c r="B410" s="31">
        <f>'12 - Device_Configuration'!S411</f>
        <v>0</v>
      </c>
      <c r="C410" s="31">
        <f>'12 - Device_Configuration'!T411</f>
        <v>0</v>
      </c>
      <c r="D410" s="17">
        <f>'12 - Device_Configuration'!AJ411</f>
        <v>0</v>
      </c>
      <c r="E410" s="17">
        <f>'12 - Device_Configuration'!J411</f>
        <v>0</v>
      </c>
      <c r="F410" s="31">
        <f>'12 - Device_Configuration'!K411</f>
        <v>0</v>
      </c>
      <c r="G410" s="17">
        <f>'12 - Device_Configuration'!L411</f>
        <v>0</v>
      </c>
      <c r="H410" s="17">
        <f>'13 - Config_Intake_View'!M410</f>
        <v>0</v>
      </c>
      <c r="I410" s="31">
        <f>IF('13 - Config_Intake_View'!Q410&lt;&gt;"",'13 - Config_Intake_View'!Q410,'12 - Device_Configuration'!BH411)</f>
        <v>0</v>
      </c>
      <c r="J410" s="17" t="str">
        <f>IF('13 - Config_Intake_View'!Q410&lt;&gt;"","PM Approved",IF('12 - Device_Configuration'!BH411&lt;&gt;"","Assumed",""))</f>
        <v/>
      </c>
      <c r="K410" s="31">
        <f>'12 - Device_Configuration'!BG411</f>
        <v>0</v>
      </c>
      <c r="L410" s="17">
        <f>'12 - Device_Configuration'!P411</f>
        <v>0</v>
      </c>
      <c r="M410" s="17">
        <f>'12 - Device_Configuration'!Q411</f>
        <v>0</v>
      </c>
      <c r="N410" s="17" t="str">
        <f>'12 - Device_Configuration'!BK411</f>
        <v/>
      </c>
      <c r="O410" s="31" t="str">
        <f>'12 - Device_Configuration'!BL411</f>
        <v/>
      </c>
      <c r="P410" s="2">
        <f>'12 - Device_Configuration'!BA411</f>
        <v>0</v>
      </c>
      <c r="Q410" s="31" t="str">
        <f t="shared" si="24"/>
        <v/>
      </c>
      <c r="R410" s="17" t="str">
        <f t="shared" si="25"/>
        <v>SW NOT INSTALLED</v>
      </c>
      <c r="S410" s="17" t="str">
        <f t="shared" si="26"/>
        <v/>
      </c>
      <c r="T410" s="17" t="str">
        <f t="shared" si="27"/>
        <v>SW NOT INSTALLED</v>
      </c>
    </row>
    <row r="411" spans="1:20">
      <c r="A411" s="31">
        <f>'12 - Device_Configuration'!H412</f>
        <v>0</v>
      </c>
      <c r="B411" s="31">
        <f>'12 - Device_Configuration'!S412</f>
        <v>0</v>
      </c>
      <c r="C411" s="31">
        <f>'12 - Device_Configuration'!T412</f>
        <v>0</v>
      </c>
      <c r="D411" s="17">
        <f>'12 - Device_Configuration'!AJ412</f>
        <v>0</v>
      </c>
      <c r="E411" s="17">
        <f>'12 - Device_Configuration'!J412</f>
        <v>0</v>
      </c>
      <c r="F411" s="31">
        <f>'12 - Device_Configuration'!K412</f>
        <v>0</v>
      </c>
      <c r="G411" s="17">
        <f>'12 - Device_Configuration'!L412</f>
        <v>0</v>
      </c>
      <c r="H411" s="17">
        <f>'13 - Config_Intake_View'!M411</f>
        <v>0</v>
      </c>
      <c r="I411" s="31">
        <f>IF('13 - Config_Intake_View'!Q411&lt;&gt;"",'13 - Config_Intake_View'!Q411,'12 - Device_Configuration'!BH412)</f>
        <v>0</v>
      </c>
      <c r="J411" s="17" t="str">
        <f>IF('13 - Config_Intake_View'!Q411&lt;&gt;"","PM Approved",IF('12 - Device_Configuration'!BH412&lt;&gt;"","Assumed",""))</f>
        <v/>
      </c>
      <c r="K411" s="31">
        <f>'12 - Device_Configuration'!BG412</f>
        <v>0</v>
      </c>
      <c r="L411" s="17">
        <f>'12 - Device_Configuration'!P412</f>
        <v>0</v>
      </c>
      <c r="M411" s="17">
        <f>'12 - Device_Configuration'!Q412</f>
        <v>0</v>
      </c>
      <c r="N411" s="17" t="str">
        <f>'12 - Device_Configuration'!BK412</f>
        <v/>
      </c>
      <c r="O411" s="31" t="str">
        <f>'12 - Device_Configuration'!BL412</f>
        <v/>
      </c>
      <c r="P411" s="2">
        <f>'12 - Device_Configuration'!BA412</f>
        <v>0</v>
      </c>
      <c r="Q411" s="31" t="str">
        <f t="shared" si="24"/>
        <v/>
      </c>
      <c r="R411" s="17" t="str">
        <f t="shared" si="25"/>
        <v>SW NOT INSTALLED</v>
      </c>
      <c r="S411" s="17" t="str">
        <f t="shared" si="26"/>
        <v/>
      </c>
      <c r="T411" s="17" t="str">
        <f t="shared" si="27"/>
        <v>SW NOT INSTALLED</v>
      </c>
    </row>
    <row r="412" spans="1:20">
      <c r="A412" s="31">
        <f>'12 - Device_Configuration'!H413</f>
        <v>0</v>
      </c>
      <c r="B412" s="31">
        <f>'12 - Device_Configuration'!S413</f>
        <v>0</v>
      </c>
      <c r="C412" s="31">
        <f>'12 - Device_Configuration'!T413</f>
        <v>0</v>
      </c>
      <c r="D412" s="17">
        <f>'12 - Device_Configuration'!AJ413</f>
        <v>0</v>
      </c>
      <c r="E412" s="17">
        <f>'12 - Device_Configuration'!J413</f>
        <v>0</v>
      </c>
      <c r="F412" s="31">
        <f>'12 - Device_Configuration'!K413</f>
        <v>0</v>
      </c>
      <c r="G412" s="17">
        <f>'12 - Device_Configuration'!L413</f>
        <v>0</v>
      </c>
      <c r="H412" s="17">
        <f>'13 - Config_Intake_View'!M412</f>
        <v>0</v>
      </c>
      <c r="I412" s="31">
        <f>IF('13 - Config_Intake_View'!Q412&lt;&gt;"",'13 - Config_Intake_View'!Q412,'12 - Device_Configuration'!BH413)</f>
        <v>0</v>
      </c>
      <c r="J412" s="17" t="str">
        <f>IF('13 - Config_Intake_View'!Q412&lt;&gt;"","PM Approved",IF('12 - Device_Configuration'!BH413&lt;&gt;"","Assumed",""))</f>
        <v/>
      </c>
      <c r="K412" s="31">
        <f>'12 - Device_Configuration'!BG413</f>
        <v>0</v>
      </c>
      <c r="L412" s="17">
        <f>'12 - Device_Configuration'!P413</f>
        <v>0</v>
      </c>
      <c r="M412" s="17">
        <f>'12 - Device_Configuration'!Q413</f>
        <v>0</v>
      </c>
      <c r="N412" s="17" t="str">
        <f>'12 - Device_Configuration'!BK413</f>
        <v/>
      </c>
      <c r="O412" s="31" t="str">
        <f>'12 - Device_Configuration'!BL413</f>
        <v/>
      </c>
      <c r="P412" s="2">
        <f>'12 - Device_Configuration'!BA413</f>
        <v>0</v>
      </c>
      <c r="Q412" s="31" t="str">
        <f t="shared" si="24"/>
        <v/>
      </c>
      <c r="R412" s="17" t="str">
        <f t="shared" si="25"/>
        <v>SW NOT INSTALLED</v>
      </c>
      <c r="S412" s="17" t="str">
        <f t="shared" si="26"/>
        <v/>
      </c>
      <c r="T412" s="17" t="str">
        <f t="shared" si="27"/>
        <v>SW NOT INSTALLED</v>
      </c>
    </row>
    <row r="413" spans="1:20">
      <c r="A413" s="31">
        <f>'12 - Device_Configuration'!H414</f>
        <v>0</v>
      </c>
      <c r="B413" s="31">
        <f>'12 - Device_Configuration'!S414</f>
        <v>0</v>
      </c>
      <c r="C413" s="31">
        <f>'12 - Device_Configuration'!T414</f>
        <v>0</v>
      </c>
      <c r="D413" s="17">
        <f>'12 - Device_Configuration'!AJ414</f>
        <v>0</v>
      </c>
      <c r="E413" s="17">
        <f>'12 - Device_Configuration'!J414</f>
        <v>0</v>
      </c>
      <c r="F413" s="31">
        <f>'12 - Device_Configuration'!K414</f>
        <v>0</v>
      </c>
      <c r="G413" s="17">
        <f>'12 - Device_Configuration'!L414</f>
        <v>0</v>
      </c>
      <c r="H413" s="17">
        <f>'13 - Config_Intake_View'!M413</f>
        <v>0</v>
      </c>
      <c r="I413" s="31">
        <f>IF('13 - Config_Intake_View'!Q413&lt;&gt;"",'13 - Config_Intake_View'!Q413,'12 - Device_Configuration'!BH414)</f>
        <v>0</v>
      </c>
      <c r="J413" s="17" t="str">
        <f>IF('13 - Config_Intake_View'!Q413&lt;&gt;"","PM Approved",IF('12 - Device_Configuration'!BH414&lt;&gt;"","Assumed",""))</f>
        <v/>
      </c>
      <c r="K413" s="31">
        <f>'12 - Device_Configuration'!BG414</f>
        <v>0</v>
      </c>
      <c r="L413" s="17">
        <f>'12 - Device_Configuration'!P414</f>
        <v>0</v>
      </c>
      <c r="M413" s="17">
        <f>'12 - Device_Configuration'!Q414</f>
        <v>0</v>
      </c>
      <c r="N413" s="17" t="str">
        <f>'12 - Device_Configuration'!BK414</f>
        <v/>
      </c>
      <c r="O413" s="31" t="str">
        <f>'12 - Device_Configuration'!BL414</f>
        <v/>
      </c>
      <c r="P413" s="2">
        <f>'12 - Device_Configuration'!BA414</f>
        <v>0</v>
      </c>
      <c r="Q413" s="31" t="str">
        <f t="shared" si="24"/>
        <v/>
      </c>
      <c r="R413" s="17" t="str">
        <f t="shared" si="25"/>
        <v>SW NOT INSTALLED</v>
      </c>
      <c r="S413" s="17" t="str">
        <f t="shared" si="26"/>
        <v/>
      </c>
      <c r="T413" s="17" t="str">
        <f t="shared" si="27"/>
        <v>SW NOT INSTALLED</v>
      </c>
    </row>
    <row r="414" spans="1:20">
      <c r="A414" s="31">
        <f>'12 - Device_Configuration'!H415</f>
        <v>0</v>
      </c>
      <c r="B414" s="31">
        <f>'12 - Device_Configuration'!S415</f>
        <v>0</v>
      </c>
      <c r="C414" s="31">
        <f>'12 - Device_Configuration'!T415</f>
        <v>0</v>
      </c>
      <c r="D414" s="17">
        <f>'12 - Device_Configuration'!AJ415</f>
        <v>0</v>
      </c>
      <c r="E414" s="17">
        <f>'12 - Device_Configuration'!J415</f>
        <v>0</v>
      </c>
      <c r="F414" s="31">
        <f>'12 - Device_Configuration'!K415</f>
        <v>0</v>
      </c>
      <c r="G414" s="17">
        <f>'12 - Device_Configuration'!L415</f>
        <v>0</v>
      </c>
      <c r="H414" s="17">
        <f>'13 - Config_Intake_View'!M414</f>
        <v>0</v>
      </c>
      <c r="I414" s="31">
        <f>IF('13 - Config_Intake_View'!Q414&lt;&gt;"",'13 - Config_Intake_View'!Q414,'12 - Device_Configuration'!BH415)</f>
        <v>0</v>
      </c>
      <c r="J414" s="17" t="str">
        <f>IF('13 - Config_Intake_View'!Q414&lt;&gt;"","PM Approved",IF('12 - Device_Configuration'!BH415&lt;&gt;"","Assumed",""))</f>
        <v/>
      </c>
      <c r="K414" s="31">
        <f>'12 - Device_Configuration'!BG415</f>
        <v>0</v>
      </c>
      <c r="L414" s="17">
        <f>'12 - Device_Configuration'!P415</f>
        <v>0</v>
      </c>
      <c r="M414" s="17">
        <f>'12 - Device_Configuration'!Q415</f>
        <v>0</v>
      </c>
      <c r="N414" s="17" t="str">
        <f>'12 - Device_Configuration'!BK415</f>
        <v/>
      </c>
      <c r="O414" s="31" t="str">
        <f>'12 - Device_Configuration'!BL415</f>
        <v/>
      </c>
      <c r="P414" s="2">
        <f>'12 - Device_Configuration'!BA415</f>
        <v>0</v>
      </c>
      <c r="Q414" s="31" t="str">
        <f t="shared" si="24"/>
        <v/>
      </c>
      <c r="R414" s="17" t="str">
        <f t="shared" si="25"/>
        <v>SW NOT INSTALLED</v>
      </c>
      <c r="S414" s="17" t="str">
        <f t="shared" si="26"/>
        <v/>
      </c>
      <c r="T414" s="17" t="str">
        <f t="shared" si="27"/>
        <v>SW NOT INSTALLED</v>
      </c>
    </row>
    <row r="415" spans="1:20">
      <c r="A415" s="31">
        <f>'12 - Device_Configuration'!H416</f>
        <v>0</v>
      </c>
      <c r="B415" s="31">
        <f>'12 - Device_Configuration'!S416</f>
        <v>0</v>
      </c>
      <c r="C415" s="31">
        <f>'12 - Device_Configuration'!T416</f>
        <v>0</v>
      </c>
      <c r="D415" s="17">
        <f>'12 - Device_Configuration'!AJ416</f>
        <v>0</v>
      </c>
      <c r="E415" s="17">
        <f>'12 - Device_Configuration'!J416</f>
        <v>0</v>
      </c>
      <c r="F415" s="31">
        <f>'12 - Device_Configuration'!K416</f>
        <v>0</v>
      </c>
      <c r="G415" s="17">
        <f>'12 - Device_Configuration'!L416</f>
        <v>0</v>
      </c>
      <c r="H415" s="17">
        <f>'13 - Config_Intake_View'!M415</f>
        <v>0</v>
      </c>
      <c r="I415" s="31">
        <f>IF('13 - Config_Intake_View'!Q415&lt;&gt;"",'13 - Config_Intake_View'!Q415,'12 - Device_Configuration'!BH416)</f>
        <v>0</v>
      </c>
      <c r="J415" s="17" t="str">
        <f>IF('13 - Config_Intake_View'!Q415&lt;&gt;"","PM Approved",IF('12 - Device_Configuration'!BH416&lt;&gt;"","Assumed",""))</f>
        <v/>
      </c>
      <c r="K415" s="31">
        <f>'12 - Device_Configuration'!BG416</f>
        <v>0</v>
      </c>
      <c r="L415" s="17">
        <f>'12 - Device_Configuration'!P416</f>
        <v>0</v>
      </c>
      <c r="M415" s="17">
        <f>'12 - Device_Configuration'!Q416</f>
        <v>0</v>
      </c>
      <c r="N415" s="17" t="str">
        <f>'12 - Device_Configuration'!BK416</f>
        <v/>
      </c>
      <c r="O415" s="31" t="str">
        <f>'12 - Device_Configuration'!BL416</f>
        <v/>
      </c>
      <c r="P415" s="2">
        <f>'12 - Device_Configuration'!BA416</f>
        <v>0</v>
      </c>
      <c r="Q415" s="31" t="str">
        <f t="shared" si="24"/>
        <v/>
      </c>
      <c r="R415" s="17" t="str">
        <f t="shared" si="25"/>
        <v>SW NOT INSTALLED</v>
      </c>
      <c r="S415" s="17" t="str">
        <f t="shared" si="26"/>
        <v/>
      </c>
      <c r="T415" s="17" t="str">
        <f t="shared" si="27"/>
        <v>SW NOT INSTALLED</v>
      </c>
    </row>
    <row r="416" spans="1:20">
      <c r="A416" s="31">
        <f>'12 - Device_Configuration'!H417</f>
        <v>0</v>
      </c>
      <c r="B416" s="31">
        <f>'12 - Device_Configuration'!S417</f>
        <v>0</v>
      </c>
      <c r="C416" s="31">
        <f>'12 - Device_Configuration'!T417</f>
        <v>0</v>
      </c>
      <c r="D416" s="17">
        <f>'12 - Device_Configuration'!AJ417</f>
        <v>0</v>
      </c>
      <c r="E416" s="17">
        <f>'12 - Device_Configuration'!J417</f>
        <v>0</v>
      </c>
      <c r="F416" s="31">
        <f>'12 - Device_Configuration'!K417</f>
        <v>0</v>
      </c>
      <c r="G416" s="17">
        <f>'12 - Device_Configuration'!L417</f>
        <v>0</v>
      </c>
      <c r="H416" s="17">
        <f>'13 - Config_Intake_View'!M416</f>
        <v>0</v>
      </c>
      <c r="I416" s="31">
        <f>IF('13 - Config_Intake_View'!Q416&lt;&gt;"",'13 - Config_Intake_View'!Q416,'12 - Device_Configuration'!BH417)</f>
        <v>0</v>
      </c>
      <c r="J416" s="17" t="str">
        <f>IF('13 - Config_Intake_View'!Q416&lt;&gt;"","PM Approved",IF('12 - Device_Configuration'!BH417&lt;&gt;"","Assumed",""))</f>
        <v/>
      </c>
      <c r="K416" s="31">
        <f>'12 - Device_Configuration'!BG417</f>
        <v>0</v>
      </c>
      <c r="L416" s="17">
        <f>'12 - Device_Configuration'!P417</f>
        <v>0</v>
      </c>
      <c r="M416" s="17">
        <f>'12 - Device_Configuration'!Q417</f>
        <v>0</v>
      </c>
      <c r="N416" s="17" t="str">
        <f>'12 - Device_Configuration'!BK417</f>
        <v/>
      </c>
      <c r="O416" s="31" t="str">
        <f>'12 - Device_Configuration'!BL417</f>
        <v/>
      </c>
      <c r="P416" s="2">
        <f>'12 - Device_Configuration'!BA417</f>
        <v>0</v>
      </c>
      <c r="Q416" s="31" t="str">
        <f t="shared" si="24"/>
        <v/>
      </c>
      <c r="R416" s="17" t="str">
        <f t="shared" si="25"/>
        <v>SW NOT INSTALLED</v>
      </c>
      <c r="S416" s="17" t="str">
        <f t="shared" si="26"/>
        <v/>
      </c>
      <c r="T416" s="17" t="str">
        <f t="shared" si="27"/>
        <v>SW NOT INSTALLED</v>
      </c>
    </row>
    <row r="417" spans="1:20">
      <c r="A417" s="31">
        <f>'12 - Device_Configuration'!H418</f>
        <v>0</v>
      </c>
      <c r="B417" s="31">
        <f>'12 - Device_Configuration'!S418</f>
        <v>0</v>
      </c>
      <c r="C417" s="31">
        <f>'12 - Device_Configuration'!T418</f>
        <v>0</v>
      </c>
      <c r="D417" s="17">
        <f>'12 - Device_Configuration'!AJ418</f>
        <v>0</v>
      </c>
      <c r="E417" s="17">
        <f>'12 - Device_Configuration'!J418</f>
        <v>0</v>
      </c>
      <c r="F417" s="31">
        <f>'12 - Device_Configuration'!K418</f>
        <v>0</v>
      </c>
      <c r="G417" s="17">
        <f>'12 - Device_Configuration'!L418</f>
        <v>0</v>
      </c>
      <c r="H417" s="17">
        <f>'13 - Config_Intake_View'!M417</f>
        <v>0</v>
      </c>
      <c r="I417" s="31">
        <f>IF('13 - Config_Intake_View'!Q417&lt;&gt;"",'13 - Config_Intake_View'!Q417,'12 - Device_Configuration'!BH418)</f>
        <v>0</v>
      </c>
      <c r="J417" s="17" t="str">
        <f>IF('13 - Config_Intake_View'!Q417&lt;&gt;"","PM Approved",IF('12 - Device_Configuration'!BH418&lt;&gt;"","Assumed",""))</f>
        <v/>
      </c>
      <c r="K417" s="31">
        <f>'12 - Device_Configuration'!BG418</f>
        <v>0</v>
      </c>
      <c r="L417" s="17">
        <f>'12 - Device_Configuration'!P418</f>
        <v>0</v>
      </c>
      <c r="M417" s="17">
        <f>'12 - Device_Configuration'!Q418</f>
        <v>0</v>
      </c>
      <c r="N417" s="17" t="str">
        <f>'12 - Device_Configuration'!BK418</f>
        <v/>
      </c>
      <c r="O417" s="31" t="str">
        <f>'12 - Device_Configuration'!BL418</f>
        <v/>
      </c>
      <c r="P417" s="2">
        <f>'12 - Device_Configuration'!BA418</f>
        <v>0</v>
      </c>
      <c r="Q417" s="31" t="str">
        <f t="shared" si="24"/>
        <v/>
      </c>
      <c r="R417" s="17" t="str">
        <f t="shared" si="25"/>
        <v>SW NOT INSTALLED</v>
      </c>
      <c r="S417" s="17" t="str">
        <f t="shared" si="26"/>
        <v/>
      </c>
      <c r="T417" s="17" t="str">
        <f t="shared" si="27"/>
        <v>SW NOT INSTALLED</v>
      </c>
    </row>
    <row r="418" spans="1:20">
      <c r="A418" s="31">
        <f>'12 - Device_Configuration'!H419</f>
        <v>0</v>
      </c>
      <c r="B418" s="31">
        <f>'12 - Device_Configuration'!S419</f>
        <v>0</v>
      </c>
      <c r="C418" s="31">
        <f>'12 - Device_Configuration'!T419</f>
        <v>0</v>
      </c>
      <c r="D418" s="17">
        <f>'12 - Device_Configuration'!AJ419</f>
        <v>0</v>
      </c>
      <c r="E418" s="17">
        <f>'12 - Device_Configuration'!J419</f>
        <v>0</v>
      </c>
      <c r="F418" s="31">
        <f>'12 - Device_Configuration'!K419</f>
        <v>0</v>
      </c>
      <c r="G418" s="17">
        <f>'12 - Device_Configuration'!L419</f>
        <v>0</v>
      </c>
      <c r="H418" s="17">
        <f>'13 - Config_Intake_View'!M418</f>
        <v>0</v>
      </c>
      <c r="I418" s="31">
        <f>IF('13 - Config_Intake_View'!Q418&lt;&gt;"",'13 - Config_Intake_View'!Q418,'12 - Device_Configuration'!BH419)</f>
        <v>0</v>
      </c>
      <c r="J418" s="17" t="str">
        <f>IF('13 - Config_Intake_View'!Q418&lt;&gt;"","PM Approved",IF('12 - Device_Configuration'!BH419&lt;&gt;"","Assumed",""))</f>
        <v/>
      </c>
      <c r="K418" s="31">
        <f>'12 - Device_Configuration'!BG419</f>
        <v>0</v>
      </c>
      <c r="L418" s="17">
        <f>'12 - Device_Configuration'!P419</f>
        <v>0</v>
      </c>
      <c r="M418" s="17">
        <f>'12 - Device_Configuration'!Q419</f>
        <v>0</v>
      </c>
      <c r="N418" s="17" t="str">
        <f>'12 - Device_Configuration'!BK419</f>
        <v/>
      </c>
      <c r="O418" s="31" t="str">
        <f>'12 - Device_Configuration'!BL419</f>
        <v/>
      </c>
      <c r="P418" s="2">
        <f>'12 - Device_Configuration'!BA419</f>
        <v>0</v>
      </c>
      <c r="Q418" s="31" t="str">
        <f t="shared" si="24"/>
        <v/>
      </c>
      <c r="R418" s="17" t="str">
        <f t="shared" si="25"/>
        <v>SW NOT INSTALLED</v>
      </c>
      <c r="S418" s="17" t="str">
        <f t="shared" si="26"/>
        <v/>
      </c>
      <c r="T418" s="17" t="str">
        <f t="shared" si="27"/>
        <v>SW NOT INSTALLED</v>
      </c>
    </row>
    <row r="419" spans="1:20">
      <c r="A419" s="31">
        <f>'12 - Device_Configuration'!H420</f>
        <v>0</v>
      </c>
      <c r="B419" s="31">
        <f>'12 - Device_Configuration'!S420</f>
        <v>0</v>
      </c>
      <c r="C419" s="31">
        <f>'12 - Device_Configuration'!T420</f>
        <v>0</v>
      </c>
      <c r="D419" s="17">
        <f>'12 - Device_Configuration'!AJ420</f>
        <v>0</v>
      </c>
      <c r="E419" s="17">
        <f>'12 - Device_Configuration'!J420</f>
        <v>0</v>
      </c>
      <c r="F419" s="31">
        <f>'12 - Device_Configuration'!K420</f>
        <v>0</v>
      </c>
      <c r="G419" s="17">
        <f>'12 - Device_Configuration'!L420</f>
        <v>0</v>
      </c>
      <c r="H419" s="17">
        <f>'13 - Config_Intake_View'!M419</f>
        <v>0</v>
      </c>
      <c r="I419" s="31">
        <f>IF('13 - Config_Intake_View'!Q419&lt;&gt;"",'13 - Config_Intake_View'!Q419,'12 - Device_Configuration'!BH420)</f>
        <v>0</v>
      </c>
      <c r="J419" s="17" t="str">
        <f>IF('13 - Config_Intake_View'!Q419&lt;&gt;"","PM Approved",IF('12 - Device_Configuration'!BH420&lt;&gt;"","Assumed",""))</f>
        <v/>
      </c>
      <c r="K419" s="31">
        <f>'12 - Device_Configuration'!BG420</f>
        <v>0</v>
      </c>
      <c r="L419" s="17">
        <f>'12 - Device_Configuration'!P420</f>
        <v>0</v>
      </c>
      <c r="M419" s="17">
        <f>'12 - Device_Configuration'!Q420</f>
        <v>0</v>
      </c>
      <c r="N419" s="17" t="str">
        <f>'12 - Device_Configuration'!BK420</f>
        <v/>
      </c>
      <c r="O419" s="31" t="str">
        <f>'12 - Device_Configuration'!BL420</f>
        <v/>
      </c>
      <c r="P419" s="2">
        <f>'12 - Device_Configuration'!BA420</f>
        <v>0</v>
      </c>
      <c r="Q419" s="31" t="str">
        <f t="shared" si="24"/>
        <v/>
      </c>
      <c r="R419" s="17" t="str">
        <f t="shared" si="25"/>
        <v>SW NOT INSTALLED</v>
      </c>
      <c r="S419" s="17" t="str">
        <f t="shared" si="26"/>
        <v/>
      </c>
      <c r="T419" s="17" t="str">
        <f t="shared" si="27"/>
        <v>SW NOT INSTALLED</v>
      </c>
    </row>
    <row r="420" spans="1:20">
      <c r="A420" s="31">
        <f>'12 - Device_Configuration'!H421</f>
        <v>0</v>
      </c>
      <c r="B420" s="31">
        <f>'12 - Device_Configuration'!S421</f>
        <v>0</v>
      </c>
      <c r="C420" s="31">
        <f>'12 - Device_Configuration'!T421</f>
        <v>0</v>
      </c>
      <c r="D420" s="17">
        <f>'12 - Device_Configuration'!AJ421</f>
        <v>0</v>
      </c>
      <c r="E420" s="17">
        <f>'12 - Device_Configuration'!J421</f>
        <v>0</v>
      </c>
      <c r="F420" s="31">
        <f>'12 - Device_Configuration'!K421</f>
        <v>0</v>
      </c>
      <c r="G420" s="17">
        <f>'12 - Device_Configuration'!L421</f>
        <v>0</v>
      </c>
      <c r="H420" s="17">
        <f>'13 - Config_Intake_View'!M420</f>
        <v>0</v>
      </c>
      <c r="I420" s="31">
        <f>IF('13 - Config_Intake_View'!Q420&lt;&gt;"",'13 - Config_Intake_View'!Q420,'12 - Device_Configuration'!BH421)</f>
        <v>0</v>
      </c>
      <c r="J420" s="17" t="str">
        <f>IF('13 - Config_Intake_View'!Q420&lt;&gt;"","PM Approved",IF('12 - Device_Configuration'!BH421&lt;&gt;"","Assumed",""))</f>
        <v/>
      </c>
      <c r="K420" s="31">
        <f>'12 - Device_Configuration'!BG421</f>
        <v>0</v>
      </c>
      <c r="L420" s="17">
        <f>'12 - Device_Configuration'!P421</f>
        <v>0</v>
      </c>
      <c r="M420" s="17">
        <f>'12 - Device_Configuration'!Q421</f>
        <v>0</v>
      </c>
      <c r="N420" s="17" t="str">
        <f>'12 - Device_Configuration'!BK421</f>
        <v/>
      </c>
      <c r="O420" s="31" t="str">
        <f>'12 - Device_Configuration'!BL421</f>
        <v/>
      </c>
      <c r="P420" s="2">
        <f>'12 - Device_Configuration'!BA421</f>
        <v>0</v>
      </c>
      <c r="Q420" s="31" t="str">
        <f t="shared" si="24"/>
        <v/>
      </c>
      <c r="R420" s="17" t="str">
        <f t="shared" si="25"/>
        <v>SW NOT INSTALLED</v>
      </c>
      <c r="S420" s="17" t="str">
        <f t="shared" si="26"/>
        <v/>
      </c>
      <c r="T420" s="17" t="str">
        <f t="shared" si="27"/>
        <v>SW NOT INSTALLED</v>
      </c>
    </row>
    <row r="421" spans="1:20">
      <c r="A421" s="31">
        <f>'12 - Device_Configuration'!H422</f>
        <v>0</v>
      </c>
      <c r="B421" s="31">
        <f>'12 - Device_Configuration'!S422</f>
        <v>0</v>
      </c>
      <c r="C421" s="31">
        <f>'12 - Device_Configuration'!T422</f>
        <v>0</v>
      </c>
      <c r="D421" s="17">
        <f>'12 - Device_Configuration'!AJ422</f>
        <v>0</v>
      </c>
      <c r="E421" s="17">
        <f>'12 - Device_Configuration'!J422</f>
        <v>0</v>
      </c>
      <c r="F421" s="31">
        <f>'12 - Device_Configuration'!K422</f>
        <v>0</v>
      </c>
      <c r="G421" s="17">
        <f>'12 - Device_Configuration'!L422</f>
        <v>0</v>
      </c>
      <c r="H421" s="17">
        <f>'13 - Config_Intake_View'!M421</f>
        <v>0</v>
      </c>
      <c r="I421" s="31">
        <f>IF('13 - Config_Intake_View'!Q421&lt;&gt;"",'13 - Config_Intake_View'!Q421,'12 - Device_Configuration'!BH422)</f>
        <v>0</v>
      </c>
      <c r="J421" s="17" t="str">
        <f>IF('13 - Config_Intake_View'!Q421&lt;&gt;"","PM Approved",IF('12 - Device_Configuration'!BH422&lt;&gt;"","Assumed",""))</f>
        <v/>
      </c>
      <c r="K421" s="31">
        <f>'12 - Device_Configuration'!BG422</f>
        <v>0</v>
      </c>
      <c r="L421" s="17">
        <f>'12 - Device_Configuration'!P422</f>
        <v>0</v>
      </c>
      <c r="M421" s="17">
        <f>'12 - Device_Configuration'!Q422</f>
        <v>0</v>
      </c>
      <c r="N421" s="17" t="str">
        <f>'12 - Device_Configuration'!BK422</f>
        <v/>
      </c>
      <c r="O421" s="31" t="str">
        <f>'12 - Device_Configuration'!BL422</f>
        <v/>
      </c>
      <c r="P421" s="2">
        <f>'12 - Device_Configuration'!BA422</f>
        <v>0</v>
      </c>
      <c r="Q421" s="31" t="str">
        <f t="shared" si="24"/>
        <v/>
      </c>
      <c r="R421" s="17" t="str">
        <f t="shared" si="25"/>
        <v>SW NOT INSTALLED</v>
      </c>
      <c r="S421" s="17" t="str">
        <f t="shared" si="26"/>
        <v/>
      </c>
      <c r="T421" s="17" t="str">
        <f t="shared" si="27"/>
        <v>SW NOT INSTALLED</v>
      </c>
    </row>
    <row r="422" spans="1:20">
      <c r="A422" s="31">
        <f>'12 - Device_Configuration'!H423</f>
        <v>0</v>
      </c>
      <c r="B422" s="31">
        <f>'12 - Device_Configuration'!S423</f>
        <v>0</v>
      </c>
      <c r="C422" s="31">
        <f>'12 - Device_Configuration'!T423</f>
        <v>0</v>
      </c>
      <c r="D422" s="17">
        <f>'12 - Device_Configuration'!AJ423</f>
        <v>0</v>
      </c>
      <c r="E422" s="17">
        <f>'12 - Device_Configuration'!J423</f>
        <v>0</v>
      </c>
      <c r="F422" s="31">
        <f>'12 - Device_Configuration'!K423</f>
        <v>0</v>
      </c>
      <c r="G422" s="17">
        <f>'12 - Device_Configuration'!L423</f>
        <v>0</v>
      </c>
      <c r="H422" s="17">
        <f>'13 - Config_Intake_View'!M422</f>
        <v>0</v>
      </c>
      <c r="I422" s="31">
        <f>IF('13 - Config_Intake_View'!Q422&lt;&gt;"",'13 - Config_Intake_View'!Q422,'12 - Device_Configuration'!BH423)</f>
        <v>0</v>
      </c>
      <c r="J422" s="17" t="str">
        <f>IF('13 - Config_Intake_View'!Q422&lt;&gt;"","PM Approved",IF('12 - Device_Configuration'!BH423&lt;&gt;"","Assumed",""))</f>
        <v/>
      </c>
      <c r="K422" s="31">
        <f>'12 - Device_Configuration'!BG423</f>
        <v>0</v>
      </c>
      <c r="L422" s="17">
        <f>'12 - Device_Configuration'!P423</f>
        <v>0</v>
      </c>
      <c r="M422" s="17">
        <f>'12 - Device_Configuration'!Q423</f>
        <v>0</v>
      </c>
      <c r="N422" s="17" t="str">
        <f>'12 - Device_Configuration'!BK423</f>
        <v/>
      </c>
      <c r="O422" s="31" t="str">
        <f>'12 - Device_Configuration'!BL423</f>
        <v/>
      </c>
      <c r="P422" s="2">
        <f>'12 - Device_Configuration'!BA423</f>
        <v>0</v>
      </c>
      <c r="Q422" s="31" t="str">
        <f t="shared" si="24"/>
        <v/>
      </c>
      <c r="R422" s="17" t="str">
        <f t="shared" si="25"/>
        <v>SW NOT INSTALLED</v>
      </c>
      <c r="S422" s="17" t="str">
        <f t="shared" si="26"/>
        <v/>
      </c>
      <c r="T422" s="17" t="str">
        <f t="shared" si="27"/>
        <v>SW NOT INSTALLED</v>
      </c>
    </row>
    <row r="423" spans="1:20">
      <c r="A423" s="31">
        <f>'12 - Device_Configuration'!H424</f>
        <v>0</v>
      </c>
      <c r="B423" s="31">
        <f>'12 - Device_Configuration'!S424</f>
        <v>0</v>
      </c>
      <c r="C423" s="31">
        <f>'12 - Device_Configuration'!T424</f>
        <v>0</v>
      </c>
      <c r="D423" s="17">
        <f>'12 - Device_Configuration'!AJ424</f>
        <v>0</v>
      </c>
      <c r="E423" s="17">
        <f>'12 - Device_Configuration'!J424</f>
        <v>0</v>
      </c>
      <c r="F423" s="31">
        <f>'12 - Device_Configuration'!K424</f>
        <v>0</v>
      </c>
      <c r="G423" s="17">
        <f>'12 - Device_Configuration'!L424</f>
        <v>0</v>
      </c>
      <c r="H423" s="17">
        <f>'13 - Config_Intake_View'!M423</f>
        <v>0</v>
      </c>
      <c r="I423" s="31">
        <f>IF('13 - Config_Intake_View'!Q423&lt;&gt;"",'13 - Config_Intake_View'!Q423,'12 - Device_Configuration'!BH424)</f>
        <v>0</v>
      </c>
      <c r="J423" s="17" t="str">
        <f>IF('13 - Config_Intake_View'!Q423&lt;&gt;"","PM Approved",IF('12 - Device_Configuration'!BH424&lt;&gt;"","Assumed",""))</f>
        <v/>
      </c>
      <c r="K423" s="31">
        <f>'12 - Device_Configuration'!BG424</f>
        <v>0</v>
      </c>
      <c r="L423" s="17">
        <f>'12 - Device_Configuration'!P424</f>
        <v>0</v>
      </c>
      <c r="M423" s="17">
        <f>'12 - Device_Configuration'!Q424</f>
        <v>0</v>
      </c>
      <c r="N423" s="17" t="str">
        <f>'12 - Device_Configuration'!BK424</f>
        <v/>
      </c>
      <c r="O423" s="31" t="str">
        <f>'12 - Device_Configuration'!BL424</f>
        <v/>
      </c>
      <c r="P423" s="2">
        <f>'12 - Device_Configuration'!BA424</f>
        <v>0</v>
      </c>
      <c r="Q423" s="31" t="str">
        <f t="shared" si="24"/>
        <v/>
      </c>
      <c r="R423" s="17" t="str">
        <f t="shared" si="25"/>
        <v>SW NOT INSTALLED</v>
      </c>
      <c r="S423" s="17" t="str">
        <f t="shared" si="26"/>
        <v/>
      </c>
      <c r="T423" s="17" t="str">
        <f t="shared" si="27"/>
        <v>SW NOT INSTALLED</v>
      </c>
    </row>
    <row r="424" spans="1:20">
      <c r="A424" s="31">
        <f>'12 - Device_Configuration'!H425</f>
        <v>0</v>
      </c>
      <c r="B424" s="31">
        <f>'12 - Device_Configuration'!S425</f>
        <v>0</v>
      </c>
      <c r="C424" s="31">
        <f>'12 - Device_Configuration'!T425</f>
        <v>0</v>
      </c>
      <c r="D424" s="17">
        <f>'12 - Device_Configuration'!AJ425</f>
        <v>0</v>
      </c>
      <c r="E424" s="17">
        <f>'12 - Device_Configuration'!J425</f>
        <v>0</v>
      </c>
      <c r="F424" s="31">
        <f>'12 - Device_Configuration'!K425</f>
        <v>0</v>
      </c>
      <c r="G424" s="17">
        <f>'12 - Device_Configuration'!L425</f>
        <v>0</v>
      </c>
      <c r="H424" s="17">
        <f>'13 - Config_Intake_View'!M424</f>
        <v>0</v>
      </c>
      <c r="I424" s="31">
        <f>IF('13 - Config_Intake_View'!Q424&lt;&gt;"",'13 - Config_Intake_View'!Q424,'12 - Device_Configuration'!BH425)</f>
        <v>0</v>
      </c>
      <c r="J424" s="17" t="str">
        <f>IF('13 - Config_Intake_View'!Q424&lt;&gt;"","PM Approved",IF('12 - Device_Configuration'!BH425&lt;&gt;"","Assumed",""))</f>
        <v/>
      </c>
      <c r="K424" s="31">
        <f>'12 - Device_Configuration'!BG425</f>
        <v>0</v>
      </c>
      <c r="L424" s="17">
        <f>'12 - Device_Configuration'!P425</f>
        <v>0</v>
      </c>
      <c r="M424" s="17">
        <f>'12 - Device_Configuration'!Q425</f>
        <v>0</v>
      </c>
      <c r="N424" s="17" t="str">
        <f>'12 - Device_Configuration'!BK425</f>
        <v/>
      </c>
      <c r="O424" s="31" t="str">
        <f>'12 - Device_Configuration'!BL425</f>
        <v/>
      </c>
      <c r="P424" s="2">
        <f>'12 - Device_Configuration'!BA425</f>
        <v>0</v>
      </c>
      <c r="Q424" s="31" t="str">
        <f t="shared" si="24"/>
        <v/>
      </c>
      <c r="R424" s="17" t="str">
        <f t="shared" si="25"/>
        <v>SW NOT INSTALLED</v>
      </c>
      <c r="S424" s="17" t="str">
        <f t="shared" si="26"/>
        <v/>
      </c>
      <c r="T424" s="17" t="str">
        <f t="shared" si="27"/>
        <v>SW NOT INSTALLED</v>
      </c>
    </row>
    <row r="425" spans="1:20">
      <c r="A425" s="31">
        <f>'12 - Device_Configuration'!H426</f>
        <v>0</v>
      </c>
      <c r="B425" s="31">
        <f>'12 - Device_Configuration'!S426</f>
        <v>0</v>
      </c>
      <c r="C425" s="31">
        <f>'12 - Device_Configuration'!T426</f>
        <v>0</v>
      </c>
      <c r="D425" s="17">
        <f>'12 - Device_Configuration'!AJ426</f>
        <v>0</v>
      </c>
      <c r="E425" s="17">
        <f>'12 - Device_Configuration'!J426</f>
        <v>0</v>
      </c>
      <c r="F425" s="31">
        <f>'12 - Device_Configuration'!K426</f>
        <v>0</v>
      </c>
      <c r="G425" s="17">
        <f>'12 - Device_Configuration'!L426</f>
        <v>0</v>
      </c>
      <c r="H425" s="17">
        <f>'13 - Config_Intake_View'!M425</f>
        <v>0</v>
      </c>
      <c r="I425" s="31">
        <f>IF('13 - Config_Intake_View'!Q425&lt;&gt;"",'13 - Config_Intake_View'!Q425,'12 - Device_Configuration'!BH426)</f>
        <v>0</v>
      </c>
      <c r="J425" s="17" t="str">
        <f>IF('13 - Config_Intake_View'!Q425&lt;&gt;"","PM Approved",IF('12 - Device_Configuration'!BH426&lt;&gt;"","Assumed",""))</f>
        <v/>
      </c>
      <c r="K425" s="31">
        <f>'12 - Device_Configuration'!BG426</f>
        <v>0</v>
      </c>
      <c r="L425" s="17">
        <f>'12 - Device_Configuration'!P426</f>
        <v>0</v>
      </c>
      <c r="M425" s="17">
        <f>'12 - Device_Configuration'!Q426</f>
        <v>0</v>
      </c>
      <c r="N425" s="17" t="str">
        <f>'12 - Device_Configuration'!BK426</f>
        <v/>
      </c>
      <c r="O425" s="31" t="str">
        <f>'12 - Device_Configuration'!BL426</f>
        <v/>
      </c>
      <c r="P425" s="2">
        <f>'12 - Device_Configuration'!BA426</f>
        <v>0</v>
      </c>
      <c r="Q425" s="31" t="str">
        <f t="shared" si="24"/>
        <v/>
      </c>
      <c r="R425" s="17" t="str">
        <f t="shared" si="25"/>
        <v>SW NOT INSTALLED</v>
      </c>
      <c r="S425" s="17" t="str">
        <f t="shared" si="26"/>
        <v/>
      </c>
      <c r="T425" s="17" t="str">
        <f t="shared" si="27"/>
        <v>SW NOT INSTALLED</v>
      </c>
    </row>
    <row r="426" spans="1:20">
      <c r="A426" s="31">
        <f>'12 - Device_Configuration'!H427</f>
        <v>0</v>
      </c>
      <c r="B426" s="31">
        <f>'12 - Device_Configuration'!S427</f>
        <v>0</v>
      </c>
      <c r="C426" s="31">
        <f>'12 - Device_Configuration'!T427</f>
        <v>0</v>
      </c>
      <c r="D426" s="17">
        <f>'12 - Device_Configuration'!AJ427</f>
        <v>0</v>
      </c>
      <c r="E426" s="17">
        <f>'12 - Device_Configuration'!J427</f>
        <v>0</v>
      </c>
      <c r="F426" s="31">
        <f>'12 - Device_Configuration'!K427</f>
        <v>0</v>
      </c>
      <c r="G426" s="17">
        <f>'12 - Device_Configuration'!L427</f>
        <v>0</v>
      </c>
      <c r="H426" s="17">
        <f>'13 - Config_Intake_View'!M426</f>
        <v>0</v>
      </c>
      <c r="I426" s="31">
        <f>IF('13 - Config_Intake_View'!Q426&lt;&gt;"",'13 - Config_Intake_View'!Q426,'12 - Device_Configuration'!BH427)</f>
        <v>0</v>
      </c>
      <c r="J426" s="17" t="str">
        <f>IF('13 - Config_Intake_View'!Q426&lt;&gt;"","PM Approved",IF('12 - Device_Configuration'!BH427&lt;&gt;"","Assumed",""))</f>
        <v/>
      </c>
      <c r="K426" s="31">
        <f>'12 - Device_Configuration'!BG427</f>
        <v>0</v>
      </c>
      <c r="L426" s="17">
        <f>'12 - Device_Configuration'!P427</f>
        <v>0</v>
      </c>
      <c r="M426" s="17">
        <f>'12 - Device_Configuration'!Q427</f>
        <v>0</v>
      </c>
      <c r="N426" s="17" t="str">
        <f>'12 - Device_Configuration'!BK427</f>
        <v/>
      </c>
      <c r="O426" s="31" t="str">
        <f>'12 - Device_Configuration'!BL427</f>
        <v/>
      </c>
      <c r="P426" s="2">
        <f>'12 - Device_Configuration'!BA427</f>
        <v>0</v>
      </c>
      <c r="Q426" s="31" t="str">
        <f t="shared" si="24"/>
        <v/>
      </c>
      <c r="R426" s="17" t="str">
        <f t="shared" si="25"/>
        <v>SW NOT INSTALLED</v>
      </c>
      <c r="S426" s="17" t="str">
        <f t="shared" si="26"/>
        <v/>
      </c>
      <c r="T426" s="17" t="str">
        <f t="shared" si="27"/>
        <v>SW NOT INSTALLED</v>
      </c>
    </row>
    <row r="427" spans="1:20">
      <c r="A427" s="31">
        <f>'12 - Device_Configuration'!H428</f>
        <v>0</v>
      </c>
      <c r="B427" s="31">
        <f>'12 - Device_Configuration'!S428</f>
        <v>0</v>
      </c>
      <c r="C427" s="31">
        <f>'12 - Device_Configuration'!T428</f>
        <v>0</v>
      </c>
      <c r="D427" s="17">
        <f>'12 - Device_Configuration'!AJ428</f>
        <v>0</v>
      </c>
      <c r="E427" s="17">
        <f>'12 - Device_Configuration'!J428</f>
        <v>0</v>
      </c>
      <c r="F427" s="31">
        <f>'12 - Device_Configuration'!K428</f>
        <v>0</v>
      </c>
      <c r="G427" s="17">
        <f>'12 - Device_Configuration'!L428</f>
        <v>0</v>
      </c>
      <c r="H427" s="17">
        <f>'13 - Config_Intake_View'!M427</f>
        <v>0</v>
      </c>
      <c r="I427" s="31">
        <f>IF('13 - Config_Intake_View'!Q427&lt;&gt;"",'13 - Config_Intake_View'!Q427,'12 - Device_Configuration'!BH428)</f>
        <v>0</v>
      </c>
      <c r="J427" s="17" t="str">
        <f>IF('13 - Config_Intake_View'!Q427&lt;&gt;"","PM Approved",IF('12 - Device_Configuration'!BH428&lt;&gt;"","Assumed",""))</f>
        <v/>
      </c>
      <c r="K427" s="31">
        <f>'12 - Device_Configuration'!BG428</f>
        <v>0</v>
      </c>
      <c r="L427" s="17">
        <f>'12 - Device_Configuration'!P428</f>
        <v>0</v>
      </c>
      <c r="M427" s="17">
        <f>'12 - Device_Configuration'!Q428</f>
        <v>0</v>
      </c>
      <c r="N427" s="17" t="str">
        <f>'12 - Device_Configuration'!BK428</f>
        <v/>
      </c>
      <c r="O427" s="31" t="str">
        <f>'12 - Device_Configuration'!BL428</f>
        <v/>
      </c>
      <c r="P427" s="2">
        <f>'12 - Device_Configuration'!BA428</f>
        <v>0</v>
      </c>
      <c r="Q427" s="31" t="str">
        <f t="shared" si="24"/>
        <v/>
      </c>
      <c r="R427" s="17" t="str">
        <f t="shared" si="25"/>
        <v>SW NOT INSTALLED</v>
      </c>
      <c r="S427" s="17" t="str">
        <f t="shared" si="26"/>
        <v/>
      </c>
      <c r="T427" s="17" t="str">
        <f t="shared" si="27"/>
        <v>SW NOT INSTALLED</v>
      </c>
    </row>
    <row r="428" spans="1:20">
      <c r="A428" s="31">
        <f>'12 - Device_Configuration'!H429</f>
        <v>0</v>
      </c>
      <c r="B428" s="31">
        <f>'12 - Device_Configuration'!S429</f>
        <v>0</v>
      </c>
      <c r="C428" s="31">
        <f>'12 - Device_Configuration'!T429</f>
        <v>0</v>
      </c>
      <c r="D428" s="17">
        <f>'12 - Device_Configuration'!AJ429</f>
        <v>0</v>
      </c>
      <c r="E428" s="17">
        <f>'12 - Device_Configuration'!J429</f>
        <v>0</v>
      </c>
      <c r="F428" s="31">
        <f>'12 - Device_Configuration'!K429</f>
        <v>0</v>
      </c>
      <c r="G428" s="17">
        <f>'12 - Device_Configuration'!L429</f>
        <v>0</v>
      </c>
      <c r="H428" s="17">
        <f>'13 - Config_Intake_View'!M428</f>
        <v>0</v>
      </c>
      <c r="I428" s="31">
        <f>IF('13 - Config_Intake_View'!Q428&lt;&gt;"",'13 - Config_Intake_View'!Q428,'12 - Device_Configuration'!BH429)</f>
        <v>0</v>
      </c>
      <c r="J428" s="17" t="str">
        <f>IF('13 - Config_Intake_View'!Q428&lt;&gt;"","PM Approved",IF('12 - Device_Configuration'!BH429&lt;&gt;"","Assumed",""))</f>
        <v/>
      </c>
      <c r="K428" s="31">
        <f>'12 - Device_Configuration'!BG429</f>
        <v>0</v>
      </c>
      <c r="L428" s="17">
        <f>'12 - Device_Configuration'!P429</f>
        <v>0</v>
      </c>
      <c r="M428" s="17">
        <f>'12 - Device_Configuration'!Q429</f>
        <v>0</v>
      </c>
      <c r="N428" s="17" t="str">
        <f>'12 - Device_Configuration'!BK429</f>
        <v/>
      </c>
      <c r="O428" s="31" t="str">
        <f>'12 - Device_Configuration'!BL429</f>
        <v/>
      </c>
      <c r="P428" s="2">
        <f>'12 - Device_Configuration'!BA429</f>
        <v>0</v>
      </c>
      <c r="Q428" s="31" t="str">
        <f t="shared" si="24"/>
        <v/>
      </c>
      <c r="R428" s="17" t="str">
        <f t="shared" si="25"/>
        <v>SW NOT INSTALLED</v>
      </c>
      <c r="S428" s="17" t="str">
        <f t="shared" si="26"/>
        <v/>
      </c>
      <c r="T428" s="17" t="str">
        <f t="shared" si="27"/>
        <v>SW NOT INSTALLED</v>
      </c>
    </row>
    <row r="429" spans="1:20">
      <c r="A429" s="31">
        <f>'12 - Device_Configuration'!H430</f>
        <v>0</v>
      </c>
      <c r="B429" s="31">
        <f>'12 - Device_Configuration'!S430</f>
        <v>0</v>
      </c>
      <c r="C429" s="31">
        <f>'12 - Device_Configuration'!T430</f>
        <v>0</v>
      </c>
      <c r="D429" s="17">
        <f>'12 - Device_Configuration'!AJ430</f>
        <v>0</v>
      </c>
      <c r="E429" s="17">
        <f>'12 - Device_Configuration'!J430</f>
        <v>0</v>
      </c>
      <c r="F429" s="31">
        <f>'12 - Device_Configuration'!K430</f>
        <v>0</v>
      </c>
      <c r="G429" s="17">
        <f>'12 - Device_Configuration'!L430</f>
        <v>0</v>
      </c>
      <c r="H429" s="17">
        <f>'13 - Config_Intake_View'!M429</f>
        <v>0</v>
      </c>
      <c r="I429" s="31">
        <f>IF('13 - Config_Intake_View'!Q429&lt;&gt;"",'13 - Config_Intake_View'!Q429,'12 - Device_Configuration'!BH430)</f>
        <v>0</v>
      </c>
      <c r="J429" s="17" t="str">
        <f>IF('13 - Config_Intake_View'!Q429&lt;&gt;"","PM Approved",IF('12 - Device_Configuration'!BH430&lt;&gt;"","Assumed",""))</f>
        <v/>
      </c>
      <c r="K429" s="31">
        <f>'12 - Device_Configuration'!BG430</f>
        <v>0</v>
      </c>
      <c r="L429" s="17">
        <f>'12 - Device_Configuration'!P430</f>
        <v>0</v>
      </c>
      <c r="M429" s="17">
        <f>'12 - Device_Configuration'!Q430</f>
        <v>0</v>
      </c>
      <c r="N429" s="17" t="str">
        <f>'12 - Device_Configuration'!BK430</f>
        <v/>
      </c>
      <c r="O429" s="31" t="str">
        <f>'12 - Device_Configuration'!BL430</f>
        <v/>
      </c>
      <c r="P429" s="2">
        <f>'12 - Device_Configuration'!BA430</f>
        <v>0</v>
      </c>
      <c r="Q429" s="31" t="str">
        <f t="shared" si="24"/>
        <v/>
      </c>
      <c r="R429" s="17" t="str">
        <f t="shared" si="25"/>
        <v>SW NOT INSTALLED</v>
      </c>
      <c r="S429" s="17" t="str">
        <f t="shared" si="26"/>
        <v/>
      </c>
      <c r="T429" s="17" t="str">
        <f t="shared" si="27"/>
        <v>SW NOT INSTALLED</v>
      </c>
    </row>
    <row r="430" spans="1:20">
      <c r="A430" s="31">
        <f>'12 - Device_Configuration'!H431</f>
        <v>0</v>
      </c>
      <c r="B430" s="31">
        <f>'12 - Device_Configuration'!S431</f>
        <v>0</v>
      </c>
      <c r="C430" s="31">
        <f>'12 - Device_Configuration'!T431</f>
        <v>0</v>
      </c>
      <c r="D430" s="17">
        <f>'12 - Device_Configuration'!AJ431</f>
        <v>0</v>
      </c>
      <c r="E430" s="17">
        <f>'12 - Device_Configuration'!J431</f>
        <v>0</v>
      </c>
      <c r="F430" s="31">
        <f>'12 - Device_Configuration'!K431</f>
        <v>0</v>
      </c>
      <c r="G430" s="17">
        <f>'12 - Device_Configuration'!L431</f>
        <v>0</v>
      </c>
      <c r="H430" s="17">
        <f>'13 - Config_Intake_View'!M430</f>
        <v>0</v>
      </c>
      <c r="I430" s="31">
        <f>IF('13 - Config_Intake_View'!Q430&lt;&gt;"",'13 - Config_Intake_View'!Q430,'12 - Device_Configuration'!BH431)</f>
        <v>0</v>
      </c>
      <c r="J430" s="17" t="str">
        <f>IF('13 - Config_Intake_View'!Q430&lt;&gt;"","PM Approved",IF('12 - Device_Configuration'!BH431&lt;&gt;"","Assumed",""))</f>
        <v/>
      </c>
      <c r="K430" s="31">
        <f>'12 - Device_Configuration'!BG431</f>
        <v>0</v>
      </c>
      <c r="L430" s="17">
        <f>'12 - Device_Configuration'!P431</f>
        <v>0</v>
      </c>
      <c r="M430" s="17">
        <f>'12 - Device_Configuration'!Q431</f>
        <v>0</v>
      </c>
      <c r="N430" s="17" t="str">
        <f>'12 - Device_Configuration'!BK431</f>
        <v/>
      </c>
      <c r="O430" s="31" t="str">
        <f>'12 - Device_Configuration'!BL431</f>
        <v/>
      </c>
      <c r="P430" s="2">
        <f>'12 - Device_Configuration'!BA431</f>
        <v>0</v>
      </c>
      <c r="Q430" s="31" t="str">
        <f t="shared" si="24"/>
        <v/>
      </c>
      <c r="R430" s="17" t="str">
        <f t="shared" si="25"/>
        <v>SW NOT INSTALLED</v>
      </c>
      <c r="S430" s="17" t="str">
        <f t="shared" si="26"/>
        <v/>
      </c>
      <c r="T430" s="17" t="str">
        <f t="shared" si="27"/>
        <v>SW NOT INSTALLED</v>
      </c>
    </row>
    <row r="431" spans="1:20">
      <c r="A431" s="31">
        <f>'12 - Device_Configuration'!H432</f>
        <v>0</v>
      </c>
      <c r="B431" s="31">
        <f>'12 - Device_Configuration'!S432</f>
        <v>0</v>
      </c>
      <c r="C431" s="31">
        <f>'12 - Device_Configuration'!T432</f>
        <v>0</v>
      </c>
      <c r="D431" s="17">
        <f>'12 - Device_Configuration'!AJ432</f>
        <v>0</v>
      </c>
      <c r="E431" s="17">
        <f>'12 - Device_Configuration'!J432</f>
        <v>0</v>
      </c>
      <c r="F431" s="31">
        <f>'12 - Device_Configuration'!K432</f>
        <v>0</v>
      </c>
      <c r="G431" s="17">
        <f>'12 - Device_Configuration'!L432</f>
        <v>0</v>
      </c>
      <c r="H431" s="17">
        <f>'13 - Config_Intake_View'!M431</f>
        <v>0</v>
      </c>
      <c r="I431" s="31">
        <f>IF('13 - Config_Intake_View'!Q431&lt;&gt;"",'13 - Config_Intake_View'!Q431,'12 - Device_Configuration'!BH432)</f>
        <v>0</v>
      </c>
      <c r="J431" s="17" t="str">
        <f>IF('13 - Config_Intake_View'!Q431&lt;&gt;"","PM Approved",IF('12 - Device_Configuration'!BH432&lt;&gt;"","Assumed",""))</f>
        <v/>
      </c>
      <c r="K431" s="31">
        <f>'12 - Device_Configuration'!BG432</f>
        <v>0</v>
      </c>
      <c r="L431" s="17">
        <f>'12 - Device_Configuration'!P432</f>
        <v>0</v>
      </c>
      <c r="M431" s="17">
        <f>'12 - Device_Configuration'!Q432</f>
        <v>0</v>
      </c>
      <c r="N431" s="17" t="str">
        <f>'12 - Device_Configuration'!BK432</f>
        <v/>
      </c>
      <c r="O431" s="31" t="str">
        <f>'12 - Device_Configuration'!BL432</f>
        <v/>
      </c>
      <c r="P431" s="2">
        <f>'12 - Device_Configuration'!BA432</f>
        <v>0</v>
      </c>
      <c r="Q431" s="31" t="str">
        <f t="shared" si="24"/>
        <v/>
      </c>
      <c r="R431" s="17" t="str">
        <f t="shared" si="25"/>
        <v>SW NOT INSTALLED</v>
      </c>
      <c r="S431" s="17" t="str">
        <f t="shared" si="26"/>
        <v/>
      </c>
      <c r="T431" s="17" t="str">
        <f t="shared" si="27"/>
        <v>SW NOT INSTALLED</v>
      </c>
    </row>
    <row r="432" spans="1:20">
      <c r="A432" s="31">
        <f>'12 - Device_Configuration'!H433</f>
        <v>0</v>
      </c>
      <c r="B432" s="31">
        <f>'12 - Device_Configuration'!S433</f>
        <v>0</v>
      </c>
      <c r="C432" s="31">
        <f>'12 - Device_Configuration'!T433</f>
        <v>0</v>
      </c>
      <c r="D432" s="17">
        <f>'12 - Device_Configuration'!AJ433</f>
        <v>0</v>
      </c>
      <c r="E432" s="17">
        <f>'12 - Device_Configuration'!J433</f>
        <v>0</v>
      </c>
      <c r="F432" s="31">
        <f>'12 - Device_Configuration'!K433</f>
        <v>0</v>
      </c>
      <c r="G432" s="17">
        <f>'12 - Device_Configuration'!L433</f>
        <v>0</v>
      </c>
      <c r="H432" s="17">
        <f>'13 - Config_Intake_View'!M432</f>
        <v>0</v>
      </c>
      <c r="I432" s="31">
        <f>IF('13 - Config_Intake_View'!Q432&lt;&gt;"",'13 - Config_Intake_View'!Q432,'12 - Device_Configuration'!BH433)</f>
        <v>0</v>
      </c>
      <c r="J432" s="17" t="str">
        <f>IF('13 - Config_Intake_View'!Q432&lt;&gt;"","PM Approved",IF('12 - Device_Configuration'!BH433&lt;&gt;"","Assumed",""))</f>
        <v/>
      </c>
      <c r="K432" s="31">
        <f>'12 - Device_Configuration'!BG433</f>
        <v>0</v>
      </c>
      <c r="L432" s="17">
        <f>'12 - Device_Configuration'!P433</f>
        <v>0</v>
      </c>
      <c r="M432" s="17">
        <f>'12 - Device_Configuration'!Q433</f>
        <v>0</v>
      </c>
      <c r="N432" s="17" t="str">
        <f>'12 - Device_Configuration'!BK433</f>
        <v/>
      </c>
      <c r="O432" s="31" t="str">
        <f>'12 - Device_Configuration'!BL433</f>
        <v/>
      </c>
      <c r="P432" s="2">
        <f>'12 - Device_Configuration'!BA433</f>
        <v>0</v>
      </c>
      <c r="Q432" s="31" t="str">
        <f t="shared" si="24"/>
        <v/>
      </c>
      <c r="R432" s="17" t="str">
        <f t="shared" si="25"/>
        <v>SW NOT INSTALLED</v>
      </c>
      <c r="S432" s="17" t="str">
        <f t="shared" si="26"/>
        <v/>
      </c>
      <c r="T432" s="17" t="str">
        <f t="shared" si="27"/>
        <v>SW NOT INSTALLED</v>
      </c>
    </row>
    <row r="433" spans="1:20">
      <c r="A433" s="31">
        <f>'12 - Device_Configuration'!H434</f>
        <v>0</v>
      </c>
      <c r="B433" s="31">
        <f>'12 - Device_Configuration'!S434</f>
        <v>0</v>
      </c>
      <c r="C433" s="31">
        <f>'12 - Device_Configuration'!T434</f>
        <v>0</v>
      </c>
      <c r="D433" s="17">
        <f>'12 - Device_Configuration'!AJ434</f>
        <v>0</v>
      </c>
      <c r="E433" s="17">
        <f>'12 - Device_Configuration'!J434</f>
        <v>0</v>
      </c>
      <c r="F433" s="31">
        <f>'12 - Device_Configuration'!K434</f>
        <v>0</v>
      </c>
      <c r="G433" s="17">
        <f>'12 - Device_Configuration'!L434</f>
        <v>0</v>
      </c>
      <c r="H433" s="17">
        <f>'13 - Config_Intake_View'!M433</f>
        <v>0</v>
      </c>
      <c r="I433" s="31">
        <f>IF('13 - Config_Intake_View'!Q433&lt;&gt;"",'13 - Config_Intake_View'!Q433,'12 - Device_Configuration'!BH434)</f>
        <v>0</v>
      </c>
      <c r="J433" s="17" t="str">
        <f>IF('13 - Config_Intake_View'!Q433&lt;&gt;"","PM Approved",IF('12 - Device_Configuration'!BH434&lt;&gt;"","Assumed",""))</f>
        <v/>
      </c>
      <c r="K433" s="31">
        <f>'12 - Device_Configuration'!BG434</f>
        <v>0</v>
      </c>
      <c r="L433" s="17">
        <f>'12 - Device_Configuration'!P434</f>
        <v>0</v>
      </c>
      <c r="M433" s="17">
        <f>'12 - Device_Configuration'!Q434</f>
        <v>0</v>
      </c>
      <c r="N433" s="17" t="str">
        <f>'12 - Device_Configuration'!BK434</f>
        <v/>
      </c>
      <c r="O433" s="31" t="str">
        <f>'12 - Device_Configuration'!BL434</f>
        <v/>
      </c>
      <c r="P433" s="2">
        <f>'12 - Device_Configuration'!BA434</f>
        <v>0</v>
      </c>
      <c r="Q433" s="31" t="str">
        <f t="shared" si="24"/>
        <v/>
      </c>
      <c r="R433" s="17" t="str">
        <f t="shared" si="25"/>
        <v>SW NOT INSTALLED</v>
      </c>
      <c r="S433" s="17" t="str">
        <f t="shared" si="26"/>
        <v/>
      </c>
      <c r="T433" s="17" t="str">
        <f t="shared" si="27"/>
        <v>SW NOT INSTALLED</v>
      </c>
    </row>
    <row r="434" spans="1:20">
      <c r="A434" s="31">
        <f>'12 - Device_Configuration'!H435</f>
        <v>0</v>
      </c>
      <c r="B434" s="31">
        <f>'12 - Device_Configuration'!S435</f>
        <v>0</v>
      </c>
      <c r="C434" s="31">
        <f>'12 - Device_Configuration'!T435</f>
        <v>0</v>
      </c>
      <c r="D434" s="17">
        <f>'12 - Device_Configuration'!AJ435</f>
        <v>0</v>
      </c>
      <c r="E434" s="17">
        <f>'12 - Device_Configuration'!J435</f>
        <v>0</v>
      </c>
      <c r="F434" s="31">
        <f>'12 - Device_Configuration'!K435</f>
        <v>0</v>
      </c>
      <c r="G434" s="17">
        <f>'12 - Device_Configuration'!L435</f>
        <v>0</v>
      </c>
      <c r="H434" s="17">
        <f>'13 - Config_Intake_View'!M434</f>
        <v>0</v>
      </c>
      <c r="I434" s="31">
        <f>IF('13 - Config_Intake_View'!Q434&lt;&gt;"",'13 - Config_Intake_View'!Q434,'12 - Device_Configuration'!BH435)</f>
        <v>0</v>
      </c>
      <c r="J434" s="17" t="str">
        <f>IF('13 - Config_Intake_View'!Q434&lt;&gt;"","PM Approved",IF('12 - Device_Configuration'!BH435&lt;&gt;"","Assumed",""))</f>
        <v/>
      </c>
      <c r="K434" s="31">
        <f>'12 - Device_Configuration'!BG435</f>
        <v>0</v>
      </c>
      <c r="L434" s="17">
        <f>'12 - Device_Configuration'!P435</f>
        <v>0</v>
      </c>
      <c r="M434" s="17">
        <f>'12 - Device_Configuration'!Q435</f>
        <v>0</v>
      </c>
      <c r="N434" s="17" t="str">
        <f>'12 - Device_Configuration'!BK435</f>
        <v/>
      </c>
      <c r="O434" s="31" t="str">
        <f>'12 - Device_Configuration'!BL435</f>
        <v/>
      </c>
      <c r="P434" s="2">
        <f>'12 - Device_Configuration'!BA435</f>
        <v>0</v>
      </c>
      <c r="Q434" s="31" t="str">
        <f t="shared" si="24"/>
        <v/>
      </c>
      <c r="R434" s="17" t="str">
        <f t="shared" si="25"/>
        <v>SW NOT INSTALLED</v>
      </c>
      <c r="S434" s="17" t="str">
        <f t="shared" si="26"/>
        <v/>
      </c>
      <c r="T434" s="17" t="str">
        <f t="shared" si="27"/>
        <v>SW NOT INSTALLED</v>
      </c>
    </row>
    <row r="435" spans="1:20">
      <c r="A435" s="31">
        <f>'12 - Device_Configuration'!H436</f>
        <v>0</v>
      </c>
      <c r="B435" s="31">
        <f>'12 - Device_Configuration'!S436</f>
        <v>0</v>
      </c>
      <c r="C435" s="31">
        <f>'12 - Device_Configuration'!T436</f>
        <v>0</v>
      </c>
      <c r="D435" s="17">
        <f>'12 - Device_Configuration'!AJ436</f>
        <v>0</v>
      </c>
      <c r="E435" s="17">
        <f>'12 - Device_Configuration'!J436</f>
        <v>0</v>
      </c>
      <c r="F435" s="31">
        <f>'12 - Device_Configuration'!K436</f>
        <v>0</v>
      </c>
      <c r="G435" s="17">
        <f>'12 - Device_Configuration'!L436</f>
        <v>0</v>
      </c>
      <c r="H435" s="17">
        <f>'13 - Config_Intake_View'!M435</f>
        <v>0</v>
      </c>
      <c r="I435" s="31">
        <f>IF('13 - Config_Intake_View'!Q435&lt;&gt;"",'13 - Config_Intake_View'!Q435,'12 - Device_Configuration'!BH436)</f>
        <v>0</v>
      </c>
      <c r="J435" s="17" t="str">
        <f>IF('13 - Config_Intake_View'!Q435&lt;&gt;"","PM Approved",IF('12 - Device_Configuration'!BH436&lt;&gt;"","Assumed",""))</f>
        <v/>
      </c>
      <c r="K435" s="31">
        <f>'12 - Device_Configuration'!BG436</f>
        <v>0</v>
      </c>
      <c r="L435" s="17">
        <f>'12 - Device_Configuration'!P436</f>
        <v>0</v>
      </c>
      <c r="M435" s="17">
        <f>'12 - Device_Configuration'!Q436</f>
        <v>0</v>
      </c>
      <c r="N435" s="17" t="str">
        <f>'12 - Device_Configuration'!BK436</f>
        <v/>
      </c>
      <c r="O435" s="31" t="str">
        <f>'12 - Device_Configuration'!BL436</f>
        <v/>
      </c>
      <c r="P435" s="2">
        <f>'12 - Device_Configuration'!BA436</f>
        <v>0</v>
      </c>
      <c r="Q435" s="31" t="str">
        <f t="shared" si="24"/>
        <v/>
      </c>
      <c r="R435" s="17" t="str">
        <f t="shared" si="25"/>
        <v>SW NOT INSTALLED</v>
      </c>
      <c r="S435" s="17" t="str">
        <f t="shared" si="26"/>
        <v/>
      </c>
      <c r="T435" s="17" t="str">
        <f t="shared" si="27"/>
        <v>SW NOT INSTALLED</v>
      </c>
    </row>
    <row r="436" spans="1:20">
      <c r="A436" s="31">
        <f>'12 - Device_Configuration'!H437</f>
        <v>0</v>
      </c>
      <c r="B436" s="31">
        <f>'12 - Device_Configuration'!S437</f>
        <v>0</v>
      </c>
      <c r="C436" s="31">
        <f>'12 - Device_Configuration'!T437</f>
        <v>0</v>
      </c>
      <c r="D436" s="17">
        <f>'12 - Device_Configuration'!AJ437</f>
        <v>0</v>
      </c>
      <c r="E436" s="17">
        <f>'12 - Device_Configuration'!J437</f>
        <v>0</v>
      </c>
      <c r="F436" s="31">
        <f>'12 - Device_Configuration'!K437</f>
        <v>0</v>
      </c>
      <c r="G436" s="17">
        <f>'12 - Device_Configuration'!L437</f>
        <v>0</v>
      </c>
      <c r="H436" s="17">
        <f>'13 - Config_Intake_View'!M436</f>
        <v>0</v>
      </c>
      <c r="I436" s="31">
        <f>IF('13 - Config_Intake_View'!Q436&lt;&gt;"",'13 - Config_Intake_View'!Q436,'12 - Device_Configuration'!BH437)</f>
        <v>0</v>
      </c>
      <c r="J436" s="17" t="str">
        <f>IF('13 - Config_Intake_View'!Q436&lt;&gt;"","PM Approved",IF('12 - Device_Configuration'!BH437&lt;&gt;"","Assumed",""))</f>
        <v/>
      </c>
      <c r="K436" s="31">
        <f>'12 - Device_Configuration'!BG437</f>
        <v>0</v>
      </c>
      <c r="L436" s="17">
        <f>'12 - Device_Configuration'!P437</f>
        <v>0</v>
      </c>
      <c r="M436" s="17">
        <f>'12 - Device_Configuration'!Q437</f>
        <v>0</v>
      </c>
      <c r="N436" s="17" t="str">
        <f>'12 - Device_Configuration'!BK437</f>
        <v/>
      </c>
      <c r="O436" s="31" t="str">
        <f>'12 - Device_Configuration'!BL437</f>
        <v/>
      </c>
      <c r="P436" s="2">
        <f>'12 - Device_Configuration'!BA437</f>
        <v>0</v>
      </c>
      <c r="Q436" s="31" t="str">
        <f t="shared" si="24"/>
        <v/>
      </c>
      <c r="R436" s="17" t="str">
        <f t="shared" si="25"/>
        <v>SW NOT INSTALLED</v>
      </c>
      <c r="S436" s="17" t="str">
        <f t="shared" si="26"/>
        <v/>
      </c>
      <c r="T436" s="17" t="str">
        <f t="shared" si="27"/>
        <v>SW NOT INSTALLED</v>
      </c>
    </row>
    <row r="437" spans="1:20">
      <c r="A437" s="31">
        <f>'12 - Device_Configuration'!H438</f>
        <v>0</v>
      </c>
      <c r="B437" s="31">
        <f>'12 - Device_Configuration'!S438</f>
        <v>0</v>
      </c>
      <c r="C437" s="31">
        <f>'12 - Device_Configuration'!T438</f>
        <v>0</v>
      </c>
      <c r="D437" s="17">
        <f>'12 - Device_Configuration'!AJ438</f>
        <v>0</v>
      </c>
      <c r="E437" s="17">
        <f>'12 - Device_Configuration'!J438</f>
        <v>0</v>
      </c>
      <c r="F437" s="31">
        <f>'12 - Device_Configuration'!K438</f>
        <v>0</v>
      </c>
      <c r="G437" s="17">
        <f>'12 - Device_Configuration'!L438</f>
        <v>0</v>
      </c>
      <c r="H437" s="17">
        <f>'13 - Config_Intake_View'!M437</f>
        <v>0</v>
      </c>
      <c r="I437" s="31">
        <f>IF('13 - Config_Intake_View'!Q437&lt;&gt;"",'13 - Config_Intake_View'!Q437,'12 - Device_Configuration'!BH438)</f>
        <v>0</v>
      </c>
      <c r="J437" s="17" t="str">
        <f>IF('13 - Config_Intake_View'!Q437&lt;&gt;"","PM Approved",IF('12 - Device_Configuration'!BH438&lt;&gt;"","Assumed",""))</f>
        <v/>
      </c>
      <c r="K437" s="31">
        <f>'12 - Device_Configuration'!BG438</f>
        <v>0</v>
      </c>
      <c r="L437" s="17">
        <f>'12 - Device_Configuration'!P438</f>
        <v>0</v>
      </c>
      <c r="M437" s="17">
        <f>'12 - Device_Configuration'!Q438</f>
        <v>0</v>
      </c>
      <c r="N437" s="17" t="str">
        <f>'12 - Device_Configuration'!BK438</f>
        <v/>
      </c>
      <c r="O437" s="31" t="str">
        <f>'12 - Device_Configuration'!BL438</f>
        <v/>
      </c>
      <c r="P437" s="2">
        <f>'12 - Device_Configuration'!BA438</f>
        <v>0</v>
      </c>
      <c r="Q437" s="31" t="str">
        <f t="shared" si="24"/>
        <v/>
      </c>
      <c r="R437" s="17" t="str">
        <f t="shared" si="25"/>
        <v>SW NOT INSTALLED</v>
      </c>
      <c r="S437" s="17" t="str">
        <f t="shared" si="26"/>
        <v/>
      </c>
      <c r="T437" s="17" t="str">
        <f t="shared" si="27"/>
        <v>SW NOT INSTALLED</v>
      </c>
    </row>
    <row r="438" spans="1:20">
      <c r="A438" s="31">
        <f>'12 - Device_Configuration'!H439</f>
        <v>0</v>
      </c>
      <c r="B438" s="31">
        <f>'12 - Device_Configuration'!S439</f>
        <v>0</v>
      </c>
      <c r="C438" s="31">
        <f>'12 - Device_Configuration'!T439</f>
        <v>0</v>
      </c>
      <c r="D438" s="17">
        <f>'12 - Device_Configuration'!AJ439</f>
        <v>0</v>
      </c>
      <c r="E438" s="17">
        <f>'12 - Device_Configuration'!J439</f>
        <v>0</v>
      </c>
      <c r="F438" s="31">
        <f>'12 - Device_Configuration'!K439</f>
        <v>0</v>
      </c>
      <c r="G438" s="17">
        <f>'12 - Device_Configuration'!L439</f>
        <v>0</v>
      </c>
      <c r="H438" s="17">
        <f>'13 - Config_Intake_View'!M438</f>
        <v>0</v>
      </c>
      <c r="I438" s="31">
        <f>IF('13 - Config_Intake_View'!Q438&lt;&gt;"",'13 - Config_Intake_View'!Q438,'12 - Device_Configuration'!BH439)</f>
        <v>0</v>
      </c>
      <c r="J438" s="17" t="str">
        <f>IF('13 - Config_Intake_View'!Q438&lt;&gt;"","PM Approved",IF('12 - Device_Configuration'!BH439&lt;&gt;"","Assumed",""))</f>
        <v/>
      </c>
      <c r="K438" s="31">
        <f>'12 - Device_Configuration'!BG439</f>
        <v>0</v>
      </c>
      <c r="L438" s="17">
        <f>'12 - Device_Configuration'!P439</f>
        <v>0</v>
      </c>
      <c r="M438" s="17">
        <f>'12 - Device_Configuration'!Q439</f>
        <v>0</v>
      </c>
      <c r="N438" s="17" t="str">
        <f>'12 - Device_Configuration'!BK439</f>
        <v/>
      </c>
      <c r="O438" s="31" t="str">
        <f>'12 - Device_Configuration'!BL439</f>
        <v/>
      </c>
      <c r="P438" s="2">
        <f>'12 - Device_Configuration'!BA439</f>
        <v>0</v>
      </c>
      <c r="Q438" s="31" t="str">
        <f t="shared" si="24"/>
        <v/>
      </c>
      <c r="R438" s="17" t="str">
        <f t="shared" si="25"/>
        <v>SW NOT INSTALLED</v>
      </c>
      <c r="S438" s="17" t="str">
        <f t="shared" si="26"/>
        <v/>
      </c>
      <c r="T438" s="17" t="str">
        <f t="shared" si="27"/>
        <v>SW NOT INSTALLED</v>
      </c>
    </row>
    <row r="439" spans="1:20">
      <c r="A439" s="31">
        <f>'12 - Device_Configuration'!H440</f>
        <v>0</v>
      </c>
      <c r="B439" s="31">
        <f>'12 - Device_Configuration'!S440</f>
        <v>0</v>
      </c>
      <c r="C439" s="31">
        <f>'12 - Device_Configuration'!T440</f>
        <v>0</v>
      </c>
      <c r="D439" s="17">
        <f>'12 - Device_Configuration'!AJ440</f>
        <v>0</v>
      </c>
      <c r="E439" s="17">
        <f>'12 - Device_Configuration'!J440</f>
        <v>0</v>
      </c>
      <c r="F439" s="31">
        <f>'12 - Device_Configuration'!K440</f>
        <v>0</v>
      </c>
      <c r="G439" s="17">
        <f>'12 - Device_Configuration'!L440</f>
        <v>0</v>
      </c>
      <c r="H439" s="17">
        <f>'13 - Config_Intake_View'!M439</f>
        <v>0</v>
      </c>
      <c r="I439" s="31">
        <f>IF('13 - Config_Intake_View'!Q439&lt;&gt;"",'13 - Config_Intake_View'!Q439,'12 - Device_Configuration'!BH440)</f>
        <v>0</v>
      </c>
      <c r="J439" s="17" t="str">
        <f>IF('13 - Config_Intake_View'!Q439&lt;&gt;"","PM Approved",IF('12 - Device_Configuration'!BH440&lt;&gt;"","Assumed",""))</f>
        <v/>
      </c>
      <c r="K439" s="31">
        <f>'12 - Device_Configuration'!BG440</f>
        <v>0</v>
      </c>
      <c r="L439" s="17">
        <f>'12 - Device_Configuration'!P440</f>
        <v>0</v>
      </c>
      <c r="M439" s="17">
        <f>'12 - Device_Configuration'!Q440</f>
        <v>0</v>
      </c>
      <c r="N439" s="17" t="str">
        <f>'12 - Device_Configuration'!BK440</f>
        <v/>
      </c>
      <c r="O439" s="31" t="str">
        <f>'12 - Device_Configuration'!BL440</f>
        <v/>
      </c>
      <c r="P439" s="2">
        <f>'12 - Device_Configuration'!BA440</f>
        <v>0</v>
      </c>
      <c r="Q439" s="31" t="str">
        <f t="shared" si="24"/>
        <v/>
      </c>
      <c r="R439" s="17" t="str">
        <f t="shared" si="25"/>
        <v>SW NOT INSTALLED</v>
      </c>
      <c r="S439" s="17" t="str">
        <f t="shared" si="26"/>
        <v/>
      </c>
      <c r="T439" s="17" t="str">
        <f t="shared" si="27"/>
        <v>SW NOT INSTALLED</v>
      </c>
    </row>
    <row r="440" spans="1:20">
      <c r="A440" s="31">
        <f>'12 - Device_Configuration'!H441</f>
        <v>0</v>
      </c>
      <c r="B440" s="31">
        <f>'12 - Device_Configuration'!S441</f>
        <v>0</v>
      </c>
      <c r="C440" s="31">
        <f>'12 - Device_Configuration'!T441</f>
        <v>0</v>
      </c>
      <c r="D440" s="17">
        <f>'12 - Device_Configuration'!AJ441</f>
        <v>0</v>
      </c>
      <c r="E440" s="17">
        <f>'12 - Device_Configuration'!J441</f>
        <v>0</v>
      </c>
      <c r="F440" s="31">
        <f>'12 - Device_Configuration'!K441</f>
        <v>0</v>
      </c>
      <c r="G440" s="17">
        <f>'12 - Device_Configuration'!L441</f>
        <v>0</v>
      </c>
      <c r="H440" s="17">
        <f>'13 - Config_Intake_View'!M440</f>
        <v>0</v>
      </c>
      <c r="I440" s="31">
        <f>IF('13 - Config_Intake_View'!Q440&lt;&gt;"",'13 - Config_Intake_View'!Q440,'12 - Device_Configuration'!BH441)</f>
        <v>0</v>
      </c>
      <c r="J440" s="17" t="str">
        <f>IF('13 - Config_Intake_View'!Q440&lt;&gt;"","PM Approved",IF('12 - Device_Configuration'!BH441&lt;&gt;"","Assumed",""))</f>
        <v/>
      </c>
      <c r="K440" s="31">
        <f>'12 - Device_Configuration'!BG441</f>
        <v>0</v>
      </c>
      <c r="L440" s="17">
        <f>'12 - Device_Configuration'!P441</f>
        <v>0</v>
      </c>
      <c r="M440" s="17">
        <f>'12 - Device_Configuration'!Q441</f>
        <v>0</v>
      </c>
      <c r="N440" s="17" t="str">
        <f>'12 - Device_Configuration'!BK441</f>
        <v/>
      </c>
      <c r="O440" s="31" t="str">
        <f>'12 - Device_Configuration'!BL441</f>
        <v/>
      </c>
      <c r="P440" s="2">
        <f>'12 - Device_Configuration'!BA441</f>
        <v>0</v>
      </c>
      <c r="Q440" s="31" t="str">
        <f t="shared" si="24"/>
        <v/>
      </c>
      <c r="R440" s="17" t="str">
        <f t="shared" si="25"/>
        <v>SW NOT INSTALLED</v>
      </c>
      <c r="S440" s="17" t="str">
        <f t="shared" si="26"/>
        <v/>
      </c>
      <c r="T440" s="17" t="str">
        <f t="shared" si="27"/>
        <v>SW NOT INSTALLED</v>
      </c>
    </row>
    <row r="441" spans="1:20">
      <c r="A441" s="31">
        <f>'12 - Device_Configuration'!H442</f>
        <v>0</v>
      </c>
      <c r="B441" s="31">
        <f>'12 - Device_Configuration'!S442</f>
        <v>0</v>
      </c>
      <c r="C441" s="31">
        <f>'12 - Device_Configuration'!T442</f>
        <v>0</v>
      </c>
      <c r="D441" s="17">
        <f>'12 - Device_Configuration'!AJ442</f>
        <v>0</v>
      </c>
      <c r="E441" s="17">
        <f>'12 - Device_Configuration'!J442</f>
        <v>0</v>
      </c>
      <c r="F441" s="31">
        <f>'12 - Device_Configuration'!K442</f>
        <v>0</v>
      </c>
      <c r="G441" s="17">
        <f>'12 - Device_Configuration'!L442</f>
        <v>0</v>
      </c>
      <c r="H441" s="17">
        <f>'13 - Config_Intake_View'!M441</f>
        <v>0</v>
      </c>
      <c r="I441" s="31">
        <f>IF('13 - Config_Intake_View'!Q441&lt;&gt;"",'13 - Config_Intake_View'!Q441,'12 - Device_Configuration'!BH442)</f>
        <v>0</v>
      </c>
      <c r="J441" s="17" t="str">
        <f>IF('13 - Config_Intake_View'!Q441&lt;&gt;"","PM Approved",IF('12 - Device_Configuration'!BH442&lt;&gt;"","Assumed",""))</f>
        <v/>
      </c>
      <c r="K441" s="31">
        <f>'12 - Device_Configuration'!BG442</f>
        <v>0</v>
      </c>
      <c r="L441" s="17">
        <f>'12 - Device_Configuration'!P442</f>
        <v>0</v>
      </c>
      <c r="M441" s="17">
        <f>'12 - Device_Configuration'!Q442</f>
        <v>0</v>
      </c>
      <c r="N441" s="17" t="str">
        <f>'12 - Device_Configuration'!BK442</f>
        <v/>
      </c>
      <c r="O441" s="31" t="str">
        <f>'12 - Device_Configuration'!BL442</f>
        <v/>
      </c>
      <c r="P441" s="2">
        <f>'12 - Device_Configuration'!BA442</f>
        <v>0</v>
      </c>
      <c r="Q441" s="31" t="str">
        <f t="shared" si="24"/>
        <v/>
      </c>
      <c r="R441" s="17" t="str">
        <f t="shared" si="25"/>
        <v>SW NOT INSTALLED</v>
      </c>
      <c r="S441" s="17" t="str">
        <f t="shared" si="26"/>
        <v/>
      </c>
      <c r="T441" s="17" t="str">
        <f t="shared" si="27"/>
        <v>SW NOT INSTALLED</v>
      </c>
    </row>
    <row r="442" spans="1:20">
      <c r="A442" s="31">
        <f>'12 - Device_Configuration'!H443</f>
        <v>0</v>
      </c>
      <c r="B442" s="31">
        <f>'12 - Device_Configuration'!S443</f>
        <v>0</v>
      </c>
      <c r="C442" s="31">
        <f>'12 - Device_Configuration'!T443</f>
        <v>0</v>
      </c>
      <c r="D442" s="17">
        <f>'12 - Device_Configuration'!AJ443</f>
        <v>0</v>
      </c>
      <c r="E442" s="17">
        <f>'12 - Device_Configuration'!J443</f>
        <v>0</v>
      </c>
      <c r="F442" s="31">
        <f>'12 - Device_Configuration'!K443</f>
        <v>0</v>
      </c>
      <c r="G442" s="17">
        <f>'12 - Device_Configuration'!L443</f>
        <v>0</v>
      </c>
      <c r="H442" s="17">
        <f>'13 - Config_Intake_View'!M442</f>
        <v>0</v>
      </c>
      <c r="I442" s="31">
        <f>IF('13 - Config_Intake_View'!Q442&lt;&gt;"",'13 - Config_Intake_View'!Q442,'12 - Device_Configuration'!BH443)</f>
        <v>0</v>
      </c>
      <c r="J442" s="17" t="str">
        <f>IF('13 - Config_Intake_View'!Q442&lt;&gt;"","PM Approved",IF('12 - Device_Configuration'!BH443&lt;&gt;"","Assumed",""))</f>
        <v/>
      </c>
      <c r="K442" s="31">
        <f>'12 - Device_Configuration'!BG443</f>
        <v>0</v>
      </c>
      <c r="L442" s="17">
        <f>'12 - Device_Configuration'!P443</f>
        <v>0</v>
      </c>
      <c r="M442" s="17">
        <f>'12 - Device_Configuration'!Q443</f>
        <v>0</v>
      </c>
      <c r="N442" s="17" t="str">
        <f>'12 - Device_Configuration'!BK443</f>
        <v/>
      </c>
      <c r="O442" s="31" t="str">
        <f>'12 - Device_Configuration'!BL443</f>
        <v/>
      </c>
      <c r="P442" s="2">
        <f>'12 - Device_Configuration'!BA443</f>
        <v>0</v>
      </c>
      <c r="Q442" s="31" t="str">
        <f t="shared" si="24"/>
        <v/>
      </c>
      <c r="R442" s="17" t="str">
        <f t="shared" si="25"/>
        <v>SW NOT INSTALLED</v>
      </c>
      <c r="S442" s="17" t="str">
        <f t="shared" si="26"/>
        <v/>
      </c>
      <c r="T442" s="17" t="str">
        <f t="shared" si="27"/>
        <v>SW NOT INSTALLED</v>
      </c>
    </row>
    <row r="443" spans="1:20">
      <c r="A443" s="31">
        <f>'12 - Device_Configuration'!H444</f>
        <v>0</v>
      </c>
      <c r="B443" s="31">
        <f>'12 - Device_Configuration'!S444</f>
        <v>0</v>
      </c>
      <c r="C443" s="31">
        <f>'12 - Device_Configuration'!T444</f>
        <v>0</v>
      </c>
      <c r="D443" s="17">
        <f>'12 - Device_Configuration'!AJ444</f>
        <v>0</v>
      </c>
      <c r="E443" s="17">
        <f>'12 - Device_Configuration'!J444</f>
        <v>0</v>
      </c>
      <c r="F443" s="31">
        <f>'12 - Device_Configuration'!K444</f>
        <v>0</v>
      </c>
      <c r="G443" s="17">
        <f>'12 - Device_Configuration'!L444</f>
        <v>0</v>
      </c>
      <c r="H443" s="17">
        <f>'13 - Config_Intake_View'!M443</f>
        <v>0</v>
      </c>
      <c r="I443" s="31">
        <f>IF('13 - Config_Intake_View'!Q443&lt;&gt;"",'13 - Config_Intake_View'!Q443,'12 - Device_Configuration'!BH444)</f>
        <v>0</v>
      </c>
      <c r="J443" s="17" t="str">
        <f>IF('13 - Config_Intake_View'!Q443&lt;&gt;"","PM Approved",IF('12 - Device_Configuration'!BH444&lt;&gt;"","Assumed",""))</f>
        <v/>
      </c>
      <c r="K443" s="31">
        <f>'12 - Device_Configuration'!BG444</f>
        <v>0</v>
      </c>
      <c r="L443" s="17">
        <f>'12 - Device_Configuration'!P444</f>
        <v>0</v>
      </c>
      <c r="M443" s="17">
        <f>'12 - Device_Configuration'!Q444</f>
        <v>0</v>
      </c>
      <c r="N443" s="17" t="str">
        <f>'12 - Device_Configuration'!BK444</f>
        <v/>
      </c>
      <c r="O443" s="31" t="str">
        <f>'12 - Device_Configuration'!BL444</f>
        <v/>
      </c>
      <c r="P443" s="2">
        <f>'12 - Device_Configuration'!BA444</f>
        <v>0</v>
      </c>
      <c r="Q443" s="31" t="str">
        <f t="shared" si="24"/>
        <v/>
      </c>
      <c r="R443" s="17" t="str">
        <f t="shared" si="25"/>
        <v>SW NOT INSTALLED</v>
      </c>
      <c r="S443" s="17" t="str">
        <f t="shared" si="26"/>
        <v/>
      </c>
      <c r="T443" s="17" t="str">
        <f t="shared" si="27"/>
        <v>SW NOT INSTALLED</v>
      </c>
    </row>
    <row r="444" spans="1:20">
      <c r="A444" s="31">
        <f>'12 - Device_Configuration'!H445</f>
        <v>0</v>
      </c>
      <c r="B444" s="31">
        <f>'12 - Device_Configuration'!S445</f>
        <v>0</v>
      </c>
      <c r="C444" s="31">
        <f>'12 - Device_Configuration'!T445</f>
        <v>0</v>
      </c>
      <c r="D444" s="17">
        <f>'12 - Device_Configuration'!AJ445</f>
        <v>0</v>
      </c>
      <c r="E444" s="17">
        <f>'12 - Device_Configuration'!J445</f>
        <v>0</v>
      </c>
      <c r="F444" s="31">
        <f>'12 - Device_Configuration'!K445</f>
        <v>0</v>
      </c>
      <c r="G444" s="17">
        <f>'12 - Device_Configuration'!L445</f>
        <v>0</v>
      </c>
      <c r="H444" s="17">
        <f>'13 - Config_Intake_View'!M444</f>
        <v>0</v>
      </c>
      <c r="I444" s="31">
        <f>IF('13 - Config_Intake_View'!Q444&lt;&gt;"",'13 - Config_Intake_View'!Q444,'12 - Device_Configuration'!BH445)</f>
        <v>0</v>
      </c>
      <c r="J444" s="17" t="str">
        <f>IF('13 - Config_Intake_View'!Q444&lt;&gt;"","PM Approved",IF('12 - Device_Configuration'!BH445&lt;&gt;"","Assumed",""))</f>
        <v/>
      </c>
      <c r="K444" s="31">
        <f>'12 - Device_Configuration'!BG445</f>
        <v>0</v>
      </c>
      <c r="L444" s="17">
        <f>'12 - Device_Configuration'!P445</f>
        <v>0</v>
      </c>
      <c r="M444" s="17">
        <f>'12 - Device_Configuration'!Q445</f>
        <v>0</v>
      </c>
      <c r="N444" s="17" t="str">
        <f>'12 - Device_Configuration'!BK445</f>
        <v/>
      </c>
      <c r="O444" s="31" t="str">
        <f>'12 - Device_Configuration'!BL445</f>
        <v/>
      </c>
      <c r="P444" s="2">
        <f>'12 - Device_Configuration'!BA445</f>
        <v>0</v>
      </c>
      <c r="Q444" s="31" t="str">
        <f t="shared" si="24"/>
        <v/>
      </c>
      <c r="R444" s="17" t="str">
        <f t="shared" si="25"/>
        <v>SW NOT INSTALLED</v>
      </c>
      <c r="S444" s="17" t="str">
        <f t="shared" si="26"/>
        <v/>
      </c>
      <c r="T444" s="17" t="str">
        <f t="shared" si="27"/>
        <v>SW NOT INSTALLED</v>
      </c>
    </row>
    <row r="445" spans="1:20">
      <c r="A445" s="31">
        <f>'12 - Device_Configuration'!H446</f>
        <v>0</v>
      </c>
      <c r="B445" s="31">
        <f>'12 - Device_Configuration'!S446</f>
        <v>0</v>
      </c>
      <c r="C445" s="31">
        <f>'12 - Device_Configuration'!T446</f>
        <v>0</v>
      </c>
      <c r="D445" s="17">
        <f>'12 - Device_Configuration'!AJ446</f>
        <v>0</v>
      </c>
      <c r="E445" s="17">
        <f>'12 - Device_Configuration'!J446</f>
        <v>0</v>
      </c>
      <c r="F445" s="31">
        <f>'12 - Device_Configuration'!K446</f>
        <v>0</v>
      </c>
      <c r="G445" s="17">
        <f>'12 - Device_Configuration'!L446</f>
        <v>0</v>
      </c>
      <c r="H445" s="17">
        <f>'13 - Config_Intake_View'!M445</f>
        <v>0</v>
      </c>
      <c r="I445" s="31">
        <f>IF('13 - Config_Intake_View'!Q445&lt;&gt;"",'13 - Config_Intake_View'!Q445,'12 - Device_Configuration'!BH446)</f>
        <v>0</v>
      </c>
      <c r="J445" s="17" t="str">
        <f>IF('13 - Config_Intake_View'!Q445&lt;&gt;"","PM Approved",IF('12 - Device_Configuration'!BH446&lt;&gt;"","Assumed",""))</f>
        <v/>
      </c>
      <c r="K445" s="31">
        <f>'12 - Device_Configuration'!BG446</f>
        <v>0</v>
      </c>
      <c r="L445" s="17">
        <f>'12 - Device_Configuration'!P446</f>
        <v>0</v>
      </c>
      <c r="M445" s="17">
        <f>'12 - Device_Configuration'!Q446</f>
        <v>0</v>
      </c>
      <c r="N445" s="17" t="str">
        <f>'12 - Device_Configuration'!BK446</f>
        <v/>
      </c>
      <c r="O445" s="31" t="str">
        <f>'12 - Device_Configuration'!BL446</f>
        <v/>
      </c>
      <c r="P445" s="2">
        <f>'12 - Device_Configuration'!BA446</f>
        <v>0</v>
      </c>
      <c r="Q445" s="31" t="str">
        <f t="shared" si="24"/>
        <v/>
      </c>
      <c r="R445" s="17" t="str">
        <f t="shared" si="25"/>
        <v>SW NOT INSTALLED</v>
      </c>
      <c r="S445" s="17" t="str">
        <f t="shared" si="26"/>
        <v/>
      </c>
      <c r="T445" s="17" t="str">
        <f t="shared" si="27"/>
        <v>SW NOT INSTALLED</v>
      </c>
    </row>
    <row r="446" spans="1:20">
      <c r="A446" s="31">
        <f>'12 - Device_Configuration'!H447</f>
        <v>0</v>
      </c>
      <c r="B446" s="31">
        <f>'12 - Device_Configuration'!S447</f>
        <v>0</v>
      </c>
      <c r="C446" s="31">
        <f>'12 - Device_Configuration'!T447</f>
        <v>0</v>
      </c>
      <c r="D446" s="17">
        <f>'12 - Device_Configuration'!AJ447</f>
        <v>0</v>
      </c>
      <c r="E446" s="17">
        <f>'12 - Device_Configuration'!J447</f>
        <v>0</v>
      </c>
      <c r="F446" s="31">
        <f>'12 - Device_Configuration'!K447</f>
        <v>0</v>
      </c>
      <c r="G446" s="17">
        <f>'12 - Device_Configuration'!L447</f>
        <v>0</v>
      </c>
      <c r="H446" s="17">
        <f>'13 - Config_Intake_View'!M446</f>
        <v>0</v>
      </c>
      <c r="I446" s="31">
        <f>IF('13 - Config_Intake_View'!Q446&lt;&gt;"",'13 - Config_Intake_View'!Q446,'12 - Device_Configuration'!BH447)</f>
        <v>0</v>
      </c>
      <c r="J446" s="17" t="str">
        <f>IF('13 - Config_Intake_View'!Q446&lt;&gt;"","PM Approved",IF('12 - Device_Configuration'!BH447&lt;&gt;"","Assumed",""))</f>
        <v/>
      </c>
      <c r="K446" s="31">
        <f>'12 - Device_Configuration'!BG447</f>
        <v>0</v>
      </c>
      <c r="L446" s="17">
        <f>'12 - Device_Configuration'!P447</f>
        <v>0</v>
      </c>
      <c r="M446" s="17">
        <f>'12 - Device_Configuration'!Q447</f>
        <v>0</v>
      </c>
      <c r="N446" s="17" t="str">
        <f>'12 - Device_Configuration'!BK447</f>
        <v/>
      </c>
      <c r="O446" s="31" t="str">
        <f>'12 - Device_Configuration'!BL447</f>
        <v/>
      </c>
      <c r="P446" s="2">
        <f>'12 - Device_Configuration'!BA447</f>
        <v>0</v>
      </c>
      <c r="Q446" s="31" t="str">
        <f t="shared" si="24"/>
        <v/>
      </c>
      <c r="R446" s="17" t="str">
        <f t="shared" si="25"/>
        <v>SW NOT INSTALLED</v>
      </c>
      <c r="S446" s="17" t="str">
        <f t="shared" si="26"/>
        <v/>
      </c>
      <c r="T446" s="17" t="str">
        <f t="shared" si="27"/>
        <v>SW NOT INSTALLED</v>
      </c>
    </row>
    <row r="447" spans="1:20">
      <c r="A447" s="31">
        <f>'12 - Device_Configuration'!H448</f>
        <v>0</v>
      </c>
      <c r="B447" s="31">
        <f>'12 - Device_Configuration'!S448</f>
        <v>0</v>
      </c>
      <c r="C447" s="31">
        <f>'12 - Device_Configuration'!T448</f>
        <v>0</v>
      </c>
      <c r="D447" s="17">
        <f>'12 - Device_Configuration'!AJ448</f>
        <v>0</v>
      </c>
      <c r="E447" s="17">
        <f>'12 - Device_Configuration'!J448</f>
        <v>0</v>
      </c>
      <c r="F447" s="31">
        <f>'12 - Device_Configuration'!K448</f>
        <v>0</v>
      </c>
      <c r="G447" s="17">
        <f>'12 - Device_Configuration'!L448</f>
        <v>0</v>
      </c>
      <c r="H447" s="17">
        <f>'13 - Config_Intake_View'!M447</f>
        <v>0</v>
      </c>
      <c r="I447" s="31">
        <f>IF('13 - Config_Intake_View'!Q447&lt;&gt;"",'13 - Config_Intake_View'!Q447,'12 - Device_Configuration'!BH448)</f>
        <v>0</v>
      </c>
      <c r="J447" s="17" t="str">
        <f>IF('13 - Config_Intake_View'!Q447&lt;&gt;"","PM Approved",IF('12 - Device_Configuration'!BH448&lt;&gt;"","Assumed",""))</f>
        <v/>
      </c>
      <c r="K447" s="31">
        <f>'12 - Device_Configuration'!BG448</f>
        <v>0</v>
      </c>
      <c r="L447" s="17">
        <f>'12 - Device_Configuration'!P448</f>
        <v>0</v>
      </c>
      <c r="M447" s="17">
        <f>'12 - Device_Configuration'!Q448</f>
        <v>0</v>
      </c>
      <c r="N447" s="17" t="str">
        <f>'12 - Device_Configuration'!BK448</f>
        <v/>
      </c>
      <c r="O447" s="31" t="str">
        <f>'12 - Device_Configuration'!BL448</f>
        <v/>
      </c>
      <c r="P447" s="2">
        <f>'12 - Device_Configuration'!BA448</f>
        <v>0</v>
      </c>
      <c r="Q447" s="31" t="str">
        <f t="shared" si="24"/>
        <v/>
      </c>
      <c r="R447" s="17" t="str">
        <f t="shared" si="25"/>
        <v>SW NOT INSTALLED</v>
      </c>
      <c r="S447" s="17" t="str">
        <f t="shared" si="26"/>
        <v/>
      </c>
      <c r="T447" s="17" t="str">
        <f t="shared" si="27"/>
        <v>SW NOT INSTALLED</v>
      </c>
    </row>
    <row r="448" spans="1:20">
      <c r="A448" s="31">
        <f>'12 - Device_Configuration'!H449</f>
        <v>0</v>
      </c>
      <c r="B448" s="31">
        <f>'12 - Device_Configuration'!S449</f>
        <v>0</v>
      </c>
      <c r="C448" s="31">
        <f>'12 - Device_Configuration'!T449</f>
        <v>0</v>
      </c>
      <c r="D448" s="17">
        <f>'12 - Device_Configuration'!AJ449</f>
        <v>0</v>
      </c>
      <c r="E448" s="17">
        <f>'12 - Device_Configuration'!J449</f>
        <v>0</v>
      </c>
      <c r="F448" s="31">
        <f>'12 - Device_Configuration'!K449</f>
        <v>0</v>
      </c>
      <c r="G448" s="17">
        <f>'12 - Device_Configuration'!L449</f>
        <v>0</v>
      </c>
      <c r="H448" s="17">
        <f>'13 - Config_Intake_View'!M448</f>
        <v>0</v>
      </c>
      <c r="I448" s="31">
        <f>IF('13 - Config_Intake_View'!Q448&lt;&gt;"",'13 - Config_Intake_View'!Q448,'12 - Device_Configuration'!BH449)</f>
        <v>0</v>
      </c>
      <c r="J448" s="17" t="str">
        <f>IF('13 - Config_Intake_View'!Q448&lt;&gt;"","PM Approved",IF('12 - Device_Configuration'!BH449&lt;&gt;"","Assumed",""))</f>
        <v/>
      </c>
      <c r="K448" s="31">
        <f>'12 - Device_Configuration'!BG449</f>
        <v>0</v>
      </c>
      <c r="L448" s="17">
        <f>'12 - Device_Configuration'!P449</f>
        <v>0</v>
      </c>
      <c r="M448" s="17">
        <f>'12 - Device_Configuration'!Q449</f>
        <v>0</v>
      </c>
      <c r="N448" s="17" t="str">
        <f>'12 - Device_Configuration'!BK449</f>
        <v/>
      </c>
      <c r="O448" s="31" t="str">
        <f>'12 - Device_Configuration'!BL449</f>
        <v/>
      </c>
      <c r="P448" s="2">
        <f>'12 - Device_Configuration'!BA449</f>
        <v>0</v>
      </c>
      <c r="Q448" s="31" t="str">
        <f t="shared" si="24"/>
        <v/>
      </c>
      <c r="R448" s="17" t="str">
        <f t="shared" si="25"/>
        <v>SW NOT INSTALLED</v>
      </c>
      <c r="S448" s="17" t="str">
        <f t="shared" si="26"/>
        <v/>
      </c>
      <c r="T448" s="17" t="str">
        <f t="shared" si="27"/>
        <v>SW NOT INSTALLED</v>
      </c>
    </row>
    <row r="449" spans="1:20">
      <c r="A449" s="31">
        <f>'12 - Device_Configuration'!H450</f>
        <v>0</v>
      </c>
      <c r="B449" s="31">
        <f>'12 - Device_Configuration'!S450</f>
        <v>0</v>
      </c>
      <c r="C449" s="31">
        <f>'12 - Device_Configuration'!T450</f>
        <v>0</v>
      </c>
      <c r="D449" s="17">
        <f>'12 - Device_Configuration'!AJ450</f>
        <v>0</v>
      </c>
      <c r="E449" s="17">
        <f>'12 - Device_Configuration'!J450</f>
        <v>0</v>
      </c>
      <c r="F449" s="31">
        <f>'12 - Device_Configuration'!K450</f>
        <v>0</v>
      </c>
      <c r="G449" s="17">
        <f>'12 - Device_Configuration'!L450</f>
        <v>0</v>
      </c>
      <c r="H449" s="17">
        <f>'13 - Config_Intake_View'!M449</f>
        <v>0</v>
      </c>
      <c r="I449" s="31">
        <f>IF('13 - Config_Intake_View'!Q449&lt;&gt;"",'13 - Config_Intake_View'!Q449,'12 - Device_Configuration'!BH450)</f>
        <v>0</v>
      </c>
      <c r="J449" s="17" t="str">
        <f>IF('13 - Config_Intake_View'!Q449&lt;&gt;"","PM Approved",IF('12 - Device_Configuration'!BH450&lt;&gt;"","Assumed",""))</f>
        <v/>
      </c>
      <c r="K449" s="31">
        <f>'12 - Device_Configuration'!BG450</f>
        <v>0</v>
      </c>
      <c r="L449" s="17">
        <f>'12 - Device_Configuration'!P450</f>
        <v>0</v>
      </c>
      <c r="M449" s="17">
        <f>'12 - Device_Configuration'!Q450</f>
        <v>0</v>
      </c>
      <c r="N449" s="17" t="str">
        <f>'12 - Device_Configuration'!BK450</f>
        <v/>
      </c>
      <c r="O449" s="31" t="str">
        <f>'12 - Device_Configuration'!BL450</f>
        <v/>
      </c>
      <c r="P449" s="2">
        <f>'12 - Device_Configuration'!BA450</f>
        <v>0</v>
      </c>
      <c r="Q449" s="31" t="str">
        <f t="shared" si="24"/>
        <v/>
      </c>
      <c r="R449" s="17" t="str">
        <f t="shared" si="25"/>
        <v>SW NOT INSTALLED</v>
      </c>
      <c r="S449" s="17" t="str">
        <f t="shared" si="26"/>
        <v/>
      </c>
      <c r="T449" s="17" t="str">
        <f t="shared" si="27"/>
        <v>SW NOT INSTALLED</v>
      </c>
    </row>
    <row r="450" spans="1:20">
      <c r="A450" s="31">
        <f>'12 - Device_Configuration'!H451</f>
        <v>0</v>
      </c>
      <c r="B450" s="31">
        <f>'12 - Device_Configuration'!S451</f>
        <v>0</v>
      </c>
      <c r="C450" s="31">
        <f>'12 - Device_Configuration'!T451</f>
        <v>0</v>
      </c>
      <c r="D450" s="17">
        <f>'12 - Device_Configuration'!AJ451</f>
        <v>0</v>
      </c>
      <c r="E450" s="17">
        <f>'12 - Device_Configuration'!J451</f>
        <v>0</v>
      </c>
      <c r="F450" s="31">
        <f>'12 - Device_Configuration'!K451</f>
        <v>0</v>
      </c>
      <c r="G450" s="17">
        <f>'12 - Device_Configuration'!L451</f>
        <v>0</v>
      </c>
      <c r="H450" s="17">
        <f>'13 - Config_Intake_View'!M450</f>
        <v>0</v>
      </c>
      <c r="I450" s="31">
        <f>IF('13 - Config_Intake_View'!Q450&lt;&gt;"",'13 - Config_Intake_View'!Q450,'12 - Device_Configuration'!BH451)</f>
        <v>0</v>
      </c>
      <c r="J450" s="17" t="str">
        <f>IF('13 - Config_Intake_View'!Q450&lt;&gt;"","PM Approved",IF('12 - Device_Configuration'!BH451&lt;&gt;"","Assumed",""))</f>
        <v/>
      </c>
      <c r="K450" s="31">
        <f>'12 - Device_Configuration'!BG451</f>
        <v>0</v>
      </c>
      <c r="L450" s="17">
        <f>'12 - Device_Configuration'!P451</f>
        <v>0</v>
      </c>
      <c r="M450" s="17">
        <f>'12 - Device_Configuration'!Q451</f>
        <v>0</v>
      </c>
      <c r="N450" s="17" t="str">
        <f>'12 - Device_Configuration'!BK451</f>
        <v/>
      </c>
      <c r="O450" s="31" t="str">
        <f>'12 - Device_Configuration'!BL451</f>
        <v/>
      </c>
      <c r="P450" s="2">
        <f>'12 - Device_Configuration'!BA451</f>
        <v>0</v>
      </c>
      <c r="Q450" s="31" t="str">
        <f t="shared" ref="Q450:Q503" si="28">IF(OR($A450="",$B450="",$D450=""),"MISSING CORE FIELDS","")</f>
        <v/>
      </c>
      <c r="R450" s="17" t="str">
        <f t="shared" ref="R450:R503" si="29">IF(AND($I450&lt;&gt;"",$K450&lt;&gt;"Yes"),"SW NOT INSTALLED","")</f>
        <v>SW NOT INSTALLED</v>
      </c>
      <c r="S450" s="17" t="str">
        <f t="shared" ref="S450:S503" si="30">IF(AND($H450&lt;&gt;"",ISNUMBER(SEARCH("auto",LOWER($H450))),$F450=""),"AUTOLOGON REQUIRED","")</f>
        <v/>
      </c>
      <c r="T450" s="17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31">
        <f>'12 - Device_Configuration'!H452</f>
        <v>0</v>
      </c>
      <c r="B451" s="31">
        <f>'12 - Device_Configuration'!S452</f>
        <v>0</v>
      </c>
      <c r="C451" s="31">
        <f>'12 - Device_Configuration'!T452</f>
        <v>0</v>
      </c>
      <c r="D451" s="17">
        <f>'12 - Device_Configuration'!AJ452</f>
        <v>0</v>
      </c>
      <c r="E451" s="17">
        <f>'12 - Device_Configuration'!J452</f>
        <v>0</v>
      </c>
      <c r="F451" s="31">
        <f>'12 - Device_Configuration'!K452</f>
        <v>0</v>
      </c>
      <c r="G451" s="17">
        <f>'12 - Device_Configuration'!L452</f>
        <v>0</v>
      </c>
      <c r="H451" s="17">
        <f>'13 - Config_Intake_View'!M451</f>
        <v>0</v>
      </c>
      <c r="I451" s="31">
        <f>IF('13 - Config_Intake_View'!Q451&lt;&gt;"",'13 - Config_Intake_View'!Q451,'12 - Device_Configuration'!BH452)</f>
        <v>0</v>
      </c>
      <c r="J451" s="17" t="str">
        <f>IF('13 - Config_Intake_View'!Q451&lt;&gt;"","PM Approved",IF('12 - Device_Configuration'!BH452&lt;&gt;"","Assumed",""))</f>
        <v/>
      </c>
      <c r="K451" s="31">
        <f>'12 - Device_Configuration'!BG452</f>
        <v>0</v>
      </c>
      <c r="L451" s="17">
        <f>'12 - Device_Configuration'!P452</f>
        <v>0</v>
      </c>
      <c r="M451" s="17">
        <f>'12 - Device_Configuration'!Q452</f>
        <v>0</v>
      </c>
      <c r="N451" s="17" t="str">
        <f>'12 - Device_Configuration'!BK452</f>
        <v/>
      </c>
      <c r="O451" s="31" t="str">
        <f>'12 - Device_Configuration'!BL452</f>
        <v/>
      </c>
      <c r="P451" s="2">
        <f>'12 - Device_Configuration'!BA452</f>
        <v>0</v>
      </c>
      <c r="Q451" s="31" t="str">
        <f t="shared" si="28"/>
        <v/>
      </c>
      <c r="R451" s="17" t="str">
        <f t="shared" si="29"/>
        <v>SW NOT INSTALLED</v>
      </c>
      <c r="S451" s="17" t="str">
        <f t="shared" si="30"/>
        <v/>
      </c>
      <c r="T451" s="17" t="str">
        <f t="shared" si="31"/>
        <v>SW NOT INSTALLED</v>
      </c>
    </row>
    <row r="452" spans="1:20">
      <c r="A452" s="31">
        <f>'12 - Device_Configuration'!H453</f>
        <v>0</v>
      </c>
      <c r="B452" s="31">
        <f>'12 - Device_Configuration'!S453</f>
        <v>0</v>
      </c>
      <c r="C452" s="31">
        <f>'12 - Device_Configuration'!T453</f>
        <v>0</v>
      </c>
      <c r="D452" s="17">
        <f>'12 - Device_Configuration'!AJ453</f>
        <v>0</v>
      </c>
      <c r="E452" s="17">
        <f>'12 - Device_Configuration'!J453</f>
        <v>0</v>
      </c>
      <c r="F452" s="31">
        <f>'12 - Device_Configuration'!K453</f>
        <v>0</v>
      </c>
      <c r="G452" s="17">
        <f>'12 - Device_Configuration'!L453</f>
        <v>0</v>
      </c>
      <c r="H452" s="17">
        <f>'13 - Config_Intake_View'!M452</f>
        <v>0</v>
      </c>
      <c r="I452" s="31">
        <f>IF('13 - Config_Intake_View'!Q452&lt;&gt;"",'13 - Config_Intake_View'!Q452,'12 - Device_Configuration'!BH453)</f>
        <v>0</v>
      </c>
      <c r="J452" s="17" t="str">
        <f>IF('13 - Config_Intake_View'!Q452&lt;&gt;"","PM Approved",IF('12 - Device_Configuration'!BH453&lt;&gt;"","Assumed",""))</f>
        <v/>
      </c>
      <c r="K452" s="31">
        <f>'12 - Device_Configuration'!BG453</f>
        <v>0</v>
      </c>
      <c r="L452" s="17">
        <f>'12 - Device_Configuration'!P453</f>
        <v>0</v>
      </c>
      <c r="M452" s="17">
        <f>'12 - Device_Configuration'!Q453</f>
        <v>0</v>
      </c>
      <c r="N452" s="17" t="str">
        <f>'12 - Device_Configuration'!BK453</f>
        <v/>
      </c>
      <c r="O452" s="31" t="str">
        <f>'12 - Device_Configuration'!BL453</f>
        <v/>
      </c>
      <c r="P452" s="2">
        <f>'12 - Device_Configuration'!BA453</f>
        <v>0</v>
      </c>
      <c r="Q452" s="31" t="str">
        <f t="shared" si="28"/>
        <v/>
      </c>
      <c r="R452" s="17" t="str">
        <f t="shared" si="29"/>
        <v>SW NOT INSTALLED</v>
      </c>
      <c r="S452" s="17" t="str">
        <f t="shared" si="30"/>
        <v/>
      </c>
      <c r="T452" s="17" t="str">
        <f t="shared" si="31"/>
        <v>SW NOT INSTALLED</v>
      </c>
    </row>
    <row r="453" spans="1:20">
      <c r="A453" s="31">
        <f>'12 - Device_Configuration'!H454</f>
        <v>0</v>
      </c>
      <c r="B453" s="31">
        <f>'12 - Device_Configuration'!S454</f>
        <v>0</v>
      </c>
      <c r="C453" s="31">
        <f>'12 - Device_Configuration'!T454</f>
        <v>0</v>
      </c>
      <c r="D453" s="17">
        <f>'12 - Device_Configuration'!AJ454</f>
        <v>0</v>
      </c>
      <c r="E453" s="17">
        <f>'12 - Device_Configuration'!J454</f>
        <v>0</v>
      </c>
      <c r="F453" s="31">
        <f>'12 - Device_Configuration'!K454</f>
        <v>0</v>
      </c>
      <c r="G453" s="17">
        <f>'12 - Device_Configuration'!L454</f>
        <v>0</v>
      </c>
      <c r="H453" s="17">
        <f>'13 - Config_Intake_View'!M453</f>
        <v>0</v>
      </c>
      <c r="I453" s="31">
        <f>IF('13 - Config_Intake_View'!Q453&lt;&gt;"",'13 - Config_Intake_View'!Q453,'12 - Device_Configuration'!BH454)</f>
        <v>0</v>
      </c>
      <c r="J453" s="17" t="str">
        <f>IF('13 - Config_Intake_View'!Q453&lt;&gt;"","PM Approved",IF('12 - Device_Configuration'!BH454&lt;&gt;"","Assumed",""))</f>
        <v/>
      </c>
      <c r="K453" s="31">
        <f>'12 - Device_Configuration'!BG454</f>
        <v>0</v>
      </c>
      <c r="L453" s="17">
        <f>'12 - Device_Configuration'!P454</f>
        <v>0</v>
      </c>
      <c r="M453" s="17">
        <f>'12 - Device_Configuration'!Q454</f>
        <v>0</v>
      </c>
      <c r="N453" s="17" t="str">
        <f>'12 - Device_Configuration'!BK454</f>
        <v/>
      </c>
      <c r="O453" s="31" t="str">
        <f>'12 - Device_Configuration'!BL454</f>
        <v/>
      </c>
      <c r="P453" s="2">
        <f>'12 - Device_Configuration'!BA454</f>
        <v>0</v>
      </c>
      <c r="Q453" s="31" t="str">
        <f t="shared" si="28"/>
        <v/>
      </c>
      <c r="R453" s="17" t="str">
        <f t="shared" si="29"/>
        <v>SW NOT INSTALLED</v>
      </c>
      <c r="S453" s="17" t="str">
        <f t="shared" si="30"/>
        <v/>
      </c>
      <c r="T453" s="17" t="str">
        <f t="shared" si="31"/>
        <v>SW NOT INSTALLED</v>
      </c>
    </row>
    <row r="454" spans="1:20">
      <c r="A454" s="31">
        <f>'12 - Device_Configuration'!H455</f>
        <v>0</v>
      </c>
      <c r="B454" s="31">
        <f>'12 - Device_Configuration'!S455</f>
        <v>0</v>
      </c>
      <c r="C454" s="31">
        <f>'12 - Device_Configuration'!T455</f>
        <v>0</v>
      </c>
      <c r="D454" s="17">
        <f>'12 - Device_Configuration'!AJ455</f>
        <v>0</v>
      </c>
      <c r="E454" s="17">
        <f>'12 - Device_Configuration'!J455</f>
        <v>0</v>
      </c>
      <c r="F454" s="31">
        <f>'12 - Device_Configuration'!K455</f>
        <v>0</v>
      </c>
      <c r="G454" s="17">
        <f>'12 - Device_Configuration'!L455</f>
        <v>0</v>
      </c>
      <c r="H454" s="17">
        <f>'13 - Config_Intake_View'!M454</f>
        <v>0</v>
      </c>
      <c r="I454" s="31">
        <f>IF('13 - Config_Intake_View'!Q454&lt;&gt;"",'13 - Config_Intake_View'!Q454,'12 - Device_Configuration'!BH455)</f>
        <v>0</v>
      </c>
      <c r="J454" s="17" t="str">
        <f>IF('13 - Config_Intake_View'!Q454&lt;&gt;"","PM Approved",IF('12 - Device_Configuration'!BH455&lt;&gt;"","Assumed",""))</f>
        <v/>
      </c>
      <c r="K454" s="31">
        <f>'12 - Device_Configuration'!BG455</f>
        <v>0</v>
      </c>
      <c r="L454" s="17">
        <f>'12 - Device_Configuration'!P455</f>
        <v>0</v>
      </c>
      <c r="M454" s="17">
        <f>'12 - Device_Configuration'!Q455</f>
        <v>0</v>
      </c>
      <c r="N454" s="17" t="str">
        <f>'12 - Device_Configuration'!BK455</f>
        <v/>
      </c>
      <c r="O454" s="31" t="str">
        <f>'12 - Device_Configuration'!BL455</f>
        <v/>
      </c>
      <c r="P454" s="2">
        <f>'12 - Device_Configuration'!BA455</f>
        <v>0</v>
      </c>
      <c r="Q454" s="31" t="str">
        <f t="shared" si="28"/>
        <v/>
      </c>
      <c r="R454" s="17" t="str">
        <f t="shared" si="29"/>
        <v>SW NOT INSTALLED</v>
      </c>
      <c r="S454" s="17" t="str">
        <f t="shared" si="30"/>
        <v/>
      </c>
      <c r="T454" s="17" t="str">
        <f t="shared" si="31"/>
        <v>SW NOT INSTALLED</v>
      </c>
    </row>
    <row r="455" spans="1:20">
      <c r="A455" s="31">
        <f>'12 - Device_Configuration'!H456</f>
        <v>0</v>
      </c>
      <c r="B455" s="31">
        <f>'12 - Device_Configuration'!S456</f>
        <v>0</v>
      </c>
      <c r="C455" s="31">
        <f>'12 - Device_Configuration'!T456</f>
        <v>0</v>
      </c>
      <c r="D455" s="17">
        <f>'12 - Device_Configuration'!AJ456</f>
        <v>0</v>
      </c>
      <c r="E455" s="17">
        <f>'12 - Device_Configuration'!J456</f>
        <v>0</v>
      </c>
      <c r="F455" s="31">
        <f>'12 - Device_Configuration'!K456</f>
        <v>0</v>
      </c>
      <c r="G455" s="17">
        <f>'12 - Device_Configuration'!L456</f>
        <v>0</v>
      </c>
      <c r="H455" s="17">
        <f>'13 - Config_Intake_View'!M455</f>
        <v>0</v>
      </c>
      <c r="I455" s="31">
        <f>IF('13 - Config_Intake_View'!Q455&lt;&gt;"",'13 - Config_Intake_View'!Q455,'12 - Device_Configuration'!BH456)</f>
        <v>0</v>
      </c>
      <c r="J455" s="17" t="str">
        <f>IF('13 - Config_Intake_View'!Q455&lt;&gt;"","PM Approved",IF('12 - Device_Configuration'!BH456&lt;&gt;"","Assumed",""))</f>
        <v/>
      </c>
      <c r="K455" s="31">
        <f>'12 - Device_Configuration'!BG456</f>
        <v>0</v>
      </c>
      <c r="L455" s="17">
        <f>'12 - Device_Configuration'!P456</f>
        <v>0</v>
      </c>
      <c r="M455" s="17">
        <f>'12 - Device_Configuration'!Q456</f>
        <v>0</v>
      </c>
      <c r="N455" s="17" t="str">
        <f>'12 - Device_Configuration'!BK456</f>
        <v/>
      </c>
      <c r="O455" s="31" t="str">
        <f>'12 - Device_Configuration'!BL456</f>
        <v/>
      </c>
      <c r="P455" s="2">
        <f>'12 - Device_Configuration'!BA456</f>
        <v>0</v>
      </c>
      <c r="Q455" s="31" t="str">
        <f t="shared" si="28"/>
        <v/>
      </c>
      <c r="R455" s="17" t="str">
        <f t="shared" si="29"/>
        <v>SW NOT INSTALLED</v>
      </c>
      <c r="S455" s="17" t="str">
        <f t="shared" si="30"/>
        <v/>
      </c>
      <c r="T455" s="17" t="str">
        <f t="shared" si="31"/>
        <v>SW NOT INSTALLED</v>
      </c>
    </row>
    <row r="456" spans="1:20">
      <c r="A456" s="31">
        <f>'12 - Device_Configuration'!H457</f>
        <v>0</v>
      </c>
      <c r="B456" s="31">
        <f>'12 - Device_Configuration'!S457</f>
        <v>0</v>
      </c>
      <c r="C456" s="31">
        <f>'12 - Device_Configuration'!T457</f>
        <v>0</v>
      </c>
      <c r="D456" s="17">
        <f>'12 - Device_Configuration'!AJ457</f>
        <v>0</v>
      </c>
      <c r="E456" s="17">
        <f>'12 - Device_Configuration'!J457</f>
        <v>0</v>
      </c>
      <c r="F456" s="31">
        <f>'12 - Device_Configuration'!K457</f>
        <v>0</v>
      </c>
      <c r="G456" s="17">
        <f>'12 - Device_Configuration'!L457</f>
        <v>0</v>
      </c>
      <c r="H456" s="17">
        <f>'13 - Config_Intake_View'!M456</f>
        <v>0</v>
      </c>
      <c r="I456" s="31">
        <f>IF('13 - Config_Intake_View'!Q456&lt;&gt;"",'13 - Config_Intake_View'!Q456,'12 - Device_Configuration'!BH457)</f>
        <v>0</v>
      </c>
      <c r="J456" s="17" t="str">
        <f>IF('13 - Config_Intake_View'!Q456&lt;&gt;"","PM Approved",IF('12 - Device_Configuration'!BH457&lt;&gt;"","Assumed",""))</f>
        <v/>
      </c>
      <c r="K456" s="31">
        <f>'12 - Device_Configuration'!BG457</f>
        <v>0</v>
      </c>
      <c r="L456" s="17">
        <f>'12 - Device_Configuration'!P457</f>
        <v>0</v>
      </c>
      <c r="M456" s="17">
        <f>'12 - Device_Configuration'!Q457</f>
        <v>0</v>
      </c>
      <c r="N456" s="17" t="str">
        <f>'12 - Device_Configuration'!BK457</f>
        <v/>
      </c>
      <c r="O456" s="31" t="str">
        <f>'12 - Device_Configuration'!BL457</f>
        <v/>
      </c>
      <c r="P456" s="2">
        <f>'12 - Device_Configuration'!BA457</f>
        <v>0</v>
      </c>
      <c r="Q456" s="31" t="str">
        <f t="shared" si="28"/>
        <v/>
      </c>
      <c r="R456" s="17" t="str">
        <f t="shared" si="29"/>
        <v>SW NOT INSTALLED</v>
      </c>
      <c r="S456" s="17" t="str">
        <f t="shared" si="30"/>
        <v/>
      </c>
      <c r="T456" s="17" t="str">
        <f t="shared" si="31"/>
        <v>SW NOT INSTALLED</v>
      </c>
    </row>
    <row r="457" spans="1:20">
      <c r="A457" s="31">
        <f>'12 - Device_Configuration'!H458</f>
        <v>0</v>
      </c>
      <c r="B457" s="31">
        <f>'12 - Device_Configuration'!S458</f>
        <v>0</v>
      </c>
      <c r="C457" s="31">
        <f>'12 - Device_Configuration'!T458</f>
        <v>0</v>
      </c>
      <c r="D457" s="17">
        <f>'12 - Device_Configuration'!AJ458</f>
        <v>0</v>
      </c>
      <c r="E457" s="17">
        <f>'12 - Device_Configuration'!J458</f>
        <v>0</v>
      </c>
      <c r="F457" s="31">
        <f>'12 - Device_Configuration'!K458</f>
        <v>0</v>
      </c>
      <c r="G457" s="17">
        <f>'12 - Device_Configuration'!L458</f>
        <v>0</v>
      </c>
      <c r="H457" s="17">
        <f>'13 - Config_Intake_View'!M457</f>
        <v>0</v>
      </c>
      <c r="I457" s="31">
        <f>IF('13 - Config_Intake_View'!Q457&lt;&gt;"",'13 - Config_Intake_View'!Q457,'12 - Device_Configuration'!BH458)</f>
        <v>0</v>
      </c>
      <c r="J457" s="17" t="str">
        <f>IF('13 - Config_Intake_View'!Q457&lt;&gt;"","PM Approved",IF('12 - Device_Configuration'!BH458&lt;&gt;"","Assumed",""))</f>
        <v/>
      </c>
      <c r="K457" s="31">
        <f>'12 - Device_Configuration'!BG458</f>
        <v>0</v>
      </c>
      <c r="L457" s="17">
        <f>'12 - Device_Configuration'!P458</f>
        <v>0</v>
      </c>
      <c r="M457" s="17">
        <f>'12 - Device_Configuration'!Q458</f>
        <v>0</v>
      </c>
      <c r="N457" s="17" t="str">
        <f>'12 - Device_Configuration'!BK458</f>
        <v/>
      </c>
      <c r="O457" s="31" t="str">
        <f>'12 - Device_Configuration'!BL458</f>
        <v/>
      </c>
      <c r="P457" s="2">
        <f>'12 - Device_Configuration'!BA458</f>
        <v>0</v>
      </c>
      <c r="Q457" s="31" t="str">
        <f t="shared" si="28"/>
        <v/>
      </c>
      <c r="R457" s="17" t="str">
        <f t="shared" si="29"/>
        <v>SW NOT INSTALLED</v>
      </c>
      <c r="S457" s="17" t="str">
        <f t="shared" si="30"/>
        <v/>
      </c>
      <c r="T457" s="17" t="str">
        <f t="shared" si="31"/>
        <v>SW NOT INSTALLED</v>
      </c>
    </row>
    <row r="458" spans="1:20">
      <c r="A458" s="31">
        <f>'12 - Device_Configuration'!H459</f>
        <v>0</v>
      </c>
      <c r="B458" s="31">
        <f>'12 - Device_Configuration'!S459</f>
        <v>0</v>
      </c>
      <c r="C458" s="31">
        <f>'12 - Device_Configuration'!T459</f>
        <v>0</v>
      </c>
      <c r="D458" s="17">
        <f>'12 - Device_Configuration'!AJ459</f>
        <v>0</v>
      </c>
      <c r="E458" s="17">
        <f>'12 - Device_Configuration'!J459</f>
        <v>0</v>
      </c>
      <c r="F458" s="31">
        <f>'12 - Device_Configuration'!K459</f>
        <v>0</v>
      </c>
      <c r="G458" s="17">
        <f>'12 - Device_Configuration'!L459</f>
        <v>0</v>
      </c>
      <c r="H458" s="17">
        <f>'13 - Config_Intake_View'!M458</f>
        <v>0</v>
      </c>
      <c r="I458" s="31">
        <f>IF('13 - Config_Intake_View'!Q458&lt;&gt;"",'13 - Config_Intake_View'!Q458,'12 - Device_Configuration'!BH459)</f>
        <v>0</v>
      </c>
      <c r="J458" s="17" t="str">
        <f>IF('13 - Config_Intake_View'!Q458&lt;&gt;"","PM Approved",IF('12 - Device_Configuration'!BH459&lt;&gt;"","Assumed",""))</f>
        <v/>
      </c>
      <c r="K458" s="31">
        <f>'12 - Device_Configuration'!BG459</f>
        <v>0</v>
      </c>
      <c r="L458" s="17">
        <f>'12 - Device_Configuration'!P459</f>
        <v>0</v>
      </c>
      <c r="M458" s="17">
        <f>'12 - Device_Configuration'!Q459</f>
        <v>0</v>
      </c>
      <c r="N458" s="17" t="str">
        <f>'12 - Device_Configuration'!BK459</f>
        <v/>
      </c>
      <c r="O458" s="31" t="str">
        <f>'12 - Device_Configuration'!BL459</f>
        <v/>
      </c>
      <c r="P458" s="2">
        <f>'12 - Device_Configuration'!BA459</f>
        <v>0</v>
      </c>
      <c r="Q458" s="31" t="str">
        <f t="shared" si="28"/>
        <v/>
      </c>
      <c r="R458" s="17" t="str">
        <f t="shared" si="29"/>
        <v>SW NOT INSTALLED</v>
      </c>
      <c r="S458" s="17" t="str">
        <f t="shared" si="30"/>
        <v/>
      </c>
      <c r="T458" s="17" t="str">
        <f t="shared" si="31"/>
        <v>SW NOT INSTALLED</v>
      </c>
    </row>
    <row r="459" spans="1:20">
      <c r="A459" s="31">
        <f>'12 - Device_Configuration'!H460</f>
        <v>0</v>
      </c>
      <c r="B459" s="31">
        <f>'12 - Device_Configuration'!S460</f>
        <v>0</v>
      </c>
      <c r="C459" s="31">
        <f>'12 - Device_Configuration'!T460</f>
        <v>0</v>
      </c>
      <c r="D459" s="17">
        <f>'12 - Device_Configuration'!AJ460</f>
        <v>0</v>
      </c>
      <c r="E459" s="17">
        <f>'12 - Device_Configuration'!J460</f>
        <v>0</v>
      </c>
      <c r="F459" s="31">
        <f>'12 - Device_Configuration'!K460</f>
        <v>0</v>
      </c>
      <c r="G459" s="17">
        <f>'12 - Device_Configuration'!L460</f>
        <v>0</v>
      </c>
      <c r="H459" s="17">
        <f>'13 - Config_Intake_View'!M459</f>
        <v>0</v>
      </c>
      <c r="I459" s="31">
        <f>IF('13 - Config_Intake_View'!Q459&lt;&gt;"",'13 - Config_Intake_View'!Q459,'12 - Device_Configuration'!BH460)</f>
        <v>0</v>
      </c>
      <c r="J459" s="17" t="str">
        <f>IF('13 - Config_Intake_View'!Q459&lt;&gt;"","PM Approved",IF('12 - Device_Configuration'!BH460&lt;&gt;"","Assumed",""))</f>
        <v/>
      </c>
      <c r="K459" s="31">
        <f>'12 - Device_Configuration'!BG460</f>
        <v>0</v>
      </c>
      <c r="L459" s="17">
        <f>'12 - Device_Configuration'!P460</f>
        <v>0</v>
      </c>
      <c r="M459" s="17">
        <f>'12 - Device_Configuration'!Q460</f>
        <v>0</v>
      </c>
      <c r="N459" s="17" t="str">
        <f>'12 - Device_Configuration'!BK460</f>
        <v/>
      </c>
      <c r="O459" s="31" t="str">
        <f>'12 - Device_Configuration'!BL460</f>
        <v/>
      </c>
      <c r="P459" s="2">
        <f>'12 - Device_Configuration'!BA460</f>
        <v>0</v>
      </c>
      <c r="Q459" s="31" t="str">
        <f t="shared" si="28"/>
        <v/>
      </c>
      <c r="R459" s="17" t="str">
        <f t="shared" si="29"/>
        <v>SW NOT INSTALLED</v>
      </c>
      <c r="S459" s="17" t="str">
        <f t="shared" si="30"/>
        <v/>
      </c>
      <c r="T459" s="17" t="str">
        <f t="shared" si="31"/>
        <v>SW NOT INSTALLED</v>
      </c>
    </row>
    <row r="460" spans="1:20">
      <c r="A460" s="31">
        <f>'12 - Device_Configuration'!H461</f>
        <v>0</v>
      </c>
      <c r="B460" s="31">
        <f>'12 - Device_Configuration'!S461</f>
        <v>0</v>
      </c>
      <c r="C460" s="31">
        <f>'12 - Device_Configuration'!T461</f>
        <v>0</v>
      </c>
      <c r="D460" s="17">
        <f>'12 - Device_Configuration'!AJ461</f>
        <v>0</v>
      </c>
      <c r="E460" s="17">
        <f>'12 - Device_Configuration'!J461</f>
        <v>0</v>
      </c>
      <c r="F460" s="31">
        <f>'12 - Device_Configuration'!K461</f>
        <v>0</v>
      </c>
      <c r="G460" s="17">
        <f>'12 - Device_Configuration'!L461</f>
        <v>0</v>
      </c>
      <c r="H460" s="17">
        <f>'13 - Config_Intake_View'!M460</f>
        <v>0</v>
      </c>
      <c r="I460" s="31">
        <f>IF('13 - Config_Intake_View'!Q460&lt;&gt;"",'13 - Config_Intake_View'!Q460,'12 - Device_Configuration'!BH461)</f>
        <v>0</v>
      </c>
      <c r="J460" s="17" t="str">
        <f>IF('13 - Config_Intake_View'!Q460&lt;&gt;"","PM Approved",IF('12 - Device_Configuration'!BH461&lt;&gt;"","Assumed",""))</f>
        <v/>
      </c>
      <c r="K460" s="31">
        <f>'12 - Device_Configuration'!BG461</f>
        <v>0</v>
      </c>
      <c r="L460" s="17">
        <f>'12 - Device_Configuration'!P461</f>
        <v>0</v>
      </c>
      <c r="M460" s="17">
        <f>'12 - Device_Configuration'!Q461</f>
        <v>0</v>
      </c>
      <c r="N460" s="17" t="str">
        <f>'12 - Device_Configuration'!BK461</f>
        <v/>
      </c>
      <c r="O460" s="31" t="str">
        <f>'12 - Device_Configuration'!BL461</f>
        <v/>
      </c>
      <c r="P460" s="2">
        <f>'12 - Device_Configuration'!BA461</f>
        <v>0</v>
      </c>
      <c r="Q460" s="31" t="str">
        <f t="shared" si="28"/>
        <v/>
      </c>
      <c r="R460" s="17" t="str">
        <f t="shared" si="29"/>
        <v>SW NOT INSTALLED</v>
      </c>
      <c r="S460" s="17" t="str">
        <f t="shared" si="30"/>
        <v/>
      </c>
      <c r="T460" s="17" t="str">
        <f t="shared" si="31"/>
        <v>SW NOT INSTALLED</v>
      </c>
    </row>
    <row r="461" spans="1:20">
      <c r="A461" s="31">
        <f>'12 - Device_Configuration'!H462</f>
        <v>0</v>
      </c>
      <c r="B461" s="31">
        <f>'12 - Device_Configuration'!S462</f>
        <v>0</v>
      </c>
      <c r="C461" s="31">
        <f>'12 - Device_Configuration'!T462</f>
        <v>0</v>
      </c>
      <c r="D461" s="17">
        <f>'12 - Device_Configuration'!AJ462</f>
        <v>0</v>
      </c>
      <c r="E461" s="17">
        <f>'12 - Device_Configuration'!J462</f>
        <v>0</v>
      </c>
      <c r="F461" s="31">
        <f>'12 - Device_Configuration'!K462</f>
        <v>0</v>
      </c>
      <c r="G461" s="17">
        <f>'12 - Device_Configuration'!L462</f>
        <v>0</v>
      </c>
      <c r="H461" s="17">
        <f>'13 - Config_Intake_View'!M461</f>
        <v>0</v>
      </c>
      <c r="I461" s="31">
        <f>IF('13 - Config_Intake_View'!Q461&lt;&gt;"",'13 - Config_Intake_View'!Q461,'12 - Device_Configuration'!BH462)</f>
        <v>0</v>
      </c>
      <c r="J461" s="17" t="str">
        <f>IF('13 - Config_Intake_View'!Q461&lt;&gt;"","PM Approved",IF('12 - Device_Configuration'!BH462&lt;&gt;"","Assumed",""))</f>
        <v/>
      </c>
      <c r="K461" s="31">
        <f>'12 - Device_Configuration'!BG462</f>
        <v>0</v>
      </c>
      <c r="L461" s="17">
        <f>'12 - Device_Configuration'!P462</f>
        <v>0</v>
      </c>
      <c r="M461" s="17">
        <f>'12 - Device_Configuration'!Q462</f>
        <v>0</v>
      </c>
      <c r="N461" s="17" t="str">
        <f>'12 - Device_Configuration'!BK462</f>
        <v/>
      </c>
      <c r="O461" s="31" t="str">
        <f>'12 - Device_Configuration'!BL462</f>
        <v/>
      </c>
      <c r="P461" s="2">
        <f>'12 - Device_Configuration'!BA462</f>
        <v>0</v>
      </c>
      <c r="Q461" s="31" t="str">
        <f t="shared" si="28"/>
        <v/>
      </c>
      <c r="R461" s="17" t="str">
        <f t="shared" si="29"/>
        <v>SW NOT INSTALLED</v>
      </c>
      <c r="S461" s="17" t="str">
        <f t="shared" si="30"/>
        <v/>
      </c>
      <c r="T461" s="17" t="str">
        <f t="shared" si="31"/>
        <v>SW NOT INSTALLED</v>
      </c>
    </row>
    <row r="462" spans="1:20">
      <c r="A462" s="31">
        <f>'12 - Device_Configuration'!H463</f>
        <v>0</v>
      </c>
      <c r="B462" s="31">
        <f>'12 - Device_Configuration'!S463</f>
        <v>0</v>
      </c>
      <c r="C462" s="31">
        <f>'12 - Device_Configuration'!T463</f>
        <v>0</v>
      </c>
      <c r="D462" s="17">
        <f>'12 - Device_Configuration'!AJ463</f>
        <v>0</v>
      </c>
      <c r="E462" s="17">
        <f>'12 - Device_Configuration'!J463</f>
        <v>0</v>
      </c>
      <c r="F462" s="31">
        <f>'12 - Device_Configuration'!K463</f>
        <v>0</v>
      </c>
      <c r="G462" s="17">
        <f>'12 - Device_Configuration'!L463</f>
        <v>0</v>
      </c>
      <c r="H462" s="17">
        <f>'13 - Config_Intake_View'!M462</f>
        <v>0</v>
      </c>
      <c r="I462" s="31">
        <f>IF('13 - Config_Intake_View'!Q462&lt;&gt;"",'13 - Config_Intake_View'!Q462,'12 - Device_Configuration'!BH463)</f>
        <v>0</v>
      </c>
      <c r="J462" s="17" t="str">
        <f>IF('13 - Config_Intake_View'!Q462&lt;&gt;"","PM Approved",IF('12 - Device_Configuration'!BH463&lt;&gt;"","Assumed",""))</f>
        <v/>
      </c>
      <c r="K462" s="31">
        <f>'12 - Device_Configuration'!BG463</f>
        <v>0</v>
      </c>
      <c r="L462" s="17">
        <f>'12 - Device_Configuration'!P463</f>
        <v>0</v>
      </c>
      <c r="M462" s="17">
        <f>'12 - Device_Configuration'!Q463</f>
        <v>0</v>
      </c>
      <c r="N462" s="17" t="str">
        <f>'12 - Device_Configuration'!BK463</f>
        <v/>
      </c>
      <c r="O462" s="31" t="str">
        <f>'12 - Device_Configuration'!BL463</f>
        <v/>
      </c>
      <c r="P462" s="2">
        <f>'12 - Device_Configuration'!BA463</f>
        <v>0</v>
      </c>
      <c r="Q462" s="31" t="str">
        <f t="shared" si="28"/>
        <v/>
      </c>
      <c r="R462" s="17" t="str">
        <f t="shared" si="29"/>
        <v>SW NOT INSTALLED</v>
      </c>
      <c r="S462" s="17" t="str">
        <f t="shared" si="30"/>
        <v/>
      </c>
      <c r="T462" s="17" t="str">
        <f t="shared" si="31"/>
        <v>SW NOT INSTALLED</v>
      </c>
    </row>
    <row r="463" spans="1:20">
      <c r="A463" s="31">
        <f>'12 - Device_Configuration'!H464</f>
        <v>0</v>
      </c>
      <c r="B463" s="31">
        <f>'12 - Device_Configuration'!S464</f>
        <v>0</v>
      </c>
      <c r="C463" s="31">
        <f>'12 - Device_Configuration'!T464</f>
        <v>0</v>
      </c>
      <c r="D463" s="17">
        <f>'12 - Device_Configuration'!AJ464</f>
        <v>0</v>
      </c>
      <c r="E463" s="17">
        <f>'12 - Device_Configuration'!J464</f>
        <v>0</v>
      </c>
      <c r="F463" s="31">
        <f>'12 - Device_Configuration'!K464</f>
        <v>0</v>
      </c>
      <c r="G463" s="17">
        <f>'12 - Device_Configuration'!L464</f>
        <v>0</v>
      </c>
      <c r="H463" s="17">
        <f>'13 - Config_Intake_View'!M463</f>
        <v>0</v>
      </c>
      <c r="I463" s="31">
        <f>IF('13 - Config_Intake_View'!Q463&lt;&gt;"",'13 - Config_Intake_View'!Q463,'12 - Device_Configuration'!BH464)</f>
        <v>0</v>
      </c>
      <c r="J463" s="17" t="str">
        <f>IF('13 - Config_Intake_View'!Q463&lt;&gt;"","PM Approved",IF('12 - Device_Configuration'!BH464&lt;&gt;"","Assumed",""))</f>
        <v/>
      </c>
      <c r="K463" s="31">
        <f>'12 - Device_Configuration'!BG464</f>
        <v>0</v>
      </c>
      <c r="L463" s="17">
        <f>'12 - Device_Configuration'!P464</f>
        <v>0</v>
      </c>
      <c r="M463" s="17">
        <f>'12 - Device_Configuration'!Q464</f>
        <v>0</v>
      </c>
      <c r="N463" s="17" t="str">
        <f>'12 - Device_Configuration'!BK464</f>
        <v/>
      </c>
      <c r="O463" s="31" t="str">
        <f>'12 - Device_Configuration'!BL464</f>
        <v/>
      </c>
      <c r="P463" s="2">
        <f>'12 - Device_Configuration'!BA464</f>
        <v>0</v>
      </c>
      <c r="Q463" s="31" t="str">
        <f t="shared" si="28"/>
        <v/>
      </c>
      <c r="R463" s="17" t="str">
        <f t="shared" si="29"/>
        <v>SW NOT INSTALLED</v>
      </c>
      <c r="S463" s="17" t="str">
        <f t="shared" si="30"/>
        <v/>
      </c>
      <c r="T463" s="17" t="str">
        <f t="shared" si="31"/>
        <v>SW NOT INSTALLED</v>
      </c>
    </row>
    <row r="464" spans="1:20">
      <c r="A464" s="31">
        <f>'12 - Device_Configuration'!H465</f>
        <v>0</v>
      </c>
      <c r="B464" s="31">
        <f>'12 - Device_Configuration'!S465</f>
        <v>0</v>
      </c>
      <c r="C464" s="31">
        <f>'12 - Device_Configuration'!T465</f>
        <v>0</v>
      </c>
      <c r="D464" s="17">
        <f>'12 - Device_Configuration'!AJ465</f>
        <v>0</v>
      </c>
      <c r="E464" s="17">
        <f>'12 - Device_Configuration'!J465</f>
        <v>0</v>
      </c>
      <c r="F464" s="31">
        <f>'12 - Device_Configuration'!K465</f>
        <v>0</v>
      </c>
      <c r="G464" s="17">
        <f>'12 - Device_Configuration'!L465</f>
        <v>0</v>
      </c>
      <c r="H464" s="17">
        <f>'13 - Config_Intake_View'!M464</f>
        <v>0</v>
      </c>
      <c r="I464" s="31">
        <f>IF('13 - Config_Intake_View'!Q464&lt;&gt;"",'13 - Config_Intake_View'!Q464,'12 - Device_Configuration'!BH465)</f>
        <v>0</v>
      </c>
      <c r="J464" s="17" t="str">
        <f>IF('13 - Config_Intake_View'!Q464&lt;&gt;"","PM Approved",IF('12 - Device_Configuration'!BH465&lt;&gt;"","Assumed",""))</f>
        <v/>
      </c>
      <c r="K464" s="31">
        <f>'12 - Device_Configuration'!BG465</f>
        <v>0</v>
      </c>
      <c r="L464" s="17">
        <f>'12 - Device_Configuration'!P465</f>
        <v>0</v>
      </c>
      <c r="M464" s="17">
        <f>'12 - Device_Configuration'!Q465</f>
        <v>0</v>
      </c>
      <c r="N464" s="17" t="str">
        <f>'12 - Device_Configuration'!BK465</f>
        <v/>
      </c>
      <c r="O464" s="31" t="str">
        <f>'12 - Device_Configuration'!BL465</f>
        <v/>
      </c>
      <c r="P464" s="2">
        <f>'12 - Device_Configuration'!BA465</f>
        <v>0</v>
      </c>
      <c r="Q464" s="31" t="str">
        <f t="shared" si="28"/>
        <v/>
      </c>
      <c r="R464" s="17" t="str">
        <f t="shared" si="29"/>
        <v>SW NOT INSTALLED</v>
      </c>
      <c r="S464" s="17" t="str">
        <f t="shared" si="30"/>
        <v/>
      </c>
      <c r="T464" s="17" t="str">
        <f t="shared" si="31"/>
        <v>SW NOT INSTALLED</v>
      </c>
    </row>
    <row r="465" spans="1:20">
      <c r="A465" s="31">
        <f>'12 - Device_Configuration'!H466</f>
        <v>0</v>
      </c>
      <c r="B465" s="31">
        <f>'12 - Device_Configuration'!S466</f>
        <v>0</v>
      </c>
      <c r="C465" s="31">
        <f>'12 - Device_Configuration'!T466</f>
        <v>0</v>
      </c>
      <c r="D465" s="17">
        <f>'12 - Device_Configuration'!AJ466</f>
        <v>0</v>
      </c>
      <c r="E465" s="17">
        <f>'12 - Device_Configuration'!J466</f>
        <v>0</v>
      </c>
      <c r="F465" s="31">
        <f>'12 - Device_Configuration'!K466</f>
        <v>0</v>
      </c>
      <c r="G465" s="17">
        <f>'12 - Device_Configuration'!L466</f>
        <v>0</v>
      </c>
      <c r="H465" s="17">
        <f>'13 - Config_Intake_View'!M465</f>
        <v>0</v>
      </c>
      <c r="I465" s="31">
        <f>IF('13 - Config_Intake_View'!Q465&lt;&gt;"",'13 - Config_Intake_View'!Q465,'12 - Device_Configuration'!BH466)</f>
        <v>0</v>
      </c>
      <c r="J465" s="17" t="str">
        <f>IF('13 - Config_Intake_View'!Q465&lt;&gt;"","PM Approved",IF('12 - Device_Configuration'!BH466&lt;&gt;"","Assumed",""))</f>
        <v/>
      </c>
      <c r="K465" s="31">
        <f>'12 - Device_Configuration'!BG466</f>
        <v>0</v>
      </c>
      <c r="L465" s="17">
        <f>'12 - Device_Configuration'!P466</f>
        <v>0</v>
      </c>
      <c r="M465" s="17">
        <f>'12 - Device_Configuration'!Q466</f>
        <v>0</v>
      </c>
      <c r="N465" s="17" t="str">
        <f>'12 - Device_Configuration'!BK466</f>
        <v/>
      </c>
      <c r="O465" s="31" t="str">
        <f>'12 - Device_Configuration'!BL466</f>
        <v/>
      </c>
      <c r="P465" s="2">
        <f>'12 - Device_Configuration'!BA466</f>
        <v>0</v>
      </c>
      <c r="Q465" s="31" t="str">
        <f t="shared" si="28"/>
        <v/>
      </c>
      <c r="R465" s="17" t="str">
        <f t="shared" si="29"/>
        <v>SW NOT INSTALLED</v>
      </c>
      <c r="S465" s="17" t="str">
        <f t="shared" si="30"/>
        <v/>
      </c>
      <c r="T465" s="17" t="str">
        <f t="shared" si="31"/>
        <v>SW NOT INSTALLED</v>
      </c>
    </row>
    <row r="466" spans="1:20">
      <c r="A466" s="31">
        <f>'12 - Device_Configuration'!H467</f>
        <v>0</v>
      </c>
      <c r="B466" s="31">
        <f>'12 - Device_Configuration'!S467</f>
        <v>0</v>
      </c>
      <c r="C466" s="31">
        <f>'12 - Device_Configuration'!T467</f>
        <v>0</v>
      </c>
      <c r="D466" s="17">
        <f>'12 - Device_Configuration'!AJ467</f>
        <v>0</v>
      </c>
      <c r="E466" s="17">
        <f>'12 - Device_Configuration'!J467</f>
        <v>0</v>
      </c>
      <c r="F466" s="31">
        <f>'12 - Device_Configuration'!K467</f>
        <v>0</v>
      </c>
      <c r="G466" s="17">
        <f>'12 - Device_Configuration'!L467</f>
        <v>0</v>
      </c>
      <c r="H466" s="17">
        <f>'13 - Config_Intake_View'!M466</f>
        <v>0</v>
      </c>
      <c r="I466" s="31">
        <f>IF('13 - Config_Intake_View'!Q466&lt;&gt;"",'13 - Config_Intake_View'!Q466,'12 - Device_Configuration'!BH467)</f>
        <v>0</v>
      </c>
      <c r="J466" s="17" t="str">
        <f>IF('13 - Config_Intake_View'!Q466&lt;&gt;"","PM Approved",IF('12 - Device_Configuration'!BH467&lt;&gt;"","Assumed",""))</f>
        <v/>
      </c>
      <c r="K466" s="31">
        <f>'12 - Device_Configuration'!BG467</f>
        <v>0</v>
      </c>
      <c r="L466" s="17">
        <f>'12 - Device_Configuration'!P467</f>
        <v>0</v>
      </c>
      <c r="M466" s="17">
        <f>'12 - Device_Configuration'!Q467</f>
        <v>0</v>
      </c>
      <c r="N466" s="17" t="str">
        <f>'12 - Device_Configuration'!BK467</f>
        <v/>
      </c>
      <c r="O466" s="31" t="str">
        <f>'12 - Device_Configuration'!BL467</f>
        <v/>
      </c>
      <c r="P466" s="2">
        <f>'12 - Device_Configuration'!BA467</f>
        <v>0</v>
      </c>
      <c r="Q466" s="31" t="str">
        <f t="shared" si="28"/>
        <v/>
      </c>
      <c r="R466" s="17" t="str">
        <f t="shared" si="29"/>
        <v>SW NOT INSTALLED</v>
      </c>
      <c r="S466" s="17" t="str">
        <f t="shared" si="30"/>
        <v/>
      </c>
      <c r="T466" s="17" t="str">
        <f t="shared" si="31"/>
        <v>SW NOT INSTALLED</v>
      </c>
    </row>
    <row r="467" spans="1:20">
      <c r="A467" s="31">
        <f>'12 - Device_Configuration'!H468</f>
        <v>0</v>
      </c>
      <c r="B467" s="31">
        <f>'12 - Device_Configuration'!S468</f>
        <v>0</v>
      </c>
      <c r="C467" s="31">
        <f>'12 - Device_Configuration'!T468</f>
        <v>0</v>
      </c>
      <c r="D467" s="17">
        <f>'12 - Device_Configuration'!AJ468</f>
        <v>0</v>
      </c>
      <c r="E467" s="17">
        <f>'12 - Device_Configuration'!J468</f>
        <v>0</v>
      </c>
      <c r="F467" s="31">
        <f>'12 - Device_Configuration'!K468</f>
        <v>0</v>
      </c>
      <c r="G467" s="17">
        <f>'12 - Device_Configuration'!L468</f>
        <v>0</v>
      </c>
      <c r="H467" s="17">
        <f>'13 - Config_Intake_View'!M467</f>
        <v>0</v>
      </c>
      <c r="I467" s="31">
        <f>IF('13 - Config_Intake_View'!Q467&lt;&gt;"",'13 - Config_Intake_View'!Q467,'12 - Device_Configuration'!BH468)</f>
        <v>0</v>
      </c>
      <c r="J467" s="17" t="str">
        <f>IF('13 - Config_Intake_View'!Q467&lt;&gt;"","PM Approved",IF('12 - Device_Configuration'!BH468&lt;&gt;"","Assumed",""))</f>
        <v/>
      </c>
      <c r="K467" s="31">
        <f>'12 - Device_Configuration'!BG468</f>
        <v>0</v>
      </c>
      <c r="L467" s="17">
        <f>'12 - Device_Configuration'!P468</f>
        <v>0</v>
      </c>
      <c r="M467" s="17">
        <f>'12 - Device_Configuration'!Q468</f>
        <v>0</v>
      </c>
      <c r="N467" s="17" t="str">
        <f>'12 - Device_Configuration'!BK468</f>
        <v/>
      </c>
      <c r="O467" s="31" t="str">
        <f>'12 - Device_Configuration'!BL468</f>
        <v/>
      </c>
      <c r="P467" s="2">
        <f>'12 - Device_Configuration'!BA468</f>
        <v>0</v>
      </c>
      <c r="Q467" s="31" t="str">
        <f t="shared" si="28"/>
        <v/>
      </c>
      <c r="R467" s="17" t="str">
        <f t="shared" si="29"/>
        <v>SW NOT INSTALLED</v>
      </c>
      <c r="S467" s="17" t="str">
        <f t="shared" si="30"/>
        <v/>
      </c>
      <c r="T467" s="17" t="str">
        <f t="shared" si="31"/>
        <v>SW NOT INSTALLED</v>
      </c>
    </row>
    <row r="468" spans="1:20">
      <c r="A468" s="31">
        <f>'12 - Device_Configuration'!H469</f>
        <v>0</v>
      </c>
      <c r="B468" s="31">
        <f>'12 - Device_Configuration'!S469</f>
        <v>0</v>
      </c>
      <c r="C468" s="31">
        <f>'12 - Device_Configuration'!T469</f>
        <v>0</v>
      </c>
      <c r="D468" s="17">
        <f>'12 - Device_Configuration'!AJ469</f>
        <v>0</v>
      </c>
      <c r="E468" s="17">
        <f>'12 - Device_Configuration'!J469</f>
        <v>0</v>
      </c>
      <c r="F468" s="31">
        <f>'12 - Device_Configuration'!K469</f>
        <v>0</v>
      </c>
      <c r="G468" s="17">
        <f>'12 - Device_Configuration'!L469</f>
        <v>0</v>
      </c>
      <c r="H468" s="17">
        <f>'13 - Config_Intake_View'!M468</f>
        <v>0</v>
      </c>
      <c r="I468" s="31">
        <f>IF('13 - Config_Intake_View'!Q468&lt;&gt;"",'13 - Config_Intake_View'!Q468,'12 - Device_Configuration'!BH469)</f>
        <v>0</v>
      </c>
      <c r="J468" s="17" t="str">
        <f>IF('13 - Config_Intake_View'!Q468&lt;&gt;"","PM Approved",IF('12 - Device_Configuration'!BH469&lt;&gt;"","Assumed",""))</f>
        <v/>
      </c>
      <c r="K468" s="31">
        <f>'12 - Device_Configuration'!BG469</f>
        <v>0</v>
      </c>
      <c r="L468" s="17">
        <f>'12 - Device_Configuration'!P469</f>
        <v>0</v>
      </c>
      <c r="M468" s="17">
        <f>'12 - Device_Configuration'!Q469</f>
        <v>0</v>
      </c>
      <c r="N468" s="17" t="str">
        <f>'12 - Device_Configuration'!BK469</f>
        <v/>
      </c>
      <c r="O468" s="31" t="str">
        <f>'12 - Device_Configuration'!BL469</f>
        <v/>
      </c>
      <c r="P468" s="2">
        <f>'12 - Device_Configuration'!BA469</f>
        <v>0</v>
      </c>
      <c r="Q468" s="31" t="str">
        <f t="shared" si="28"/>
        <v/>
      </c>
      <c r="R468" s="17" t="str">
        <f t="shared" si="29"/>
        <v>SW NOT INSTALLED</v>
      </c>
      <c r="S468" s="17" t="str">
        <f t="shared" si="30"/>
        <v/>
      </c>
      <c r="T468" s="17" t="str">
        <f t="shared" si="31"/>
        <v>SW NOT INSTALLED</v>
      </c>
    </row>
    <row r="469" spans="1:20">
      <c r="A469" s="31">
        <f>'12 - Device_Configuration'!H470</f>
        <v>0</v>
      </c>
      <c r="B469" s="31">
        <f>'12 - Device_Configuration'!S470</f>
        <v>0</v>
      </c>
      <c r="C469" s="31">
        <f>'12 - Device_Configuration'!T470</f>
        <v>0</v>
      </c>
      <c r="D469" s="17">
        <f>'12 - Device_Configuration'!AJ470</f>
        <v>0</v>
      </c>
      <c r="E469" s="17">
        <f>'12 - Device_Configuration'!J470</f>
        <v>0</v>
      </c>
      <c r="F469" s="31">
        <f>'12 - Device_Configuration'!K470</f>
        <v>0</v>
      </c>
      <c r="G469" s="17">
        <f>'12 - Device_Configuration'!L470</f>
        <v>0</v>
      </c>
      <c r="H469" s="17">
        <f>'13 - Config_Intake_View'!M469</f>
        <v>0</v>
      </c>
      <c r="I469" s="31">
        <f>IF('13 - Config_Intake_View'!Q469&lt;&gt;"",'13 - Config_Intake_View'!Q469,'12 - Device_Configuration'!BH470)</f>
        <v>0</v>
      </c>
      <c r="J469" s="17" t="str">
        <f>IF('13 - Config_Intake_View'!Q469&lt;&gt;"","PM Approved",IF('12 - Device_Configuration'!BH470&lt;&gt;"","Assumed",""))</f>
        <v/>
      </c>
      <c r="K469" s="31">
        <f>'12 - Device_Configuration'!BG470</f>
        <v>0</v>
      </c>
      <c r="L469" s="17">
        <f>'12 - Device_Configuration'!P470</f>
        <v>0</v>
      </c>
      <c r="M469" s="17">
        <f>'12 - Device_Configuration'!Q470</f>
        <v>0</v>
      </c>
      <c r="N469" s="17" t="str">
        <f>'12 - Device_Configuration'!BK470</f>
        <v/>
      </c>
      <c r="O469" s="31" t="str">
        <f>'12 - Device_Configuration'!BL470</f>
        <v/>
      </c>
      <c r="P469" s="2">
        <f>'12 - Device_Configuration'!BA470</f>
        <v>0</v>
      </c>
      <c r="Q469" s="31" t="str">
        <f t="shared" si="28"/>
        <v/>
      </c>
      <c r="R469" s="17" t="str">
        <f t="shared" si="29"/>
        <v>SW NOT INSTALLED</v>
      </c>
      <c r="S469" s="17" t="str">
        <f t="shared" si="30"/>
        <v/>
      </c>
      <c r="T469" s="17" t="str">
        <f t="shared" si="31"/>
        <v>SW NOT INSTALLED</v>
      </c>
    </row>
    <row r="470" spans="1:20">
      <c r="A470" s="31">
        <f>'12 - Device_Configuration'!H471</f>
        <v>0</v>
      </c>
      <c r="B470" s="31">
        <f>'12 - Device_Configuration'!S471</f>
        <v>0</v>
      </c>
      <c r="C470" s="31">
        <f>'12 - Device_Configuration'!T471</f>
        <v>0</v>
      </c>
      <c r="D470" s="17">
        <f>'12 - Device_Configuration'!AJ471</f>
        <v>0</v>
      </c>
      <c r="E470" s="17">
        <f>'12 - Device_Configuration'!J471</f>
        <v>0</v>
      </c>
      <c r="F470" s="31">
        <f>'12 - Device_Configuration'!K471</f>
        <v>0</v>
      </c>
      <c r="G470" s="17">
        <f>'12 - Device_Configuration'!L471</f>
        <v>0</v>
      </c>
      <c r="H470" s="17">
        <f>'13 - Config_Intake_View'!M470</f>
        <v>0</v>
      </c>
      <c r="I470" s="31">
        <f>IF('13 - Config_Intake_View'!Q470&lt;&gt;"",'13 - Config_Intake_View'!Q470,'12 - Device_Configuration'!BH471)</f>
        <v>0</v>
      </c>
      <c r="J470" s="17" t="str">
        <f>IF('13 - Config_Intake_View'!Q470&lt;&gt;"","PM Approved",IF('12 - Device_Configuration'!BH471&lt;&gt;"","Assumed",""))</f>
        <v/>
      </c>
      <c r="K470" s="31">
        <f>'12 - Device_Configuration'!BG471</f>
        <v>0</v>
      </c>
      <c r="L470" s="17">
        <f>'12 - Device_Configuration'!P471</f>
        <v>0</v>
      </c>
      <c r="M470" s="17">
        <f>'12 - Device_Configuration'!Q471</f>
        <v>0</v>
      </c>
      <c r="N470" s="17" t="str">
        <f>'12 - Device_Configuration'!BK471</f>
        <v/>
      </c>
      <c r="O470" s="31" t="str">
        <f>'12 - Device_Configuration'!BL471</f>
        <v/>
      </c>
      <c r="P470" s="2">
        <f>'12 - Device_Configuration'!BA471</f>
        <v>0</v>
      </c>
      <c r="Q470" s="31" t="str">
        <f t="shared" si="28"/>
        <v/>
      </c>
      <c r="R470" s="17" t="str">
        <f t="shared" si="29"/>
        <v>SW NOT INSTALLED</v>
      </c>
      <c r="S470" s="17" t="str">
        <f t="shared" si="30"/>
        <v/>
      </c>
      <c r="T470" s="17" t="str">
        <f t="shared" si="31"/>
        <v>SW NOT INSTALLED</v>
      </c>
    </row>
    <row r="471" spans="1:20">
      <c r="A471" s="31">
        <f>'12 - Device_Configuration'!H472</f>
        <v>0</v>
      </c>
      <c r="B471" s="31">
        <f>'12 - Device_Configuration'!S472</f>
        <v>0</v>
      </c>
      <c r="C471" s="31">
        <f>'12 - Device_Configuration'!T472</f>
        <v>0</v>
      </c>
      <c r="D471" s="17">
        <f>'12 - Device_Configuration'!AJ472</f>
        <v>0</v>
      </c>
      <c r="E471" s="17">
        <f>'12 - Device_Configuration'!J472</f>
        <v>0</v>
      </c>
      <c r="F471" s="31">
        <f>'12 - Device_Configuration'!K472</f>
        <v>0</v>
      </c>
      <c r="G471" s="17">
        <f>'12 - Device_Configuration'!L472</f>
        <v>0</v>
      </c>
      <c r="H471" s="17">
        <f>'13 - Config_Intake_View'!M471</f>
        <v>0</v>
      </c>
      <c r="I471" s="31">
        <f>IF('13 - Config_Intake_View'!Q471&lt;&gt;"",'13 - Config_Intake_View'!Q471,'12 - Device_Configuration'!BH472)</f>
        <v>0</v>
      </c>
      <c r="J471" s="17" t="str">
        <f>IF('13 - Config_Intake_View'!Q471&lt;&gt;"","PM Approved",IF('12 - Device_Configuration'!BH472&lt;&gt;"","Assumed",""))</f>
        <v/>
      </c>
      <c r="K471" s="31">
        <f>'12 - Device_Configuration'!BG472</f>
        <v>0</v>
      </c>
      <c r="L471" s="17">
        <f>'12 - Device_Configuration'!P472</f>
        <v>0</v>
      </c>
      <c r="M471" s="17">
        <f>'12 - Device_Configuration'!Q472</f>
        <v>0</v>
      </c>
      <c r="N471" s="17" t="str">
        <f>'12 - Device_Configuration'!BK472</f>
        <v/>
      </c>
      <c r="O471" s="31" t="str">
        <f>'12 - Device_Configuration'!BL472</f>
        <v/>
      </c>
      <c r="P471" s="2">
        <f>'12 - Device_Configuration'!BA472</f>
        <v>0</v>
      </c>
      <c r="Q471" s="31" t="str">
        <f t="shared" si="28"/>
        <v/>
      </c>
      <c r="R471" s="17" t="str">
        <f t="shared" si="29"/>
        <v>SW NOT INSTALLED</v>
      </c>
      <c r="S471" s="17" t="str">
        <f t="shared" si="30"/>
        <v/>
      </c>
      <c r="T471" s="17" t="str">
        <f t="shared" si="31"/>
        <v>SW NOT INSTALLED</v>
      </c>
    </row>
    <row r="472" spans="1:20">
      <c r="A472" s="31">
        <f>'12 - Device_Configuration'!H473</f>
        <v>0</v>
      </c>
      <c r="B472" s="31">
        <f>'12 - Device_Configuration'!S473</f>
        <v>0</v>
      </c>
      <c r="C472" s="31">
        <f>'12 - Device_Configuration'!T473</f>
        <v>0</v>
      </c>
      <c r="D472" s="17">
        <f>'12 - Device_Configuration'!AJ473</f>
        <v>0</v>
      </c>
      <c r="E472" s="17">
        <f>'12 - Device_Configuration'!J473</f>
        <v>0</v>
      </c>
      <c r="F472" s="31">
        <f>'12 - Device_Configuration'!K473</f>
        <v>0</v>
      </c>
      <c r="G472" s="17">
        <f>'12 - Device_Configuration'!L473</f>
        <v>0</v>
      </c>
      <c r="H472" s="17">
        <f>'13 - Config_Intake_View'!M472</f>
        <v>0</v>
      </c>
      <c r="I472" s="31">
        <f>IF('13 - Config_Intake_View'!Q472&lt;&gt;"",'13 - Config_Intake_View'!Q472,'12 - Device_Configuration'!BH473)</f>
        <v>0</v>
      </c>
      <c r="J472" s="17" t="str">
        <f>IF('13 - Config_Intake_View'!Q472&lt;&gt;"","PM Approved",IF('12 - Device_Configuration'!BH473&lt;&gt;"","Assumed",""))</f>
        <v/>
      </c>
      <c r="K472" s="31">
        <f>'12 - Device_Configuration'!BG473</f>
        <v>0</v>
      </c>
      <c r="L472" s="17">
        <f>'12 - Device_Configuration'!P473</f>
        <v>0</v>
      </c>
      <c r="M472" s="17">
        <f>'12 - Device_Configuration'!Q473</f>
        <v>0</v>
      </c>
      <c r="N472" s="17" t="str">
        <f>'12 - Device_Configuration'!BK473</f>
        <v/>
      </c>
      <c r="O472" s="31" t="str">
        <f>'12 - Device_Configuration'!BL473</f>
        <v/>
      </c>
      <c r="P472" s="2">
        <f>'12 - Device_Configuration'!BA473</f>
        <v>0</v>
      </c>
      <c r="Q472" s="31" t="str">
        <f t="shared" si="28"/>
        <v/>
      </c>
      <c r="R472" s="17" t="str">
        <f t="shared" si="29"/>
        <v>SW NOT INSTALLED</v>
      </c>
      <c r="S472" s="17" t="str">
        <f t="shared" si="30"/>
        <v/>
      </c>
      <c r="T472" s="17" t="str">
        <f t="shared" si="31"/>
        <v>SW NOT INSTALLED</v>
      </c>
    </row>
    <row r="473" spans="1:20">
      <c r="A473" s="31">
        <f>'12 - Device_Configuration'!H474</f>
        <v>0</v>
      </c>
      <c r="B473" s="31">
        <f>'12 - Device_Configuration'!S474</f>
        <v>0</v>
      </c>
      <c r="C473" s="31">
        <f>'12 - Device_Configuration'!T474</f>
        <v>0</v>
      </c>
      <c r="D473" s="17">
        <f>'12 - Device_Configuration'!AJ474</f>
        <v>0</v>
      </c>
      <c r="E473" s="17">
        <f>'12 - Device_Configuration'!J474</f>
        <v>0</v>
      </c>
      <c r="F473" s="31">
        <f>'12 - Device_Configuration'!K474</f>
        <v>0</v>
      </c>
      <c r="G473" s="17">
        <f>'12 - Device_Configuration'!L474</f>
        <v>0</v>
      </c>
      <c r="H473" s="17">
        <f>'13 - Config_Intake_View'!M473</f>
        <v>0</v>
      </c>
      <c r="I473" s="31">
        <f>IF('13 - Config_Intake_View'!Q473&lt;&gt;"",'13 - Config_Intake_View'!Q473,'12 - Device_Configuration'!BH474)</f>
        <v>0</v>
      </c>
      <c r="J473" s="17" t="str">
        <f>IF('13 - Config_Intake_View'!Q473&lt;&gt;"","PM Approved",IF('12 - Device_Configuration'!BH474&lt;&gt;"","Assumed",""))</f>
        <v/>
      </c>
      <c r="K473" s="31">
        <f>'12 - Device_Configuration'!BG474</f>
        <v>0</v>
      </c>
      <c r="L473" s="17">
        <f>'12 - Device_Configuration'!P474</f>
        <v>0</v>
      </c>
      <c r="M473" s="17">
        <f>'12 - Device_Configuration'!Q474</f>
        <v>0</v>
      </c>
      <c r="N473" s="17" t="str">
        <f>'12 - Device_Configuration'!BK474</f>
        <v/>
      </c>
      <c r="O473" s="31" t="str">
        <f>'12 - Device_Configuration'!BL474</f>
        <v/>
      </c>
      <c r="P473" s="2">
        <f>'12 - Device_Configuration'!BA474</f>
        <v>0</v>
      </c>
      <c r="Q473" s="31" t="str">
        <f t="shared" si="28"/>
        <v/>
      </c>
      <c r="R473" s="17" t="str">
        <f t="shared" si="29"/>
        <v>SW NOT INSTALLED</v>
      </c>
      <c r="S473" s="17" t="str">
        <f t="shared" si="30"/>
        <v/>
      </c>
      <c r="T473" s="17" t="str">
        <f t="shared" si="31"/>
        <v>SW NOT INSTALLED</v>
      </c>
    </row>
    <row r="474" spans="1:20">
      <c r="A474" s="31">
        <f>'12 - Device_Configuration'!H475</f>
        <v>0</v>
      </c>
      <c r="B474" s="31">
        <f>'12 - Device_Configuration'!S475</f>
        <v>0</v>
      </c>
      <c r="C474" s="31">
        <f>'12 - Device_Configuration'!T475</f>
        <v>0</v>
      </c>
      <c r="D474" s="17">
        <f>'12 - Device_Configuration'!AJ475</f>
        <v>0</v>
      </c>
      <c r="E474" s="17">
        <f>'12 - Device_Configuration'!J475</f>
        <v>0</v>
      </c>
      <c r="F474" s="31">
        <f>'12 - Device_Configuration'!K475</f>
        <v>0</v>
      </c>
      <c r="G474" s="17">
        <f>'12 - Device_Configuration'!L475</f>
        <v>0</v>
      </c>
      <c r="H474" s="17">
        <f>'13 - Config_Intake_View'!M474</f>
        <v>0</v>
      </c>
      <c r="I474" s="31">
        <f>IF('13 - Config_Intake_View'!Q474&lt;&gt;"",'13 - Config_Intake_View'!Q474,'12 - Device_Configuration'!BH475)</f>
        <v>0</v>
      </c>
      <c r="J474" s="17" t="str">
        <f>IF('13 - Config_Intake_View'!Q474&lt;&gt;"","PM Approved",IF('12 - Device_Configuration'!BH475&lt;&gt;"","Assumed",""))</f>
        <v/>
      </c>
      <c r="K474" s="31">
        <f>'12 - Device_Configuration'!BG475</f>
        <v>0</v>
      </c>
      <c r="L474" s="17">
        <f>'12 - Device_Configuration'!P475</f>
        <v>0</v>
      </c>
      <c r="M474" s="17">
        <f>'12 - Device_Configuration'!Q475</f>
        <v>0</v>
      </c>
      <c r="N474" s="17" t="str">
        <f>'12 - Device_Configuration'!BK475</f>
        <v/>
      </c>
      <c r="O474" s="31" t="str">
        <f>'12 - Device_Configuration'!BL475</f>
        <v/>
      </c>
      <c r="P474" s="2">
        <f>'12 - Device_Configuration'!BA475</f>
        <v>0</v>
      </c>
      <c r="Q474" s="31" t="str">
        <f t="shared" si="28"/>
        <v/>
      </c>
      <c r="R474" s="17" t="str">
        <f t="shared" si="29"/>
        <v>SW NOT INSTALLED</v>
      </c>
      <c r="S474" s="17" t="str">
        <f t="shared" si="30"/>
        <v/>
      </c>
      <c r="T474" s="17" t="str">
        <f t="shared" si="31"/>
        <v>SW NOT INSTALLED</v>
      </c>
    </row>
    <row r="475" spans="1:20">
      <c r="A475" s="31">
        <f>'12 - Device_Configuration'!H476</f>
        <v>0</v>
      </c>
      <c r="B475" s="31">
        <f>'12 - Device_Configuration'!S476</f>
        <v>0</v>
      </c>
      <c r="C475" s="31">
        <f>'12 - Device_Configuration'!T476</f>
        <v>0</v>
      </c>
      <c r="D475" s="17">
        <f>'12 - Device_Configuration'!AJ476</f>
        <v>0</v>
      </c>
      <c r="E475" s="17">
        <f>'12 - Device_Configuration'!J476</f>
        <v>0</v>
      </c>
      <c r="F475" s="31">
        <f>'12 - Device_Configuration'!K476</f>
        <v>0</v>
      </c>
      <c r="G475" s="17">
        <f>'12 - Device_Configuration'!L476</f>
        <v>0</v>
      </c>
      <c r="H475" s="17">
        <f>'13 - Config_Intake_View'!M475</f>
        <v>0</v>
      </c>
      <c r="I475" s="31">
        <f>IF('13 - Config_Intake_View'!Q475&lt;&gt;"",'13 - Config_Intake_View'!Q475,'12 - Device_Configuration'!BH476)</f>
        <v>0</v>
      </c>
      <c r="J475" s="17" t="str">
        <f>IF('13 - Config_Intake_View'!Q475&lt;&gt;"","PM Approved",IF('12 - Device_Configuration'!BH476&lt;&gt;"","Assumed",""))</f>
        <v/>
      </c>
      <c r="K475" s="31">
        <f>'12 - Device_Configuration'!BG476</f>
        <v>0</v>
      </c>
      <c r="L475" s="17">
        <f>'12 - Device_Configuration'!P476</f>
        <v>0</v>
      </c>
      <c r="M475" s="17">
        <f>'12 - Device_Configuration'!Q476</f>
        <v>0</v>
      </c>
      <c r="N475" s="17" t="str">
        <f>'12 - Device_Configuration'!BK476</f>
        <v/>
      </c>
      <c r="O475" s="31" t="str">
        <f>'12 - Device_Configuration'!BL476</f>
        <v/>
      </c>
      <c r="P475" s="2">
        <f>'12 - Device_Configuration'!BA476</f>
        <v>0</v>
      </c>
      <c r="Q475" s="31" t="str">
        <f t="shared" si="28"/>
        <v/>
      </c>
      <c r="R475" s="17" t="str">
        <f t="shared" si="29"/>
        <v>SW NOT INSTALLED</v>
      </c>
      <c r="S475" s="17" t="str">
        <f t="shared" si="30"/>
        <v/>
      </c>
      <c r="T475" s="17" t="str">
        <f t="shared" si="31"/>
        <v>SW NOT INSTALLED</v>
      </c>
    </row>
    <row r="476" spans="1:20">
      <c r="A476" s="31">
        <f>'12 - Device_Configuration'!H477</f>
        <v>0</v>
      </c>
      <c r="B476" s="31">
        <f>'12 - Device_Configuration'!S477</f>
        <v>0</v>
      </c>
      <c r="C476" s="31">
        <f>'12 - Device_Configuration'!T477</f>
        <v>0</v>
      </c>
      <c r="D476" s="17">
        <f>'12 - Device_Configuration'!AJ477</f>
        <v>0</v>
      </c>
      <c r="E476" s="17">
        <f>'12 - Device_Configuration'!J477</f>
        <v>0</v>
      </c>
      <c r="F476" s="31">
        <f>'12 - Device_Configuration'!K477</f>
        <v>0</v>
      </c>
      <c r="G476" s="17">
        <f>'12 - Device_Configuration'!L477</f>
        <v>0</v>
      </c>
      <c r="H476" s="17">
        <f>'13 - Config_Intake_View'!M476</f>
        <v>0</v>
      </c>
      <c r="I476" s="31">
        <f>IF('13 - Config_Intake_View'!Q476&lt;&gt;"",'13 - Config_Intake_View'!Q476,'12 - Device_Configuration'!BH477)</f>
        <v>0</v>
      </c>
      <c r="J476" s="17" t="str">
        <f>IF('13 - Config_Intake_View'!Q476&lt;&gt;"","PM Approved",IF('12 - Device_Configuration'!BH477&lt;&gt;"","Assumed",""))</f>
        <v/>
      </c>
      <c r="K476" s="31">
        <f>'12 - Device_Configuration'!BG477</f>
        <v>0</v>
      </c>
      <c r="L476" s="17">
        <f>'12 - Device_Configuration'!P477</f>
        <v>0</v>
      </c>
      <c r="M476" s="17">
        <f>'12 - Device_Configuration'!Q477</f>
        <v>0</v>
      </c>
      <c r="N476" s="17" t="str">
        <f>'12 - Device_Configuration'!BK477</f>
        <v/>
      </c>
      <c r="O476" s="31" t="str">
        <f>'12 - Device_Configuration'!BL477</f>
        <v/>
      </c>
      <c r="P476" s="2">
        <f>'12 - Device_Configuration'!BA477</f>
        <v>0</v>
      </c>
      <c r="Q476" s="31" t="str">
        <f t="shared" si="28"/>
        <v/>
      </c>
      <c r="R476" s="17" t="str">
        <f t="shared" si="29"/>
        <v>SW NOT INSTALLED</v>
      </c>
      <c r="S476" s="17" t="str">
        <f t="shared" si="30"/>
        <v/>
      </c>
      <c r="T476" s="17" t="str">
        <f t="shared" si="31"/>
        <v>SW NOT INSTALLED</v>
      </c>
    </row>
    <row r="477" spans="1:20">
      <c r="A477" s="31">
        <f>'12 - Device_Configuration'!H478</f>
        <v>0</v>
      </c>
      <c r="B477" s="31">
        <f>'12 - Device_Configuration'!S478</f>
        <v>0</v>
      </c>
      <c r="C477" s="31">
        <f>'12 - Device_Configuration'!T478</f>
        <v>0</v>
      </c>
      <c r="D477" s="17">
        <f>'12 - Device_Configuration'!AJ478</f>
        <v>0</v>
      </c>
      <c r="E477" s="17">
        <f>'12 - Device_Configuration'!J478</f>
        <v>0</v>
      </c>
      <c r="F477" s="31">
        <f>'12 - Device_Configuration'!K478</f>
        <v>0</v>
      </c>
      <c r="G477" s="17">
        <f>'12 - Device_Configuration'!L478</f>
        <v>0</v>
      </c>
      <c r="H477" s="17">
        <f>'13 - Config_Intake_View'!M477</f>
        <v>0</v>
      </c>
      <c r="I477" s="31">
        <f>IF('13 - Config_Intake_View'!Q477&lt;&gt;"",'13 - Config_Intake_View'!Q477,'12 - Device_Configuration'!BH478)</f>
        <v>0</v>
      </c>
      <c r="J477" s="17" t="str">
        <f>IF('13 - Config_Intake_View'!Q477&lt;&gt;"","PM Approved",IF('12 - Device_Configuration'!BH478&lt;&gt;"","Assumed",""))</f>
        <v/>
      </c>
      <c r="K477" s="31">
        <f>'12 - Device_Configuration'!BG478</f>
        <v>0</v>
      </c>
      <c r="L477" s="17">
        <f>'12 - Device_Configuration'!P478</f>
        <v>0</v>
      </c>
      <c r="M477" s="17">
        <f>'12 - Device_Configuration'!Q478</f>
        <v>0</v>
      </c>
      <c r="N477" s="17" t="str">
        <f>'12 - Device_Configuration'!BK478</f>
        <v/>
      </c>
      <c r="O477" s="31" t="str">
        <f>'12 - Device_Configuration'!BL478</f>
        <v/>
      </c>
      <c r="P477" s="2">
        <f>'12 - Device_Configuration'!BA478</f>
        <v>0</v>
      </c>
      <c r="Q477" s="31" t="str">
        <f t="shared" si="28"/>
        <v/>
      </c>
      <c r="R477" s="17" t="str">
        <f t="shared" si="29"/>
        <v>SW NOT INSTALLED</v>
      </c>
      <c r="S477" s="17" t="str">
        <f t="shared" si="30"/>
        <v/>
      </c>
      <c r="T477" s="17" t="str">
        <f t="shared" si="31"/>
        <v>SW NOT INSTALLED</v>
      </c>
    </row>
    <row r="478" spans="1:20">
      <c r="A478" s="31">
        <f>'12 - Device_Configuration'!H479</f>
        <v>0</v>
      </c>
      <c r="B478" s="31">
        <f>'12 - Device_Configuration'!S479</f>
        <v>0</v>
      </c>
      <c r="C478" s="31">
        <f>'12 - Device_Configuration'!T479</f>
        <v>0</v>
      </c>
      <c r="D478" s="17">
        <f>'12 - Device_Configuration'!AJ479</f>
        <v>0</v>
      </c>
      <c r="E478" s="17">
        <f>'12 - Device_Configuration'!J479</f>
        <v>0</v>
      </c>
      <c r="F478" s="31">
        <f>'12 - Device_Configuration'!K479</f>
        <v>0</v>
      </c>
      <c r="G478" s="17">
        <f>'12 - Device_Configuration'!L479</f>
        <v>0</v>
      </c>
      <c r="H478" s="17">
        <f>'13 - Config_Intake_View'!M478</f>
        <v>0</v>
      </c>
      <c r="I478" s="31">
        <f>IF('13 - Config_Intake_View'!Q478&lt;&gt;"",'13 - Config_Intake_View'!Q478,'12 - Device_Configuration'!BH479)</f>
        <v>0</v>
      </c>
      <c r="J478" s="17" t="str">
        <f>IF('13 - Config_Intake_View'!Q478&lt;&gt;"","PM Approved",IF('12 - Device_Configuration'!BH479&lt;&gt;"","Assumed",""))</f>
        <v/>
      </c>
      <c r="K478" s="31">
        <f>'12 - Device_Configuration'!BG479</f>
        <v>0</v>
      </c>
      <c r="L478" s="17">
        <f>'12 - Device_Configuration'!P479</f>
        <v>0</v>
      </c>
      <c r="M478" s="17">
        <f>'12 - Device_Configuration'!Q479</f>
        <v>0</v>
      </c>
      <c r="N478" s="17" t="str">
        <f>'12 - Device_Configuration'!BK479</f>
        <v/>
      </c>
      <c r="O478" s="31" t="str">
        <f>'12 - Device_Configuration'!BL479</f>
        <v/>
      </c>
      <c r="P478" s="2">
        <f>'12 - Device_Configuration'!BA479</f>
        <v>0</v>
      </c>
      <c r="Q478" s="31" t="str">
        <f t="shared" si="28"/>
        <v/>
      </c>
      <c r="R478" s="17" t="str">
        <f t="shared" si="29"/>
        <v>SW NOT INSTALLED</v>
      </c>
      <c r="S478" s="17" t="str">
        <f t="shared" si="30"/>
        <v/>
      </c>
      <c r="T478" s="17" t="str">
        <f t="shared" si="31"/>
        <v>SW NOT INSTALLED</v>
      </c>
    </row>
    <row r="479" spans="1:20">
      <c r="A479" s="31">
        <f>'12 - Device_Configuration'!H480</f>
        <v>0</v>
      </c>
      <c r="B479" s="31">
        <f>'12 - Device_Configuration'!S480</f>
        <v>0</v>
      </c>
      <c r="C479" s="31">
        <f>'12 - Device_Configuration'!T480</f>
        <v>0</v>
      </c>
      <c r="D479" s="17">
        <f>'12 - Device_Configuration'!AJ480</f>
        <v>0</v>
      </c>
      <c r="E479" s="17">
        <f>'12 - Device_Configuration'!J480</f>
        <v>0</v>
      </c>
      <c r="F479" s="31">
        <f>'12 - Device_Configuration'!K480</f>
        <v>0</v>
      </c>
      <c r="G479" s="17">
        <f>'12 - Device_Configuration'!L480</f>
        <v>0</v>
      </c>
      <c r="H479" s="17">
        <f>'13 - Config_Intake_View'!M479</f>
        <v>0</v>
      </c>
      <c r="I479" s="31">
        <f>IF('13 - Config_Intake_View'!Q479&lt;&gt;"",'13 - Config_Intake_View'!Q479,'12 - Device_Configuration'!BH480)</f>
        <v>0</v>
      </c>
      <c r="J479" s="17" t="str">
        <f>IF('13 - Config_Intake_View'!Q479&lt;&gt;"","PM Approved",IF('12 - Device_Configuration'!BH480&lt;&gt;"","Assumed",""))</f>
        <v/>
      </c>
      <c r="K479" s="31">
        <f>'12 - Device_Configuration'!BG480</f>
        <v>0</v>
      </c>
      <c r="L479" s="17">
        <f>'12 - Device_Configuration'!P480</f>
        <v>0</v>
      </c>
      <c r="M479" s="17">
        <f>'12 - Device_Configuration'!Q480</f>
        <v>0</v>
      </c>
      <c r="N479" s="17" t="str">
        <f>'12 - Device_Configuration'!BK480</f>
        <v/>
      </c>
      <c r="O479" s="31" t="str">
        <f>'12 - Device_Configuration'!BL480</f>
        <v/>
      </c>
      <c r="P479" s="2">
        <f>'12 - Device_Configuration'!BA480</f>
        <v>0</v>
      </c>
      <c r="Q479" s="31" t="str">
        <f t="shared" si="28"/>
        <v/>
      </c>
      <c r="R479" s="17" t="str">
        <f t="shared" si="29"/>
        <v>SW NOT INSTALLED</v>
      </c>
      <c r="S479" s="17" t="str">
        <f t="shared" si="30"/>
        <v/>
      </c>
      <c r="T479" s="17" t="str">
        <f t="shared" si="31"/>
        <v>SW NOT INSTALLED</v>
      </c>
    </row>
    <row r="480" spans="1:20">
      <c r="A480" s="31">
        <f>'12 - Device_Configuration'!H481</f>
        <v>0</v>
      </c>
      <c r="B480" s="31">
        <f>'12 - Device_Configuration'!S481</f>
        <v>0</v>
      </c>
      <c r="C480" s="31">
        <f>'12 - Device_Configuration'!T481</f>
        <v>0</v>
      </c>
      <c r="D480" s="17">
        <f>'12 - Device_Configuration'!AJ481</f>
        <v>0</v>
      </c>
      <c r="E480" s="17">
        <f>'12 - Device_Configuration'!J481</f>
        <v>0</v>
      </c>
      <c r="F480" s="31">
        <f>'12 - Device_Configuration'!K481</f>
        <v>0</v>
      </c>
      <c r="G480" s="17">
        <f>'12 - Device_Configuration'!L481</f>
        <v>0</v>
      </c>
      <c r="H480" s="17">
        <f>'13 - Config_Intake_View'!M480</f>
        <v>0</v>
      </c>
      <c r="I480" s="31">
        <f>IF('13 - Config_Intake_View'!Q480&lt;&gt;"",'13 - Config_Intake_View'!Q480,'12 - Device_Configuration'!BH481)</f>
        <v>0</v>
      </c>
      <c r="J480" s="17" t="str">
        <f>IF('13 - Config_Intake_View'!Q480&lt;&gt;"","PM Approved",IF('12 - Device_Configuration'!BH481&lt;&gt;"","Assumed",""))</f>
        <v/>
      </c>
      <c r="K480" s="31">
        <f>'12 - Device_Configuration'!BG481</f>
        <v>0</v>
      </c>
      <c r="L480" s="17">
        <f>'12 - Device_Configuration'!P481</f>
        <v>0</v>
      </c>
      <c r="M480" s="17">
        <f>'12 - Device_Configuration'!Q481</f>
        <v>0</v>
      </c>
      <c r="N480" s="17" t="str">
        <f>'12 - Device_Configuration'!BK481</f>
        <v/>
      </c>
      <c r="O480" s="31" t="str">
        <f>'12 - Device_Configuration'!BL481</f>
        <v/>
      </c>
      <c r="P480" s="2">
        <f>'12 - Device_Configuration'!BA481</f>
        <v>0</v>
      </c>
      <c r="Q480" s="31" t="str">
        <f t="shared" si="28"/>
        <v/>
      </c>
      <c r="R480" s="17" t="str">
        <f t="shared" si="29"/>
        <v>SW NOT INSTALLED</v>
      </c>
      <c r="S480" s="17" t="str">
        <f t="shared" si="30"/>
        <v/>
      </c>
      <c r="T480" s="17" t="str">
        <f t="shared" si="31"/>
        <v>SW NOT INSTALLED</v>
      </c>
    </row>
    <row r="481" spans="1:20">
      <c r="A481" s="31">
        <f>'12 - Device_Configuration'!H482</f>
        <v>0</v>
      </c>
      <c r="B481" s="31">
        <f>'12 - Device_Configuration'!S482</f>
        <v>0</v>
      </c>
      <c r="C481" s="31">
        <f>'12 - Device_Configuration'!T482</f>
        <v>0</v>
      </c>
      <c r="D481" s="17">
        <f>'12 - Device_Configuration'!AJ482</f>
        <v>0</v>
      </c>
      <c r="E481" s="17">
        <f>'12 - Device_Configuration'!J482</f>
        <v>0</v>
      </c>
      <c r="F481" s="31">
        <f>'12 - Device_Configuration'!K482</f>
        <v>0</v>
      </c>
      <c r="G481" s="17">
        <f>'12 - Device_Configuration'!L482</f>
        <v>0</v>
      </c>
      <c r="H481" s="17">
        <f>'13 - Config_Intake_View'!M481</f>
        <v>0</v>
      </c>
      <c r="I481" s="31">
        <f>IF('13 - Config_Intake_View'!Q481&lt;&gt;"",'13 - Config_Intake_View'!Q481,'12 - Device_Configuration'!BH482)</f>
        <v>0</v>
      </c>
      <c r="J481" s="17" t="str">
        <f>IF('13 - Config_Intake_View'!Q481&lt;&gt;"","PM Approved",IF('12 - Device_Configuration'!BH482&lt;&gt;"","Assumed",""))</f>
        <v/>
      </c>
      <c r="K481" s="31">
        <f>'12 - Device_Configuration'!BG482</f>
        <v>0</v>
      </c>
      <c r="L481" s="17">
        <f>'12 - Device_Configuration'!P482</f>
        <v>0</v>
      </c>
      <c r="M481" s="17">
        <f>'12 - Device_Configuration'!Q482</f>
        <v>0</v>
      </c>
      <c r="N481" s="17" t="str">
        <f>'12 - Device_Configuration'!BK482</f>
        <v/>
      </c>
      <c r="O481" s="31" t="str">
        <f>'12 - Device_Configuration'!BL482</f>
        <v/>
      </c>
      <c r="P481" s="2">
        <f>'12 - Device_Configuration'!BA482</f>
        <v>0</v>
      </c>
      <c r="Q481" s="31" t="str">
        <f t="shared" si="28"/>
        <v/>
      </c>
      <c r="R481" s="17" t="str">
        <f t="shared" si="29"/>
        <v>SW NOT INSTALLED</v>
      </c>
      <c r="S481" s="17" t="str">
        <f t="shared" si="30"/>
        <v/>
      </c>
      <c r="T481" s="17" t="str">
        <f t="shared" si="31"/>
        <v>SW NOT INSTALLED</v>
      </c>
    </row>
    <row r="482" spans="1:20">
      <c r="A482" s="31">
        <f>'12 - Device_Configuration'!H483</f>
        <v>0</v>
      </c>
      <c r="B482" s="31">
        <f>'12 - Device_Configuration'!S483</f>
        <v>0</v>
      </c>
      <c r="C482" s="31">
        <f>'12 - Device_Configuration'!T483</f>
        <v>0</v>
      </c>
      <c r="D482" s="17">
        <f>'12 - Device_Configuration'!AJ483</f>
        <v>0</v>
      </c>
      <c r="E482" s="17">
        <f>'12 - Device_Configuration'!J483</f>
        <v>0</v>
      </c>
      <c r="F482" s="31">
        <f>'12 - Device_Configuration'!K483</f>
        <v>0</v>
      </c>
      <c r="G482" s="17">
        <f>'12 - Device_Configuration'!L483</f>
        <v>0</v>
      </c>
      <c r="H482" s="17">
        <f>'13 - Config_Intake_View'!M482</f>
        <v>0</v>
      </c>
      <c r="I482" s="31">
        <f>IF('13 - Config_Intake_View'!Q482&lt;&gt;"",'13 - Config_Intake_View'!Q482,'12 - Device_Configuration'!BH483)</f>
        <v>0</v>
      </c>
      <c r="J482" s="17" t="str">
        <f>IF('13 - Config_Intake_View'!Q482&lt;&gt;"","PM Approved",IF('12 - Device_Configuration'!BH483&lt;&gt;"","Assumed",""))</f>
        <v/>
      </c>
      <c r="K482" s="31">
        <f>'12 - Device_Configuration'!BG483</f>
        <v>0</v>
      </c>
      <c r="L482" s="17">
        <f>'12 - Device_Configuration'!P483</f>
        <v>0</v>
      </c>
      <c r="M482" s="17">
        <f>'12 - Device_Configuration'!Q483</f>
        <v>0</v>
      </c>
      <c r="N482" s="17" t="str">
        <f>'12 - Device_Configuration'!BK483</f>
        <v/>
      </c>
      <c r="O482" s="31" t="str">
        <f>'12 - Device_Configuration'!BL483</f>
        <v/>
      </c>
      <c r="P482" s="2">
        <f>'12 - Device_Configuration'!BA483</f>
        <v>0</v>
      </c>
      <c r="Q482" s="31" t="str">
        <f t="shared" si="28"/>
        <v/>
      </c>
      <c r="R482" s="17" t="str">
        <f t="shared" si="29"/>
        <v>SW NOT INSTALLED</v>
      </c>
      <c r="S482" s="17" t="str">
        <f t="shared" si="30"/>
        <v/>
      </c>
      <c r="T482" s="17" t="str">
        <f t="shared" si="31"/>
        <v>SW NOT INSTALLED</v>
      </c>
    </row>
    <row r="483" spans="1:20">
      <c r="A483" s="31">
        <f>'12 - Device_Configuration'!H484</f>
        <v>0</v>
      </c>
      <c r="B483" s="31">
        <f>'12 - Device_Configuration'!S484</f>
        <v>0</v>
      </c>
      <c r="C483" s="31">
        <f>'12 - Device_Configuration'!T484</f>
        <v>0</v>
      </c>
      <c r="D483" s="17">
        <f>'12 - Device_Configuration'!AJ484</f>
        <v>0</v>
      </c>
      <c r="E483" s="17">
        <f>'12 - Device_Configuration'!J484</f>
        <v>0</v>
      </c>
      <c r="F483" s="31">
        <f>'12 - Device_Configuration'!K484</f>
        <v>0</v>
      </c>
      <c r="G483" s="17">
        <f>'12 - Device_Configuration'!L484</f>
        <v>0</v>
      </c>
      <c r="H483" s="17">
        <f>'13 - Config_Intake_View'!M483</f>
        <v>0</v>
      </c>
      <c r="I483" s="31">
        <f>IF('13 - Config_Intake_View'!Q483&lt;&gt;"",'13 - Config_Intake_View'!Q483,'12 - Device_Configuration'!BH484)</f>
        <v>0</v>
      </c>
      <c r="J483" s="17" t="str">
        <f>IF('13 - Config_Intake_View'!Q483&lt;&gt;"","PM Approved",IF('12 - Device_Configuration'!BH484&lt;&gt;"","Assumed",""))</f>
        <v/>
      </c>
      <c r="K483" s="31">
        <f>'12 - Device_Configuration'!BG484</f>
        <v>0</v>
      </c>
      <c r="L483" s="17">
        <f>'12 - Device_Configuration'!P484</f>
        <v>0</v>
      </c>
      <c r="M483" s="17">
        <f>'12 - Device_Configuration'!Q484</f>
        <v>0</v>
      </c>
      <c r="N483" s="17" t="str">
        <f>'12 - Device_Configuration'!BK484</f>
        <v/>
      </c>
      <c r="O483" s="31" t="str">
        <f>'12 - Device_Configuration'!BL484</f>
        <v/>
      </c>
      <c r="P483" s="2">
        <f>'12 - Device_Configuration'!BA484</f>
        <v>0</v>
      </c>
      <c r="Q483" s="31" t="str">
        <f t="shared" si="28"/>
        <v/>
      </c>
      <c r="R483" s="17" t="str">
        <f t="shared" si="29"/>
        <v>SW NOT INSTALLED</v>
      </c>
      <c r="S483" s="17" t="str">
        <f t="shared" si="30"/>
        <v/>
      </c>
      <c r="T483" s="17" t="str">
        <f t="shared" si="31"/>
        <v>SW NOT INSTALLED</v>
      </c>
    </row>
    <row r="484" spans="1:20">
      <c r="A484" s="31">
        <f>'12 - Device_Configuration'!H485</f>
        <v>0</v>
      </c>
      <c r="B484" s="31">
        <f>'12 - Device_Configuration'!S485</f>
        <v>0</v>
      </c>
      <c r="C484" s="31">
        <f>'12 - Device_Configuration'!T485</f>
        <v>0</v>
      </c>
      <c r="D484" s="17">
        <f>'12 - Device_Configuration'!AJ485</f>
        <v>0</v>
      </c>
      <c r="E484" s="17">
        <f>'12 - Device_Configuration'!J485</f>
        <v>0</v>
      </c>
      <c r="F484" s="31">
        <f>'12 - Device_Configuration'!K485</f>
        <v>0</v>
      </c>
      <c r="G484" s="17">
        <f>'12 - Device_Configuration'!L485</f>
        <v>0</v>
      </c>
      <c r="H484" s="17">
        <f>'13 - Config_Intake_View'!M484</f>
        <v>0</v>
      </c>
      <c r="I484" s="31">
        <f>IF('13 - Config_Intake_View'!Q484&lt;&gt;"",'13 - Config_Intake_View'!Q484,'12 - Device_Configuration'!BH485)</f>
        <v>0</v>
      </c>
      <c r="J484" s="17" t="str">
        <f>IF('13 - Config_Intake_View'!Q484&lt;&gt;"","PM Approved",IF('12 - Device_Configuration'!BH485&lt;&gt;"","Assumed",""))</f>
        <v/>
      </c>
      <c r="K484" s="31">
        <f>'12 - Device_Configuration'!BG485</f>
        <v>0</v>
      </c>
      <c r="L484" s="17">
        <f>'12 - Device_Configuration'!P485</f>
        <v>0</v>
      </c>
      <c r="M484" s="17">
        <f>'12 - Device_Configuration'!Q485</f>
        <v>0</v>
      </c>
      <c r="N484" s="17" t="str">
        <f>'12 - Device_Configuration'!BK485</f>
        <v/>
      </c>
      <c r="O484" s="31" t="str">
        <f>'12 - Device_Configuration'!BL485</f>
        <v/>
      </c>
      <c r="P484" s="2">
        <f>'12 - Device_Configuration'!BA485</f>
        <v>0</v>
      </c>
      <c r="Q484" s="31" t="str">
        <f t="shared" si="28"/>
        <v/>
      </c>
      <c r="R484" s="17" t="str">
        <f t="shared" si="29"/>
        <v>SW NOT INSTALLED</v>
      </c>
      <c r="S484" s="17" t="str">
        <f t="shared" si="30"/>
        <v/>
      </c>
      <c r="T484" s="17" t="str">
        <f t="shared" si="31"/>
        <v>SW NOT INSTALLED</v>
      </c>
    </row>
    <row r="485" spans="1:20">
      <c r="A485" s="31">
        <f>'12 - Device_Configuration'!H486</f>
        <v>0</v>
      </c>
      <c r="B485" s="31">
        <f>'12 - Device_Configuration'!S486</f>
        <v>0</v>
      </c>
      <c r="C485" s="31">
        <f>'12 - Device_Configuration'!T486</f>
        <v>0</v>
      </c>
      <c r="D485" s="17">
        <f>'12 - Device_Configuration'!AJ486</f>
        <v>0</v>
      </c>
      <c r="E485" s="17">
        <f>'12 - Device_Configuration'!J486</f>
        <v>0</v>
      </c>
      <c r="F485" s="31">
        <f>'12 - Device_Configuration'!K486</f>
        <v>0</v>
      </c>
      <c r="G485" s="17">
        <f>'12 - Device_Configuration'!L486</f>
        <v>0</v>
      </c>
      <c r="H485" s="17">
        <f>'13 - Config_Intake_View'!M485</f>
        <v>0</v>
      </c>
      <c r="I485" s="31">
        <f>IF('13 - Config_Intake_View'!Q485&lt;&gt;"",'13 - Config_Intake_View'!Q485,'12 - Device_Configuration'!BH486)</f>
        <v>0</v>
      </c>
      <c r="J485" s="17" t="str">
        <f>IF('13 - Config_Intake_View'!Q485&lt;&gt;"","PM Approved",IF('12 - Device_Configuration'!BH486&lt;&gt;"","Assumed",""))</f>
        <v/>
      </c>
      <c r="K485" s="31">
        <f>'12 - Device_Configuration'!BG486</f>
        <v>0</v>
      </c>
      <c r="L485" s="17">
        <f>'12 - Device_Configuration'!P486</f>
        <v>0</v>
      </c>
      <c r="M485" s="17">
        <f>'12 - Device_Configuration'!Q486</f>
        <v>0</v>
      </c>
      <c r="N485" s="17" t="str">
        <f>'12 - Device_Configuration'!BK486</f>
        <v/>
      </c>
      <c r="O485" s="31" t="str">
        <f>'12 - Device_Configuration'!BL486</f>
        <v/>
      </c>
      <c r="P485" s="2">
        <f>'12 - Device_Configuration'!BA486</f>
        <v>0</v>
      </c>
      <c r="Q485" s="31" t="str">
        <f t="shared" si="28"/>
        <v/>
      </c>
      <c r="R485" s="17" t="str">
        <f t="shared" si="29"/>
        <v>SW NOT INSTALLED</v>
      </c>
      <c r="S485" s="17" t="str">
        <f t="shared" si="30"/>
        <v/>
      </c>
      <c r="T485" s="17" t="str">
        <f t="shared" si="31"/>
        <v>SW NOT INSTALLED</v>
      </c>
    </row>
    <row r="486" spans="1:20">
      <c r="A486" s="31">
        <f>'12 - Device_Configuration'!H487</f>
        <v>0</v>
      </c>
      <c r="B486" s="31">
        <f>'12 - Device_Configuration'!S487</f>
        <v>0</v>
      </c>
      <c r="C486" s="31">
        <f>'12 - Device_Configuration'!T487</f>
        <v>0</v>
      </c>
      <c r="D486" s="17">
        <f>'12 - Device_Configuration'!AJ487</f>
        <v>0</v>
      </c>
      <c r="E486" s="17">
        <f>'12 - Device_Configuration'!J487</f>
        <v>0</v>
      </c>
      <c r="F486" s="31">
        <f>'12 - Device_Configuration'!K487</f>
        <v>0</v>
      </c>
      <c r="G486" s="17">
        <f>'12 - Device_Configuration'!L487</f>
        <v>0</v>
      </c>
      <c r="H486" s="17">
        <f>'13 - Config_Intake_View'!M486</f>
        <v>0</v>
      </c>
      <c r="I486" s="31">
        <f>IF('13 - Config_Intake_View'!Q486&lt;&gt;"",'13 - Config_Intake_View'!Q486,'12 - Device_Configuration'!BH487)</f>
        <v>0</v>
      </c>
      <c r="J486" s="17" t="str">
        <f>IF('13 - Config_Intake_View'!Q486&lt;&gt;"","PM Approved",IF('12 - Device_Configuration'!BH487&lt;&gt;"","Assumed",""))</f>
        <v/>
      </c>
      <c r="K486" s="31">
        <f>'12 - Device_Configuration'!BG487</f>
        <v>0</v>
      </c>
      <c r="L486" s="17">
        <f>'12 - Device_Configuration'!P487</f>
        <v>0</v>
      </c>
      <c r="M486" s="17">
        <f>'12 - Device_Configuration'!Q487</f>
        <v>0</v>
      </c>
      <c r="N486" s="17" t="str">
        <f>'12 - Device_Configuration'!BK487</f>
        <v/>
      </c>
      <c r="O486" s="31" t="str">
        <f>'12 - Device_Configuration'!BL487</f>
        <v/>
      </c>
      <c r="P486" s="2">
        <f>'12 - Device_Configuration'!BA487</f>
        <v>0</v>
      </c>
      <c r="Q486" s="31" t="str">
        <f t="shared" si="28"/>
        <v/>
      </c>
      <c r="R486" s="17" t="str">
        <f t="shared" si="29"/>
        <v>SW NOT INSTALLED</v>
      </c>
      <c r="S486" s="17" t="str">
        <f t="shared" si="30"/>
        <v/>
      </c>
      <c r="T486" s="17" t="str">
        <f t="shared" si="31"/>
        <v>SW NOT INSTALLED</v>
      </c>
    </row>
    <row r="487" spans="1:20">
      <c r="A487" s="31">
        <f>'12 - Device_Configuration'!H488</f>
        <v>0</v>
      </c>
      <c r="B487" s="31">
        <f>'12 - Device_Configuration'!S488</f>
        <v>0</v>
      </c>
      <c r="C487" s="31">
        <f>'12 - Device_Configuration'!T488</f>
        <v>0</v>
      </c>
      <c r="D487" s="17">
        <f>'12 - Device_Configuration'!AJ488</f>
        <v>0</v>
      </c>
      <c r="E487" s="17">
        <f>'12 - Device_Configuration'!J488</f>
        <v>0</v>
      </c>
      <c r="F487" s="31">
        <f>'12 - Device_Configuration'!K488</f>
        <v>0</v>
      </c>
      <c r="G487" s="17">
        <f>'12 - Device_Configuration'!L488</f>
        <v>0</v>
      </c>
      <c r="H487" s="17">
        <f>'13 - Config_Intake_View'!M487</f>
        <v>0</v>
      </c>
      <c r="I487" s="31">
        <f>IF('13 - Config_Intake_View'!Q487&lt;&gt;"",'13 - Config_Intake_View'!Q487,'12 - Device_Configuration'!BH488)</f>
        <v>0</v>
      </c>
      <c r="J487" s="17" t="str">
        <f>IF('13 - Config_Intake_View'!Q487&lt;&gt;"","PM Approved",IF('12 - Device_Configuration'!BH488&lt;&gt;"","Assumed",""))</f>
        <v/>
      </c>
      <c r="K487" s="31">
        <f>'12 - Device_Configuration'!BG488</f>
        <v>0</v>
      </c>
      <c r="L487" s="17">
        <f>'12 - Device_Configuration'!P488</f>
        <v>0</v>
      </c>
      <c r="M487" s="17">
        <f>'12 - Device_Configuration'!Q488</f>
        <v>0</v>
      </c>
      <c r="N487" s="17" t="str">
        <f>'12 - Device_Configuration'!BK488</f>
        <v/>
      </c>
      <c r="O487" s="31" t="str">
        <f>'12 - Device_Configuration'!BL488</f>
        <v/>
      </c>
      <c r="P487" s="2">
        <f>'12 - Device_Configuration'!BA488</f>
        <v>0</v>
      </c>
      <c r="Q487" s="31" t="str">
        <f t="shared" si="28"/>
        <v/>
      </c>
      <c r="R487" s="17" t="str">
        <f t="shared" si="29"/>
        <v>SW NOT INSTALLED</v>
      </c>
      <c r="S487" s="17" t="str">
        <f t="shared" si="30"/>
        <v/>
      </c>
      <c r="T487" s="17" t="str">
        <f t="shared" si="31"/>
        <v>SW NOT INSTALLED</v>
      </c>
    </row>
    <row r="488" spans="1:20">
      <c r="A488" s="31">
        <f>'12 - Device_Configuration'!H489</f>
        <v>0</v>
      </c>
      <c r="B488" s="31">
        <f>'12 - Device_Configuration'!S489</f>
        <v>0</v>
      </c>
      <c r="C488" s="31">
        <f>'12 - Device_Configuration'!T489</f>
        <v>0</v>
      </c>
      <c r="D488" s="17">
        <f>'12 - Device_Configuration'!AJ489</f>
        <v>0</v>
      </c>
      <c r="E488" s="17">
        <f>'12 - Device_Configuration'!J489</f>
        <v>0</v>
      </c>
      <c r="F488" s="31">
        <f>'12 - Device_Configuration'!K489</f>
        <v>0</v>
      </c>
      <c r="G488" s="17">
        <f>'12 - Device_Configuration'!L489</f>
        <v>0</v>
      </c>
      <c r="H488" s="17">
        <f>'13 - Config_Intake_View'!M488</f>
        <v>0</v>
      </c>
      <c r="I488" s="31">
        <f>IF('13 - Config_Intake_View'!Q488&lt;&gt;"",'13 - Config_Intake_View'!Q488,'12 - Device_Configuration'!BH489)</f>
        <v>0</v>
      </c>
      <c r="J488" s="17" t="str">
        <f>IF('13 - Config_Intake_View'!Q488&lt;&gt;"","PM Approved",IF('12 - Device_Configuration'!BH489&lt;&gt;"","Assumed",""))</f>
        <v/>
      </c>
      <c r="K488" s="31">
        <f>'12 - Device_Configuration'!BG489</f>
        <v>0</v>
      </c>
      <c r="L488" s="17">
        <f>'12 - Device_Configuration'!P489</f>
        <v>0</v>
      </c>
      <c r="M488" s="17">
        <f>'12 - Device_Configuration'!Q489</f>
        <v>0</v>
      </c>
      <c r="N488" s="17" t="str">
        <f>'12 - Device_Configuration'!BK489</f>
        <v/>
      </c>
      <c r="O488" s="31" t="str">
        <f>'12 - Device_Configuration'!BL489</f>
        <v/>
      </c>
      <c r="P488" s="2">
        <f>'12 - Device_Configuration'!BA489</f>
        <v>0</v>
      </c>
      <c r="Q488" s="31" t="str">
        <f t="shared" si="28"/>
        <v/>
      </c>
      <c r="R488" s="17" t="str">
        <f t="shared" si="29"/>
        <v>SW NOT INSTALLED</v>
      </c>
      <c r="S488" s="17" t="str">
        <f t="shared" si="30"/>
        <v/>
      </c>
      <c r="T488" s="17" t="str">
        <f t="shared" si="31"/>
        <v>SW NOT INSTALLED</v>
      </c>
    </row>
    <row r="489" spans="1:20">
      <c r="A489" s="31">
        <f>'12 - Device_Configuration'!H490</f>
        <v>0</v>
      </c>
      <c r="B489" s="31">
        <f>'12 - Device_Configuration'!S490</f>
        <v>0</v>
      </c>
      <c r="C489" s="31">
        <f>'12 - Device_Configuration'!T490</f>
        <v>0</v>
      </c>
      <c r="D489" s="17">
        <f>'12 - Device_Configuration'!AJ490</f>
        <v>0</v>
      </c>
      <c r="E489" s="17">
        <f>'12 - Device_Configuration'!J490</f>
        <v>0</v>
      </c>
      <c r="F489" s="31">
        <f>'12 - Device_Configuration'!K490</f>
        <v>0</v>
      </c>
      <c r="G489" s="17">
        <f>'12 - Device_Configuration'!L490</f>
        <v>0</v>
      </c>
      <c r="H489" s="17">
        <f>'13 - Config_Intake_View'!M489</f>
        <v>0</v>
      </c>
      <c r="I489" s="31">
        <f>IF('13 - Config_Intake_View'!Q489&lt;&gt;"",'13 - Config_Intake_View'!Q489,'12 - Device_Configuration'!BH490)</f>
        <v>0</v>
      </c>
      <c r="J489" s="17" t="str">
        <f>IF('13 - Config_Intake_View'!Q489&lt;&gt;"","PM Approved",IF('12 - Device_Configuration'!BH490&lt;&gt;"","Assumed",""))</f>
        <v/>
      </c>
      <c r="K489" s="31">
        <f>'12 - Device_Configuration'!BG490</f>
        <v>0</v>
      </c>
      <c r="L489" s="17">
        <f>'12 - Device_Configuration'!P490</f>
        <v>0</v>
      </c>
      <c r="M489" s="17">
        <f>'12 - Device_Configuration'!Q490</f>
        <v>0</v>
      </c>
      <c r="N489" s="17" t="str">
        <f>'12 - Device_Configuration'!BK490</f>
        <v/>
      </c>
      <c r="O489" s="31" t="str">
        <f>'12 - Device_Configuration'!BL490</f>
        <v/>
      </c>
      <c r="P489" s="2">
        <f>'12 - Device_Configuration'!BA490</f>
        <v>0</v>
      </c>
      <c r="Q489" s="31" t="str">
        <f t="shared" si="28"/>
        <v/>
      </c>
      <c r="R489" s="17" t="str">
        <f t="shared" si="29"/>
        <v>SW NOT INSTALLED</v>
      </c>
      <c r="S489" s="17" t="str">
        <f t="shared" si="30"/>
        <v/>
      </c>
      <c r="T489" s="17" t="str">
        <f t="shared" si="31"/>
        <v>SW NOT INSTALLED</v>
      </c>
    </row>
    <row r="490" spans="1:20">
      <c r="A490" s="31">
        <f>'12 - Device_Configuration'!H491</f>
        <v>0</v>
      </c>
      <c r="B490" s="31">
        <f>'12 - Device_Configuration'!S491</f>
        <v>0</v>
      </c>
      <c r="C490" s="31">
        <f>'12 - Device_Configuration'!T491</f>
        <v>0</v>
      </c>
      <c r="D490" s="17">
        <f>'12 - Device_Configuration'!AJ491</f>
        <v>0</v>
      </c>
      <c r="E490" s="17">
        <f>'12 - Device_Configuration'!J491</f>
        <v>0</v>
      </c>
      <c r="F490" s="31">
        <f>'12 - Device_Configuration'!K491</f>
        <v>0</v>
      </c>
      <c r="G490" s="17">
        <f>'12 - Device_Configuration'!L491</f>
        <v>0</v>
      </c>
      <c r="H490" s="17">
        <f>'13 - Config_Intake_View'!M490</f>
        <v>0</v>
      </c>
      <c r="I490" s="31">
        <f>IF('13 - Config_Intake_View'!Q490&lt;&gt;"",'13 - Config_Intake_View'!Q490,'12 - Device_Configuration'!BH491)</f>
        <v>0</v>
      </c>
      <c r="J490" s="17" t="str">
        <f>IF('13 - Config_Intake_View'!Q490&lt;&gt;"","PM Approved",IF('12 - Device_Configuration'!BH491&lt;&gt;"","Assumed",""))</f>
        <v/>
      </c>
      <c r="K490" s="31">
        <f>'12 - Device_Configuration'!BG491</f>
        <v>0</v>
      </c>
      <c r="L490" s="17">
        <f>'12 - Device_Configuration'!P491</f>
        <v>0</v>
      </c>
      <c r="M490" s="17">
        <f>'12 - Device_Configuration'!Q491</f>
        <v>0</v>
      </c>
      <c r="N490" s="17" t="str">
        <f>'12 - Device_Configuration'!BK491</f>
        <v/>
      </c>
      <c r="O490" s="31" t="str">
        <f>'12 - Device_Configuration'!BL491</f>
        <v/>
      </c>
      <c r="P490" s="2">
        <f>'12 - Device_Configuration'!BA491</f>
        <v>0</v>
      </c>
      <c r="Q490" s="31" t="str">
        <f t="shared" si="28"/>
        <v/>
      </c>
      <c r="R490" s="17" t="str">
        <f t="shared" si="29"/>
        <v>SW NOT INSTALLED</v>
      </c>
      <c r="S490" s="17" t="str">
        <f t="shared" si="30"/>
        <v/>
      </c>
      <c r="T490" s="17" t="str">
        <f t="shared" si="31"/>
        <v>SW NOT INSTALLED</v>
      </c>
    </row>
    <row r="491" spans="1:20">
      <c r="A491" s="31">
        <f>'12 - Device_Configuration'!H492</f>
        <v>0</v>
      </c>
      <c r="B491" s="31">
        <f>'12 - Device_Configuration'!S492</f>
        <v>0</v>
      </c>
      <c r="C491" s="31">
        <f>'12 - Device_Configuration'!T492</f>
        <v>0</v>
      </c>
      <c r="D491" s="17">
        <f>'12 - Device_Configuration'!AJ492</f>
        <v>0</v>
      </c>
      <c r="E491" s="17">
        <f>'12 - Device_Configuration'!J492</f>
        <v>0</v>
      </c>
      <c r="F491" s="31">
        <f>'12 - Device_Configuration'!K492</f>
        <v>0</v>
      </c>
      <c r="G491" s="17">
        <f>'12 - Device_Configuration'!L492</f>
        <v>0</v>
      </c>
      <c r="H491" s="17">
        <f>'13 - Config_Intake_View'!M491</f>
        <v>0</v>
      </c>
      <c r="I491" s="31">
        <f>IF('13 - Config_Intake_View'!Q491&lt;&gt;"",'13 - Config_Intake_View'!Q491,'12 - Device_Configuration'!BH492)</f>
        <v>0</v>
      </c>
      <c r="J491" s="17" t="str">
        <f>IF('13 - Config_Intake_View'!Q491&lt;&gt;"","PM Approved",IF('12 - Device_Configuration'!BH492&lt;&gt;"","Assumed",""))</f>
        <v/>
      </c>
      <c r="K491" s="31">
        <f>'12 - Device_Configuration'!BG492</f>
        <v>0</v>
      </c>
      <c r="L491" s="17">
        <f>'12 - Device_Configuration'!P492</f>
        <v>0</v>
      </c>
      <c r="M491" s="17">
        <f>'12 - Device_Configuration'!Q492</f>
        <v>0</v>
      </c>
      <c r="N491" s="17" t="str">
        <f>'12 - Device_Configuration'!BK492</f>
        <v/>
      </c>
      <c r="O491" s="31" t="str">
        <f>'12 - Device_Configuration'!BL492</f>
        <v/>
      </c>
      <c r="P491" s="2">
        <f>'12 - Device_Configuration'!BA492</f>
        <v>0</v>
      </c>
      <c r="Q491" s="31" t="str">
        <f t="shared" si="28"/>
        <v/>
      </c>
      <c r="R491" s="17" t="str">
        <f t="shared" si="29"/>
        <v>SW NOT INSTALLED</v>
      </c>
      <c r="S491" s="17" t="str">
        <f t="shared" si="30"/>
        <v/>
      </c>
      <c r="T491" s="17" t="str">
        <f t="shared" si="31"/>
        <v>SW NOT INSTALLED</v>
      </c>
    </row>
    <row r="492" spans="1:20">
      <c r="A492" s="31">
        <f>'12 - Device_Configuration'!H493</f>
        <v>0</v>
      </c>
      <c r="B492" s="31">
        <f>'12 - Device_Configuration'!S493</f>
        <v>0</v>
      </c>
      <c r="C492" s="31">
        <f>'12 - Device_Configuration'!T493</f>
        <v>0</v>
      </c>
      <c r="D492" s="17">
        <f>'12 - Device_Configuration'!AJ493</f>
        <v>0</v>
      </c>
      <c r="E492" s="17">
        <f>'12 - Device_Configuration'!J493</f>
        <v>0</v>
      </c>
      <c r="F492" s="31">
        <f>'12 - Device_Configuration'!K493</f>
        <v>0</v>
      </c>
      <c r="G492" s="17">
        <f>'12 - Device_Configuration'!L493</f>
        <v>0</v>
      </c>
      <c r="H492" s="17">
        <f>'13 - Config_Intake_View'!M492</f>
        <v>0</v>
      </c>
      <c r="I492" s="31">
        <f>IF('13 - Config_Intake_View'!Q492&lt;&gt;"",'13 - Config_Intake_View'!Q492,'12 - Device_Configuration'!BH493)</f>
        <v>0</v>
      </c>
      <c r="J492" s="17" t="str">
        <f>IF('13 - Config_Intake_View'!Q492&lt;&gt;"","PM Approved",IF('12 - Device_Configuration'!BH493&lt;&gt;"","Assumed",""))</f>
        <v/>
      </c>
      <c r="K492" s="31">
        <f>'12 - Device_Configuration'!BG493</f>
        <v>0</v>
      </c>
      <c r="L492" s="17">
        <f>'12 - Device_Configuration'!P493</f>
        <v>0</v>
      </c>
      <c r="M492" s="17">
        <f>'12 - Device_Configuration'!Q493</f>
        <v>0</v>
      </c>
      <c r="N492" s="17" t="str">
        <f>'12 - Device_Configuration'!BK493</f>
        <v/>
      </c>
      <c r="O492" s="31" t="str">
        <f>'12 - Device_Configuration'!BL493</f>
        <v/>
      </c>
      <c r="P492" s="2">
        <f>'12 - Device_Configuration'!BA493</f>
        <v>0</v>
      </c>
      <c r="Q492" s="31" t="str">
        <f t="shared" si="28"/>
        <v/>
      </c>
      <c r="R492" s="17" t="str">
        <f t="shared" si="29"/>
        <v>SW NOT INSTALLED</v>
      </c>
      <c r="S492" s="17" t="str">
        <f t="shared" si="30"/>
        <v/>
      </c>
      <c r="T492" s="17" t="str">
        <f t="shared" si="31"/>
        <v>SW NOT INSTALLED</v>
      </c>
    </row>
    <row r="493" spans="1:20">
      <c r="A493" s="31">
        <f>'12 - Device_Configuration'!H494</f>
        <v>0</v>
      </c>
      <c r="B493" s="31">
        <f>'12 - Device_Configuration'!S494</f>
        <v>0</v>
      </c>
      <c r="C493" s="31">
        <f>'12 - Device_Configuration'!T494</f>
        <v>0</v>
      </c>
      <c r="D493" s="17">
        <f>'12 - Device_Configuration'!AJ494</f>
        <v>0</v>
      </c>
      <c r="E493" s="17">
        <f>'12 - Device_Configuration'!J494</f>
        <v>0</v>
      </c>
      <c r="F493" s="31">
        <f>'12 - Device_Configuration'!K494</f>
        <v>0</v>
      </c>
      <c r="G493" s="17">
        <f>'12 - Device_Configuration'!L494</f>
        <v>0</v>
      </c>
      <c r="H493" s="17">
        <f>'13 - Config_Intake_View'!M493</f>
        <v>0</v>
      </c>
      <c r="I493" s="31">
        <f>IF('13 - Config_Intake_View'!Q493&lt;&gt;"",'13 - Config_Intake_View'!Q493,'12 - Device_Configuration'!BH494)</f>
        <v>0</v>
      </c>
      <c r="J493" s="17" t="str">
        <f>IF('13 - Config_Intake_View'!Q493&lt;&gt;"","PM Approved",IF('12 - Device_Configuration'!BH494&lt;&gt;"","Assumed",""))</f>
        <v/>
      </c>
      <c r="K493" s="31">
        <f>'12 - Device_Configuration'!BG494</f>
        <v>0</v>
      </c>
      <c r="L493" s="17">
        <f>'12 - Device_Configuration'!P494</f>
        <v>0</v>
      </c>
      <c r="M493" s="17">
        <f>'12 - Device_Configuration'!Q494</f>
        <v>0</v>
      </c>
      <c r="N493" s="17" t="str">
        <f>'12 - Device_Configuration'!BK494</f>
        <v/>
      </c>
      <c r="O493" s="31" t="str">
        <f>'12 - Device_Configuration'!BL494</f>
        <v/>
      </c>
      <c r="P493" s="2">
        <f>'12 - Device_Configuration'!BA494</f>
        <v>0</v>
      </c>
      <c r="Q493" s="31" t="str">
        <f t="shared" si="28"/>
        <v/>
      </c>
      <c r="R493" s="17" t="str">
        <f t="shared" si="29"/>
        <v>SW NOT INSTALLED</v>
      </c>
      <c r="S493" s="17" t="str">
        <f t="shared" si="30"/>
        <v/>
      </c>
      <c r="T493" s="17" t="str">
        <f t="shared" si="31"/>
        <v>SW NOT INSTALLED</v>
      </c>
    </row>
    <row r="494" spans="1:20">
      <c r="A494" s="31">
        <f>'12 - Device_Configuration'!H495</f>
        <v>0</v>
      </c>
      <c r="B494" s="31">
        <f>'12 - Device_Configuration'!S495</f>
        <v>0</v>
      </c>
      <c r="C494" s="31">
        <f>'12 - Device_Configuration'!T495</f>
        <v>0</v>
      </c>
      <c r="D494" s="17">
        <f>'12 - Device_Configuration'!AJ495</f>
        <v>0</v>
      </c>
      <c r="E494" s="17">
        <f>'12 - Device_Configuration'!J495</f>
        <v>0</v>
      </c>
      <c r="F494" s="31">
        <f>'12 - Device_Configuration'!K495</f>
        <v>0</v>
      </c>
      <c r="G494" s="17">
        <f>'12 - Device_Configuration'!L495</f>
        <v>0</v>
      </c>
      <c r="H494" s="17">
        <f>'13 - Config_Intake_View'!M494</f>
        <v>0</v>
      </c>
      <c r="I494" s="31">
        <f>IF('13 - Config_Intake_View'!Q494&lt;&gt;"",'13 - Config_Intake_View'!Q494,'12 - Device_Configuration'!BH495)</f>
        <v>0</v>
      </c>
      <c r="J494" s="17" t="str">
        <f>IF('13 - Config_Intake_View'!Q494&lt;&gt;"","PM Approved",IF('12 - Device_Configuration'!BH495&lt;&gt;"","Assumed",""))</f>
        <v/>
      </c>
      <c r="K494" s="31">
        <f>'12 - Device_Configuration'!BG495</f>
        <v>0</v>
      </c>
      <c r="L494" s="17">
        <f>'12 - Device_Configuration'!P495</f>
        <v>0</v>
      </c>
      <c r="M494" s="17">
        <f>'12 - Device_Configuration'!Q495</f>
        <v>0</v>
      </c>
      <c r="N494" s="17" t="str">
        <f>'12 - Device_Configuration'!BK495</f>
        <v/>
      </c>
      <c r="O494" s="31" t="str">
        <f>'12 - Device_Configuration'!BL495</f>
        <v/>
      </c>
      <c r="P494" s="2">
        <f>'12 - Device_Configuration'!BA495</f>
        <v>0</v>
      </c>
      <c r="Q494" s="31" t="str">
        <f t="shared" si="28"/>
        <v/>
      </c>
      <c r="R494" s="17" t="str">
        <f t="shared" si="29"/>
        <v>SW NOT INSTALLED</v>
      </c>
      <c r="S494" s="17" t="str">
        <f t="shared" si="30"/>
        <v/>
      </c>
      <c r="T494" s="17" t="str">
        <f t="shared" si="31"/>
        <v>SW NOT INSTALLED</v>
      </c>
    </row>
    <row r="495" spans="1:20">
      <c r="A495" s="31">
        <f>'12 - Device_Configuration'!H496</f>
        <v>0</v>
      </c>
      <c r="B495" s="31">
        <f>'12 - Device_Configuration'!S496</f>
        <v>0</v>
      </c>
      <c r="C495" s="31">
        <f>'12 - Device_Configuration'!T496</f>
        <v>0</v>
      </c>
      <c r="D495" s="17">
        <f>'12 - Device_Configuration'!AJ496</f>
        <v>0</v>
      </c>
      <c r="E495" s="17">
        <f>'12 - Device_Configuration'!J496</f>
        <v>0</v>
      </c>
      <c r="F495" s="31">
        <f>'12 - Device_Configuration'!K496</f>
        <v>0</v>
      </c>
      <c r="G495" s="17">
        <f>'12 - Device_Configuration'!L496</f>
        <v>0</v>
      </c>
      <c r="H495" s="17">
        <f>'13 - Config_Intake_View'!M495</f>
        <v>0</v>
      </c>
      <c r="I495" s="31">
        <f>IF('13 - Config_Intake_View'!Q495&lt;&gt;"",'13 - Config_Intake_View'!Q495,'12 - Device_Configuration'!BH496)</f>
        <v>0</v>
      </c>
      <c r="J495" s="17" t="str">
        <f>IF('13 - Config_Intake_View'!Q495&lt;&gt;"","PM Approved",IF('12 - Device_Configuration'!BH496&lt;&gt;"","Assumed",""))</f>
        <v/>
      </c>
      <c r="K495" s="31">
        <f>'12 - Device_Configuration'!BG496</f>
        <v>0</v>
      </c>
      <c r="L495" s="17">
        <f>'12 - Device_Configuration'!P496</f>
        <v>0</v>
      </c>
      <c r="M495" s="17">
        <f>'12 - Device_Configuration'!Q496</f>
        <v>0</v>
      </c>
      <c r="N495" s="17" t="str">
        <f>'12 - Device_Configuration'!BK496</f>
        <v/>
      </c>
      <c r="O495" s="31" t="str">
        <f>'12 - Device_Configuration'!BL496</f>
        <v/>
      </c>
      <c r="P495" s="2">
        <f>'12 - Device_Configuration'!BA496</f>
        <v>0</v>
      </c>
      <c r="Q495" s="31" t="str">
        <f t="shared" si="28"/>
        <v/>
      </c>
      <c r="R495" s="17" t="str">
        <f t="shared" si="29"/>
        <v>SW NOT INSTALLED</v>
      </c>
      <c r="S495" s="17" t="str">
        <f t="shared" si="30"/>
        <v/>
      </c>
      <c r="T495" s="17" t="str">
        <f t="shared" si="31"/>
        <v>SW NOT INSTALLED</v>
      </c>
    </row>
    <row r="496" spans="1:20">
      <c r="A496" s="31">
        <f>'12 - Device_Configuration'!H497</f>
        <v>0</v>
      </c>
      <c r="B496" s="31">
        <f>'12 - Device_Configuration'!S497</f>
        <v>0</v>
      </c>
      <c r="C496" s="31">
        <f>'12 - Device_Configuration'!T497</f>
        <v>0</v>
      </c>
      <c r="D496" s="17">
        <f>'12 - Device_Configuration'!AJ497</f>
        <v>0</v>
      </c>
      <c r="E496" s="17">
        <f>'12 - Device_Configuration'!J497</f>
        <v>0</v>
      </c>
      <c r="F496" s="31">
        <f>'12 - Device_Configuration'!K497</f>
        <v>0</v>
      </c>
      <c r="G496" s="17">
        <f>'12 - Device_Configuration'!L497</f>
        <v>0</v>
      </c>
      <c r="H496" s="17">
        <f>'13 - Config_Intake_View'!M496</f>
        <v>0</v>
      </c>
      <c r="I496" s="31">
        <f>IF('13 - Config_Intake_View'!Q496&lt;&gt;"",'13 - Config_Intake_View'!Q496,'12 - Device_Configuration'!BH497)</f>
        <v>0</v>
      </c>
      <c r="J496" s="17" t="str">
        <f>IF('13 - Config_Intake_View'!Q496&lt;&gt;"","PM Approved",IF('12 - Device_Configuration'!BH497&lt;&gt;"","Assumed",""))</f>
        <v/>
      </c>
      <c r="K496" s="31">
        <f>'12 - Device_Configuration'!BG497</f>
        <v>0</v>
      </c>
      <c r="L496" s="17">
        <f>'12 - Device_Configuration'!P497</f>
        <v>0</v>
      </c>
      <c r="M496" s="17">
        <f>'12 - Device_Configuration'!Q497</f>
        <v>0</v>
      </c>
      <c r="N496" s="17" t="str">
        <f>'12 - Device_Configuration'!BK497</f>
        <v/>
      </c>
      <c r="O496" s="31" t="str">
        <f>'12 - Device_Configuration'!BL497</f>
        <v/>
      </c>
      <c r="P496" s="2">
        <f>'12 - Device_Configuration'!BA497</f>
        <v>0</v>
      </c>
      <c r="Q496" s="31" t="str">
        <f t="shared" si="28"/>
        <v/>
      </c>
      <c r="R496" s="17" t="str">
        <f t="shared" si="29"/>
        <v>SW NOT INSTALLED</v>
      </c>
      <c r="S496" s="17" t="str">
        <f t="shared" si="30"/>
        <v/>
      </c>
      <c r="T496" s="17" t="str">
        <f t="shared" si="31"/>
        <v>SW NOT INSTALLED</v>
      </c>
    </row>
    <row r="497" spans="1:20">
      <c r="A497" s="31">
        <f>'12 - Device_Configuration'!H498</f>
        <v>0</v>
      </c>
      <c r="B497" s="31">
        <f>'12 - Device_Configuration'!S498</f>
        <v>0</v>
      </c>
      <c r="C497" s="31">
        <f>'12 - Device_Configuration'!T498</f>
        <v>0</v>
      </c>
      <c r="D497" s="17">
        <f>'12 - Device_Configuration'!AJ498</f>
        <v>0</v>
      </c>
      <c r="E497" s="17">
        <f>'12 - Device_Configuration'!J498</f>
        <v>0</v>
      </c>
      <c r="F497" s="31">
        <f>'12 - Device_Configuration'!K498</f>
        <v>0</v>
      </c>
      <c r="G497" s="17">
        <f>'12 - Device_Configuration'!L498</f>
        <v>0</v>
      </c>
      <c r="H497" s="17">
        <f>'13 - Config_Intake_View'!M497</f>
        <v>0</v>
      </c>
      <c r="I497" s="31">
        <f>IF('13 - Config_Intake_View'!Q497&lt;&gt;"",'13 - Config_Intake_View'!Q497,'12 - Device_Configuration'!BH498)</f>
        <v>0</v>
      </c>
      <c r="J497" s="17" t="str">
        <f>IF('13 - Config_Intake_View'!Q497&lt;&gt;"","PM Approved",IF('12 - Device_Configuration'!BH498&lt;&gt;"","Assumed",""))</f>
        <v/>
      </c>
      <c r="K497" s="31">
        <f>'12 - Device_Configuration'!BG498</f>
        <v>0</v>
      </c>
      <c r="L497" s="17">
        <f>'12 - Device_Configuration'!P498</f>
        <v>0</v>
      </c>
      <c r="M497" s="17">
        <f>'12 - Device_Configuration'!Q498</f>
        <v>0</v>
      </c>
      <c r="N497" s="17" t="str">
        <f>'12 - Device_Configuration'!BK498</f>
        <v/>
      </c>
      <c r="O497" s="31" t="str">
        <f>'12 - Device_Configuration'!BL498</f>
        <v/>
      </c>
      <c r="P497" s="2">
        <f>'12 - Device_Configuration'!BA498</f>
        <v>0</v>
      </c>
      <c r="Q497" s="31" t="str">
        <f t="shared" si="28"/>
        <v/>
      </c>
      <c r="R497" s="17" t="str">
        <f t="shared" si="29"/>
        <v>SW NOT INSTALLED</v>
      </c>
      <c r="S497" s="17" t="str">
        <f t="shared" si="30"/>
        <v/>
      </c>
      <c r="T497" s="17" t="str">
        <f t="shared" si="31"/>
        <v>SW NOT INSTALLED</v>
      </c>
    </row>
    <row r="498" spans="1:20">
      <c r="A498" s="31">
        <f>'12 - Device_Configuration'!H499</f>
        <v>0</v>
      </c>
      <c r="B498" s="31">
        <f>'12 - Device_Configuration'!S499</f>
        <v>0</v>
      </c>
      <c r="C498" s="31">
        <f>'12 - Device_Configuration'!T499</f>
        <v>0</v>
      </c>
      <c r="D498" s="17">
        <f>'12 - Device_Configuration'!AJ499</f>
        <v>0</v>
      </c>
      <c r="E498" s="17">
        <f>'12 - Device_Configuration'!J499</f>
        <v>0</v>
      </c>
      <c r="F498" s="31">
        <f>'12 - Device_Configuration'!K499</f>
        <v>0</v>
      </c>
      <c r="G498" s="17">
        <f>'12 - Device_Configuration'!L499</f>
        <v>0</v>
      </c>
      <c r="H498" s="17">
        <f>'13 - Config_Intake_View'!M498</f>
        <v>0</v>
      </c>
      <c r="I498" s="31">
        <f>IF('13 - Config_Intake_View'!Q498&lt;&gt;"",'13 - Config_Intake_View'!Q498,'12 - Device_Configuration'!BH499)</f>
        <v>0</v>
      </c>
      <c r="J498" s="17" t="str">
        <f>IF('13 - Config_Intake_View'!Q498&lt;&gt;"","PM Approved",IF('12 - Device_Configuration'!BH499&lt;&gt;"","Assumed",""))</f>
        <v/>
      </c>
      <c r="K498" s="31">
        <f>'12 - Device_Configuration'!BG499</f>
        <v>0</v>
      </c>
      <c r="L498" s="17">
        <f>'12 - Device_Configuration'!P499</f>
        <v>0</v>
      </c>
      <c r="M498" s="17">
        <f>'12 - Device_Configuration'!Q499</f>
        <v>0</v>
      </c>
      <c r="N498" s="17" t="str">
        <f>'12 - Device_Configuration'!BK499</f>
        <v/>
      </c>
      <c r="O498" s="31" t="str">
        <f>'12 - Device_Configuration'!BL499</f>
        <v/>
      </c>
      <c r="P498" s="2">
        <f>'12 - Device_Configuration'!BA499</f>
        <v>0</v>
      </c>
      <c r="Q498" s="31" t="str">
        <f t="shared" si="28"/>
        <v/>
      </c>
      <c r="R498" s="17" t="str">
        <f t="shared" si="29"/>
        <v>SW NOT INSTALLED</v>
      </c>
      <c r="S498" s="17" t="str">
        <f t="shared" si="30"/>
        <v/>
      </c>
      <c r="T498" s="17" t="str">
        <f t="shared" si="31"/>
        <v>SW NOT INSTALLED</v>
      </c>
    </row>
    <row r="499" spans="1:20">
      <c r="A499" s="31">
        <f>'12 - Device_Configuration'!H500</f>
        <v>0</v>
      </c>
      <c r="B499" s="31">
        <f>'12 - Device_Configuration'!S500</f>
        <v>0</v>
      </c>
      <c r="C499" s="31">
        <f>'12 - Device_Configuration'!T500</f>
        <v>0</v>
      </c>
      <c r="D499" s="17">
        <f>'12 - Device_Configuration'!AJ500</f>
        <v>0</v>
      </c>
      <c r="E499" s="17">
        <f>'12 - Device_Configuration'!J500</f>
        <v>0</v>
      </c>
      <c r="F499" s="31">
        <f>'12 - Device_Configuration'!K500</f>
        <v>0</v>
      </c>
      <c r="G499" s="17">
        <f>'12 - Device_Configuration'!L500</f>
        <v>0</v>
      </c>
      <c r="H499" s="17">
        <f>'13 - Config_Intake_View'!M499</f>
        <v>0</v>
      </c>
      <c r="I499" s="31">
        <f>IF('13 - Config_Intake_View'!Q499&lt;&gt;"",'13 - Config_Intake_View'!Q499,'12 - Device_Configuration'!BH500)</f>
        <v>0</v>
      </c>
      <c r="J499" s="17" t="str">
        <f>IF('13 - Config_Intake_View'!Q499&lt;&gt;"","PM Approved",IF('12 - Device_Configuration'!BH500&lt;&gt;"","Assumed",""))</f>
        <v/>
      </c>
      <c r="K499" s="31">
        <f>'12 - Device_Configuration'!BG500</f>
        <v>0</v>
      </c>
      <c r="L499" s="17">
        <f>'12 - Device_Configuration'!P500</f>
        <v>0</v>
      </c>
      <c r="M499" s="17">
        <f>'12 - Device_Configuration'!Q500</f>
        <v>0</v>
      </c>
      <c r="N499" s="17" t="str">
        <f>'12 - Device_Configuration'!BK500</f>
        <v/>
      </c>
      <c r="O499" s="31" t="str">
        <f>'12 - Device_Configuration'!BL500</f>
        <v/>
      </c>
      <c r="P499" s="2">
        <f>'12 - Device_Configuration'!BA500</f>
        <v>0</v>
      </c>
      <c r="Q499" s="31" t="str">
        <f t="shared" si="28"/>
        <v/>
      </c>
      <c r="R499" s="17" t="str">
        <f t="shared" si="29"/>
        <v>SW NOT INSTALLED</v>
      </c>
      <c r="S499" s="17" t="str">
        <f t="shared" si="30"/>
        <v/>
      </c>
      <c r="T499" s="17" t="str">
        <f t="shared" si="31"/>
        <v>SW NOT INSTALLED</v>
      </c>
    </row>
    <row r="500" spans="1:20">
      <c r="A500" s="31">
        <f>'12 - Device_Configuration'!H501</f>
        <v>0</v>
      </c>
      <c r="B500" s="31">
        <f>'12 - Device_Configuration'!S501</f>
        <v>0</v>
      </c>
      <c r="C500" s="31">
        <f>'12 - Device_Configuration'!T501</f>
        <v>0</v>
      </c>
      <c r="D500" s="17">
        <f>'12 - Device_Configuration'!AJ501</f>
        <v>0</v>
      </c>
      <c r="E500" s="17">
        <f>'12 - Device_Configuration'!J501</f>
        <v>0</v>
      </c>
      <c r="F500" s="31">
        <f>'12 - Device_Configuration'!K501</f>
        <v>0</v>
      </c>
      <c r="G500" s="17">
        <f>'12 - Device_Configuration'!L501</f>
        <v>0</v>
      </c>
      <c r="H500" s="17">
        <f>'13 - Config_Intake_View'!M500</f>
        <v>0</v>
      </c>
      <c r="I500" s="31">
        <f>IF('13 - Config_Intake_View'!Q500&lt;&gt;"",'13 - Config_Intake_View'!Q500,'12 - Device_Configuration'!BH501)</f>
        <v>0</v>
      </c>
      <c r="J500" s="17" t="str">
        <f>IF('13 - Config_Intake_View'!Q500&lt;&gt;"","PM Approved",IF('12 - Device_Configuration'!BH501&lt;&gt;"","Assumed",""))</f>
        <v/>
      </c>
      <c r="K500" s="31">
        <f>'12 - Device_Configuration'!BG501</f>
        <v>0</v>
      </c>
      <c r="L500" s="17">
        <f>'12 - Device_Configuration'!P501</f>
        <v>0</v>
      </c>
      <c r="M500" s="17">
        <f>'12 - Device_Configuration'!Q501</f>
        <v>0</v>
      </c>
      <c r="N500" s="17" t="str">
        <f>'12 - Device_Configuration'!BK501</f>
        <v/>
      </c>
      <c r="O500" s="31" t="str">
        <f>'12 - Device_Configuration'!BL501</f>
        <v/>
      </c>
      <c r="P500" s="2">
        <f>'12 - Device_Configuration'!BA501</f>
        <v>0</v>
      </c>
      <c r="Q500" s="31" t="str">
        <f t="shared" si="28"/>
        <v/>
      </c>
      <c r="R500" s="17" t="str">
        <f t="shared" si="29"/>
        <v>SW NOT INSTALLED</v>
      </c>
      <c r="S500" s="17" t="str">
        <f t="shared" si="30"/>
        <v/>
      </c>
      <c r="T500" s="17" t="str">
        <f t="shared" si="31"/>
        <v>SW NOT INSTALLED</v>
      </c>
    </row>
    <row r="501" spans="1:20">
      <c r="A501" s="31">
        <f>'12 - Device_Configuration'!H502</f>
        <v>0</v>
      </c>
      <c r="B501" s="31">
        <f>'12 - Device_Configuration'!S502</f>
        <v>0</v>
      </c>
      <c r="C501" s="31">
        <f>'12 - Device_Configuration'!T502</f>
        <v>0</v>
      </c>
      <c r="D501" s="17">
        <f>'12 - Device_Configuration'!AJ502</f>
        <v>0</v>
      </c>
      <c r="E501" s="17">
        <f>'12 - Device_Configuration'!J502</f>
        <v>0</v>
      </c>
      <c r="F501" s="31">
        <f>'12 - Device_Configuration'!K502</f>
        <v>0</v>
      </c>
      <c r="G501" s="17">
        <f>'12 - Device_Configuration'!L502</f>
        <v>0</v>
      </c>
      <c r="H501" s="17">
        <f>'13 - Config_Intake_View'!M501</f>
        <v>0</v>
      </c>
      <c r="I501" s="31">
        <f>IF('13 - Config_Intake_View'!Q501&lt;&gt;"",'13 - Config_Intake_View'!Q501,'12 - Device_Configuration'!BH502)</f>
        <v>0</v>
      </c>
      <c r="J501" s="17" t="str">
        <f>IF('13 - Config_Intake_View'!Q501&lt;&gt;"","PM Approved",IF('12 - Device_Configuration'!BH502&lt;&gt;"","Assumed",""))</f>
        <v/>
      </c>
      <c r="K501" s="31">
        <f>'12 - Device_Configuration'!BG502</f>
        <v>0</v>
      </c>
      <c r="L501" s="17">
        <f>'12 - Device_Configuration'!P502</f>
        <v>0</v>
      </c>
      <c r="M501" s="17">
        <f>'12 - Device_Configuration'!Q502</f>
        <v>0</v>
      </c>
      <c r="N501" s="17" t="str">
        <f>'12 - Device_Configuration'!BK502</f>
        <v/>
      </c>
      <c r="O501" s="31" t="str">
        <f>'12 - Device_Configuration'!BL502</f>
        <v/>
      </c>
      <c r="P501" s="2">
        <f>'12 - Device_Configuration'!BA502</f>
        <v>0</v>
      </c>
      <c r="Q501" s="31" t="str">
        <f t="shared" si="28"/>
        <v/>
      </c>
      <c r="R501" s="17" t="str">
        <f t="shared" si="29"/>
        <v>SW NOT INSTALLED</v>
      </c>
      <c r="S501" s="17" t="str">
        <f t="shared" si="30"/>
        <v/>
      </c>
      <c r="T501" s="17" t="str">
        <f t="shared" si="31"/>
        <v>SW NOT INSTALLED</v>
      </c>
    </row>
    <row r="502" spans="1:20">
      <c r="A502" s="31">
        <f>'12 - Device_Configuration'!H503</f>
        <v>0</v>
      </c>
      <c r="B502" s="31">
        <f>'12 - Device_Configuration'!S503</f>
        <v>0</v>
      </c>
      <c r="C502" s="31">
        <f>'12 - Device_Configuration'!T503</f>
        <v>0</v>
      </c>
      <c r="D502" s="17">
        <f>'12 - Device_Configuration'!AJ503</f>
        <v>0</v>
      </c>
      <c r="E502" s="17">
        <f>'12 - Device_Configuration'!J503</f>
        <v>0</v>
      </c>
      <c r="F502" s="31">
        <f>'12 - Device_Configuration'!K503</f>
        <v>0</v>
      </c>
      <c r="G502" s="17">
        <f>'12 - Device_Configuration'!L503</f>
        <v>0</v>
      </c>
      <c r="H502" s="17">
        <f>'13 - Config_Intake_View'!M502</f>
        <v>0</v>
      </c>
      <c r="I502" s="31">
        <f>IF('13 - Config_Intake_View'!Q502&lt;&gt;"",'13 - Config_Intake_View'!Q502,'12 - Device_Configuration'!BH503)</f>
        <v>0</v>
      </c>
      <c r="J502" s="17" t="str">
        <f>IF('13 - Config_Intake_View'!Q502&lt;&gt;"","PM Approved",IF('12 - Device_Configuration'!BH503&lt;&gt;"","Assumed",""))</f>
        <v/>
      </c>
      <c r="K502" s="31">
        <f>'12 - Device_Configuration'!BG503</f>
        <v>0</v>
      </c>
      <c r="L502" s="17">
        <f>'12 - Device_Configuration'!P503</f>
        <v>0</v>
      </c>
      <c r="M502" s="17">
        <f>'12 - Device_Configuration'!Q503</f>
        <v>0</v>
      </c>
      <c r="N502" s="17" t="str">
        <f>'12 - Device_Configuration'!BK503</f>
        <v/>
      </c>
      <c r="O502" s="31" t="str">
        <f>'12 - Device_Configuration'!BL503</f>
        <v/>
      </c>
      <c r="P502" s="2">
        <f>'12 - Device_Configuration'!BA503</f>
        <v>0</v>
      </c>
      <c r="Q502" s="31" t="str">
        <f t="shared" si="28"/>
        <v/>
      </c>
      <c r="R502" s="17" t="str">
        <f t="shared" si="29"/>
        <v>SW NOT INSTALLED</v>
      </c>
      <c r="S502" s="17" t="str">
        <f t="shared" si="30"/>
        <v/>
      </c>
      <c r="T502" s="17" t="str">
        <f t="shared" si="31"/>
        <v>SW NOT INSTALLED</v>
      </c>
    </row>
    <row r="503" spans="1:20">
      <c r="A503" s="31">
        <f>'12 - Device_Configuration'!H504</f>
        <v>0</v>
      </c>
      <c r="B503" s="31">
        <f>'12 - Device_Configuration'!S504</f>
        <v>0</v>
      </c>
      <c r="C503" s="31">
        <f>'12 - Device_Configuration'!T504</f>
        <v>0</v>
      </c>
      <c r="D503" s="17">
        <f>'12 - Device_Configuration'!AJ504</f>
        <v>0</v>
      </c>
      <c r="E503" s="17">
        <f>'12 - Device_Configuration'!J504</f>
        <v>0</v>
      </c>
      <c r="F503" s="31">
        <f>'12 - Device_Configuration'!K504</f>
        <v>0</v>
      </c>
      <c r="G503" s="17">
        <f>'12 - Device_Configuration'!L504</f>
        <v>0</v>
      </c>
      <c r="H503" s="17">
        <f>'13 - Config_Intake_View'!M503</f>
        <v>0</v>
      </c>
      <c r="I503" s="31">
        <f>IF('13 - Config_Intake_View'!Q503&lt;&gt;"",'13 - Config_Intake_View'!Q503,'12 - Device_Configuration'!BH504)</f>
        <v>0</v>
      </c>
      <c r="J503" s="17" t="str">
        <f>IF('13 - Config_Intake_View'!Q503&lt;&gt;"","PM Approved",IF('12 - Device_Configuration'!BH504&lt;&gt;"","Assumed",""))</f>
        <v/>
      </c>
      <c r="K503" s="31">
        <f>'12 - Device_Configuration'!BG504</f>
        <v>0</v>
      </c>
      <c r="L503" s="17">
        <f>'12 - Device_Configuration'!P504</f>
        <v>0</v>
      </c>
      <c r="M503" s="17">
        <f>'12 - Device_Configuration'!Q504</f>
        <v>0</v>
      </c>
      <c r="N503" s="17" t="str">
        <f>'12 - Device_Configuration'!BK504</f>
        <v/>
      </c>
      <c r="O503" s="31" t="str">
        <f>'12 - Device_Configuration'!BL504</f>
        <v/>
      </c>
      <c r="P503" s="2">
        <f>'12 - Device_Configuration'!BA504</f>
        <v>0</v>
      </c>
      <c r="Q503" s="31" t="str">
        <f t="shared" si="28"/>
        <v/>
      </c>
      <c r="R503" s="17" t="str">
        <f t="shared" si="29"/>
        <v>SW NOT INSTALLED</v>
      </c>
      <c r="S503" s="17" t="str">
        <f t="shared" si="30"/>
        <v/>
      </c>
      <c r="T503" s="17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76" t="s">
        <v>2067</v>
      </c>
      <c r="B1" s="89" t="s">
        <v>2068</v>
      </c>
      <c r="C1" s="91"/>
      <c r="D1" s="89" t="s">
        <v>2069</v>
      </c>
      <c r="E1" s="91"/>
      <c r="F1" s="89" t="s">
        <v>1963</v>
      </c>
      <c r="G1" s="92"/>
      <c r="H1" s="91"/>
      <c r="I1" s="5"/>
      <c r="J1" s="89" t="s">
        <v>2070</v>
      </c>
      <c r="K1" s="91"/>
    </row>
    <row r="2" spans="1:11" ht="30" customHeight="1">
      <c r="A2" s="6"/>
      <c r="B2" s="6" t="s">
        <v>1341</v>
      </c>
      <c r="C2" s="6" t="s">
        <v>1651</v>
      </c>
      <c r="D2" s="6" t="s">
        <v>1341</v>
      </c>
      <c r="E2" s="6" t="s">
        <v>1651</v>
      </c>
      <c r="F2" s="6" t="s">
        <v>2071</v>
      </c>
      <c r="G2" s="6" t="s">
        <v>2072</v>
      </c>
      <c r="H2" s="6" t="s">
        <v>2073</v>
      </c>
      <c r="I2" s="6"/>
      <c r="J2" s="6" t="s">
        <v>1341</v>
      </c>
      <c r="K2" s="6" t="s">
        <v>1651</v>
      </c>
    </row>
    <row r="3" spans="1:11">
      <c r="A3" s="7" t="s">
        <v>2074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2075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2076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2077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1637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2078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2079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2080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2081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2082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2083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2084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2085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2086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2087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2088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2089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76" t="s">
        <v>2090</v>
      </c>
      <c r="B1" s="76" t="s">
        <v>2091</v>
      </c>
      <c r="C1" s="76" t="s">
        <v>2092</v>
      </c>
      <c r="D1" s="76" t="s">
        <v>1</v>
      </c>
      <c r="E1" s="76" t="s">
        <v>2093</v>
      </c>
      <c r="F1" s="76" t="s">
        <v>2094</v>
      </c>
      <c r="G1" s="76" t="s">
        <v>2095</v>
      </c>
      <c r="H1" s="76" t="s">
        <v>2067</v>
      </c>
      <c r="I1" s="76" t="s">
        <v>1384</v>
      </c>
      <c r="J1" s="76" t="s">
        <v>2096</v>
      </c>
      <c r="K1" s="76" t="s">
        <v>21</v>
      </c>
    </row>
    <row r="2" spans="1:11" ht="30">
      <c r="A2" s="3"/>
      <c r="B2" s="4" t="s">
        <v>2097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2098</v>
      </c>
      <c r="C3" s="4" t="s">
        <v>2099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2100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2101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2102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2103</v>
      </c>
      <c r="C7" s="4" t="s">
        <v>2104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2105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2106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2107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2108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2109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2110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2111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2112</v>
      </c>
      <c r="B15" s="4" t="s">
        <v>2113</v>
      </c>
      <c r="C15" s="4" t="s">
        <v>2114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2115</v>
      </c>
    </row>
    <row r="3" spans="1:6">
      <c r="A3" s="10" t="s">
        <v>2116</v>
      </c>
    </row>
    <row r="4" spans="1:6" ht="30" customHeight="1">
      <c r="A4" s="76" t="s">
        <v>1384</v>
      </c>
      <c r="B4" s="76" t="s">
        <v>2117</v>
      </c>
      <c r="C4" s="76" t="s">
        <v>2118</v>
      </c>
      <c r="D4" s="76" t="s">
        <v>2119</v>
      </c>
      <c r="E4" s="76" t="s">
        <v>1351</v>
      </c>
      <c r="F4" s="76" t="s">
        <v>2120</v>
      </c>
    </row>
    <row r="5" spans="1:6">
      <c r="A5" s="7" t="s">
        <v>2121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2122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2123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2124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2125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2126</v>
      </c>
    </row>
    <row r="14" spans="1:6">
      <c r="A14" s="76" t="s">
        <v>2127</v>
      </c>
      <c r="B14" s="76" t="s">
        <v>1302</v>
      </c>
    </row>
    <row r="15" spans="1:6">
      <c r="A15" s="7" t="s">
        <v>2128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2129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2130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2131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2132</v>
      </c>
      <c r="B19" s="8">
        <f t="array" ref="B19">SUMPRODUCT(('12 - Device_Configuration'!$T$2:$X$527&lt;&gt;"")*('12 - Device_Configuration'!$BI$2:$BM$527&lt;&gt;"Yes")*('12 - Device_Configuration'!$BI$2:$BM$527&lt;&gt;"N/A"))</f>
        <v>180</v>
      </c>
    </row>
    <row r="20" spans="1:2">
      <c r="A20" s="7" t="s">
        <v>2133</v>
      </c>
      <c r="B20" s="8">
        <f t="array" ref="B20">SUMPRODUCT(('12 - Device_Configuration'!$T$2:$X$527&lt;&gt;"")*('12 - Device_Configuration'!$BJ$2:$BN$527&lt;&gt;"Yes")*('12 - Device_Configuration'!$BJ$2:$BN$527&lt;&gt;"N/A"))</f>
        <v>214</v>
      </c>
    </row>
    <row r="21" spans="1:2">
      <c r="A21" s="7" t="s">
        <v>2134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2135</v>
      </c>
    </row>
    <row r="3" spans="1:7" ht="30" customHeight="1">
      <c r="A3" s="76" t="s">
        <v>2091</v>
      </c>
      <c r="B3" s="76" t="s">
        <v>2136</v>
      </c>
      <c r="C3" s="76" t="s">
        <v>2137</v>
      </c>
      <c r="D3" s="76" t="s">
        <v>2138</v>
      </c>
      <c r="E3" s="76" t="s">
        <v>2139</v>
      </c>
      <c r="F3" s="76" t="s">
        <v>2140</v>
      </c>
      <c r="G3" s="76" t="s">
        <v>21</v>
      </c>
    </row>
    <row r="4" spans="1:7" ht="150">
      <c r="A4" s="8" t="s">
        <v>1341</v>
      </c>
      <c r="B4" s="4" t="s">
        <v>2141</v>
      </c>
      <c r="C4" s="8" t="s">
        <v>1341</v>
      </c>
      <c r="D4" s="8" t="s">
        <v>2142</v>
      </c>
      <c r="E4" s="8"/>
      <c r="F4" s="12"/>
      <c r="G4" s="4"/>
    </row>
    <row r="5" spans="1:7" ht="30" customHeight="1">
      <c r="A5" s="8" t="s">
        <v>1341</v>
      </c>
      <c r="B5" s="4" t="s">
        <v>2143</v>
      </c>
      <c r="C5" s="8" t="s">
        <v>1341</v>
      </c>
      <c r="D5" s="8" t="s">
        <v>2142</v>
      </c>
      <c r="E5" s="8"/>
      <c r="F5" s="12"/>
      <c r="G5" s="4"/>
    </row>
    <row r="6" spans="1:7" ht="30" customHeight="1">
      <c r="A6" s="8" t="s">
        <v>1341</v>
      </c>
      <c r="B6" s="4" t="s">
        <v>2144</v>
      </c>
      <c r="C6" s="8" t="s">
        <v>1341</v>
      </c>
      <c r="D6" s="8" t="s">
        <v>2142</v>
      </c>
      <c r="E6" s="8"/>
      <c r="F6" s="12"/>
      <c r="G6" s="4"/>
    </row>
    <row r="7" spans="1:7" ht="30" customHeight="1">
      <c r="A7" s="8" t="s">
        <v>1341</v>
      </c>
      <c r="B7" s="4" t="s">
        <v>2145</v>
      </c>
      <c r="C7" s="8" t="s">
        <v>1341</v>
      </c>
      <c r="D7" s="8" t="s">
        <v>2142</v>
      </c>
      <c r="E7" s="8"/>
      <c r="F7" s="12"/>
      <c r="G7" s="4"/>
    </row>
    <row r="8" spans="1:7" ht="150">
      <c r="A8" s="8" t="s">
        <v>1341</v>
      </c>
      <c r="B8" s="4" t="s">
        <v>2146</v>
      </c>
      <c r="C8" s="8" t="s">
        <v>1341</v>
      </c>
      <c r="D8" s="8" t="s">
        <v>2142</v>
      </c>
      <c r="E8" s="8"/>
      <c r="F8" s="12"/>
      <c r="G8" s="4"/>
    </row>
    <row r="9" spans="1:7" ht="30" customHeight="1">
      <c r="A9" s="8" t="s">
        <v>1341</v>
      </c>
      <c r="B9" s="4" t="s">
        <v>2147</v>
      </c>
      <c r="C9" s="8" t="s">
        <v>1341</v>
      </c>
      <c r="D9" s="8" t="s">
        <v>2142</v>
      </c>
      <c r="E9" s="8"/>
      <c r="F9" s="12"/>
      <c r="G9" s="4"/>
    </row>
    <row r="10" spans="1:7" ht="45" customHeight="1">
      <c r="A10" s="8" t="s">
        <v>2148</v>
      </c>
      <c r="B10" s="4" t="s">
        <v>2149</v>
      </c>
      <c r="C10" s="8" t="s">
        <v>1341</v>
      </c>
      <c r="D10" s="8" t="s">
        <v>2142</v>
      </c>
      <c r="E10" s="8"/>
      <c r="F10" s="12"/>
      <c r="G10" s="4"/>
    </row>
    <row r="11" spans="1:7" ht="30" customHeight="1">
      <c r="A11" s="8" t="s">
        <v>2150</v>
      </c>
      <c r="B11" s="4" t="s">
        <v>2151</v>
      </c>
      <c r="C11" s="8" t="s">
        <v>2152</v>
      </c>
      <c r="D11" s="8" t="s">
        <v>2142</v>
      </c>
      <c r="E11" s="8"/>
      <c r="F11" s="12"/>
      <c r="G11" s="4"/>
    </row>
    <row r="12" spans="1:7" ht="30" customHeight="1">
      <c r="A12" s="8" t="s">
        <v>2153</v>
      </c>
      <c r="B12" s="4" t="s">
        <v>2154</v>
      </c>
      <c r="C12" s="8" t="s">
        <v>1341</v>
      </c>
      <c r="D12" s="8" t="s">
        <v>2142</v>
      </c>
      <c r="E12" s="8"/>
      <c r="F12" s="12"/>
      <c r="G12" s="4"/>
    </row>
    <row r="13" spans="1:7" ht="30" customHeight="1">
      <c r="A13" s="8" t="s">
        <v>2155</v>
      </c>
      <c r="B13" s="4" t="s">
        <v>2156</v>
      </c>
      <c r="C13" s="8" t="s">
        <v>1341</v>
      </c>
      <c r="D13" s="8" t="s">
        <v>2142</v>
      </c>
      <c r="E13" s="8"/>
      <c r="F13" s="12"/>
      <c r="G13" s="4"/>
    </row>
    <row r="14" spans="1:7" ht="30" customHeight="1">
      <c r="A14" s="8" t="s">
        <v>2157</v>
      </c>
      <c r="B14" s="4" t="s">
        <v>2158</v>
      </c>
      <c r="C14" s="8" t="s">
        <v>2159</v>
      </c>
      <c r="D14" s="8" t="s">
        <v>2142</v>
      </c>
      <c r="E14" s="8"/>
      <c r="F14" s="12"/>
      <c r="G14" s="4"/>
    </row>
    <row r="15" spans="1:7" ht="30" customHeight="1">
      <c r="A15" s="8" t="s">
        <v>2157</v>
      </c>
      <c r="B15" s="4" t="s">
        <v>2160</v>
      </c>
      <c r="C15" s="8" t="s">
        <v>1341</v>
      </c>
      <c r="D15" s="8" t="s">
        <v>2142</v>
      </c>
      <c r="E15" s="8"/>
      <c r="F15" s="12"/>
      <c r="G15" s="4"/>
    </row>
    <row r="16" spans="1:7" ht="30" customHeight="1">
      <c r="A16" s="8" t="s">
        <v>2157</v>
      </c>
      <c r="B16" s="4" t="s">
        <v>2161</v>
      </c>
      <c r="C16" s="8" t="s">
        <v>1651</v>
      </c>
      <c r="D16" s="8" t="s">
        <v>2142</v>
      </c>
      <c r="E16" s="8"/>
      <c r="F16" s="12"/>
      <c r="G16" s="4"/>
    </row>
    <row r="17" spans="1:7" ht="30" customHeight="1">
      <c r="A17" s="8" t="s">
        <v>2157</v>
      </c>
      <c r="B17" s="4" t="s">
        <v>2162</v>
      </c>
      <c r="C17" s="8" t="s">
        <v>1651</v>
      </c>
      <c r="D17" s="8" t="s">
        <v>2142</v>
      </c>
      <c r="E17" s="8"/>
      <c r="F17" s="12"/>
      <c r="G17" s="4"/>
    </row>
    <row r="18" spans="1:7" ht="150">
      <c r="A18" s="8" t="s">
        <v>2157</v>
      </c>
      <c r="B18" s="4" t="s">
        <v>2163</v>
      </c>
      <c r="C18" s="8" t="s">
        <v>1651</v>
      </c>
      <c r="D18" s="8" t="s">
        <v>2142</v>
      </c>
      <c r="E18" s="8"/>
      <c r="F18" s="12"/>
      <c r="G18" s="4"/>
    </row>
    <row r="19" spans="1:7" ht="30" customHeight="1">
      <c r="A19" s="8" t="s">
        <v>2164</v>
      </c>
      <c r="B19" s="4" t="s">
        <v>2165</v>
      </c>
      <c r="C19" s="8" t="s">
        <v>1651</v>
      </c>
      <c r="D19" s="8" t="s">
        <v>2142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2166</v>
      </c>
    </row>
    <row r="3" spans="1:8" ht="30" customHeight="1">
      <c r="A3" s="76" t="s">
        <v>2067</v>
      </c>
      <c r="B3" s="76" t="s">
        <v>2167</v>
      </c>
      <c r="C3" s="76" t="s">
        <v>2168</v>
      </c>
      <c r="D3" s="76" t="s">
        <v>2169</v>
      </c>
      <c r="E3" s="76" t="s">
        <v>2170</v>
      </c>
      <c r="F3" s="76" t="s">
        <v>2171</v>
      </c>
      <c r="G3" s="76" t="s">
        <v>2172</v>
      </c>
      <c r="H3" s="76" t="s">
        <v>21</v>
      </c>
    </row>
    <row r="4" spans="1:8" ht="75">
      <c r="A4" s="8" t="s">
        <v>2074</v>
      </c>
      <c r="B4" s="8" t="s">
        <v>2173</v>
      </c>
      <c r="C4" s="8" t="s">
        <v>2173</v>
      </c>
      <c r="D4" s="8" t="s">
        <v>2173</v>
      </c>
      <c r="E4" s="8" t="s">
        <v>2173</v>
      </c>
      <c r="F4" s="8" t="s">
        <v>2173</v>
      </c>
      <c r="G4" s="8" t="s">
        <v>2173</v>
      </c>
      <c r="H4" s="4"/>
    </row>
    <row r="5" spans="1:8" ht="75">
      <c r="A5" s="8" t="s">
        <v>2075</v>
      </c>
      <c r="B5" s="8" t="s">
        <v>2173</v>
      </c>
      <c r="C5" s="8" t="s">
        <v>2173</v>
      </c>
      <c r="D5" s="8" t="s">
        <v>2173</v>
      </c>
      <c r="E5" s="8" t="s">
        <v>2173</v>
      </c>
      <c r="F5" s="8" t="s">
        <v>2173</v>
      </c>
      <c r="G5" s="8" t="s">
        <v>2173</v>
      </c>
      <c r="H5" s="4"/>
    </row>
    <row r="6" spans="1:8" ht="75">
      <c r="A6" s="8" t="s">
        <v>2076</v>
      </c>
      <c r="B6" s="8" t="s">
        <v>2173</v>
      </c>
      <c r="C6" s="8" t="s">
        <v>2173</v>
      </c>
      <c r="D6" s="8" t="s">
        <v>2173</v>
      </c>
      <c r="E6" s="8" t="s">
        <v>2173</v>
      </c>
      <c r="F6" s="8" t="s">
        <v>2173</v>
      </c>
      <c r="G6" s="8" t="s">
        <v>2173</v>
      </c>
      <c r="H6" s="4"/>
    </row>
    <row r="7" spans="1:8" ht="75">
      <c r="A7" s="8" t="s">
        <v>1655</v>
      </c>
      <c r="B7" s="8" t="s">
        <v>2173</v>
      </c>
      <c r="C7" s="8" t="s">
        <v>2173</v>
      </c>
      <c r="D7" s="8" t="s">
        <v>2173</v>
      </c>
      <c r="E7" s="8" t="s">
        <v>2173</v>
      </c>
      <c r="F7" s="8" t="s">
        <v>2173</v>
      </c>
      <c r="G7" s="8" t="s">
        <v>2173</v>
      </c>
      <c r="H7" s="4"/>
    </row>
    <row r="8" spans="1:8" ht="75">
      <c r="A8" s="8" t="s">
        <v>2077</v>
      </c>
      <c r="B8" s="8" t="s">
        <v>2173</v>
      </c>
      <c r="C8" s="8" t="s">
        <v>2173</v>
      </c>
      <c r="D8" s="8" t="s">
        <v>2173</v>
      </c>
      <c r="E8" s="8" t="s">
        <v>2173</v>
      </c>
      <c r="F8" s="8" t="s">
        <v>2173</v>
      </c>
      <c r="G8" s="8" t="s">
        <v>2173</v>
      </c>
      <c r="H8" s="4"/>
    </row>
    <row r="9" spans="1:8" ht="75">
      <c r="A9" s="8" t="s">
        <v>1637</v>
      </c>
      <c r="B9" s="8" t="s">
        <v>2173</v>
      </c>
      <c r="C9" s="8" t="s">
        <v>2173</v>
      </c>
      <c r="D9" s="8" t="s">
        <v>2173</v>
      </c>
      <c r="E9" s="8" t="s">
        <v>2173</v>
      </c>
      <c r="F9" s="8" t="s">
        <v>2173</v>
      </c>
      <c r="G9" s="8" t="s">
        <v>2173</v>
      </c>
      <c r="H9" s="4"/>
    </row>
    <row r="10" spans="1:8" ht="75">
      <c r="A10" s="8" t="s">
        <v>2078</v>
      </c>
      <c r="B10" s="8" t="s">
        <v>2173</v>
      </c>
      <c r="C10" s="8" t="s">
        <v>2173</v>
      </c>
      <c r="D10" s="8" t="s">
        <v>2173</v>
      </c>
      <c r="E10" s="8" t="s">
        <v>2173</v>
      </c>
      <c r="F10" s="8" t="s">
        <v>2173</v>
      </c>
      <c r="G10" s="8" t="s">
        <v>2173</v>
      </c>
      <c r="H10" s="4"/>
    </row>
    <row r="11" spans="1:8" ht="75">
      <c r="A11" s="8" t="s">
        <v>2079</v>
      </c>
      <c r="B11" s="8" t="s">
        <v>2173</v>
      </c>
      <c r="C11" s="8" t="s">
        <v>2173</v>
      </c>
      <c r="D11" s="8" t="s">
        <v>2173</v>
      </c>
      <c r="E11" s="8" t="s">
        <v>2173</v>
      </c>
      <c r="F11" s="8" t="s">
        <v>2173</v>
      </c>
      <c r="G11" s="8" t="s">
        <v>2173</v>
      </c>
      <c r="H11" s="4"/>
    </row>
    <row r="12" spans="1:8" ht="75">
      <c r="A12" s="8" t="s">
        <v>2080</v>
      </c>
      <c r="B12" s="8" t="s">
        <v>2173</v>
      </c>
      <c r="C12" s="8" t="s">
        <v>2173</v>
      </c>
      <c r="D12" s="8" t="s">
        <v>2173</v>
      </c>
      <c r="E12" s="8" t="s">
        <v>2173</v>
      </c>
      <c r="F12" s="8" t="s">
        <v>2173</v>
      </c>
      <c r="G12" s="8" t="s">
        <v>2173</v>
      </c>
      <c r="H12" s="4"/>
    </row>
    <row r="13" spans="1:8" ht="75">
      <c r="A13" s="8" t="s">
        <v>2081</v>
      </c>
      <c r="B13" s="8" t="s">
        <v>2173</v>
      </c>
      <c r="C13" s="8" t="s">
        <v>2173</v>
      </c>
      <c r="D13" s="8" t="s">
        <v>2173</v>
      </c>
      <c r="E13" s="8" t="s">
        <v>2173</v>
      </c>
      <c r="F13" s="8" t="s">
        <v>2173</v>
      </c>
      <c r="G13" s="8" t="s">
        <v>2173</v>
      </c>
      <c r="H13" s="4"/>
    </row>
    <row r="14" spans="1:8" ht="75">
      <c r="A14" s="8" t="s">
        <v>2082</v>
      </c>
      <c r="B14" s="8" t="s">
        <v>2173</v>
      </c>
      <c r="C14" s="8" t="s">
        <v>2173</v>
      </c>
      <c r="D14" s="8" t="s">
        <v>2173</v>
      </c>
      <c r="E14" s="8" t="s">
        <v>2173</v>
      </c>
      <c r="F14" s="8" t="s">
        <v>2173</v>
      </c>
      <c r="G14" s="8" t="s">
        <v>2173</v>
      </c>
      <c r="H14" s="4"/>
    </row>
    <row r="15" spans="1:8" ht="75">
      <c r="A15" s="8" t="s">
        <v>2083</v>
      </c>
      <c r="B15" s="8" t="s">
        <v>2173</v>
      </c>
      <c r="C15" s="8" t="s">
        <v>2173</v>
      </c>
      <c r="D15" s="8" t="s">
        <v>2173</v>
      </c>
      <c r="E15" s="8" t="s">
        <v>2173</v>
      </c>
      <c r="F15" s="8" t="s">
        <v>2173</v>
      </c>
      <c r="G15" s="8" t="s">
        <v>2173</v>
      </c>
      <c r="H15" s="4"/>
    </row>
    <row r="16" spans="1:8" ht="75">
      <c r="A16" s="8" t="s">
        <v>2084</v>
      </c>
      <c r="B16" s="8" t="s">
        <v>2173</v>
      </c>
      <c r="C16" s="8" t="s">
        <v>2173</v>
      </c>
      <c r="D16" s="8" t="s">
        <v>2173</v>
      </c>
      <c r="E16" s="8" t="s">
        <v>2173</v>
      </c>
      <c r="F16" s="8" t="s">
        <v>2173</v>
      </c>
      <c r="G16" s="8" t="s">
        <v>2173</v>
      </c>
      <c r="H16" s="4"/>
    </row>
    <row r="17" spans="1:8" ht="75">
      <c r="A17" s="8" t="s">
        <v>2085</v>
      </c>
      <c r="B17" s="8" t="s">
        <v>2173</v>
      </c>
      <c r="C17" s="8" t="s">
        <v>2173</v>
      </c>
      <c r="D17" s="8" t="s">
        <v>2173</v>
      </c>
      <c r="E17" s="8" t="s">
        <v>2173</v>
      </c>
      <c r="F17" s="8" t="s">
        <v>2173</v>
      </c>
      <c r="G17" s="8" t="s">
        <v>2173</v>
      </c>
      <c r="H17" s="4"/>
    </row>
    <row r="18" spans="1:8" ht="75">
      <c r="A18" s="8" t="s">
        <v>2086</v>
      </c>
      <c r="B18" s="8" t="s">
        <v>2173</v>
      </c>
      <c r="C18" s="8" t="s">
        <v>2173</v>
      </c>
      <c r="D18" s="8" t="s">
        <v>2173</v>
      </c>
      <c r="E18" s="8" t="s">
        <v>2173</v>
      </c>
      <c r="F18" s="8" t="s">
        <v>2173</v>
      </c>
      <c r="G18" s="8" t="s">
        <v>2173</v>
      </c>
      <c r="H18" s="4"/>
    </row>
    <row r="19" spans="1:8" ht="75">
      <c r="A19" s="8" t="s">
        <v>2087</v>
      </c>
      <c r="B19" s="8" t="s">
        <v>2173</v>
      </c>
      <c r="C19" s="8" t="s">
        <v>2173</v>
      </c>
      <c r="D19" s="8" t="s">
        <v>2173</v>
      </c>
      <c r="E19" s="8" t="s">
        <v>2173</v>
      </c>
      <c r="F19" s="8" t="s">
        <v>2173</v>
      </c>
      <c r="G19" s="8" t="s">
        <v>2173</v>
      </c>
      <c r="H19" s="4"/>
    </row>
    <row r="20" spans="1:8" ht="75">
      <c r="A20" s="8" t="s">
        <v>2088</v>
      </c>
      <c r="B20" s="8" t="s">
        <v>2173</v>
      </c>
      <c r="C20" s="8" t="s">
        <v>2173</v>
      </c>
      <c r="D20" s="8" t="s">
        <v>2173</v>
      </c>
      <c r="E20" s="8" t="s">
        <v>2173</v>
      </c>
      <c r="F20" s="8" t="s">
        <v>2173</v>
      </c>
      <c r="G20" s="8" t="s">
        <v>2173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2174</v>
      </c>
    </row>
    <row r="3" spans="1:5" ht="90">
      <c r="A3" s="76" t="s">
        <v>20</v>
      </c>
      <c r="B3" s="76" t="s">
        <v>2175</v>
      </c>
      <c r="C3" s="76" t="s">
        <v>2176</v>
      </c>
      <c r="D3" s="76" t="s">
        <v>2177</v>
      </c>
      <c r="E3" s="76" t="s">
        <v>2178</v>
      </c>
    </row>
    <row r="4" spans="1:5" ht="60" customHeight="1">
      <c r="A4" s="4">
        <f>374</f>
        <v>374</v>
      </c>
      <c r="B4" s="4" t="s">
        <v>2179</v>
      </c>
      <c r="C4" s="4"/>
      <c r="D4" s="4"/>
      <c r="E4" s="4"/>
    </row>
    <row r="5" spans="1:5" ht="60" customHeight="1">
      <c r="A5" s="4">
        <f>4/4</f>
        <v>1</v>
      </c>
      <c r="B5" s="4" t="s">
        <v>2180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2181</v>
      </c>
      <c r="C6" s="4"/>
      <c r="D6" s="4"/>
      <c r="E6" s="4"/>
    </row>
    <row r="7" spans="1:5" ht="30" customHeight="1">
      <c r="A7" s="4">
        <f>D22/38</f>
        <v>0</v>
      </c>
      <c r="B7" s="4" t="s">
        <v>2182</v>
      </c>
      <c r="C7" s="4"/>
      <c r="D7" s="4"/>
      <c r="E7" s="4"/>
    </row>
    <row r="8" spans="1:5" ht="30" customHeight="1">
      <c r="A8" s="4">
        <f>D23/38</f>
        <v>0</v>
      </c>
      <c r="B8" s="4" t="s">
        <v>2183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2184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2185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2186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2187</v>
      </c>
      <c r="C12" s="4"/>
      <c r="D12" s="4"/>
      <c r="E12" s="4"/>
    </row>
    <row r="13" spans="1:5" ht="30" customHeight="1">
      <c r="A13" s="4">
        <f>389/389</f>
        <v>1</v>
      </c>
      <c r="B13" s="4" t="s">
        <v>2188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2189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2190</v>
      </c>
      <c r="C15" s="4"/>
      <c r="D15" s="4"/>
      <c r="E15" s="4"/>
    </row>
    <row r="16" spans="1:5" ht="60" customHeight="1">
      <c r="A16" s="4">
        <f>COUNTA(#REF!)</f>
        <v>1</v>
      </c>
      <c r="B16" s="4" t="s">
        <v>2191</v>
      </c>
      <c r="C16" s="4"/>
      <c r="D16" s="4"/>
      <c r="E16" s="4"/>
    </row>
    <row r="17" spans="1:5" ht="30" customHeight="1">
      <c r="A17" s="4">
        <f>SUM(AY3:AY10)</f>
        <v>0</v>
      </c>
      <c r="B17" s="4" t="s">
        <v>2192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2193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2194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2195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2196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2197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2198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2199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2200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2201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2202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2203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2204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2205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2206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2207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2208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2209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2210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2211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2212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2213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2214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2215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2216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2217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2218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2219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2220</v>
      </c>
      <c r="C45" s="4"/>
      <c r="D45" s="4"/>
      <c r="E45" s="4"/>
    </row>
    <row r="46" spans="1:5" ht="30.75" customHeight="1">
      <c r="A46" s="4" t="e">
        <v>#VALUE!</v>
      </c>
      <c r="B46" s="4" t="s">
        <v>2221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2222</v>
      </c>
      <c r="C47" s="4"/>
      <c r="D47" s="4"/>
      <c r="E47" s="4"/>
    </row>
    <row r="48" spans="1:5" ht="30.75" customHeight="1">
      <c r="A48" s="4" t="e">
        <v>#VALUE!</v>
      </c>
      <c r="B48" s="4" t="s">
        <v>2223</v>
      </c>
      <c r="C48" s="4"/>
      <c r="D48" s="4"/>
      <c r="E48" s="4"/>
    </row>
    <row r="49" spans="1:5" ht="30.75" customHeight="1">
      <c r="A49" s="4" t="e">
        <v>#VALUE!</v>
      </c>
      <c r="B49" s="4" t="s">
        <v>2224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2225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2226</v>
      </c>
      <c r="C51" s="4"/>
      <c r="D51" s="4"/>
      <c r="E51" s="4"/>
    </row>
    <row r="52" spans="1:5" ht="30.75" customHeight="1">
      <c r="A52" s="4" t="e">
        <v>#VALUE!</v>
      </c>
      <c r="B52" s="4" t="s">
        <v>2227</v>
      </c>
      <c r="C52" s="4"/>
      <c r="D52" s="4"/>
      <c r="E52" s="4"/>
    </row>
    <row r="53" spans="1:5" ht="30.75" customHeight="1">
      <c r="A53" s="4" t="e">
        <v>#VALUE!</v>
      </c>
      <c r="B53" s="4" t="s">
        <v>2228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2229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2230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2231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2232</v>
      </c>
      <c r="C57" s="4"/>
      <c r="D57" s="4"/>
      <c r="E57" s="4"/>
    </row>
    <row r="58" spans="1:5" ht="30" customHeight="1">
      <c r="A58" s="4"/>
      <c r="B58" s="4" t="s">
        <v>2233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2234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2235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2236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2237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2238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2239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2240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2241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2242</v>
      </c>
    </row>
    <row r="3" spans="1:7">
      <c r="A3" t="s">
        <v>2243</v>
      </c>
      <c r="C3" t="s">
        <v>2244</v>
      </c>
      <c r="E3" t="s">
        <v>2245</v>
      </c>
      <c r="G3" t="s">
        <v>2246</v>
      </c>
    </row>
    <row r="4" spans="1:7" ht="195" customHeight="1">
      <c r="A4" s="2" t="s">
        <v>2247</v>
      </c>
      <c r="C4" s="2" t="s">
        <v>2248</v>
      </c>
      <c r="E4" s="2" t="s">
        <v>2249</v>
      </c>
      <c r="G4" s="2" t="s">
        <v>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2026-02-17T02:07:45Z</dcterms:modified>
  <cp:category/>
  <cp:contentStatus/>
</cp:coreProperties>
</file>